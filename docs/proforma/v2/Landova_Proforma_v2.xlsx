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rcel" sheetId="2" state="visible" r:id="rId4"/>
    <sheet name="Best_Use" sheetId="3" state="visible" r:id="rId5"/>
    <sheet name="Deal_View" sheetId="4" state="visible" r:id="rId6"/>
    <sheet name="Use_Library" sheetId="5" state="visible" r:id="rId7"/>
    <sheet name="Engine" sheetId="6" state="visible" r:id="rId8"/>
    <sheet name="Assumptions" sheetId="7" state="visible" r:id="rId9"/>
    <sheet name="Cost_Library" sheetId="8" state="visible" r:id="rId10"/>
    <sheet name="Deal_History" sheetId="9" state="visible" r:id="rId11"/>
    <sheet name="Import_Mapping" sheetId="10" state="visible" r:id="rId12"/>
    <sheet name="Lookup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<sst xmlns="http://schemas.openxmlformats.org/spreadsheetml/2006/main" count="1347" uniqueCount="628">
  <si>
    <t xml:space="preserve">Landova Proforma v2</t>
  </si>
  <si>
    <t xml:space="preserve">Every Landova use, one engine. Parcel facts + use defaults + cost library -&gt; what fits -&gt; cost -&gt; three exits -&gt; max offer.</t>
  </si>
  <si>
    <t xml:space="preserve">Start here</t>
  </si>
  <si>
    <t xml:space="preserve">1. Parcel</t>
  </si>
  <si>
    <t xml:space="preserve">Enter or paste the parcel's facts and the asking price.</t>
  </si>
  <si>
    <t xml:space="preserve">2. Best_Use</t>
  </si>
  <si>
    <t xml:space="preserve">Every use ranked by the most you could pay for this land. This is the 'land value today to its best use' screen.</t>
  </si>
  <si>
    <t xml:space="preserve">3. Deal_View</t>
  </si>
  <si>
    <t xml:space="preserve">Pick one use and read its numbers top to bottom: yield, quantities, budget, income, exits, max offer.</t>
  </si>
  <si>
    <t xml:space="preserve">How it is built</t>
  </si>
  <si>
    <t xml:space="preserve">Four engines</t>
  </si>
  <si>
    <t xml:space="preserve">For-Sale (lots, homes, condos) · Income (anything 5+ units or commercial: valued on NOI and cap rate) · Operator Pad (Landova delivers a pad, an operator runs the business) · Land Play (leases and entitle-and-sell).</t>
  </si>
  <si>
    <t xml:space="preserve">Three exits for every use</t>
  </si>
  <si>
    <t xml:space="preserve">1) Land / pad sale  2) Build &amp; sell  3) Build &amp; hold / lease. Use_Library says which are allowed.</t>
  </si>
  <si>
    <t xml:space="preserve">Use_Library</t>
  </si>
  <si>
    <t xml:space="preserve">One row per use: how it is sized, what it costs, what it earns, and where it works. Add a use = add a row.</t>
  </si>
  <si>
    <t xml:space="preserve">Engine</t>
  </si>
  <si>
    <t xml:space="preserve">One row per use, one column per step. This tab is the spec Ryan codes from - every column header is a calculation step.</t>
  </si>
  <si>
    <t xml:space="preserve">Max offer</t>
  </si>
  <si>
    <t xml:space="preserve">The engine solves for the land price that leaves exactly the required margin. Costs that rise with land price (closing, carry, financing, property tax) are included, so the answer is exact.</t>
  </si>
  <si>
    <t xml:space="preserve">Market cap</t>
  </si>
  <si>
    <t xml:space="preserve">Max usable acres stops the model from pretending 20 acres can all be QSR pads. Leftover acres are resold at the raw land value.</t>
  </si>
  <si>
    <t xml:space="preserve">Color code</t>
  </si>
  <si>
    <t xml:space="preserve">Blue on yellow</t>
  </si>
  <si>
    <t xml:space="preserve">Input - edit</t>
  </si>
  <si>
    <t xml:space="preserve">Black</t>
  </si>
  <si>
    <t xml:space="preserve">Formula - don't edit</t>
  </si>
  <si>
    <t xml:space="preserve">Green</t>
  </si>
  <si>
    <t xml:space="preserve">Link to another tab</t>
  </si>
  <si>
    <t xml:space="preserve">Before using on a live deal</t>
  </si>
  <si>
    <t xml:space="preserve">Placeholders</t>
  </si>
  <si>
    <t xml:space="preserve">Every cost, price, rent, cap rate, county factor and land value is a placeholder chosen to show the mechanics. Replace with real comps, bids and your actuals.</t>
  </si>
  <si>
    <t xml:space="preserve">Location tests</t>
  </si>
  <si>
    <t xml:space="preserve">Traffic, households, highway distance, corner and substation minimums in Use_Library are enforced: a use that fails gets no capacity and drops to the bottom. The written location notes are NOT enforced - the land search must apply them.</t>
  </si>
  <si>
    <t xml:space="preserve">Not in this workbook</t>
  </si>
  <si>
    <t xml:space="preserve">Monthly cash flow / IRR, multifamily unit mix and LP/GP waterfall, operating-business P&amp;Ls. See the build guide.</t>
  </si>
  <si>
    <t xml:space="preserve">Parcel Inputs</t>
  </si>
  <si>
    <t xml:space="preserve">One parcel. In the software these fill from Landova's site analysis. Blue on yellow = input.</t>
  </si>
  <si>
    <t xml:space="preserve">Input</t>
  </si>
  <si>
    <t xml:space="preserve">Value</t>
  </si>
  <si>
    <t xml:space="preserve">Unit</t>
  </si>
  <si>
    <t xml:space="preserve">Source in Landova</t>
  </si>
  <si>
    <t xml:space="preserve">Parcel name</t>
  </si>
  <si>
    <t xml:space="preserve">Sample Parcel - Grayson County</t>
  </si>
  <si>
    <t xml:space="preserve">User</t>
  </si>
  <si>
    <t xml:space="preserve">County</t>
  </si>
  <si>
    <t xml:space="preserve">Grayson</t>
  </si>
  <si>
    <t xml:space="preserve">Parcel record</t>
  </si>
  <si>
    <t xml:space="preserve">Cost scenario</t>
  </si>
  <si>
    <t xml:space="preserve">Base</t>
  </si>
  <si>
    <t xml:space="preserve">Low/Base/High</t>
  </si>
  <si>
    <t xml:space="preserve">Gross acres</t>
  </si>
  <si>
    <t xml:space="preserve">ac</t>
  </si>
  <si>
    <t xml:space="preserve">Parcel boundary</t>
  </si>
  <si>
    <t xml:space="preserve">Buildable %</t>
  </si>
  <si>
    <t xml:space="preserve">% of gross</t>
  </si>
  <si>
    <t xml:space="preserve">Buildable-land analysis</t>
  </si>
  <si>
    <t xml:space="preserve">Average slope</t>
  </si>
  <si>
    <t xml:space="preserve">%</t>
  </si>
  <si>
    <t xml:space="preserve">Topography</t>
  </si>
  <si>
    <t xml:space="preserve">Tree cover</t>
  </si>
  <si>
    <t xml:space="preserve">3D tree coverage</t>
  </si>
  <si>
    <t xml:space="preserve">Road frontage</t>
  </si>
  <si>
    <t xml:space="preserve">LF</t>
  </si>
  <si>
    <t xml:space="preserve">Frontage analysis</t>
  </si>
  <si>
    <t xml:space="preserve">Public water at site</t>
  </si>
  <si>
    <t xml:space="preserve">Y</t>
  </si>
  <si>
    <t xml:space="preserve">Y/N</t>
  </si>
  <si>
    <t xml:space="preserve">Utilities layer</t>
  </si>
  <si>
    <t xml:space="preserve">Distance to water main</t>
  </si>
  <si>
    <t xml:space="preserve">Public sewer at site</t>
  </si>
  <si>
    <t xml:space="preserve">N</t>
  </si>
  <si>
    <t xml:space="preserve">Distance to sewer main</t>
  </si>
  <si>
    <t xml:space="preserve">Septic soil rating</t>
  </si>
  <si>
    <t xml:space="preserve">Fair</t>
  </si>
  <si>
    <t xml:space="preserve">Good/Fair/Poor</t>
  </si>
  <si>
    <t xml:space="preserve">Soil composition</t>
  </si>
  <si>
    <t xml:space="preserve">Asking / offer price (whole parcel)</t>
  </si>
  <si>
    <t xml:space="preserve">$</t>
  </si>
  <si>
    <t xml:space="preserve">Listing or user</t>
  </si>
  <si>
    <t xml:space="preserve">Traffic count on frontage road</t>
  </si>
  <si>
    <t xml:space="preserve">vehicles/day</t>
  </si>
  <si>
    <t xml:space="preserve">TxDOT counts</t>
  </si>
  <si>
    <t xml:space="preserve">Households within 3 miles</t>
  </si>
  <si>
    <t xml:space="preserve">households</t>
  </si>
  <si>
    <t xml:space="preserve">Census / growth layer</t>
  </si>
  <si>
    <t xml:space="preserve">Miles to nearest highway interchange</t>
  </si>
  <si>
    <t xml:space="preserve">miles</t>
  </si>
  <si>
    <t xml:space="preserve">Road network</t>
  </si>
  <si>
    <t xml:space="preserve">Corner lot (hard corner on two roads)</t>
  </si>
  <si>
    <t xml:space="preserve">Miles to substation with capacity</t>
  </si>
  <si>
    <t xml:space="preserve">Utility / transmission layer</t>
  </si>
  <si>
    <t xml:space="preserve">Derived (formulas)</t>
  </si>
  <si>
    <t xml:space="preserve">Net buildable acres</t>
  </si>
  <si>
    <t xml:space="preserve">Public water used (1 = yes)</t>
  </si>
  <si>
    <t xml:space="preserve">Public sewer used (1 = yes)</t>
  </si>
  <si>
    <t xml:space="preserve">Off-site water extension LF</t>
  </si>
  <si>
    <t xml:space="preserve">Off-site sewer extension LF</t>
  </si>
  <si>
    <t xml:space="preserve">Scenario column</t>
  </si>
  <si>
    <t xml:space="preserve">Regional cost factor</t>
  </si>
  <si>
    <t xml:space="preserve">Grading multiplier (slope)</t>
  </si>
  <si>
    <t xml:space="preserve">Septic multiplier (soil)</t>
  </si>
  <si>
    <t xml:space="preserve">Best Use - what this parcel is worth to each use</t>
  </si>
  <si>
    <t xml:space="preserve">Every use in the library run against the parcel on the Parcel tab, ranked by max offer. This is the 'land value today to its best use' screen.</t>
  </si>
  <si>
    <t xml:space="preserve">Parcel:</t>
  </si>
  <si>
    <t xml:space="preserve">Asking:</t>
  </si>
  <si>
    <t xml:space="preserve">Rank</t>
  </si>
  <si>
    <t xml:space="preserve">Use</t>
  </si>
  <si>
    <t xml:space="preserve">Capacity</t>
  </si>
  <si>
    <t xml:space="preserve">Best exit</t>
  </si>
  <si>
    <t xml:space="preserve">Opening offer</t>
  </si>
  <si>
    <t xml:space="preserve">Max - asking</t>
  </si>
  <si>
    <t xml:space="preserve">Max / gross ac</t>
  </si>
  <si>
    <t xml:space="preserve">Max / unit</t>
  </si>
  <si>
    <t xml:space="preserve">Binding constraint</t>
  </si>
  <si>
    <t xml:space="preserve">Flags</t>
  </si>
  <si>
    <t xml:space="preserve">row</t>
  </si>
  <si>
    <t xml:space="preserve">Read with care: every number is a placeholder, and a high max offer means only that the math works. Check the location requirements (Use_Library) before believing any row.</t>
  </si>
  <si>
    <t xml:space="preserve">Deal View - one use in detail</t>
  </si>
  <si>
    <t xml:space="preserve">Pick a use. Everything below is read from the Engine row for that use, top to bottom, so you can audit each step.</t>
  </si>
  <si>
    <t xml:space="preserve">Multifamily - large garden (150+ units)</t>
  </si>
  <si>
    <t xml:space="preserve">Engine row</t>
  </si>
  <si>
    <t xml:space="preserve">Location requirements</t>
  </si>
  <si>
    <t xml:space="preserve">Identity</t>
  </si>
  <si>
    <t xml:space="preserve">Capacity unit</t>
  </si>
  <si>
    <t xml:space="preserve">Yield</t>
  </si>
  <si>
    <t xml:space="preserve">Usable acres (net - open space - detention)</t>
  </si>
  <si>
    <t xml:space="preserve">Usable acres used by this use (market cap)</t>
  </si>
  <si>
    <t xml:space="preserve">Share of parcel used</t>
  </si>
  <si>
    <t xml:space="preserve">Net acres in use</t>
  </si>
  <si>
    <t xml:space="preserve">Detention acres</t>
  </si>
  <si>
    <t xml:space="preserve">Developed acres</t>
  </si>
  <si>
    <t xml:space="preserve">Excess gross acres (resold as raw land)</t>
  </si>
  <si>
    <t xml:space="preserve">Sewer requirement met (1/0)</t>
  </si>
  <si>
    <t xml:space="preserve">Water requirement met (1/0)</t>
  </si>
  <si>
    <t xml:space="preserve">Location test failures</t>
  </si>
  <si>
    <t xml:space="preserve">Location passes (1/0)</t>
  </si>
  <si>
    <t xml:space="preserve">Parcel big enough (1/0)</t>
  </si>
  <si>
    <t xml:space="preserve">Capacity by density</t>
  </si>
  <si>
    <t xml:space="preserve">Capacity by site area</t>
  </si>
  <si>
    <t xml:space="preserve">Capacity by septic lot size</t>
  </si>
  <si>
    <t xml:space="preserve">CAPACITY (units / SF / acres)</t>
  </si>
  <si>
    <t xml:space="preserve">Anything fits (1/0)</t>
  </si>
  <si>
    <t xml:space="preserve">Horizontal by us (1/0)</t>
  </si>
  <si>
    <t xml:space="preserve">Quantities</t>
  </si>
  <si>
    <t xml:space="preserve">Internal road LF</t>
  </si>
  <si>
    <t xml:space="preserve">Paving / hardscape SF</t>
  </si>
  <si>
    <t xml:space="preserve">Water line LF</t>
  </si>
  <si>
    <t xml:space="preserve">Water taps</t>
  </si>
  <si>
    <t xml:space="preserve">Sewer line LF</t>
  </si>
  <si>
    <t xml:space="preserve">Sewer taps</t>
  </si>
  <si>
    <t xml:space="preserve">Septic systems</t>
  </si>
  <si>
    <t xml:space="preserve">Private wells</t>
  </si>
  <si>
    <t xml:space="preserve">Acres to clear</t>
  </si>
  <si>
    <t xml:space="preserve">Acres to grade</t>
  </si>
  <si>
    <t xml:space="preserve">Lots to plat</t>
  </si>
  <si>
    <t xml:space="preserve">Horizontal budget</t>
  </si>
  <si>
    <t xml:space="preserve">02-100 Survey</t>
  </si>
  <si>
    <t xml:space="preserve">02-110 Platting</t>
  </si>
  <si>
    <t xml:space="preserve">02-200 Civil engineering</t>
  </si>
  <si>
    <t xml:space="preserve">02-300 Geotech</t>
  </si>
  <si>
    <t xml:space="preserve">02-310 Septic evaluations</t>
  </si>
  <si>
    <t xml:space="preserve">02-400 Phase I</t>
  </si>
  <si>
    <t xml:space="preserve">02-500 Drainage study</t>
  </si>
  <si>
    <t xml:space="preserve">Entitlement &amp; zoning (use-specific)</t>
  </si>
  <si>
    <t xml:space="preserve">02-700 Legal &amp; title</t>
  </si>
  <si>
    <t xml:space="preserve">03-100 Clearing</t>
  </si>
  <si>
    <t xml:space="preserve">03-200 Grading</t>
  </si>
  <si>
    <t xml:space="preserve">03-300 Roads / drives</t>
  </si>
  <si>
    <t xml:space="preserve">03-350 Paving / parking</t>
  </si>
  <si>
    <t xml:space="preserve">03-400 Detention</t>
  </si>
  <si>
    <t xml:space="preserve">03-500 SWPPP</t>
  </si>
  <si>
    <t xml:space="preserve">04-100 Water line</t>
  </si>
  <si>
    <t xml:space="preserve">04-110 Water taps</t>
  </si>
  <si>
    <t xml:space="preserve">04-200 Sewer line</t>
  </si>
  <si>
    <t xml:space="preserve">04-210 Sewer taps</t>
  </si>
  <si>
    <t xml:space="preserve">04-300 Septic systems</t>
  </si>
  <si>
    <t xml:space="preserve">04-310 Wells</t>
  </si>
  <si>
    <t xml:space="preserve">04-400 Electric</t>
  </si>
  <si>
    <t xml:space="preserve">Horizontal subtotal</t>
  </si>
  <si>
    <t xml:space="preserve">Horizontal contingency</t>
  </si>
  <si>
    <t xml:space="preserve">HORIZONTAL TOTAL (ex land)</t>
  </si>
  <si>
    <t xml:space="preserve">Vertical</t>
  </si>
  <si>
    <t xml:space="preserve">Vertical hard cost</t>
  </si>
  <si>
    <t xml:space="preserve">Vertical soft + contingency</t>
  </si>
  <si>
    <t xml:space="preserve">TI + leasing commissions</t>
  </si>
  <si>
    <t xml:space="preserve">Land &amp; financing factors</t>
  </si>
  <si>
    <t xml:space="preserve">Land cost factor (closing + carry)</t>
  </si>
  <si>
    <t xml:space="preserve">Financing factor - no lease-up</t>
  </si>
  <si>
    <t xml:space="preserve">Financing factor - with lease-up</t>
  </si>
  <si>
    <t xml:space="preserve">Excess land resale (net)</t>
  </si>
  <si>
    <t xml:space="preserve">Build cost (exits 2 &amp; 3)</t>
  </si>
  <si>
    <t xml:space="preserve">Build non-land cost (pre-financing)</t>
  </si>
  <si>
    <t xml:space="preserve">Build cost per $1 of land</t>
  </si>
  <si>
    <t xml:space="preserve">Income (Income engine)</t>
  </si>
  <si>
    <t xml:space="preserve">Gross potential rent</t>
  </si>
  <si>
    <t xml:space="preserve">Effective gross income</t>
  </si>
  <si>
    <t xml:space="preserve">Operating expenses (ex tax, ex mgmt)</t>
  </si>
  <si>
    <t xml:space="preserve">Property tax</t>
  </si>
  <si>
    <t xml:space="preserve">Management</t>
  </si>
  <si>
    <t xml:space="preserve">Expense recoveries</t>
  </si>
  <si>
    <t xml:space="preserve">NET OPERATING INCOME</t>
  </si>
  <si>
    <t xml:space="preserve">Stabilized value (NOI / cap)</t>
  </si>
  <si>
    <t xml:space="preserve">Change in NOI per $1 of land</t>
  </si>
  <si>
    <t xml:space="preserve">Yield on cost</t>
  </si>
  <si>
    <t xml:space="preserve">Hold financing (Income)</t>
  </si>
  <si>
    <t xml:space="preserve">Development loan</t>
  </si>
  <si>
    <t xml:space="preserve">Permanent loan (lesser of LTV, DSCR, debt yield)</t>
  </si>
  <si>
    <t xml:space="preserve">DSCR on permanent loan</t>
  </si>
  <si>
    <t xml:space="preserve">Cash out at refi (perm - dev loan)</t>
  </si>
  <si>
    <t xml:space="preserve">Exits</t>
  </si>
  <si>
    <t xml:space="preserve">Line</t>
  </si>
  <si>
    <t xml:space="preserve">Land / pad sale</t>
  </si>
  <si>
    <t xml:space="preserve">Build &amp; sell</t>
  </si>
  <si>
    <t xml:space="preserve">Build &amp; hold / lease</t>
  </si>
  <si>
    <t xml:space="preserve">Allowed for this use</t>
  </si>
  <si>
    <t xml:space="preserve">Net revenue / value</t>
  </si>
  <si>
    <t xml:space="preserve">Total cost at asking price</t>
  </si>
  <si>
    <t xml:space="preserve">Profit / value created at asking</t>
  </si>
  <si>
    <t xml:space="preserve">Cost per $1 of land</t>
  </si>
  <si>
    <t xml:space="preserve">MAX OFFER</t>
  </si>
  <si>
    <t xml:space="preserve">Margin at asking price</t>
  </si>
  <si>
    <t xml:space="preserve">Required margin</t>
  </si>
  <si>
    <t xml:space="preserve">BEST MAX OFFER (walk-away)</t>
  </si>
  <si>
    <t xml:space="preserve">Max offer minus asking</t>
  </si>
  <si>
    <t xml:space="preserve">Max offer per gross acre</t>
  </si>
  <si>
    <t xml:space="preserve">Max offer per unit</t>
  </si>
  <si>
    <t xml:space="preserve">Use Library</t>
  </si>
  <si>
    <t xml:space="preserve">One row per use. Every economic value is a PLACEHOLDER for North Texas - replace with comps, bids and your own actuals. Add a use by adding a row (and extending the Engine tab).</t>
  </si>
  <si>
    <t xml:space="preserve">Category</t>
  </si>
  <si>
    <t xml:space="preserve">Discrete units (Y/N)</t>
  </si>
  <si>
    <t xml:space="preserve">Max density (units / net ac; 0 = n/a)</t>
  </si>
  <si>
    <t xml:space="preserve">Site SF per unit (0 = n/a)</t>
  </si>
  <si>
    <t xml:space="preserve">Septic lot-size rule (Y/N)</t>
  </si>
  <si>
    <t xml:space="preserve">Requires public sewer (Y/N)</t>
  </si>
  <si>
    <t xml:space="preserve">Requires public water (Y/N)</t>
  </si>
  <si>
    <t xml:space="preserve">Horizontal work by us (Y/N)</t>
  </si>
  <si>
    <t xml:space="preserve">Min usable acres needed (0 = none)</t>
  </si>
  <si>
    <t xml:space="preserve">Max usable acres market supports (0 = no cap)</t>
  </si>
  <si>
    <t xml:space="preserve">Open space % of net</t>
  </si>
  <si>
    <t xml:space="preserve">Road / drive LF per unit</t>
  </si>
  <si>
    <t xml:space="preserve">Paving SF per unit</t>
  </si>
  <si>
    <t xml:space="preserve">Utility taps per unit</t>
  </si>
  <si>
    <t xml:space="preserve">Septic systems per unit (if no sewer)</t>
  </si>
  <si>
    <t xml:space="preserve">Entitlement &amp; zoning $ (fixed)</t>
  </si>
  <si>
    <t xml:space="preserve">Vertical cost per unit</t>
  </si>
  <si>
    <t xml:space="preserve">Lot sale price per unit (For-Sale)</t>
  </si>
  <si>
    <t xml:space="preserve">Finished sale price per unit (For-Sale)</t>
  </si>
  <si>
    <t xml:space="preserve">Rent per unit per year (Income)</t>
  </si>
  <si>
    <t xml:space="preserve">Other income % of rent</t>
  </si>
  <si>
    <t xml:space="preserve">Stabilized vacancy</t>
  </si>
  <si>
    <t xml:space="preserve">Opex per unit per year, excl. tax</t>
  </si>
  <si>
    <t xml:space="preserve">Management % of EGI</t>
  </si>
  <si>
    <t xml:space="preserve">Expense recovery % (NNN)</t>
  </si>
  <si>
    <t xml:space="preserve">TI + leasing commissions per unit</t>
  </si>
  <si>
    <t xml:space="preserve">Lease-up months</t>
  </si>
  <si>
    <t xml:space="preserve">Exit / lease cap rate</t>
  </si>
  <si>
    <t xml:space="preserve">Land / pad sale price per usable acre</t>
  </si>
  <si>
    <t xml:space="preserve">Ground / land lease rent per acre per year</t>
  </si>
  <si>
    <t xml:space="preserve">Development months</t>
  </si>
  <si>
    <t xml:space="preserve">Exit allowed: Land / pad sale (1/0)</t>
  </si>
  <si>
    <t xml:space="preserve">Exit allowed: Build &amp; sell (1/0)</t>
  </si>
  <si>
    <t xml:space="preserve">Exit allowed: Build &amp; hold / lease (1/0)</t>
  </si>
  <si>
    <t xml:space="preserve">Min road frontage LF</t>
  </si>
  <si>
    <t xml:space="preserve">Min traffic count on frontage (VPD; 0 = none)</t>
  </si>
  <si>
    <t xml:space="preserve">Min households within 3 mi (0 = none)</t>
  </si>
  <si>
    <t xml:space="preserve">Max miles to highway interchange (0 = none)</t>
  </si>
  <si>
    <t xml:space="preserve">Corner lot required (Y/N)</t>
  </si>
  <si>
    <t xml:space="preserve">Max miles to substation w/ capacity (0 = none)</t>
  </si>
  <si>
    <t xml:space="preserve">Location requirements (land-search filters)</t>
  </si>
  <si>
    <t xml:space="preserve">Notes</t>
  </si>
  <si>
    <t xml:space="preserve">Homesites (stick-built, for sale)</t>
  </si>
  <si>
    <t xml:space="preserve">Housing</t>
  </si>
  <si>
    <t xml:space="preserve">For-Sale</t>
  </si>
  <si>
    <t xml:space="preserve">lot / home</t>
  </si>
  <si>
    <t xml:space="preserve">Within growth area; school district; &lt; 30 min to job centers; no deed restriction on lot size</t>
  </si>
  <si>
    <t xml:space="preserve">Placeholder values</t>
  </si>
  <si>
    <t xml:space="preserve">Finished / entitled lots</t>
  </si>
  <si>
    <t xml:space="preserve">lot</t>
  </si>
  <si>
    <t xml:space="preserve">Builder demand in submarket; utilities within reach; platting allowed</t>
  </si>
  <si>
    <t xml:space="preserve">Active-adult 55+ (for sale)</t>
  </si>
  <si>
    <t xml:space="preserve">Near healthcare, retail and lakes/golf; 60+ population growth</t>
  </si>
  <si>
    <t xml:space="preserve">Entry-level for-sale homes</t>
  </si>
  <si>
    <t xml:space="preserve">Workforce demand (job growth); price-point gap vs. resale</t>
  </si>
  <si>
    <t xml:space="preserve">Manufactured home subdivision</t>
  </si>
  <si>
    <t xml:space="preserve">No deed restriction against MH; county (not city) jurisdiction or MH-friendly zoning</t>
  </si>
  <si>
    <t xml:space="preserve">Vertical = Ridge Stone dealer cost ~$94K + set-up/foundation/skirting + flatwork (user-stated home cost; rest placeholder)</t>
  </si>
  <si>
    <t xml:space="preserve">Townhomes</t>
  </si>
  <si>
    <t xml:space="preserve">unit</t>
  </si>
  <si>
    <t xml:space="preserve">City water/sewer; zoning allows attached SF; near retail</t>
  </si>
  <si>
    <t xml:space="preserve">Ranchette / acreage lots</t>
  </si>
  <si>
    <t xml:space="preserve">Rural; good road frontage for flag-free lots; low flood exposure</t>
  </si>
  <si>
    <t xml:space="preserve">Garage / car condos</t>
  </si>
  <si>
    <t xml:space="preserve">Storage</t>
  </si>
  <si>
    <t xml:space="preserve">condo</t>
  </si>
  <si>
    <t xml:space="preserve">Affluent submarket; near lakes/airports; visible frontage</t>
  </si>
  <si>
    <t xml:space="preserve">Contractor shop condos</t>
  </si>
  <si>
    <t xml:space="preserve">Business &amp; Trades</t>
  </si>
  <si>
    <t xml:space="preserve">condo (2,000 SF)</t>
  </si>
  <si>
    <t xml:space="preserve">Arterial access; trades demand; light industrial / commercial zoning or county</t>
  </si>
  <si>
    <t xml:space="preserve">Professional office condos</t>
  </si>
  <si>
    <t xml:space="preserve">condo (1,500 SF)</t>
  </si>
  <si>
    <t xml:space="preserve">Near rooftops and medical/retail; commercial zoning</t>
  </si>
  <si>
    <t xml:space="preserve">Manufactured home community (MHC)</t>
  </si>
  <si>
    <t xml:space="preserve">Income</t>
  </si>
  <si>
    <t xml:space="preserve">pad</t>
  </si>
  <si>
    <t xml:space="preserve">County jurisdiction or MHC zoning; sewer or package plant for density; workforce job growth</t>
  </si>
  <si>
    <t xml:space="preserve">Pad-only model. Park-owned homes = add home cost to vertical and home rent to rent (dealer-cost edge)</t>
  </si>
  <si>
    <t xml:space="preserve">Workforce / extended-stay RV park</t>
  </si>
  <si>
    <t xml:space="preserve">site</t>
  </si>
  <si>
    <t xml:space="preserve">Within 15 min of major construction/industrial employers (e.g. Sherman fabs); highway access</t>
  </si>
  <si>
    <t xml:space="preserve">Workforce rental housing (garden)</t>
  </si>
  <si>
    <t xml:space="preserve">MF zoning or rezonable; job growth; schools; sewer capacity</t>
  </si>
  <si>
    <t xml:space="preserve">MF zoning; arterial frontage; employment within 20 min; sewer capacity letter</t>
  </si>
  <si>
    <t xml:space="preserve">Simplified. Unit mix, draws and LP/GP waterfall belong in the separate MF module (see build guide)</t>
  </si>
  <si>
    <t xml:space="preserve">Multifamily - mid-rise / wrap</t>
  </si>
  <si>
    <t xml:space="preserve">Urban/suburban core; high-density zoning; walkable retail</t>
  </si>
  <si>
    <t xml:space="preserve">Structured parking included in vertical</t>
  </si>
  <si>
    <t xml:space="preserve">Duplex / fourplex rental</t>
  </si>
  <si>
    <t xml:space="preserve">SF/2F zoning; schools; city utilities</t>
  </si>
  <si>
    <t xml:space="preserve">Tiny-home long-term rental community</t>
  </si>
  <si>
    <t xml:space="preserve">home</t>
  </si>
  <si>
    <t xml:space="preserve">County jurisdiction; workforce demand; lake/amenity proximity</t>
  </si>
  <si>
    <t xml:space="preserve">Build-to-rent cottages</t>
  </si>
  <si>
    <t xml:space="preserve">Good schools; job growth; city utilities</t>
  </si>
  <si>
    <t xml:space="preserve">Senior housing (assisted living / memory care)</t>
  </si>
  <si>
    <t xml:space="preserve">Operator Pad</t>
  </si>
  <si>
    <t xml:space="preserve">acre</t>
  </si>
  <si>
    <t xml:space="preserve">65+ population density within 5 mi; near hospital; affluent adult-children base</t>
  </si>
  <si>
    <t xml:space="preserve">Landova delivers a pad-ready site; operator builds and runs the business</t>
  </si>
  <si>
    <t xml:space="preserve">Medical office building</t>
  </si>
  <si>
    <t xml:space="preserve">Medical &amp; Care</t>
  </si>
  <si>
    <t xml:space="preserve">bldg SF</t>
  </si>
  <si>
    <t xml:space="preserve">Within 2 mi of hospital or growth node; 25k+ rooftops in 3 mi; arterial frontage</t>
  </si>
  <si>
    <t xml:space="preserve">Urgent care / freestanding ER</t>
  </si>
  <si>
    <t xml:space="preserve">Hard or signalized corner; 20k+ VPD; rooftop growth; no competitor within 2 mi</t>
  </si>
  <si>
    <t xml:space="preserve">Dental / specialty clinic pad</t>
  </si>
  <si>
    <t xml:space="preserve">Retail corridor near rooftops; visibility</t>
  </si>
  <si>
    <t xml:space="preserve">Dialysis / outpatient therapy</t>
  </si>
  <si>
    <t xml:space="preserve">Within 10 min of population center; transit/road access</t>
  </si>
  <si>
    <t xml:space="preserve">Pharmacy / drugstore pad</t>
  </si>
  <si>
    <t xml:space="preserve">Signalized hard corner; 25k+ VPD; drive-thru access</t>
  </si>
  <si>
    <t xml:space="preserve">Veterinary clinic</t>
  </si>
  <si>
    <t xml:space="preserve">Growing household base; retail corridor</t>
  </si>
  <si>
    <t xml:space="preserve">Grocery-anchored center</t>
  </si>
  <si>
    <t xml:space="preserve">Daily-Needs Retail</t>
  </si>
  <si>
    <t xml:space="preserve">Anchor commitment; 15k+ households in 3 mi; signalized intersection</t>
  </si>
  <si>
    <t xml:space="preserve">Gas station / c-store pad</t>
  </si>
  <si>
    <t xml:space="preserve">Hard corner, 20k+ VPD, highway/arterial; going-home side of traffic</t>
  </si>
  <si>
    <t xml:space="preserve">QSR / drive-thru pad</t>
  </si>
  <si>
    <t xml:space="preserve">20k+ VPD; ingress both directions; stacking room for drive-thru</t>
  </si>
  <si>
    <t xml:space="preserve">Neighborhood strip center</t>
  </si>
  <si>
    <t xml:space="preserve">Rooftop growth; arterial frontage; near schools</t>
  </si>
  <si>
    <t xml:space="preserve">Salon suites</t>
  </si>
  <si>
    <t xml:space="preserve">Affluent rooftops; retail corridor</t>
  </si>
  <si>
    <t xml:space="preserve">Auto service / tire / oil pad</t>
  </si>
  <si>
    <t xml:space="preserve">15k+ VPD; commercial zoning; visibility</t>
  </si>
  <si>
    <t xml:space="preserve">Laundromat</t>
  </si>
  <si>
    <t xml:space="preserve">Renter-heavy households within 2 mi; retail strip frontage</t>
  </si>
  <si>
    <t xml:space="preserve">Pet boarding / grooming / daycare</t>
  </si>
  <si>
    <t xml:space="preserve">Affluent households; noise buffer from homes</t>
  </si>
  <si>
    <t xml:space="preserve">Childcare / early-learning center</t>
  </si>
  <si>
    <t xml:space="preserve">Kids &amp; Recreation</t>
  </si>
  <si>
    <t xml:space="preserve">Young-family rooftops; commute-side of arterial; state licensing site rules</t>
  </si>
  <si>
    <t xml:space="preserve">Charter / private school</t>
  </si>
  <si>
    <t xml:space="preserve">Population growth; school-age share; collector road access</t>
  </si>
  <si>
    <t xml:space="preserve">Youth sports complex</t>
  </si>
  <si>
    <t xml:space="preserve">Flat land; 50k+ population in 15 min; highway access</t>
  </si>
  <si>
    <t xml:space="preserve">Gym / fitness center</t>
  </si>
  <si>
    <t xml:space="preserve">Rooftops; retail corridor; parking</t>
  </si>
  <si>
    <t xml:space="preserve">Event venue / wedding barn</t>
  </si>
  <si>
    <t xml:space="preserve">Scenic land (trees, water, views); &lt; 45 min from metro; county allows events</t>
  </si>
  <si>
    <t xml:space="preserve">Small-bay flex industrial</t>
  </si>
  <si>
    <t xml:space="preserve">Arterial/highway access; trades &amp; small-business demand; light industrial or county</t>
  </si>
  <si>
    <t xml:space="preserve">Office / showroom / warehouse</t>
  </si>
  <si>
    <t xml:space="preserve">Highway visibility; light industrial zoning</t>
  </si>
  <si>
    <t xml:space="preserve">Supplier build-to-suit near major plants</t>
  </si>
  <si>
    <t xml:space="preserve">Within 10 mi of anchor plant (e.g. TI Sherman, GlobalWafers); truck route; heavy power</t>
  </si>
  <si>
    <t xml:space="preserve">Last-mile delivery station</t>
  </si>
  <si>
    <t xml:space="preserve">Within 15 min of dense rooftops; highway interchange</t>
  </si>
  <si>
    <t xml:space="preserve">Bulk distribution</t>
  </si>
  <si>
    <t xml:space="preserve">Interstate interchange within 2 mi; 50+ acres; flat; heavy power</t>
  </si>
  <si>
    <t xml:space="preserve">Cold storage</t>
  </si>
  <si>
    <t xml:space="preserve">Food distribution corridor; heavy power; interstate access</t>
  </si>
  <si>
    <t xml:space="preserve">Industrial outdoor storage (IOS)</t>
  </si>
  <si>
    <t xml:space="preserve">Industrial/county zoning allowing outdoor storage; truck route; near highway</t>
  </si>
  <si>
    <t xml:space="preserve">Vertical = gravel/millings, fence, lighting, small office per acre</t>
  </si>
  <si>
    <t xml:space="preserve">Equipment rental yard</t>
  </si>
  <si>
    <t xml:space="preserve">Arterial frontage; construction activity; commercial/industrial zoning</t>
  </si>
  <si>
    <t xml:space="preserve">Truck parking / terminal</t>
  </si>
  <si>
    <t xml:space="preserve">stall</t>
  </si>
  <si>
    <t xml:space="preserve">Within 2 mi of interstate; truck-friendly access; county allows</t>
  </si>
  <si>
    <t xml:space="preserve">Boat &amp; RV storage</t>
  </si>
  <si>
    <t xml:space="preserve">Within 15 min of lakes / HOA neighborhoods banning RV parking</t>
  </si>
  <si>
    <t xml:space="preserve">Self-storage</t>
  </si>
  <si>
    <t xml:space="preserve">Supply &lt; 7 SF per capita within 3 mi; rooftop growth; visibility</t>
  </si>
  <si>
    <t xml:space="preserve">Extended-stay hotel</t>
  </si>
  <si>
    <t xml:space="preserve">Hospitality</t>
  </si>
  <si>
    <t xml:space="preserve">Near employers/hospitals; highway interchange; flag territory open</t>
  </si>
  <si>
    <t xml:space="preserve">Private water / wastewater (package plant) site</t>
  </si>
  <si>
    <t xml:space="preserve">Infrastructure</t>
  </si>
  <si>
    <t xml:space="preserve">Land Play</t>
  </si>
  <si>
    <t xml:space="preserve">Adjacent to growth with no city sewer; TCEQ permittable discharge route</t>
  </si>
  <si>
    <t xml:space="preserve">Value ties to connections served; treat $/ac as placeholder</t>
  </si>
  <si>
    <t xml:space="preserve">Battery storage / solar land lease</t>
  </si>
  <si>
    <t xml:space="preserve">Within 2 mi of substation with interconnection capacity; flat; not in floodway</t>
  </si>
  <si>
    <t xml:space="preserve">Powered land for data centers</t>
  </si>
  <si>
    <t xml:space="preserve">Transmission line / substation with available MW; fiber; water; 50+ ac</t>
  </si>
  <si>
    <t xml:space="preserve">Entitlement = power/utility studies and agreements; the power commitment is the value</t>
  </si>
  <si>
    <t xml:space="preserve">Engine - every use run against this parcel</t>
  </si>
  <si>
    <t xml:space="preserve">One row per use, one column per calculation step, left to right. This tab IS the spec: each column header is a step Ryan codes. Do not edit - change inputs on Parcel, Assumptions, Use_Library.</t>
  </si>
  <si>
    <t xml:space="preserve">Exit 1 - Land / pad sale</t>
  </si>
  <si>
    <t xml:space="preserve">Exit 2 - Build &amp; sell</t>
  </si>
  <si>
    <t xml:space="preserve">Exit 3 - Build &amp; hold / lease</t>
  </si>
  <si>
    <t xml:space="preserve">Answer</t>
  </si>
  <si>
    <t xml:space="preserve">Exit 1 net revenue</t>
  </si>
  <si>
    <t xml:space="preserve">Exit 1 non-land cost (no parking paving: buyer builds it)</t>
  </si>
  <si>
    <t xml:space="preserve">Exit 1 cost per $1 of land</t>
  </si>
  <si>
    <t xml:space="preserve">Exit 1 total cost at asking</t>
  </si>
  <si>
    <t xml:space="preserve">Exit 1 profit at asking</t>
  </si>
  <si>
    <t xml:space="preserve">EXIT 1 MAX OFFER</t>
  </si>
  <si>
    <t xml:space="preserve">Build total cost at asking</t>
  </si>
  <si>
    <t xml:space="preserve">Exit 2 net revenue</t>
  </si>
  <si>
    <t xml:space="preserve">Change in exit 2 revenue per $1 of land</t>
  </si>
  <si>
    <t xml:space="preserve">Exit 2 profit at asking</t>
  </si>
  <si>
    <t xml:space="preserve">EXIT 2 MAX OFFER</t>
  </si>
  <si>
    <t xml:space="preserve">Exit 3 value</t>
  </si>
  <si>
    <t xml:space="preserve">Exit 3 non-land cost</t>
  </si>
  <si>
    <t xml:space="preserve">Exit 3 cost per $1 of land</t>
  </si>
  <si>
    <t xml:space="preserve">Exit 3 total cost at asking</t>
  </si>
  <si>
    <t xml:space="preserve">Change in exit 3 value per $1 of land</t>
  </si>
  <si>
    <t xml:space="preserve">Exit 3 value created at asking</t>
  </si>
  <si>
    <t xml:space="preserve">EXIT 3 MAX OFFER</t>
  </si>
  <si>
    <t xml:space="preserve">BEST MAX OFFER</t>
  </si>
  <si>
    <t xml:space="preserve">Max offer per unit of capacity</t>
  </si>
  <si>
    <t xml:space="preserve">Rank key</t>
  </si>
  <si>
    <t xml:space="preserve">Global Assumptions</t>
  </si>
  <si>
    <t xml:space="preserve">Apply to every use. Placeholders - set to your lender terms and market.</t>
  </si>
  <si>
    <t xml:space="preserve">Assumption</t>
  </si>
  <si>
    <t xml:space="preserve">Max water main extension before wells</t>
  </si>
  <si>
    <t xml:space="preserve">Max sewer main extension before septic</t>
  </si>
  <si>
    <t xml:space="preserve">Detention % of net</t>
  </si>
  <si>
    <t xml:space="preserve">Confirm with drainage study</t>
  </si>
  <si>
    <t xml:space="preserve">ROW share of lot area (septic lot rule)</t>
  </si>
  <si>
    <t xml:space="preserve">Min lot with septic + public water</t>
  </si>
  <si>
    <t xml:space="preserve">acres; TX rule of thumb - confirm by county</t>
  </si>
  <si>
    <t xml:space="preserve">Min lot with septic + well</t>
  </si>
  <si>
    <t xml:space="preserve">acres; confirm by county</t>
  </si>
  <si>
    <t xml:space="preserve">% of horizontal costs</t>
  </si>
  <si>
    <t xml:space="preserve">Vertical soft costs (A&amp;E, permits, dev fee)</t>
  </si>
  <si>
    <t xml:space="preserve">% of vertical</t>
  </si>
  <si>
    <t xml:space="preserve">Vertical contingency</t>
  </si>
  <si>
    <t xml:space="preserve">Closing costs on land</t>
  </si>
  <si>
    <t xml:space="preserve">% of land price</t>
  </si>
  <si>
    <t xml:space="preserve">Land carry (tax + insurance) per year</t>
  </si>
  <si>
    <t xml:space="preserve">Selling costs - homes / condos</t>
  </si>
  <si>
    <t xml:space="preserve">Selling costs - lots / land / pads</t>
  </si>
  <si>
    <t xml:space="preserve">Sale costs - stabilized income property</t>
  </si>
  <si>
    <t xml:space="preserve">Property tax rate</t>
  </si>
  <si>
    <t xml:space="preserve">Texas, all jurisdictions combined - verify</t>
  </si>
  <si>
    <t xml:space="preserve">Assessed value as % of cost</t>
  </si>
  <si>
    <t xml:space="preserve">Applied to total project cost</t>
  </si>
  <si>
    <t xml:space="preserve">Development loan-to-cost</t>
  </si>
  <si>
    <t xml:space="preserve">Development loan rate</t>
  </si>
  <si>
    <t xml:space="preserve">Development loan points</t>
  </si>
  <si>
    <t xml:space="preserve">Average balance drawn during construction</t>
  </si>
  <si>
    <t xml:space="preserve">Share of lease-up interest not covered by ramping NOI</t>
  </si>
  <si>
    <t xml:space="preserve">Income uses only</t>
  </si>
  <si>
    <t xml:space="preserve">Permanent loan max LTV</t>
  </si>
  <si>
    <t xml:space="preserve">Permanent loan min DSCR</t>
  </si>
  <si>
    <t xml:space="preserve">Permanent loan min debt yield</t>
  </si>
  <si>
    <t xml:space="preserve">Permanent loan rate</t>
  </si>
  <si>
    <t xml:space="preserve">Permanent loan amortization</t>
  </si>
  <si>
    <t xml:space="preserve">years</t>
  </si>
  <si>
    <t xml:space="preserve">Value of excess land not used by the use</t>
  </si>
  <si>
    <t xml:space="preserve">$ per gross acre; resale of leftover acres</t>
  </si>
  <si>
    <t xml:space="preserve">Opening offer discount below max</t>
  </si>
  <si>
    <t xml:space="preserve">Cost Library - horizontal unit costs</t>
  </si>
  <si>
    <t xml:space="preserve">PLACEHOLDERS. In the software this is built from ingested bids, proformas and actuals (see build guide).</t>
  </si>
  <si>
    <t xml:space="preserve">Code</t>
  </si>
  <si>
    <t xml:space="preserve">Line item</t>
  </si>
  <si>
    <t xml:space="preserve">Low</t>
  </si>
  <si>
    <t xml:space="preserve">High</t>
  </si>
  <si>
    <t xml:space="preserve">Used (scenario)</t>
  </si>
  <si>
    <t xml:space="preserve">Adjustment</t>
  </si>
  <si>
    <t xml:space="preserve">Source quality</t>
  </si>
  <si>
    <t xml:space="preserve">Data points</t>
  </si>
  <si>
    <t xml:space="preserve">02-100</t>
  </si>
  <si>
    <t xml:space="preserve">Boundary &amp; topo survey</t>
  </si>
  <si>
    <t xml:space="preserve">LS</t>
  </si>
  <si>
    <t xml:space="preserve">Regional</t>
  </si>
  <si>
    <t xml:space="preserve">Placeholder</t>
  </si>
  <si>
    <t xml:space="preserve">02-110</t>
  </si>
  <si>
    <t xml:space="preserve">Platting / lot surveys</t>
  </si>
  <si>
    <t xml:space="preserve">per lot</t>
  </si>
  <si>
    <t xml:space="preserve">02-200</t>
  </si>
  <si>
    <t xml:space="preserve">Civil engineering</t>
  </si>
  <si>
    <t xml:space="preserve">per developed ac</t>
  </si>
  <si>
    <t xml:space="preserve">02-300</t>
  </si>
  <si>
    <t xml:space="preserve">Geotechnical report</t>
  </si>
  <si>
    <t xml:space="preserve">02-310</t>
  </si>
  <si>
    <t xml:space="preserve">Septic site evaluations</t>
  </si>
  <si>
    <t xml:space="preserve">per system</t>
  </si>
  <si>
    <t xml:space="preserve">02-400</t>
  </si>
  <si>
    <t xml:space="preserve">Phase I environmental</t>
  </si>
  <si>
    <t xml:space="preserve">None</t>
  </si>
  <si>
    <t xml:space="preserve">02-500</t>
  </si>
  <si>
    <t xml:space="preserve">Drainage study</t>
  </si>
  <si>
    <t xml:space="preserve">02-700</t>
  </si>
  <si>
    <t xml:space="preserve">Legal, title &amp; entity</t>
  </si>
  <si>
    <t xml:space="preserve">03-100</t>
  </si>
  <si>
    <t xml:space="preserve">Clearing &amp; grubbing</t>
  </si>
  <si>
    <t xml:space="preserve">per ac</t>
  </si>
  <si>
    <t xml:space="preserve">03-200</t>
  </si>
  <si>
    <t xml:space="preserve">Mass grading</t>
  </si>
  <si>
    <t xml:space="preserve">Regional x slope</t>
  </si>
  <si>
    <t xml:space="preserve">03-300</t>
  </si>
  <si>
    <t xml:space="preserve">Internal roads / drives</t>
  </si>
  <si>
    <t xml:space="preserve">per LF</t>
  </si>
  <si>
    <t xml:space="preserve">03-350</t>
  </si>
  <si>
    <t xml:space="preserve">Parking / paving / hardscape</t>
  </si>
  <si>
    <t xml:space="preserve">per SF</t>
  </si>
  <si>
    <t xml:space="preserve">03-400</t>
  </si>
  <si>
    <t xml:space="preserve">Detention pond</t>
  </si>
  <si>
    <t xml:space="preserve">03-500</t>
  </si>
  <si>
    <t xml:space="preserve">Erosion control / SWPPP</t>
  </si>
  <si>
    <t xml:space="preserve">per net ac</t>
  </si>
  <si>
    <t xml:space="preserve">04-100</t>
  </si>
  <si>
    <t xml:space="preserve">Water line</t>
  </si>
  <si>
    <t xml:space="preserve">04-110</t>
  </si>
  <si>
    <t xml:space="preserve">Water taps &amp; meters</t>
  </si>
  <si>
    <t xml:space="preserve">per tap</t>
  </si>
  <si>
    <t xml:space="preserve">04-200</t>
  </si>
  <si>
    <t xml:space="preserve">Sewer line</t>
  </si>
  <si>
    <t xml:space="preserve">04-210</t>
  </si>
  <si>
    <t xml:space="preserve">Sewer taps / impact fees</t>
  </si>
  <si>
    <t xml:space="preserve">04-300</t>
  </si>
  <si>
    <t xml:space="preserve">On-site septic systems</t>
  </si>
  <si>
    <t xml:space="preserve">Regional x soil</t>
  </si>
  <si>
    <t xml:space="preserve">04-310</t>
  </si>
  <si>
    <t xml:space="preserve">Private water wells</t>
  </si>
  <si>
    <t xml:space="preserve">per well</t>
  </si>
  <si>
    <t xml:space="preserve">04-400</t>
  </si>
  <si>
    <t xml:space="preserve">Electric extension</t>
  </si>
  <si>
    <t xml:space="preserve">Deal History - upload template</t>
  </si>
  <si>
    <t xml:space="preserve">Past deals with projected AND actual numbers, including deals you passed on. This is what lets the system learn. Row 6 is an example.</t>
  </si>
  <si>
    <t xml:space="preserve">Deal_ID</t>
  </si>
  <si>
    <t xml:space="preserve">Date_Underwritten</t>
  </si>
  <si>
    <t xml:space="preserve">Gross_Acres</t>
  </si>
  <si>
    <t xml:space="preserve">Land_Price</t>
  </si>
  <si>
    <t xml:space="preserve">Decision</t>
  </si>
  <si>
    <t xml:space="preserve">Reason_if_Passed</t>
  </si>
  <si>
    <t xml:space="preserve">Horizontal_Projected</t>
  </si>
  <si>
    <t xml:space="preserve">Horizontal_Actual</t>
  </si>
  <si>
    <t xml:space="preserve">Vertical_Projected</t>
  </si>
  <si>
    <t xml:space="preserve">Vertical_Actual</t>
  </si>
  <si>
    <t xml:space="preserve">Revenue_or_Value_Projected</t>
  </si>
  <si>
    <t xml:space="preserve">Revenue_or_Value_Actual</t>
  </si>
  <si>
    <t xml:space="preserve">NOI_Projected</t>
  </si>
  <si>
    <t xml:space="preserve">NOI_Actual</t>
  </si>
  <si>
    <t xml:space="preserve">Months_Projected</t>
  </si>
  <si>
    <t xml:space="preserve">Months_Actual</t>
  </si>
  <si>
    <t xml:space="preserve">Data_Quality</t>
  </si>
  <si>
    <t xml:space="preserve">Cost_Variance_%</t>
  </si>
  <si>
    <t xml:space="preserve">Revenue_Variance_%</t>
  </si>
  <si>
    <t xml:space="preserve">Text</t>
  </si>
  <si>
    <t xml:space="preserve">YYYY-MM-DD</t>
  </si>
  <si>
    <t xml:space="preserve">From Use_Library</t>
  </si>
  <si>
    <t xml:space="preserve">#</t>
  </si>
  <si>
    <t xml:space="preserve">Bought / Passed / Lost</t>
  </si>
  <si>
    <t xml:space="preserve">Actual / Bid / Estimate</t>
  </si>
  <si>
    <t xml:space="preserve">calc</t>
  </si>
  <si>
    <t xml:space="preserve">EX-001</t>
  </si>
  <si>
    <t xml:space="preserve">2025-03-14</t>
  </si>
  <si>
    <t xml:space="preserve">Bought</t>
  </si>
  <si>
    <t xml:space="preserve">Actual</t>
  </si>
  <si>
    <t xml:space="preserve">Example row - delete before upload</t>
  </si>
  <si>
    <t xml:space="preserve">Import Mapping - how an uploaded spreadsheet lands in the schema</t>
  </si>
  <si>
    <t xml:space="preserve">Illustrative. The software proposes each mapping with a confidence score; the user confirms; confirmed mappings are remembered per company.</t>
  </si>
  <si>
    <t xml:space="preserve">Uploaded file / tab</t>
  </si>
  <si>
    <t xml:space="preserve">Raw label</t>
  </si>
  <si>
    <t xml:space="preserve">Raw value</t>
  </si>
  <si>
    <t xml:space="preserve">Maps to</t>
  </si>
  <si>
    <t xml:space="preserve">Conversion</t>
  </si>
  <si>
    <t xml:space="preserve">Confidence</t>
  </si>
  <si>
    <t xml:space="preserve">Status</t>
  </si>
  <si>
    <t xml:space="preserve">Reason</t>
  </si>
  <si>
    <t xml:space="preserve">Sadler.xlsx / Budget</t>
  </si>
  <si>
    <t xml:space="preserve">Dirt work</t>
  </si>
  <si>
    <t xml:space="preserve">03-200 Mass grading</t>
  </si>
  <si>
    <t xml:space="preserve">Lump sum -&gt; per acre</t>
  </si>
  <si>
    <t xml:space="preserve">Confirmed</t>
  </si>
  <si>
    <t xml:space="preserve">Common synonym</t>
  </si>
  <si>
    <t xml:space="preserve">Septics x7</t>
  </si>
  <si>
    <t xml:space="preserve">/ 7 -&gt; per system</t>
  </si>
  <si>
    <t xml:space="preserve">Auto-accepted</t>
  </si>
  <si>
    <t xml:space="preserve">Quantity in label</t>
  </si>
  <si>
    <t xml:space="preserve">Misc / other</t>
  </si>
  <si>
    <t xml:space="preserve">Unmapped</t>
  </si>
  <si>
    <t xml:space="preserve">Needs review</t>
  </si>
  <si>
    <t xml:space="preserve">Too vague</t>
  </si>
  <si>
    <t xml:space="preserve">Flex_deal.xlsx / Proforma</t>
  </si>
  <si>
    <t xml:space="preserve">Base rent PSF</t>
  </si>
  <si>
    <t xml:space="preserve">Use_Library rent (per bldg SF/yr)</t>
  </si>
  <si>
    <t xml:space="preserve">Unit matches</t>
  </si>
  <si>
    <t xml:space="preserve">CAM reimbursements</t>
  </si>
  <si>
    <t xml:space="preserve">Expense recovery %</t>
  </si>
  <si>
    <t xml:space="preserve">/ (opex + tax)</t>
  </si>
  <si>
    <t xml:space="preserve">Derived ratio</t>
  </si>
  <si>
    <t xml:space="preserve">MHC_buy.xlsx / Rent roll</t>
  </si>
  <si>
    <t xml:space="preserve">Lot rent</t>
  </si>
  <si>
    <t xml:space="preserve">Use_Library rent (per pad/yr)</t>
  </si>
  <si>
    <t xml:space="preserve">x 12</t>
  </si>
  <si>
    <t xml:space="preserve">Monthly -&gt; annual</t>
  </si>
  <si>
    <t xml:space="preserve">Lookups</t>
  </si>
  <si>
    <t xml:space="preserve">Dropdown lists and adjustment factors. Factors are placeholders - calibrate from the cost library.</t>
  </si>
  <si>
    <t xml:space="preserve">Septic soil</t>
  </si>
  <si>
    <t xml:space="preserve">Septic multiplier</t>
  </si>
  <si>
    <t xml:space="preserve">Max slope</t>
  </si>
  <si>
    <t xml:space="preserve">Grading multiplier</t>
  </si>
  <si>
    <t xml:space="preserve">Scenario</t>
  </si>
  <si>
    <t xml:space="preserve">Good</t>
  </si>
  <si>
    <t xml:space="preserve">Collin</t>
  </si>
  <si>
    <t xml:space="preserve">Denton</t>
  </si>
  <si>
    <t xml:space="preserve">Poor</t>
  </si>
  <si>
    <t xml:space="preserve">Cooke</t>
  </si>
  <si>
    <t xml:space="preserve">Fannin</t>
  </si>
  <si>
    <t xml:space="preserve">Other TX</t>
  </si>
</sst>
</file>

<file path=xl/styles.xml><?xml version="1.0" encoding="utf-8"?>
<styleSheet xmlns="http://schemas.openxmlformats.org/spreadsheetml/2006/main">
  <numFmts count="12">
    <numFmt numFmtId="164" formatCode="General"/>
    <numFmt numFmtId="165" formatCode="#,##0.0;\(#,##0.0\);\-"/>
    <numFmt numFmtId="166" formatCode="0.0%;\(0.0%\);\-"/>
    <numFmt numFmtId="167" formatCode="#,##0;\(#,##0\);\-"/>
    <numFmt numFmtId="168" formatCode="\$#,##0;&quot;($&quot;#,##0\);\-"/>
    <numFmt numFmtId="169" formatCode="0.00"/>
    <numFmt numFmtId="170" formatCode="#,##0.000"/>
    <numFmt numFmtId="171" formatCode="0.0000"/>
    <numFmt numFmtId="172" formatCode="0.00\x"/>
    <numFmt numFmtId="173" formatCode="0.0#"/>
    <numFmt numFmtId="174" formatCode="#,##0.0###"/>
    <numFmt numFmtId="175" formatCode="\$#,##0.00;&quot;($&quot;#,##0.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color rgb="FF1F3864"/>
      <name val="Arial"/>
      <family val="0"/>
      <charset val="1"/>
    </font>
  </fonts>
  <fills count="5">
    <fill>
      <patternFill patternType="none"/>
    </fill>
    <fill>
      <patternFill patternType="gray125"/>
    </fill>
    <fill>
      <patternFill patternType="solid">
        <fgColor rgb="FFFFF2CC"/>
        <bgColor rgb="FFFBF3D5"/>
      </patternFill>
    </fill>
    <fill>
      <patternFill patternType="solid">
        <fgColor rgb="FF1F3864"/>
        <bgColor rgb="FF333333"/>
      </patternFill>
    </fill>
    <fill>
      <patternFill patternType="solid">
        <fgColor rgb="FFFBF3D5"/>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7" fontId="9" fillId="2" borderId="0" xfId="0" applyFont="true" applyBorder="false" applyAlignment="false" applyProtection="false">
      <alignment horizontal="general" vertical="bottom" textRotation="0" wrapText="false" indent="0" shrinkToFit="false"/>
      <protection locked="true" hidden="false"/>
    </xf>
    <xf numFmtId="168" fontId="9" fillId="2"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73" fontId="9" fillId="2" borderId="0" xfId="0" applyFont="true" applyBorder="false" applyAlignment="false" applyProtection="false">
      <alignment horizontal="general" vertical="bottom" textRotation="0" wrapText="false" indent="0" shrinkToFit="false"/>
      <protection locked="true" hidden="false"/>
    </xf>
    <xf numFmtId="174" fontId="9" fillId="2" borderId="0" xfId="0" applyFont="true" applyBorder="false" applyAlignment="false" applyProtection="false">
      <alignment horizontal="general" vertical="bottom" textRotation="0" wrapText="false" indent="0" shrinkToFit="false"/>
      <protection locked="true" hidden="false"/>
    </xf>
    <xf numFmtId="175" fontId="9"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8" fillId="4"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72"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3D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row>
    <row r="6" customFormat="false" ht="15" hidden="false" customHeight="false" outlineLevel="0" collapsed="false">
      <c r="A6" s="4" t="s">
        <v>5</v>
      </c>
      <c r="B6" s="5" t="s">
        <v>6</v>
      </c>
    </row>
    <row r="7" customFormat="false" ht="15" hidden="false" customHeight="false" outlineLevel="0" collapsed="false">
      <c r="A7" s="4" t="s">
        <v>7</v>
      </c>
      <c r="B7" s="5" t="s">
        <v>8</v>
      </c>
    </row>
    <row r="9" customFormat="false" ht="15" hidden="false" customHeight="false" outlineLevel="0" collapsed="false">
      <c r="A9" s="3" t="s">
        <v>9</v>
      </c>
    </row>
    <row r="10" customFormat="false" ht="23.85" hidden="false" customHeight="false" outlineLevel="0" collapsed="false">
      <c r="A10" s="4" t="s">
        <v>10</v>
      </c>
      <c r="B10" s="5" t="s">
        <v>11</v>
      </c>
    </row>
    <row r="11" customFormat="false" ht="15" hidden="false" customHeight="false" outlineLevel="0" collapsed="false">
      <c r="A11" s="4" t="s">
        <v>12</v>
      </c>
      <c r="B11" s="5" t="s">
        <v>13</v>
      </c>
    </row>
    <row r="12" customFormat="false" ht="15" hidden="false" customHeight="false" outlineLevel="0" collapsed="false">
      <c r="A12" s="4" t="s">
        <v>14</v>
      </c>
      <c r="B12" s="5" t="s">
        <v>15</v>
      </c>
    </row>
    <row r="13" customFormat="false" ht="15" hidden="false" customHeight="false" outlineLevel="0" collapsed="false">
      <c r="A13" s="4" t="s">
        <v>16</v>
      </c>
      <c r="B13" s="5" t="s">
        <v>17</v>
      </c>
    </row>
    <row r="14" customFormat="false" ht="23.85" hidden="false" customHeight="false" outlineLevel="0" collapsed="false">
      <c r="A14" s="4" t="s">
        <v>18</v>
      </c>
      <c r="B14" s="5" t="s">
        <v>19</v>
      </c>
    </row>
    <row r="15" customFormat="false" ht="15" hidden="false" customHeight="false" outlineLevel="0" collapsed="false">
      <c r="A15" s="4" t="s">
        <v>20</v>
      </c>
      <c r="B15" s="5" t="s">
        <v>21</v>
      </c>
    </row>
    <row r="17" customFormat="false" ht="15" hidden="false" customHeight="false" outlineLevel="0" collapsed="false">
      <c r="A17" s="3" t="s">
        <v>22</v>
      </c>
    </row>
    <row r="18" customFormat="false" ht="15" hidden="false" customHeight="false" outlineLevel="0" collapsed="false">
      <c r="A18" s="6" t="s">
        <v>23</v>
      </c>
      <c r="B18" s="5" t="s">
        <v>24</v>
      </c>
    </row>
    <row r="19" customFormat="false" ht="15" hidden="false" customHeight="false" outlineLevel="0" collapsed="false">
      <c r="A19" s="4" t="s">
        <v>25</v>
      </c>
      <c r="B19" s="5" t="s">
        <v>26</v>
      </c>
    </row>
    <row r="20" customFormat="false" ht="15" hidden="false" customHeight="false" outlineLevel="0" collapsed="false">
      <c r="A20" s="7" t="s">
        <v>27</v>
      </c>
      <c r="B20" s="5" t="s">
        <v>28</v>
      </c>
    </row>
    <row r="22" customFormat="false" ht="15" hidden="false" customHeight="false" outlineLevel="0" collapsed="false">
      <c r="A22" s="3" t="s">
        <v>29</v>
      </c>
    </row>
    <row r="23" customFormat="false" ht="23.85" hidden="false" customHeight="false" outlineLevel="0" collapsed="false">
      <c r="A23" s="4" t="s">
        <v>30</v>
      </c>
      <c r="B23" s="5" t="s">
        <v>31</v>
      </c>
    </row>
    <row r="24" customFormat="false" ht="23.85" hidden="false" customHeight="false" outlineLevel="0" collapsed="false">
      <c r="A24" s="4" t="s">
        <v>32</v>
      </c>
      <c r="B24" s="5" t="s">
        <v>33</v>
      </c>
    </row>
    <row r="25" customFormat="false" ht="15" hidden="false" customHeight="false" outlineLevel="0" collapsed="false">
      <c r="A25" s="4" t="s">
        <v>34</v>
      </c>
      <c r="B25" s="5"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30"/>
    <col collapsed="false" customWidth="true" hidden="false" outlineLevel="0" max="4" min="4" style="0" width="14"/>
    <col collapsed="false" customWidth="true" hidden="false" outlineLevel="0" max="5" min="5" style="0" width="34"/>
  </cols>
  <sheetData>
    <row r="1" customFormat="false" ht="17.35" hidden="false" customHeight="false" outlineLevel="0" collapsed="false">
      <c r="A1" s="1" t="s">
        <v>36</v>
      </c>
    </row>
    <row r="2" customFormat="false" ht="15" hidden="false" customHeight="false" outlineLevel="0" collapsed="false">
      <c r="A2" s="2" t="s">
        <v>37</v>
      </c>
    </row>
    <row r="4" customFormat="false" ht="15" hidden="false" customHeight="false" outlineLevel="0" collapsed="false">
      <c r="B4" s="8" t="s">
        <v>38</v>
      </c>
      <c r="C4" s="8" t="s">
        <v>39</v>
      </c>
      <c r="D4" s="8" t="s">
        <v>40</v>
      </c>
      <c r="E4" s="8" t="s">
        <v>41</v>
      </c>
    </row>
    <row r="5" customFormat="false" ht="15" hidden="false" customHeight="false" outlineLevel="0" collapsed="false">
      <c r="B5" s="9" t="s">
        <v>42</v>
      </c>
      <c r="C5" s="6" t="s">
        <v>43</v>
      </c>
      <c r="D5" s="9"/>
      <c r="E5" s="2" t="s">
        <v>44</v>
      </c>
    </row>
    <row r="6" customFormat="false" ht="15" hidden="false" customHeight="false" outlineLevel="0" collapsed="false">
      <c r="B6" s="9" t="s">
        <v>45</v>
      </c>
      <c r="C6" s="6" t="s">
        <v>46</v>
      </c>
      <c r="D6" s="9"/>
      <c r="E6" s="2" t="s">
        <v>47</v>
      </c>
    </row>
    <row r="7" customFormat="false" ht="15" hidden="false" customHeight="false" outlineLevel="0" collapsed="false">
      <c r="B7" s="9" t="s">
        <v>48</v>
      </c>
      <c r="C7" s="6" t="s">
        <v>49</v>
      </c>
      <c r="D7" s="9" t="s">
        <v>50</v>
      </c>
      <c r="E7" s="2" t="s">
        <v>44</v>
      </c>
    </row>
    <row r="8" customFormat="false" ht="15" hidden="false" customHeight="false" outlineLevel="0" collapsed="false">
      <c r="B8" s="9" t="s">
        <v>51</v>
      </c>
      <c r="C8" s="10" t="n">
        <v>20</v>
      </c>
      <c r="D8" s="9" t="s">
        <v>52</v>
      </c>
      <c r="E8" s="2" t="s">
        <v>53</v>
      </c>
    </row>
    <row r="9" customFormat="false" ht="15" hidden="false" customHeight="false" outlineLevel="0" collapsed="false">
      <c r="B9" s="9" t="s">
        <v>54</v>
      </c>
      <c r="C9" s="11" t="n">
        <v>0.78</v>
      </c>
      <c r="D9" s="9" t="s">
        <v>55</v>
      </c>
      <c r="E9" s="2" t="s">
        <v>56</v>
      </c>
    </row>
    <row r="10" customFormat="false" ht="15" hidden="false" customHeight="false" outlineLevel="0" collapsed="false">
      <c r="B10" s="9" t="s">
        <v>57</v>
      </c>
      <c r="C10" s="11" t="n">
        <v>0.04</v>
      </c>
      <c r="D10" s="9" t="s">
        <v>58</v>
      </c>
      <c r="E10" s="2" t="s">
        <v>59</v>
      </c>
    </row>
    <row r="11" customFormat="false" ht="15" hidden="false" customHeight="false" outlineLevel="0" collapsed="false">
      <c r="B11" s="9" t="s">
        <v>60</v>
      </c>
      <c r="C11" s="11" t="n">
        <v>0.35</v>
      </c>
      <c r="D11" s="9" t="s">
        <v>58</v>
      </c>
      <c r="E11" s="2" t="s">
        <v>61</v>
      </c>
    </row>
    <row r="12" customFormat="false" ht="15" hidden="false" customHeight="false" outlineLevel="0" collapsed="false">
      <c r="B12" s="9" t="s">
        <v>62</v>
      </c>
      <c r="C12" s="12" t="n">
        <v>660</v>
      </c>
      <c r="D12" s="9" t="s">
        <v>63</v>
      </c>
      <c r="E12" s="2" t="s">
        <v>64</v>
      </c>
    </row>
    <row r="13" customFormat="false" ht="15" hidden="false" customHeight="false" outlineLevel="0" collapsed="false">
      <c r="B13" s="9" t="s">
        <v>65</v>
      </c>
      <c r="C13" s="6" t="s">
        <v>66</v>
      </c>
      <c r="D13" s="9" t="s">
        <v>67</v>
      </c>
      <c r="E13" s="2" t="s">
        <v>68</v>
      </c>
    </row>
    <row r="14" customFormat="false" ht="15" hidden="false" customHeight="false" outlineLevel="0" collapsed="false">
      <c r="B14" s="9" t="s">
        <v>69</v>
      </c>
      <c r="C14" s="12" t="n">
        <v>0</v>
      </c>
      <c r="D14" s="9" t="s">
        <v>63</v>
      </c>
      <c r="E14" s="2" t="s">
        <v>68</v>
      </c>
    </row>
    <row r="15" customFormat="false" ht="15" hidden="false" customHeight="false" outlineLevel="0" collapsed="false">
      <c r="B15" s="9" t="s">
        <v>70</v>
      </c>
      <c r="C15" s="6" t="s">
        <v>71</v>
      </c>
      <c r="D15" s="9" t="s">
        <v>67</v>
      </c>
      <c r="E15" s="2" t="s">
        <v>68</v>
      </c>
    </row>
    <row r="16" customFormat="false" ht="15" hidden="false" customHeight="false" outlineLevel="0" collapsed="false">
      <c r="B16" s="9" t="s">
        <v>72</v>
      </c>
      <c r="C16" s="12" t="n">
        <v>6000</v>
      </c>
      <c r="D16" s="9" t="s">
        <v>63</v>
      </c>
      <c r="E16" s="2" t="s">
        <v>68</v>
      </c>
    </row>
    <row r="17" customFormat="false" ht="15" hidden="false" customHeight="false" outlineLevel="0" collapsed="false">
      <c r="B17" s="9" t="s">
        <v>73</v>
      </c>
      <c r="C17" s="6" t="s">
        <v>74</v>
      </c>
      <c r="D17" s="9" t="s">
        <v>75</v>
      </c>
      <c r="E17" s="2" t="s">
        <v>76</v>
      </c>
    </row>
    <row r="18" customFormat="false" ht="15" hidden="false" customHeight="false" outlineLevel="0" collapsed="false">
      <c r="B18" s="9" t="s">
        <v>77</v>
      </c>
      <c r="C18" s="13" t="n">
        <v>300000</v>
      </c>
      <c r="D18" s="9" t="s">
        <v>78</v>
      </c>
      <c r="E18" s="2" t="s">
        <v>79</v>
      </c>
    </row>
    <row r="19" customFormat="false" ht="15" hidden="false" customHeight="false" outlineLevel="0" collapsed="false">
      <c r="B19" s="9" t="s">
        <v>80</v>
      </c>
      <c r="C19" s="12" t="n">
        <v>4000</v>
      </c>
      <c r="D19" s="9" t="s">
        <v>81</v>
      </c>
      <c r="E19" s="2" t="s">
        <v>82</v>
      </c>
    </row>
    <row r="20" customFormat="false" ht="15" hidden="false" customHeight="false" outlineLevel="0" collapsed="false">
      <c r="B20" s="9" t="s">
        <v>83</v>
      </c>
      <c r="C20" s="12" t="n">
        <v>2500</v>
      </c>
      <c r="D20" s="9" t="s">
        <v>84</v>
      </c>
      <c r="E20" s="2" t="s">
        <v>85</v>
      </c>
    </row>
    <row r="21" customFormat="false" ht="15" hidden="false" customHeight="false" outlineLevel="0" collapsed="false">
      <c r="B21" s="9" t="s">
        <v>86</v>
      </c>
      <c r="C21" s="10" t="n">
        <v>6</v>
      </c>
      <c r="D21" s="9" t="s">
        <v>87</v>
      </c>
      <c r="E21" s="2" t="s">
        <v>88</v>
      </c>
    </row>
    <row r="22" customFormat="false" ht="15" hidden="false" customHeight="false" outlineLevel="0" collapsed="false">
      <c r="B22" s="9" t="s">
        <v>89</v>
      </c>
      <c r="C22" s="6" t="s">
        <v>71</v>
      </c>
      <c r="D22" s="9" t="s">
        <v>67</v>
      </c>
      <c r="E22" s="2" t="s">
        <v>64</v>
      </c>
    </row>
    <row r="23" customFormat="false" ht="15" hidden="false" customHeight="false" outlineLevel="0" collapsed="false">
      <c r="B23" s="9" t="s">
        <v>90</v>
      </c>
      <c r="C23" s="10" t="n">
        <v>3</v>
      </c>
      <c r="D23" s="9" t="s">
        <v>87</v>
      </c>
      <c r="E23" s="2" t="s">
        <v>91</v>
      </c>
    </row>
    <row r="25" customFormat="false" ht="15" hidden="false" customHeight="false" outlineLevel="0" collapsed="false">
      <c r="B25" s="3" t="s">
        <v>92</v>
      </c>
    </row>
    <row r="26" customFormat="false" ht="15" hidden="false" customHeight="false" outlineLevel="0" collapsed="false">
      <c r="B26" s="9" t="s">
        <v>93</v>
      </c>
      <c r="C26" s="14" t="n">
        <f aca="false">Parcel!$C$8*Parcel!$C$9</f>
        <v>15.6</v>
      </c>
    </row>
    <row r="27" customFormat="false" ht="15" hidden="false" customHeight="false" outlineLevel="0" collapsed="false">
      <c r="B27" s="9" t="s">
        <v>94</v>
      </c>
      <c r="C27" s="15" t="n">
        <f aca="false">IF(OR(Parcel!$C$13="Y",Parcel!$C$14&lt;=Assumptions!$C$5),1,0)</f>
        <v>1</v>
      </c>
    </row>
    <row r="28" customFormat="false" ht="15" hidden="false" customHeight="false" outlineLevel="0" collapsed="false">
      <c r="B28" s="9" t="s">
        <v>95</v>
      </c>
      <c r="C28" s="15" t="n">
        <f aca="false">IF(OR(Parcel!$C$15="Y",Parcel!$C$16&lt;=Assumptions!$C$6),1,0)</f>
        <v>0</v>
      </c>
    </row>
    <row r="29" customFormat="false" ht="15" hidden="false" customHeight="false" outlineLevel="0" collapsed="false">
      <c r="B29" s="9" t="s">
        <v>96</v>
      </c>
      <c r="C29" s="15" t="n">
        <f aca="false">IF(Parcel!$C$13="Y",0,Parcel!$C$14)*Parcel!$C$27</f>
        <v>0</v>
      </c>
    </row>
    <row r="30" customFormat="false" ht="15" hidden="false" customHeight="false" outlineLevel="0" collapsed="false">
      <c r="B30" s="9" t="s">
        <v>97</v>
      </c>
      <c r="C30" s="15" t="n">
        <f aca="false">IF(Parcel!$C$15="Y",0,Parcel!$C$16)*Parcel!$C$28</f>
        <v>0</v>
      </c>
    </row>
    <row r="31" customFormat="false" ht="15" hidden="false" customHeight="false" outlineLevel="0" collapsed="false">
      <c r="B31" s="9" t="s">
        <v>98</v>
      </c>
      <c r="C31" s="15" t="n">
        <f aca="false">MATCH(Parcel!$C$7,Lookups!$J$5:$J$7,0)</f>
        <v>2</v>
      </c>
    </row>
    <row r="32" customFormat="false" ht="15" hidden="false" customHeight="false" outlineLevel="0" collapsed="false">
      <c r="B32" s="9" t="s">
        <v>99</v>
      </c>
      <c r="C32" s="16" t="n">
        <f aca="false">IFERROR(INDEX(Lookups!$B$5:$B$10,MATCH(Parcel!$C$6,Lookups!$A$5:$A$10,0)),1)</f>
        <v>1</v>
      </c>
    </row>
    <row r="33" customFormat="false" ht="15" hidden="false" customHeight="false" outlineLevel="0" collapsed="false">
      <c r="B33" s="9" t="s">
        <v>100</v>
      </c>
      <c r="C33" s="16" t="n">
        <f aca="false">INDEX(Lookups!$H$5:$H$7,MATCH(TRUE(),INDEX(Parcel!$C$10&lt;=Lookups!$G$5:$G$7,0),0))</f>
        <v>1</v>
      </c>
    </row>
    <row r="34" customFormat="false" ht="15" hidden="false" customHeight="false" outlineLevel="0" collapsed="false">
      <c r="B34" s="9" t="s">
        <v>101</v>
      </c>
      <c r="C34" s="16" t="n">
        <f aca="false">IFERROR(INDEX(Lookups!$E$5:$E$7,MATCH(Parcel!$C$17,Lookups!$D$5:$D$7,0)),1)</f>
        <v>1.2</v>
      </c>
    </row>
  </sheetData>
  <dataValidations count="6">
    <dataValidation allowBlank="true" errorStyle="stop" operator="between" showDropDown="false" showErrorMessage="false" showInputMessage="false" sqref="C6" type="list">
      <formula1>Lookups!$A$5:$A$10</formula1>
      <formula2>0</formula2>
    </dataValidation>
    <dataValidation allowBlank="true" errorStyle="stop" operator="between" showDropDown="false" showErrorMessage="false" showInputMessage="false" sqref="C7" type="list">
      <formula1>Lookups!$J$5:$J$7</formula1>
      <formula2>0</formula2>
    </dataValidation>
    <dataValidation allowBlank="true" errorStyle="stop" operator="between" showDropDown="false" showErrorMessage="false" showInputMessage="false" sqref="C13" type="list">
      <formula1>Lookups!$L$5:$L$6</formula1>
      <formula2>0</formula2>
    </dataValidation>
    <dataValidation allowBlank="true" errorStyle="stop" operator="between" showDropDown="false" showErrorMessage="false" showInputMessage="false" sqref="C15" type="list">
      <formula1>Lookups!$L$5:$L$6</formula1>
      <formula2>0</formula2>
    </dataValidation>
    <dataValidation allowBlank="true" errorStyle="stop" operator="between" showDropDown="false" showErrorMessage="false" showInputMessage="false" sqref="C17" type="list">
      <formula1>Lookups!$D$5:$D$7</formula1>
      <formula2>0</formula2>
    </dataValidation>
    <dataValidation allowBlank="true" errorStyle="stop" operator="between" showDropDown="false" showErrorMessage="false" showInputMessage="false" sqref="C22" type="list">
      <formula1>Lookups!$L$5:$L$6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3"/>
    <col collapsed="false" customWidth="true" hidden="false" outlineLevel="0" max="4" min="4" style="0" width="11"/>
    <col collapsed="false" customWidth="true" hidden="false" outlineLevel="0" max="5" min="5" style="0" width="14"/>
    <col collapsed="false" customWidth="true" hidden="false" outlineLevel="0" max="6" min="6" style="0" width="20"/>
    <col collapsed="false" customWidth="true" hidden="false" outlineLevel="0" max="9" min="7" style="0" width="14"/>
    <col collapsed="false" customWidth="true" hidden="false" outlineLevel="0" max="10" min="10" style="0" width="13"/>
    <col collapsed="false" customWidth="true" hidden="false" outlineLevel="0" max="11" min="11" style="0" width="12"/>
    <col collapsed="false" customWidth="true" hidden="false" outlineLevel="0" max="12" min="12" style="0" width="22"/>
    <col collapsed="false" customWidth="true" hidden="false" outlineLevel="0" max="13" min="13" style="0" width="52"/>
    <col collapsed="false" customWidth="true" hidden="false" outlineLevel="0" max="14" min="14" style="0" width="5"/>
  </cols>
  <sheetData>
    <row r="1" customFormat="false" ht="17.35" hidden="false" customHeight="false" outlineLevel="0" collapsed="false">
      <c r="A1" s="1" t="s">
        <v>102</v>
      </c>
    </row>
    <row r="2" customFormat="false" ht="15" hidden="false" customHeight="false" outlineLevel="0" collapsed="false">
      <c r="A2" s="2" t="s">
        <v>103</v>
      </c>
    </row>
    <row r="3" customFormat="false" ht="15" hidden="false" customHeight="false" outlineLevel="0" collapsed="false">
      <c r="B3" s="4" t="s">
        <v>104</v>
      </c>
      <c r="C3" s="7" t="str">
        <f aca="false">Parcel!$C$5</f>
        <v>Sample Parcel - Grayson County</v>
      </c>
      <c r="E3" s="4" t="s">
        <v>105</v>
      </c>
      <c r="F3" s="17" t="n">
        <f aca="false">Parcel!$C$18</f>
        <v>300000</v>
      </c>
    </row>
    <row r="5" customFormat="false" ht="31.5" hidden="false" customHeight="true" outlineLevel="0" collapsed="false">
      <c r="A5" s="8" t="s">
        <v>106</v>
      </c>
      <c r="B5" s="8" t="s">
        <v>107</v>
      </c>
      <c r="C5" s="8" t="s">
        <v>16</v>
      </c>
      <c r="D5" s="8" t="s">
        <v>108</v>
      </c>
      <c r="E5" s="8" t="s">
        <v>40</v>
      </c>
      <c r="F5" s="8" t="s">
        <v>109</v>
      </c>
      <c r="G5" s="8" t="s">
        <v>18</v>
      </c>
      <c r="H5" s="8" t="s">
        <v>110</v>
      </c>
      <c r="I5" s="8" t="s">
        <v>111</v>
      </c>
      <c r="J5" s="8" t="s">
        <v>112</v>
      </c>
      <c r="K5" s="8" t="s">
        <v>113</v>
      </c>
      <c r="L5" s="8" t="s">
        <v>114</v>
      </c>
      <c r="M5" s="8" t="s">
        <v>115</v>
      </c>
      <c r="N5" s="2" t="s">
        <v>116</v>
      </c>
    </row>
    <row r="6" customFormat="false" ht="15" hidden="false" customHeight="false" outlineLevel="0" collapsed="false">
      <c r="A6" s="15" t="n">
        <v>1</v>
      </c>
      <c r="B6" s="4" t="str">
        <f aca="false">INDEX(Engine!$A$6:$A$58,$N6)</f>
        <v>Boat &amp; RV storage</v>
      </c>
      <c r="C6" s="9" t="str">
        <f aca="false">INDEX(Engine!$B$6:$B$58,$N6)</f>
        <v>Income</v>
      </c>
      <c r="D6" s="15" t="n">
        <f aca="false">INDEX(Engine!$S$6:$S$58,$N6)</f>
        <v>373</v>
      </c>
      <c r="E6" s="9" t="str">
        <f aca="false">INDEX(Engine!$C$6:$C$58,$N6)</f>
        <v>stall</v>
      </c>
      <c r="F6" s="9" t="str">
        <f aca="false">INDEX(Engine!$CW$6:$CW$58,$N6)</f>
        <v>Build &amp; hold / lease</v>
      </c>
      <c r="G6" s="18" t="n">
        <f aca="false">INDEX(Engine!$CV$6:$CV$58,$N6)</f>
        <v>1485094.83746372</v>
      </c>
      <c r="H6" s="19" t="n">
        <f aca="false">INDEX(Engine!$CX$6:$CX$58,$N6)</f>
        <v>1262330.61184416</v>
      </c>
      <c r="I6" s="19" t="n">
        <f aca="false">INDEX(Engine!$CY$6:$CY$58,$N6)</f>
        <v>1185094.83746372</v>
      </c>
      <c r="J6" s="19" t="n">
        <f aca="false">INDEX(Engine!$CZ$6:$CZ$58,$N6)</f>
        <v>74254.7418731861</v>
      </c>
      <c r="K6" s="19" t="n">
        <f aca="false">INDEX(Engine!$DA$6:$DA$58,$N6)</f>
        <v>3981.48749990274</v>
      </c>
      <c r="L6" s="9" t="str">
        <f aca="false">INDEX(Engine!$T$6:$T$58,$N6)</f>
        <v>Site area / parking</v>
      </c>
      <c r="M6" s="9" t="str">
        <f aca="false">INDEX(Engine!$DB$6:$DB$58,$N6)</f>
        <v>Only 6 ac used - rest resold.</v>
      </c>
      <c r="N6" s="15" t="n">
        <f aca="false">MATCH(LARGE(Engine!$DC$6:$DC$58,A6),Engine!$DC$6:$DC$58,0)</f>
        <v>48</v>
      </c>
    </row>
    <row r="7" customFormat="false" ht="15" hidden="false" customHeight="false" outlineLevel="0" collapsed="false">
      <c r="A7" s="15" t="n">
        <v>2</v>
      </c>
      <c r="B7" s="4" t="str">
        <f aca="false">INDEX(Engine!$A$6:$A$58,$N7)</f>
        <v>Workforce / extended-stay RV park</v>
      </c>
      <c r="C7" s="9" t="str">
        <f aca="false">INDEX(Engine!$B$6:$B$58,$N7)</f>
        <v>Income</v>
      </c>
      <c r="D7" s="15" t="n">
        <f aca="false">INDEX(Engine!$S$6:$S$58,$N7)</f>
        <v>234</v>
      </c>
      <c r="E7" s="9" t="str">
        <f aca="false">INDEX(Engine!$C$6:$C$58,$N7)</f>
        <v>site</v>
      </c>
      <c r="F7" s="9" t="str">
        <f aca="false">INDEX(Engine!$CW$6:$CW$58,$N7)</f>
        <v>Build &amp; hold / lease</v>
      </c>
      <c r="G7" s="18" t="n">
        <f aca="false">INDEX(Engine!$CV$6:$CV$58,$N7)</f>
        <v>660770.351264103</v>
      </c>
      <c r="H7" s="19" t="n">
        <f aca="false">INDEX(Engine!$CX$6:$CX$58,$N7)</f>
        <v>561654.798574487</v>
      </c>
      <c r="I7" s="19" t="n">
        <f aca="false">INDEX(Engine!$CY$6:$CY$58,$N7)</f>
        <v>360770.351264103</v>
      </c>
      <c r="J7" s="19" t="n">
        <f aca="false">INDEX(Engine!$CZ$6:$CZ$58,$N7)</f>
        <v>33038.5175632051</v>
      </c>
      <c r="K7" s="19" t="n">
        <f aca="false">INDEX(Engine!$DA$6:$DA$58,$N7)</f>
        <v>2823.80491993206</v>
      </c>
      <c r="L7" s="9" t="str">
        <f aca="false">INDEX(Engine!$T$6:$T$58,$N7)</f>
        <v>Density</v>
      </c>
      <c r="M7" s="9" t="str">
        <f aca="false">INDEX(Engine!$DB$6:$DB$58,$N7)</f>
        <v/>
      </c>
      <c r="N7" s="15" t="n">
        <f aca="false">MATCH(LARGE(Engine!$DC$6:$DC$58,A7),Engine!$DC$6:$DC$58,0)</f>
        <v>12</v>
      </c>
    </row>
    <row r="8" customFormat="false" ht="15" hidden="false" customHeight="false" outlineLevel="0" collapsed="false">
      <c r="A8" s="15" t="n">
        <v>3</v>
      </c>
      <c r="B8" s="4" t="str">
        <f aca="false">INDEX(Engine!$A$6:$A$58,$N8)</f>
        <v>Supplier build-to-suit near major plants</v>
      </c>
      <c r="C8" s="9" t="str">
        <f aca="false">INDEX(Engine!$B$6:$B$58,$N8)</f>
        <v>Income</v>
      </c>
      <c r="D8" s="15" t="n">
        <f aca="false">INDEX(Engine!$S$6:$S$58,$N8)</f>
        <v>239196.672</v>
      </c>
      <c r="E8" s="9" t="str">
        <f aca="false">INDEX(Engine!$C$6:$C$58,$N8)</f>
        <v>bldg SF</v>
      </c>
      <c r="F8" s="9" t="str">
        <f aca="false">INDEX(Engine!$CW$6:$CW$58,$N8)</f>
        <v>Land / pad sale</v>
      </c>
      <c r="G8" s="18" t="n">
        <f aca="false">INDEX(Engine!$CV$6:$CV$58,$N8)</f>
        <v>493980.846096749</v>
      </c>
      <c r="H8" s="19" t="n">
        <f aca="false">INDEX(Engine!$CX$6:$CX$58,$N8)</f>
        <v>419883.719182236</v>
      </c>
      <c r="I8" s="19" t="n">
        <f aca="false">INDEX(Engine!$CY$6:$CY$58,$N8)</f>
        <v>193980.846096749</v>
      </c>
      <c r="J8" s="19" t="n">
        <f aca="false">INDEX(Engine!$CZ$6:$CZ$58,$N8)</f>
        <v>24699.0423048374</v>
      </c>
      <c r="K8" s="19" t="n">
        <f aca="false">INDEX(Engine!$DA$6:$DA$58,$N8)</f>
        <v>2.06516604920301</v>
      </c>
      <c r="L8" s="9" t="str">
        <f aca="false">INDEX(Engine!$T$6:$T$58,$N8)</f>
        <v>Site area / parking</v>
      </c>
      <c r="M8" s="9" t="str">
        <f aca="false">INDEX(Engine!$DB$6:$DB$58,$N8)</f>
        <v/>
      </c>
      <c r="N8" s="15" t="n">
        <f aca="false">MATCH(LARGE(Engine!$DC$6:$DC$58,A8),Engine!$DC$6:$DC$58,0)</f>
        <v>41</v>
      </c>
    </row>
    <row r="9" customFormat="false" ht="15" hidden="false" customHeight="false" outlineLevel="0" collapsed="false">
      <c r="A9" s="15" t="n">
        <v>4</v>
      </c>
      <c r="B9" s="4" t="str">
        <f aca="false">INDEX(Engine!$A$6:$A$58,$N9)</f>
        <v>Homesites (stick-built, for sale)</v>
      </c>
      <c r="C9" s="9" t="str">
        <f aca="false">INDEX(Engine!$B$6:$B$58,$N9)</f>
        <v>For-Sale</v>
      </c>
      <c r="D9" s="15" t="n">
        <f aca="false">INDEX(Engine!$S$6:$S$58,$N9)</f>
        <v>24</v>
      </c>
      <c r="E9" s="9" t="str">
        <f aca="false">INDEX(Engine!$C$6:$C$58,$N9)</f>
        <v>lot / home</v>
      </c>
      <c r="F9" s="9" t="str">
        <f aca="false">INDEX(Engine!$CW$6:$CW$58,$N9)</f>
        <v>Land / pad sale</v>
      </c>
      <c r="G9" s="18" t="n">
        <f aca="false">INDEX(Engine!$CV$6:$CV$58,$N9)</f>
        <v>441967.920354915</v>
      </c>
      <c r="H9" s="19" t="n">
        <f aca="false">INDEX(Engine!$CX$6:$CX$58,$N9)</f>
        <v>375672.732301678</v>
      </c>
      <c r="I9" s="19" t="n">
        <f aca="false">INDEX(Engine!$CY$6:$CY$58,$N9)</f>
        <v>141967.920354915</v>
      </c>
      <c r="J9" s="19" t="n">
        <f aca="false">INDEX(Engine!$CZ$6:$CZ$58,$N9)</f>
        <v>22098.3960177457</v>
      </c>
      <c r="K9" s="19" t="n">
        <f aca="false">INDEX(Engine!$DA$6:$DA$58,$N9)</f>
        <v>18415.3300147881</v>
      </c>
      <c r="L9" s="9" t="str">
        <f aca="false">INDEX(Engine!$T$6:$T$58,$N9)</f>
        <v>Septic lot size</v>
      </c>
      <c r="M9" s="9" t="str">
        <f aca="false">INDEX(Engine!$DB$6:$DB$58,$N9)</f>
        <v/>
      </c>
      <c r="N9" s="15" t="n">
        <f aca="false">MATCH(LARGE(Engine!$DC$6:$DC$58,A9),Engine!$DC$6:$DC$58,0)</f>
        <v>1</v>
      </c>
    </row>
    <row r="10" customFormat="false" ht="15" hidden="false" customHeight="false" outlineLevel="0" collapsed="false">
      <c r="A10" s="15" t="n">
        <v>5</v>
      </c>
      <c r="B10" s="4" t="str">
        <f aca="false">INDEX(Engine!$A$6:$A$58,$N10)</f>
        <v>Finished / entitled lots</v>
      </c>
      <c r="C10" s="9" t="str">
        <f aca="false">INDEX(Engine!$B$6:$B$58,$N10)</f>
        <v>For-Sale</v>
      </c>
      <c r="D10" s="15" t="n">
        <f aca="false">INDEX(Engine!$S$6:$S$58,$N10)</f>
        <v>24</v>
      </c>
      <c r="E10" s="9" t="str">
        <f aca="false">INDEX(Engine!$C$6:$C$58,$N10)</f>
        <v>lot</v>
      </c>
      <c r="F10" s="9" t="str">
        <f aca="false">INDEX(Engine!$CW$6:$CW$58,$N10)</f>
        <v>Land / pad sale</v>
      </c>
      <c r="G10" s="18" t="n">
        <f aca="false">INDEX(Engine!$CV$6:$CV$58,$N10)</f>
        <v>351753.609543259</v>
      </c>
      <c r="H10" s="19" t="n">
        <f aca="false">INDEX(Engine!$CX$6:$CX$58,$N10)</f>
        <v>298990.56811177</v>
      </c>
      <c r="I10" s="19" t="n">
        <f aca="false">INDEX(Engine!$CY$6:$CY$58,$N10)</f>
        <v>51753.6095432589</v>
      </c>
      <c r="J10" s="19" t="n">
        <f aca="false">INDEX(Engine!$CZ$6:$CZ$58,$N10)</f>
        <v>17587.6804771629</v>
      </c>
      <c r="K10" s="19" t="n">
        <f aca="false">INDEX(Engine!$DA$6:$DA$58,$N10)</f>
        <v>14656.4003976358</v>
      </c>
      <c r="L10" s="9" t="str">
        <f aca="false">INDEX(Engine!$T$6:$T$58,$N10)</f>
        <v>Septic lot size</v>
      </c>
      <c r="M10" s="9" t="str">
        <f aca="false">INDEX(Engine!$DB$6:$DB$58,$N10)</f>
        <v/>
      </c>
      <c r="N10" s="15" t="n">
        <f aca="false">MATCH(LARGE(Engine!$DC$6:$DC$58,A10),Engine!$DC$6:$DC$58,0)</f>
        <v>2</v>
      </c>
    </row>
    <row r="11" customFormat="false" ht="15" hidden="false" customHeight="false" outlineLevel="0" collapsed="false">
      <c r="A11" s="15" t="n">
        <v>6</v>
      </c>
      <c r="B11" s="4" t="str">
        <f aca="false">INDEX(Engine!$A$6:$A$58,$N11)</f>
        <v>Manufactured home subdivision</v>
      </c>
      <c r="C11" s="9" t="str">
        <f aca="false">INDEX(Engine!$B$6:$B$58,$N11)</f>
        <v>For-Sale</v>
      </c>
      <c r="D11" s="15" t="n">
        <f aca="false">INDEX(Engine!$S$6:$S$58,$N11)</f>
        <v>24</v>
      </c>
      <c r="E11" s="9" t="str">
        <f aca="false">INDEX(Engine!$C$6:$C$58,$N11)</f>
        <v>lot / home</v>
      </c>
      <c r="F11" s="9" t="str">
        <f aca="false">INDEX(Engine!$CW$6:$CW$58,$N11)</f>
        <v>Build &amp; sell</v>
      </c>
      <c r="G11" s="18" t="n">
        <f aca="false">INDEX(Engine!$CV$6:$CV$58,$N11)</f>
        <v>303520.564198752</v>
      </c>
      <c r="H11" s="19" t="n">
        <f aca="false">INDEX(Engine!$CX$6:$CX$58,$N11)</f>
        <v>257992.479568939</v>
      </c>
      <c r="I11" s="19" t="n">
        <f aca="false">INDEX(Engine!$CY$6:$CY$58,$N11)</f>
        <v>3520.56419875193</v>
      </c>
      <c r="J11" s="19" t="n">
        <f aca="false">INDEX(Engine!$CZ$6:$CZ$58,$N11)</f>
        <v>15176.0282099376</v>
      </c>
      <c r="K11" s="19" t="n">
        <f aca="false">INDEX(Engine!$DA$6:$DA$58,$N11)</f>
        <v>12646.690174948</v>
      </c>
      <c r="L11" s="9" t="str">
        <f aca="false">INDEX(Engine!$T$6:$T$58,$N11)</f>
        <v>Septic lot size</v>
      </c>
      <c r="M11" s="9" t="str">
        <f aca="false">INDEX(Engine!$DB$6:$DB$58,$N11)</f>
        <v/>
      </c>
      <c r="N11" s="15" t="n">
        <f aca="false">MATCH(LARGE(Engine!$DC$6:$DC$58,A11),Engine!$DC$6:$DC$58,0)</f>
        <v>5</v>
      </c>
    </row>
    <row r="12" customFormat="false" ht="15" hidden="false" customHeight="false" outlineLevel="0" collapsed="false">
      <c r="A12" s="15" t="n">
        <v>7</v>
      </c>
      <c r="B12" s="4" t="str">
        <f aca="false">INDEX(Engine!$A$6:$A$58,$N12)</f>
        <v>Active-adult 55+ (for sale)</v>
      </c>
      <c r="C12" s="9" t="str">
        <f aca="false">INDEX(Engine!$B$6:$B$58,$N12)</f>
        <v>For-Sale</v>
      </c>
      <c r="D12" s="15" t="n">
        <f aca="false">INDEX(Engine!$S$6:$S$58,$N12)</f>
        <v>24</v>
      </c>
      <c r="E12" s="9" t="str">
        <f aca="false">INDEX(Engine!$C$6:$C$58,$N12)</f>
        <v>lot / home</v>
      </c>
      <c r="F12" s="9" t="str">
        <f aca="false">INDEX(Engine!$CW$6:$CW$58,$N12)</f>
        <v>Land / pad sale</v>
      </c>
      <c r="G12" s="18" t="n">
        <f aca="false">INDEX(Engine!$CV$6:$CV$58,$N12)</f>
        <v>289960.351363182</v>
      </c>
      <c r="H12" s="19" t="n">
        <f aca="false">INDEX(Engine!$CX$6:$CX$58,$N12)</f>
        <v>246466.298658705</v>
      </c>
      <c r="I12" s="19" t="n">
        <f aca="false">INDEX(Engine!$CY$6:$CY$58,$N12)</f>
        <v>-10039.648636818</v>
      </c>
      <c r="J12" s="19" t="n">
        <f aca="false">INDEX(Engine!$CZ$6:$CZ$58,$N12)</f>
        <v>14498.0175681591</v>
      </c>
      <c r="K12" s="19" t="n">
        <f aca="false">INDEX(Engine!$DA$6:$DA$58,$N12)</f>
        <v>12081.6813067992</v>
      </c>
      <c r="L12" s="9" t="str">
        <f aca="false">INDEX(Engine!$T$6:$T$58,$N12)</f>
        <v>Septic lot size</v>
      </c>
      <c r="M12" s="9" t="str">
        <f aca="false">INDEX(Engine!$DB$6:$DB$58,$N12)</f>
        <v/>
      </c>
      <c r="N12" s="15" t="n">
        <f aca="false">MATCH(LARGE(Engine!$DC$6:$DC$58,A12),Engine!$DC$6:$DC$58,0)</f>
        <v>3</v>
      </c>
    </row>
    <row r="13" customFormat="false" ht="15" hidden="false" customHeight="false" outlineLevel="0" collapsed="false">
      <c r="A13" s="15" t="n">
        <v>8</v>
      </c>
      <c r="B13" s="4" t="str">
        <f aca="false">INDEX(Engine!$A$6:$A$58,$N13)</f>
        <v>Event venue / wedding barn</v>
      </c>
      <c r="C13" s="9" t="str">
        <f aca="false">INDEX(Engine!$B$6:$B$58,$N13)</f>
        <v>Operator Pad</v>
      </c>
      <c r="D13" s="15" t="n">
        <f aca="false">INDEX(Engine!$S$6:$S$58,$N13)</f>
        <v>14.196</v>
      </c>
      <c r="E13" s="9" t="str">
        <f aca="false">INDEX(Engine!$C$6:$C$58,$N13)</f>
        <v>acre</v>
      </c>
      <c r="F13" s="9" t="str">
        <f aca="false">INDEX(Engine!$CW$6:$CW$58,$N13)</f>
        <v>Land / pad sale</v>
      </c>
      <c r="G13" s="18" t="n">
        <f aca="false">INDEX(Engine!$CV$6:$CV$58,$N13)</f>
        <v>200241.006591601</v>
      </c>
      <c r="H13" s="19" t="n">
        <f aca="false">INDEX(Engine!$CX$6:$CX$58,$N13)</f>
        <v>170204.855602861</v>
      </c>
      <c r="I13" s="19" t="n">
        <f aca="false">INDEX(Engine!$CY$6:$CY$58,$N13)</f>
        <v>-99758.9934083991</v>
      </c>
      <c r="J13" s="19" t="n">
        <f aca="false">INDEX(Engine!$CZ$6:$CZ$58,$N13)</f>
        <v>10012.05032958</v>
      </c>
      <c r="K13" s="19" t="n">
        <f aca="false">INDEX(Engine!$DA$6:$DA$58,$N13)</f>
        <v>14105.4527043957</v>
      </c>
      <c r="L13" s="9" t="str">
        <f aca="false">INDEX(Engine!$T$6:$T$58,$N13)</f>
        <v>Site area / parking</v>
      </c>
      <c r="M13" s="9" t="str">
        <f aca="false">INDEX(Engine!$DB$6:$DB$58,$N13)</f>
        <v/>
      </c>
      <c r="N13" s="15" t="n">
        <f aca="false">MATCH(LARGE(Engine!$DC$6:$DC$58,A13),Engine!$DC$6:$DC$58,0)</f>
        <v>38</v>
      </c>
    </row>
    <row r="14" customFormat="false" ht="15" hidden="false" customHeight="false" outlineLevel="0" collapsed="false">
      <c r="A14" s="15" t="n">
        <v>9</v>
      </c>
      <c r="B14" s="4" t="str">
        <f aca="false">INDEX(Engine!$A$6:$A$58,$N14)</f>
        <v>Entry-level for-sale homes</v>
      </c>
      <c r="C14" s="9" t="str">
        <f aca="false">INDEX(Engine!$B$6:$B$58,$N14)</f>
        <v>For-Sale</v>
      </c>
      <c r="D14" s="15" t="n">
        <f aca="false">INDEX(Engine!$S$6:$S$58,$N14)</f>
        <v>24</v>
      </c>
      <c r="E14" s="9" t="str">
        <f aca="false">INDEX(Engine!$C$6:$C$58,$N14)</f>
        <v>lot / home</v>
      </c>
      <c r="F14" s="9" t="str">
        <f aca="false">INDEX(Engine!$CW$6:$CW$58,$N14)</f>
        <v>Land / pad sale</v>
      </c>
      <c r="G14" s="18" t="n">
        <f aca="false">INDEX(Engine!$CV$6:$CV$58,$N14)</f>
        <v>199746.040551526</v>
      </c>
      <c r="H14" s="19" t="n">
        <f aca="false">INDEX(Engine!$CX$6:$CX$58,$N14)</f>
        <v>169784.134468797</v>
      </c>
      <c r="I14" s="19" t="n">
        <f aca="false">INDEX(Engine!$CY$6:$CY$58,$N14)</f>
        <v>-100253.959448474</v>
      </c>
      <c r="J14" s="19" t="n">
        <f aca="false">INDEX(Engine!$CZ$6:$CZ$58,$N14)</f>
        <v>9987.3020275763</v>
      </c>
      <c r="K14" s="19" t="n">
        <f aca="false">INDEX(Engine!$DA$6:$DA$58,$N14)</f>
        <v>8322.75168964692</v>
      </c>
      <c r="L14" s="9" t="str">
        <f aca="false">INDEX(Engine!$T$6:$T$58,$N14)</f>
        <v>Septic lot size</v>
      </c>
      <c r="M14" s="9" t="str">
        <f aca="false">INDEX(Engine!$DB$6:$DB$58,$N14)</f>
        <v/>
      </c>
      <c r="N14" s="15" t="n">
        <f aca="false">MATCH(LARGE(Engine!$DC$6:$DC$58,A14),Engine!$DC$6:$DC$58,0)</f>
        <v>4</v>
      </c>
    </row>
    <row r="15" customFormat="false" ht="15" hidden="false" customHeight="false" outlineLevel="0" collapsed="false">
      <c r="A15" s="15" t="n">
        <v>10</v>
      </c>
      <c r="B15" s="4" t="str">
        <f aca="false">INDEX(Engine!$A$6:$A$58,$N15)</f>
        <v>Private water / wastewater (package plant) site</v>
      </c>
      <c r="C15" s="9" t="str">
        <f aca="false">INDEX(Engine!$B$6:$B$58,$N15)</f>
        <v>Land Play</v>
      </c>
      <c r="D15" s="15" t="n">
        <f aca="false">INDEX(Engine!$S$6:$S$58,$N15)</f>
        <v>5</v>
      </c>
      <c r="E15" s="9" t="str">
        <f aca="false">INDEX(Engine!$C$6:$C$58,$N15)</f>
        <v>acre</v>
      </c>
      <c r="F15" s="9" t="str">
        <f aca="false">INDEX(Engine!$CW$6:$CW$58,$N15)</f>
        <v>Land / pad sale</v>
      </c>
      <c r="G15" s="18" t="n">
        <f aca="false">INDEX(Engine!$CV$6:$CV$58,$N15)</f>
        <v>116965.952312274</v>
      </c>
      <c r="H15" s="19" t="n">
        <f aca="false">INDEX(Engine!$CX$6:$CX$58,$N15)</f>
        <v>99421.0594654325</v>
      </c>
      <c r="I15" s="19" t="n">
        <f aca="false">INDEX(Engine!$CY$6:$CY$58,$N15)</f>
        <v>-183034.047687727</v>
      </c>
      <c r="J15" s="19" t="n">
        <f aca="false">INDEX(Engine!$CZ$6:$CZ$58,$N15)</f>
        <v>5848.29761561368</v>
      </c>
      <c r="K15" s="19" t="n">
        <f aca="false">INDEX(Engine!$DA$6:$DA$58,$N15)</f>
        <v>23393.1904624547</v>
      </c>
      <c r="L15" s="9" t="str">
        <f aca="false">INDEX(Engine!$T$6:$T$58,$N15)</f>
        <v>Site area / parking</v>
      </c>
      <c r="M15" s="9" t="str">
        <f aca="false">INDEX(Engine!$DB$6:$DB$58,$N15)</f>
        <v>Only 5 ac used - rest resold.</v>
      </c>
      <c r="N15" s="15" t="n">
        <f aca="false">MATCH(LARGE(Engine!$DC$6:$DC$58,A15),Engine!$DC$6:$DC$58,0)</f>
        <v>51</v>
      </c>
    </row>
    <row r="16" customFormat="false" ht="15" hidden="false" customHeight="false" outlineLevel="0" collapsed="false">
      <c r="A16" s="15" t="n">
        <v>11</v>
      </c>
      <c r="B16" s="4" t="str">
        <f aca="false">INDEX(Engine!$A$6:$A$58,$N16)</f>
        <v>Powered land for data centers</v>
      </c>
      <c r="C16" s="9" t="str">
        <f aca="false">INDEX(Engine!$B$6:$B$58,$N16)</f>
        <v>Land Play</v>
      </c>
      <c r="D16" s="15" t="n">
        <f aca="false">INDEX(Engine!$S$6:$S$58,$N16)</f>
        <v>0</v>
      </c>
      <c r="E16" s="9" t="str">
        <f aca="false">INDEX(Engine!$C$6:$C$58,$N16)</f>
        <v>acre</v>
      </c>
      <c r="F16" s="9" t="str">
        <f aca="false">INDEX(Engine!$CW$6:$CW$58,$N16)</f>
        <v>None works</v>
      </c>
      <c r="G16" s="18" t="n">
        <f aca="false">INDEX(Engine!$CV$6:$CV$58,$N16)</f>
        <v>0</v>
      </c>
      <c r="H16" s="19" t="n">
        <f aca="false">INDEX(Engine!$CX$6:$CX$58,$N16)</f>
        <v>0</v>
      </c>
      <c r="I16" s="19" t="n">
        <f aca="false">INDEX(Engine!$CY$6:$CY$58,$N16)</f>
        <v>-300000</v>
      </c>
      <c r="J16" s="19" t="n">
        <f aca="false">INDEX(Engine!$CZ$6:$CZ$58,$N16)</f>
        <v>0</v>
      </c>
      <c r="K16" s="19" t="n">
        <f aca="false">INDEX(Engine!$DA$6:$DA$58,$N16)</f>
        <v>0</v>
      </c>
      <c r="L16" s="9" t="str">
        <f aca="false">INDEX(Engine!$T$6:$T$58,$N16)</f>
        <v>Location fails</v>
      </c>
      <c r="M16" s="9" t="str">
        <f aca="false">INDEX(Engine!$DB$6:$DB$58,$N16)</f>
        <v>Over 1 mi to substation.</v>
      </c>
      <c r="N16" s="15" t="n">
        <f aca="false">MATCH(LARGE(Engine!$DC$6:$DC$58,A16),Engine!$DC$6:$DC$58,0)</f>
        <v>53</v>
      </c>
    </row>
    <row r="17" customFormat="false" ht="15" hidden="false" customHeight="false" outlineLevel="0" collapsed="false">
      <c r="A17" s="15" t="n">
        <v>12</v>
      </c>
      <c r="B17" s="4" t="str">
        <f aca="false">INDEX(Engine!$A$6:$A$58,$N17)</f>
        <v>Battery storage / solar land lease</v>
      </c>
      <c r="C17" s="9" t="str">
        <f aca="false">INDEX(Engine!$B$6:$B$58,$N17)</f>
        <v>Land Play</v>
      </c>
      <c r="D17" s="15" t="n">
        <f aca="false">INDEX(Engine!$S$6:$S$58,$N17)</f>
        <v>0</v>
      </c>
      <c r="E17" s="9" t="str">
        <f aca="false">INDEX(Engine!$C$6:$C$58,$N17)</f>
        <v>acre</v>
      </c>
      <c r="F17" s="9" t="str">
        <f aca="false">INDEX(Engine!$CW$6:$CW$58,$N17)</f>
        <v>None works</v>
      </c>
      <c r="G17" s="18" t="n">
        <f aca="false">INDEX(Engine!$CV$6:$CV$58,$N17)</f>
        <v>0</v>
      </c>
      <c r="H17" s="19" t="n">
        <f aca="false">INDEX(Engine!$CX$6:$CX$58,$N17)</f>
        <v>0</v>
      </c>
      <c r="I17" s="19" t="n">
        <f aca="false">INDEX(Engine!$CY$6:$CY$58,$N17)</f>
        <v>-300000</v>
      </c>
      <c r="J17" s="19" t="n">
        <f aca="false">INDEX(Engine!$CZ$6:$CZ$58,$N17)</f>
        <v>0</v>
      </c>
      <c r="K17" s="19" t="n">
        <f aca="false">INDEX(Engine!$DA$6:$DA$58,$N17)</f>
        <v>0</v>
      </c>
      <c r="L17" s="9" t="str">
        <f aca="false">INDEX(Engine!$T$6:$T$58,$N17)</f>
        <v>Location fails</v>
      </c>
      <c r="M17" s="9" t="str">
        <f aca="false">INDEX(Engine!$DB$6:$DB$58,$N17)</f>
        <v>Over 2 mi to substation.</v>
      </c>
      <c r="N17" s="15" t="n">
        <f aca="false">MATCH(LARGE(Engine!$DC$6:$DC$58,A17),Engine!$DC$6:$DC$58,0)</f>
        <v>52</v>
      </c>
    </row>
    <row r="18" customFormat="false" ht="15" hidden="false" customHeight="false" outlineLevel="0" collapsed="false">
      <c r="A18" s="15" t="n">
        <v>13</v>
      </c>
      <c r="B18" s="4" t="str">
        <f aca="false">INDEX(Engine!$A$6:$A$58,$N18)</f>
        <v>Extended-stay hotel</v>
      </c>
      <c r="C18" s="9" t="str">
        <f aca="false">INDEX(Engine!$B$6:$B$58,$N18)</f>
        <v>Operator Pad</v>
      </c>
      <c r="D18" s="15" t="n">
        <f aca="false">INDEX(Engine!$S$6:$S$58,$N18)</f>
        <v>0</v>
      </c>
      <c r="E18" s="9" t="str">
        <f aca="false">INDEX(Engine!$C$6:$C$58,$N18)</f>
        <v>acre</v>
      </c>
      <c r="F18" s="9" t="str">
        <f aca="false">INDEX(Engine!$CW$6:$CW$58,$N18)</f>
        <v>None works</v>
      </c>
      <c r="G18" s="18" t="n">
        <f aca="false">INDEX(Engine!$CV$6:$CV$58,$N18)</f>
        <v>0</v>
      </c>
      <c r="H18" s="19" t="n">
        <f aca="false">INDEX(Engine!$CX$6:$CX$58,$N18)</f>
        <v>0</v>
      </c>
      <c r="I18" s="19" t="n">
        <f aca="false">INDEX(Engine!$CY$6:$CY$58,$N18)</f>
        <v>-300000</v>
      </c>
      <c r="J18" s="19" t="n">
        <f aca="false">INDEX(Engine!$CZ$6:$CZ$58,$N18)</f>
        <v>0</v>
      </c>
      <c r="K18" s="19" t="n">
        <f aca="false">INDEX(Engine!$DA$6:$DA$58,$N18)</f>
        <v>0</v>
      </c>
      <c r="L18" s="9" t="str">
        <f aca="false">INDEX(Engine!$T$6:$T$58,$N18)</f>
        <v>Location fails</v>
      </c>
      <c r="M18" s="9" t="str">
        <f aca="false">INDEX(Engine!$DB$6:$DB$58,$N18)</f>
        <v>Under 5,000 households in 3 mi. Over 2 mi to highway.</v>
      </c>
      <c r="N18" s="15" t="n">
        <f aca="false">MATCH(LARGE(Engine!$DC$6:$DC$58,A18),Engine!$DC$6:$DC$58,0)</f>
        <v>50</v>
      </c>
    </row>
    <row r="19" customFormat="false" ht="15" hidden="false" customHeight="false" outlineLevel="0" collapsed="false">
      <c r="A19" s="15" t="n">
        <v>14</v>
      </c>
      <c r="B19" s="4" t="str">
        <f aca="false">INDEX(Engine!$A$6:$A$58,$N19)</f>
        <v>Self-storage</v>
      </c>
      <c r="C19" s="9" t="str">
        <f aca="false">INDEX(Engine!$B$6:$B$58,$N19)</f>
        <v>Income</v>
      </c>
      <c r="D19" s="15" t="n">
        <f aca="false">INDEX(Engine!$S$6:$S$58,$N19)</f>
        <v>0</v>
      </c>
      <c r="E19" s="9" t="str">
        <f aca="false">INDEX(Engine!$C$6:$C$58,$N19)</f>
        <v>bldg SF</v>
      </c>
      <c r="F19" s="9" t="str">
        <f aca="false">INDEX(Engine!$CW$6:$CW$58,$N19)</f>
        <v>None works</v>
      </c>
      <c r="G19" s="18" t="n">
        <f aca="false">INDEX(Engine!$CV$6:$CV$58,$N19)</f>
        <v>0</v>
      </c>
      <c r="H19" s="19" t="n">
        <f aca="false">INDEX(Engine!$CX$6:$CX$58,$N19)</f>
        <v>0</v>
      </c>
      <c r="I19" s="19" t="n">
        <f aca="false">INDEX(Engine!$CY$6:$CY$58,$N19)</f>
        <v>-300000</v>
      </c>
      <c r="J19" s="19" t="n">
        <f aca="false">INDEX(Engine!$CZ$6:$CZ$58,$N19)</f>
        <v>0</v>
      </c>
      <c r="K19" s="19" t="n">
        <f aca="false">INDEX(Engine!$DA$6:$DA$58,$N19)</f>
        <v>0</v>
      </c>
      <c r="L19" s="9" t="str">
        <f aca="false">INDEX(Engine!$T$6:$T$58,$N19)</f>
        <v>Location fails</v>
      </c>
      <c r="M19" s="9" t="str">
        <f aca="false">INDEX(Engine!$DB$6:$DB$58,$N19)</f>
        <v>Under 5,000 households in 3 mi.</v>
      </c>
      <c r="N19" s="15" t="n">
        <f aca="false">MATCH(LARGE(Engine!$DC$6:$DC$58,A19),Engine!$DC$6:$DC$58,0)</f>
        <v>49</v>
      </c>
    </row>
    <row r="20" customFormat="false" ht="15" hidden="false" customHeight="false" outlineLevel="0" collapsed="false">
      <c r="A20" s="15" t="n">
        <v>15</v>
      </c>
      <c r="B20" s="4" t="str">
        <f aca="false">INDEX(Engine!$A$6:$A$58,$N20)</f>
        <v>Truck parking / terminal</v>
      </c>
      <c r="C20" s="9" t="str">
        <f aca="false">INDEX(Engine!$B$6:$B$58,$N20)</f>
        <v>Income</v>
      </c>
      <c r="D20" s="15" t="n">
        <f aca="false">INDEX(Engine!$S$6:$S$58,$N20)</f>
        <v>0</v>
      </c>
      <c r="E20" s="9" t="str">
        <f aca="false">INDEX(Engine!$C$6:$C$58,$N20)</f>
        <v>stall</v>
      </c>
      <c r="F20" s="9" t="str">
        <f aca="false">INDEX(Engine!$CW$6:$CW$58,$N20)</f>
        <v>None works</v>
      </c>
      <c r="G20" s="18" t="n">
        <f aca="false">INDEX(Engine!$CV$6:$CV$58,$N20)</f>
        <v>0</v>
      </c>
      <c r="H20" s="19" t="n">
        <f aca="false">INDEX(Engine!$CX$6:$CX$58,$N20)</f>
        <v>0</v>
      </c>
      <c r="I20" s="19" t="n">
        <f aca="false">INDEX(Engine!$CY$6:$CY$58,$N20)</f>
        <v>-300000</v>
      </c>
      <c r="J20" s="19" t="n">
        <f aca="false">INDEX(Engine!$CZ$6:$CZ$58,$N20)</f>
        <v>0</v>
      </c>
      <c r="K20" s="19" t="n">
        <f aca="false">INDEX(Engine!$DA$6:$DA$58,$N20)</f>
        <v>0</v>
      </c>
      <c r="L20" s="9" t="str">
        <f aca="false">INDEX(Engine!$T$6:$T$58,$N20)</f>
        <v>Location fails</v>
      </c>
      <c r="M20" s="9" t="str">
        <f aca="false">INDEX(Engine!$DB$6:$DB$58,$N20)</f>
        <v>Over 2 mi to highway.</v>
      </c>
      <c r="N20" s="15" t="n">
        <f aca="false">MATCH(LARGE(Engine!$DC$6:$DC$58,A20),Engine!$DC$6:$DC$58,0)</f>
        <v>47</v>
      </c>
    </row>
    <row r="21" customFormat="false" ht="15" hidden="false" customHeight="false" outlineLevel="0" collapsed="false">
      <c r="A21" s="15" t="n">
        <v>16</v>
      </c>
      <c r="B21" s="4" t="str">
        <f aca="false">INDEX(Engine!$A$6:$A$58,$N21)</f>
        <v>Equipment rental yard</v>
      </c>
      <c r="C21" s="9" t="str">
        <f aca="false">INDEX(Engine!$B$6:$B$58,$N21)</f>
        <v>Income</v>
      </c>
      <c r="D21" s="15" t="n">
        <f aca="false">INDEX(Engine!$S$6:$S$58,$N21)</f>
        <v>0</v>
      </c>
      <c r="E21" s="9" t="str">
        <f aca="false">INDEX(Engine!$C$6:$C$58,$N21)</f>
        <v>acre</v>
      </c>
      <c r="F21" s="9" t="str">
        <f aca="false">INDEX(Engine!$CW$6:$CW$58,$N21)</f>
        <v>None works</v>
      </c>
      <c r="G21" s="18" t="n">
        <f aca="false">INDEX(Engine!$CV$6:$CV$58,$N21)</f>
        <v>0</v>
      </c>
      <c r="H21" s="19" t="n">
        <f aca="false">INDEX(Engine!$CX$6:$CX$58,$N21)</f>
        <v>0</v>
      </c>
      <c r="I21" s="19" t="n">
        <f aca="false">INDEX(Engine!$CY$6:$CY$58,$N21)</f>
        <v>-300000</v>
      </c>
      <c r="J21" s="19" t="n">
        <f aca="false">INDEX(Engine!$CZ$6:$CZ$58,$N21)</f>
        <v>0</v>
      </c>
      <c r="K21" s="19" t="n">
        <f aca="false">INDEX(Engine!$DA$6:$DA$58,$N21)</f>
        <v>0</v>
      </c>
      <c r="L21" s="9" t="str">
        <f aca="false">INDEX(Engine!$T$6:$T$58,$N21)</f>
        <v>Location fails</v>
      </c>
      <c r="M21" s="9" t="str">
        <f aca="false">INDEX(Engine!$DB$6:$DB$58,$N21)</f>
        <v>Traffic under 8,000 VPD.</v>
      </c>
      <c r="N21" s="15" t="n">
        <f aca="false">MATCH(LARGE(Engine!$DC$6:$DC$58,A21),Engine!$DC$6:$DC$58,0)</f>
        <v>46</v>
      </c>
    </row>
    <row r="22" customFormat="false" ht="15" hidden="false" customHeight="false" outlineLevel="0" collapsed="false">
      <c r="A22" s="15" t="n">
        <v>17</v>
      </c>
      <c r="B22" s="4" t="str">
        <f aca="false">INDEX(Engine!$A$6:$A$58,$N22)</f>
        <v>Industrial outdoor storage (IOS)</v>
      </c>
      <c r="C22" s="9" t="str">
        <f aca="false">INDEX(Engine!$B$6:$B$58,$N22)</f>
        <v>Income</v>
      </c>
      <c r="D22" s="15" t="n">
        <f aca="false">INDEX(Engine!$S$6:$S$58,$N22)</f>
        <v>0</v>
      </c>
      <c r="E22" s="9" t="str">
        <f aca="false">INDEX(Engine!$C$6:$C$58,$N22)</f>
        <v>acre</v>
      </c>
      <c r="F22" s="9" t="str">
        <f aca="false">INDEX(Engine!$CW$6:$CW$58,$N22)</f>
        <v>None works</v>
      </c>
      <c r="G22" s="18" t="n">
        <f aca="false">INDEX(Engine!$CV$6:$CV$58,$N22)</f>
        <v>0</v>
      </c>
      <c r="H22" s="19" t="n">
        <f aca="false">INDEX(Engine!$CX$6:$CX$58,$N22)</f>
        <v>0</v>
      </c>
      <c r="I22" s="19" t="n">
        <f aca="false">INDEX(Engine!$CY$6:$CY$58,$N22)</f>
        <v>-300000</v>
      </c>
      <c r="J22" s="19" t="n">
        <f aca="false">INDEX(Engine!$CZ$6:$CZ$58,$N22)</f>
        <v>0</v>
      </c>
      <c r="K22" s="19" t="n">
        <f aca="false">INDEX(Engine!$DA$6:$DA$58,$N22)</f>
        <v>0</v>
      </c>
      <c r="L22" s="9" t="str">
        <f aca="false">INDEX(Engine!$T$6:$T$58,$N22)</f>
        <v>Location fails</v>
      </c>
      <c r="M22" s="9" t="str">
        <f aca="false">INDEX(Engine!$DB$6:$DB$58,$N22)</f>
        <v>Over 5 mi to highway.</v>
      </c>
      <c r="N22" s="15" t="n">
        <f aca="false">MATCH(LARGE(Engine!$DC$6:$DC$58,A22),Engine!$DC$6:$DC$58,0)</f>
        <v>45</v>
      </c>
    </row>
    <row r="23" customFormat="false" ht="15" hidden="false" customHeight="false" outlineLevel="0" collapsed="false">
      <c r="A23" s="15" t="n">
        <v>18</v>
      </c>
      <c r="B23" s="4" t="str">
        <f aca="false">INDEX(Engine!$A$6:$A$58,$N23)</f>
        <v>Cold storage</v>
      </c>
      <c r="C23" s="9" t="str">
        <f aca="false">INDEX(Engine!$B$6:$B$58,$N23)</f>
        <v>Income</v>
      </c>
      <c r="D23" s="15" t="n">
        <f aca="false">INDEX(Engine!$S$6:$S$58,$N23)</f>
        <v>0</v>
      </c>
      <c r="E23" s="9" t="str">
        <f aca="false">INDEX(Engine!$C$6:$C$58,$N23)</f>
        <v>bldg SF</v>
      </c>
      <c r="F23" s="9" t="str">
        <f aca="false">INDEX(Engine!$CW$6:$CW$58,$N23)</f>
        <v>None works</v>
      </c>
      <c r="G23" s="18" t="n">
        <f aca="false">INDEX(Engine!$CV$6:$CV$58,$N23)</f>
        <v>0</v>
      </c>
      <c r="H23" s="19" t="n">
        <f aca="false">INDEX(Engine!$CX$6:$CX$58,$N23)</f>
        <v>0</v>
      </c>
      <c r="I23" s="19" t="n">
        <f aca="false">INDEX(Engine!$CY$6:$CY$58,$N23)</f>
        <v>-300000</v>
      </c>
      <c r="J23" s="19" t="n">
        <f aca="false">INDEX(Engine!$CZ$6:$CZ$58,$N23)</f>
        <v>0</v>
      </c>
      <c r="K23" s="19" t="n">
        <f aca="false">INDEX(Engine!$DA$6:$DA$58,$N23)</f>
        <v>0</v>
      </c>
      <c r="L23" s="9" t="str">
        <f aca="false">INDEX(Engine!$T$6:$T$58,$N23)</f>
        <v>Location fails</v>
      </c>
      <c r="M23" s="9" t="str">
        <f aca="false">INDEX(Engine!$DB$6:$DB$58,$N23)</f>
        <v>Over 3 mi to highway.</v>
      </c>
      <c r="N23" s="15" t="n">
        <f aca="false">MATCH(LARGE(Engine!$DC$6:$DC$58,A23),Engine!$DC$6:$DC$58,0)</f>
        <v>44</v>
      </c>
    </row>
    <row r="24" customFormat="false" ht="15" hidden="false" customHeight="false" outlineLevel="0" collapsed="false">
      <c r="A24" s="15" t="n">
        <v>19</v>
      </c>
      <c r="B24" s="4" t="str">
        <f aca="false">INDEX(Engine!$A$6:$A$58,$N24)</f>
        <v>Bulk distribution</v>
      </c>
      <c r="C24" s="9" t="str">
        <f aca="false">INDEX(Engine!$B$6:$B$58,$N24)</f>
        <v>Income</v>
      </c>
      <c r="D24" s="15" t="n">
        <f aca="false">INDEX(Engine!$S$6:$S$58,$N24)</f>
        <v>0</v>
      </c>
      <c r="E24" s="9" t="str">
        <f aca="false">INDEX(Engine!$C$6:$C$58,$N24)</f>
        <v>bldg SF</v>
      </c>
      <c r="F24" s="9" t="str">
        <f aca="false">INDEX(Engine!$CW$6:$CW$58,$N24)</f>
        <v>None works</v>
      </c>
      <c r="G24" s="18" t="n">
        <f aca="false">INDEX(Engine!$CV$6:$CV$58,$N24)</f>
        <v>0</v>
      </c>
      <c r="H24" s="19" t="n">
        <f aca="false">INDEX(Engine!$CX$6:$CX$58,$N24)</f>
        <v>0</v>
      </c>
      <c r="I24" s="19" t="n">
        <f aca="false">INDEX(Engine!$CY$6:$CY$58,$N24)</f>
        <v>-300000</v>
      </c>
      <c r="J24" s="19" t="n">
        <f aca="false">INDEX(Engine!$CZ$6:$CZ$58,$N24)</f>
        <v>0</v>
      </c>
      <c r="K24" s="19" t="n">
        <f aca="false">INDEX(Engine!$DA$6:$DA$58,$N24)</f>
        <v>0</v>
      </c>
      <c r="L24" s="9" t="str">
        <f aca="false">INDEX(Engine!$T$6:$T$58,$N24)</f>
        <v>Location fails</v>
      </c>
      <c r="M24" s="9" t="str">
        <f aca="false">INDEX(Engine!$DB$6:$DB$58,$N24)</f>
        <v>Over 2 mi to highway.</v>
      </c>
      <c r="N24" s="15" t="n">
        <f aca="false">MATCH(LARGE(Engine!$DC$6:$DC$58,A24),Engine!$DC$6:$DC$58,0)</f>
        <v>43</v>
      </c>
    </row>
    <row r="25" customFormat="false" ht="15" hidden="false" customHeight="false" outlineLevel="0" collapsed="false">
      <c r="A25" s="15" t="n">
        <v>20</v>
      </c>
      <c r="B25" s="4" t="str">
        <f aca="false">INDEX(Engine!$A$6:$A$58,$N25)</f>
        <v>Last-mile delivery station</v>
      </c>
      <c r="C25" s="9" t="str">
        <f aca="false">INDEX(Engine!$B$6:$B$58,$N25)</f>
        <v>Income</v>
      </c>
      <c r="D25" s="15" t="n">
        <f aca="false">INDEX(Engine!$S$6:$S$58,$N25)</f>
        <v>0</v>
      </c>
      <c r="E25" s="9" t="str">
        <f aca="false">INDEX(Engine!$C$6:$C$58,$N25)</f>
        <v>bldg SF</v>
      </c>
      <c r="F25" s="9" t="str">
        <f aca="false">INDEX(Engine!$CW$6:$CW$58,$N25)</f>
        <v>None works</v>
      </c>
      <c r="G25" s="18" t="n">
        <f aca="false">INDEX(Engine!$CV$6:$CV$58,$N25)</f>
        <v>0</v>
      </c>
      <c r="H25" s="19" t="n">
        <f aca="false">INDEX(Engine!$CX$6:$CX$58,$N25)</f>
        <v>0</v>
      </c>
      <c r="I25" s="19" t="n">
        <f aca="false">INDEX(Engine!$CY$6:$CY$58,$N25)</f>
        <v>-300000</v>
      </c>
      <c r="J25" s="19" t="n">
        <f aca="false">INDEX(Engine!$CZ$6:$CZ$58,$N25)</f>
        <v>0</v>
      </c>
      <c r="K25" s="19" t="n">
        <f aca="false">INDEX(Engine!$DA$6:$DA$58,$N25)</f>
        <v>0</v>
      </c>
      <c r="L25" s="9" t="str">
        <f aca="false">INDEX(Engine!$T$6:$T$58,$N25)</f>
        <v>Location fails</v>
      </c>
      <c r="M25" s="9" t="str">
        <f aca="false">INDEX(Engine!$DB$6:$DB$58,$N25)</f>
        <v>Under 15,000 households in 3 mi. Over 3 mi to highway.</v>
      </c>
      <c r="N25" s="15" t="n">
        <f aca="false">MATCH(LARGE(Engine!$DC$6:$DC$58,A25),Engine!$DC$6:$DC$58,0)</f>
        <v>42</v>
      </c>
    </row>
    <row r="26" customFormat="false" ht="15" hidden="false" customHeight="false" outlineLevel="0" collapsed="false">
      <c r="A26" s="15" t="n">
        <v>21</v>
      </c>
      <c r="B26" s="4" t="str">
        <f aca="false">INDEX(Engine!$A$6:$A$58,$N26)</f>
        <v>Office / showroom / warehouse</v>
      </c>
      <c r="C26" s="9" t="str">
        <f aca="false">INDEX(Engine!$B$6:$B$58,$N26)</f>
        <v>Income</v>
      </c>
      <c r="D26" s="15" t="n">
        <f aca="false">INDEX(Engine!$S$6:$S$58,$N26)</f>
        <v>0</v>
      </c>
      <c r="E26" s="9" t="str">
        <f aca="false">INDEX(Engine!$C$6:$C$58,$N26)</f>
        <v>bldg SF</v>
      </c>
      <c r="F26" s="9" t="str">
        <f aca="false">INDEX(Engine!$CW$6:$CW$58,$N26)</f>
        <v>None works</v>
      </c>
      <c r="G26" s="18" t="n">
        <f aca="false">INDEX(Engine!$CV$6:$CV$58,$N26)</f>
        <v>0</v>
      </c>
      <c r="H26" s="19" t="n">
        <f aca="false">INDEX(Engine!$CX$6:$CX$58,$N26)</f>
        <v>0</v>
      </c>
      <c r="I26" s="19" t="n">
        <f aca="false">INDEX(Engine!$CY$6:$CY$58,$N26)</f>
        <v>-300000</v>
      </c>
      <c r="J26" s="19" t="n">
        <f aca="false">INDEX(Engine!$CZ$6:$CZ$58,$N26)</f>
        <v>0</v>
      </c>
      <c r="K26" s="19" t="n">
        <f aca="false">INDEX(Engine!$DA$6:$DA$58,$N26)</f>
        <v>0</v>
      </c>
      <c r="L26" s="9" t="str">
        <f aca="false">INDEX(Engine!$T$6:$T$58,$N26)</f>
        <v>Location fails</v>
      </c>
      <c r="M26" s="9" t="str">
        <f aca="false">INDEX(Engine!$DB$6:$DB$58,$N26)</f>
        <v>Over 3 mi to highway.</v>
      </c>
      <c r="N26" s="15" t="n">
        <f aca="false">MATCH(LARGE(Engine!$DC$6:$DC$58,A26),Engine!$DC$6:$DC$58,0)</f>
        <v>40</v>
      </c>
    </row>
    <row r="27" customFormat="false" ht="15" hidden="false" customHeight="false" outlineLevel="0" collapsed="false">
      <c r="A27" s="15" t="n">
        <v>22</v>
      </c>
      <c r="B27" s="4" t="str">
        <f aca="false">INDEX(Engine!$A$6:$A$58,$N27)</f>
        <v>Small-bay flex industrial</v>
      </c>
      <c r="C27" s="9" t="str">
        <f aca="false">INDEX(Engine!$B$6:$B$58,$N27)</f>
        <v>Income</v>
      </c>
      <c r="D27" s="15" t="n">
        <f aca="false">INDEX(Engine!$S$6:$S$58,$N27)</f>
        <v>0</v>
      </c>
      <c r="E27" s="9" t="str">
        <f aca="false">INDEX(Engine!$C$6:$C$58,$N27)</f>
        <v>bldg SF</v>
      </c>
      <c r="F27" s="9" t="str">
        <f aca="false">INDEX(Engine!$CW$6:$CW$58,$N27)</f>
        <v>None works</v>
      </c>
      <c r="G27" s="18" t="n">
        <f aca="false">INDEX(Engine!$CV$6:$CV$58,$N27)</f>
        <v>0</v>
      </c>
      <c r="H27" s="19" t="n">
        <f aca="false">INDEX(Engine!$CX$6:$CX$58,$N27)</f>
        <v>0</v>
      </c>
      <c r="I27" s="19" t="n">
        <f aca="false">INDEX(Engine!$CY$6:$CY$58,$N27)</f>
        <v>-300000</v>
      </c>
      <c r="J27" s="19" t="n">
        <f aca="false">INDEX(Engine!$CZ$6:$CZ$58,$N27)</f>
        <v>0</v>
      </c>
      <c r="K27" s="19" t="n">
        <f aca="false">INDEX(Engine!$DA$6:$DA$58,$N27)</f>
        <v>0</v>
      </c>
      <c r="L27" s="9" t="str">
        <f aca="false">INDEX(Engine!$T$6:$T$58,$N27)</f>
        <v>Location fails</v>
      </c>
      <c r="M27" s="9" t="str">
        <f aca="false">INDEX(Engine!$DB$6:$DB$58,$N27)</f>
        <v>Over 5 mi to highway.</v>
      </c>
      <c r="N27" s="15" t="n">
        <f aca="false">MATCH(LARGE(Engine!$DC$6:$DC$58,A27),Engine!$DC$6:$DC$58,0)</f>
        <v>39</v>
      </c>
    </row>
    <row r="28" customFormat="false" ht="15" hidden="false" customHeight="false" outlineLevel="0" collapsed="false">
      <c r="A28" s="15" t="n">
        <v>23</v>
      </c>
      <c r="B28" s="4" t="str">
        <f aca="false">INDEX(Engine!$A$6:$A$58,$N28)</f>
        <v>Gym / fitness center</v>
      </c>
      <c r="C28" s="9" t="str">
        <f aca="false">INDEX(Engine!$B$6:$B$58,$N28)</f>
        <v>Income</v>
      </c>
      <c r="D28" s="15" t="n">
        <f aca="false">INDEX(Engine!$S$6:$S$58,$N28)</f>
        <v>0</v>
      </c>
      <c r="E28" s="9" t="str">
        <f aca="false">INDEX(Engine!$C$6:$C$58,$N28)</f>
        <v>bldg SF</v>
      </c>
      <c r="F28" s="9" t="str">
        <f aca="false">INDEX(Engine!$CW$6:$CW$58,$N28)</f>
        <v>None works</v>
      </c>
      <c r="G28" s="18" t="n">
        <f aca="false">INDEX(Engine!$CV$6:$CV$58,$N28)</f>
        <v>0</v>
      </c>
      <c r="H28" s="19" t="n">
        <f aca="false">INDEX(Engine!$CX$6:$CX$58,$N28)</f>
        <v>0</v>
      </c>
      <c r="I28" s="19" t="n">
        <f aca="false">INDEX(Engine!$CY$6:$CY$58,$N28)</f>
        <v>-300000</v>
      </c>
      <c r="J28" s="19" t="n">
        <f aca="false">INDEX(Engine!$CZ$6:$CZ$58,$N28)</f>
        <v>0</v>
      </c>
      <c r="K28" s="19" t="n">
        <f aca="false">INDEX(Engine!$DA$6:$DA$58,$N28)</f>
        <v>0</v>
      </c>
      <c r="L28" s="9" t="str">
        <f aca="false">INDEX(Engine!$T$6:$T$58,$N28)</f>
        <v>Location fails</v>
      </c>
      <c r="M28" s="9" t="str">
        <f aca="false">INDEX(Engine!$DB$6:$DB$58,$N28)</f>
        <v>Under 8,000 households in 3 mi.</v>
      </c>
      <c r="N28" s="15" t="n">
        <f aca="false">MATCH(LARGE(Engine!$DC$6:$DC$58,A28),Engine!$DC$6:$DC$58,0)</f>
        <v>37</v>
      </c>
    </row>
    <row r="29" customFormat="false" ht="15" hidden="false" customHeight="false" outlineLevel="0" collapsed="false">
      <c r="A29" s="15" t="n">
        <v>24</v>
      </c>
      <c r="B29" s="4" t="str">
        <f aca="false">INDEX(Engine!$A$6:$A$58,$N29)</f>
        <v>Youth sports complex</v>
      </c>
      <c r="C29" s="9" t="str">
        <f aca="false">INDEX(Engine!$B$6:$B$58,$N29)</f>
        <v>Operator Pad</v>
      </c>
      <c r="D29" s="15" t="n">
        <f aca="false">INDEX(Engine!$S$6:$S$58,$N29)</f>
        <v>0</v>
      </c>
      <c r="E29" s="9" t="str">
        <f aca="false">INDEX(Engine!$C$6:$C$58,$N29)</f>
        <v>acre</v>
      </c>
      <c r="F29" s="9" t="str">
        <f aca="false">INDEX(Engine!$CW$6:$CW$58,$N29)</f>
        <v>None works</v>
      </c>
      <c r="G29" s="18" t="n">
        <f aca="false">INDEX(Engine!$CV$6:$CV$58,$N29)</f>
        <v>0</v>
      </c>
      <c r="H29" s="19" t="n">
        <f aca="false">INDEX(Engine!$CX$6:$CX$58,$N29)</f>
        <v>0</v>
      </c>
      <c r="I29" s="19" t="n">
        <f aca="false">INDEX(Engine!$CY$6:$CY$58,$N29)</f>
        <v>-300000</v>
      </c>
      <c r="J29" s="19" t="n">
        <f aca="false">INDEX(Engine!$CZ$6:$CZ$58,$N29)</f>
        <v>0</v>
      </c>
      <c r="K29" s="19" t="n">
        <f aca="false">INDEX(Engine!$DA$6:$DA$58,$N29)</f>
        <v>0</v>
      </c>
      <c r="L29" s="9" t="str">
        <f aca="false">INDEX(Engine!$T$6:$T$58,$N29)</f>
        <v>Location fails</v>
      </c>
      <c r="M29" s="9" t="str">
        <f aca="false">INDEX(Engine!$DB$6:$DB$58,$N29)</f>
        <v>Under 5,000 households in 3 mi.</v>
      </c>
      <c r="N29" s="15" t="n">
        <f aca="false">MATCH(LARGE(Engine!$DC$6:$DC$58,A29),Engine!$DC$6:$DC$58,0)</f>
        <v>36</v>
      </c>
    </row>
    <row r="30" customFormat="false" ht="15" hidden="false" customHeight="false" outlineLevel="0" collapsed="false">
      <c r="A30" s="15" t="n">
        <v>25</v>
      </c>
      <c r="B30" s="4" t="str">
        <f aca="false">INDEX(Engine!$A$6:$A$58,$N30)</f>
        <v>Charter / private school</v>
      </c>
      <c r="C30" s="9" t="str">
        <f aca="false">INDEX(Engine!$B$6:$B$58,$N30)</f>
        <v>Operator Pad</v>
      </c>
      <c r="D30" s="15" t="n">
        <f aca="false">INDEX(Engine!$S$6:$S$58,$N30)</f>
        <v>0</v>
      </c>
      <c r="E30" s="9" t="str">
        <f aca="false">INDEX(Engine!$C$6:$C$58,$N30)</f>
        <v>acre</v>
      </c>
      <c r="F30" s="9" t="str">
        <f aca="false">INDEX(Engine!$CW$6:$CW$58,$N30)</f>
        <v>None works</v>
      </c>
      <c r="G30" s="18" t="n">
        <f aca="false">INDEX(Engine!$CV$6:$CV$58,$N30)</f>
        <v>0</v>
      </c>
      <c r="H30" s="19" t="n">
        <f aca="false">INDEX(Engine!$CX$6:$CX$58,$N30)</f>
        <v>0</v>
      </c>
      <c r="I30" s="19" t="n">
        <f aca="false">INDEX(Engine!$CY$6:$CY$58,$N30)</f>
        <v>-300000</v>
      </c>
      <c r="J30" s="19" t="n">
        <f aca="false">INDEX(Engine!$CZ$6:$CZ$58,$N30)</f>
        <v>0</v>
      </c>
      <c r="K30" s="19" t="n">
        <f aca="false">INDEX(Engine!$DA$6:$DA$58,$N30)</f>
        <v>0</v>
      </c>
      <c r="L30" s="9" t="str">
        <f aca="false">INDEX(Engine!$T$6:$T$58,$N30)</f>
        <v>Location fails</v>
      </c>
      <c r="M30" s="9" t="str">
        <f aca="false">INDEX(Engine!$DB$6:$DB$58,$N30)</f>
        <v>Under 8,000 households in 3 mi.</v>
      </c>
      <c r="N30" s="15" t="n">
        <f aca="false">MATCH(LARGE(Engine!$DC$6:$DC$58,A30),Engine!$DC$6:$DC$58,0)</f>
        <v>35</v>
      </c>
    </row>
    <row r="31" customFormat="false" ht="15" hidden="false" customHeight="false" outlineLevel="0" collapsed="false">
      <c r="A31" s="15" t="n">
        <v>26</v>
      </c>
      <c r="B31" s="4" t="str">
        <f aca="false">INDEX(Engine!$A$6:$A$58,$N31)</f>
        <v>Childcare / early-learning center</v>
      </c>
      <c r="C31" s="9" t="str">
        <f aca="false">INDEX(Engine!$B$6:$B$58,$N31)</f>
        <v>Operator Pad</v>
      </c>
      <c r="D31" s="15" t="n">
        <f aca="false">INDEX(Engine!$S$6:$S$58,$N31)</f>
        <v>0</v>
      </c>
      <c r="E31" s="9" t="str">
        <f aca="false">INDEX(Engine!$C$6:$C$58,$N31)</f>
        <v>acre</v>
      </c>
      <c r="F31" s="9" t="str">
        <f aca="false">INDEX(Engine!$CW$6:$CW$58,$N31)</f>
        <v>None works</v>
      </c>
      <c r="G31" s="18" t="n">
        <f aca="false">INDEX(Engine!$CV$6:$CV$58,$N31)</f>
        <v>0</v>
      </c>
      <c r="H31" s="19" t="n">
        <f aca="false">INDEX(Engine!$CX$6:$CX$58,$N31)</f>
        <v>0</v>
      </c>
      <c r="I31" s="19" t="n">
        <f aca="false">INDEX(Engine!$CY$6:$CY$58,$N31)</f>
        <v>-300000</v>
      </c>
      <c r="J31" s="19" t="n">
        <f aca="false">INDEX(Engine!$CZ$6:$CZ$58,$N31)</f>
        <v>0</v>
      </c>
      <c r="K31" s="19" t="n">
        <f aca="false">INDEX(Engine!$DA$6:$DA$58,$N31)</f>
        <v>0</v>
      </c>
      <c r="L31" s="9" t="str">
        <f aca="false">INDEX(Engine!$T$6:$T$58,$N31)</f>
        <v>Location fails</v>
      </c>
      <c r="M31" s="9" t="str">
        <f aca="false">INDEX(Engine!$DB$6:$DB$58,$N31)</f>
        <v>Under 5,000 households in 3 mi.</v>
      </c>
      <c r="N31" s="15" t="n">
        <f aca="false">MATCH(LARGE(Engine!$DC$6:$DC$58,A31),Engine!$DC$6:$DC$58,0)</f>
        <v>34</v>
      </c>
    </row>
    <row r="32" customFormat="false" ht="15" hidden="false" customHeight="false" outlineLevel="0" collapsed="false">
      <c r="A32" s="15" t="n">
        <v>27</v>
      </c>
      <c r="B32" s="4" t="str">
        <f aca="false">INDEX(Engine!$A$6:$A$58,$N32)</f>
        <v>Pet boarding / grooming / daycare</v>
      </c>
      <c r="C32" s="9" t="str">
        <f aca="false">INDEX(Engine!$B$6:$B$58,$N32)</f>
        <v>Operator Pad</v>
      </c>
      <c r="D32" s="15" t="n">
        <f aca="false">INDEX(Engine!$S$6:$S$58,$N32)</f>
        <v>0</v>
      </c>
      <c r="E32" s="9" t="str">
        <f aca="false">INDEX(Engine!$C$6:$C$58,$N32)</f>
        <v>acre</v>
      </c>
      <c r="F32" s="9" t="str">
        <f aca="false">INDEX(Engine!$CW$6:$CW$58,$N32)</f>
        <v>None works</v>
      </c>
      <c r="G32" s="18" t="n">
        <f aca="false">INDEX(Engine!$CV$6:$CV$58,$N32)</f>
        <v>0</v>
      </c>
      <c r="H32" s="19" t="n">
        <f aca="false">INDEX(Engine!$CX$6:$CX$58,$N32)</f>
        <v>0</v>
      </c>
      <c r="I32" s="19" t="n">
        <f aca="false">INDEX(Engine!$CY$6:$CY$58,$N32)</f>
        <v>-300000</v>
      </c>
      <c r="J32" s="19" t="n">
        <f aca="false">INDEX(Engine!$CZ$6:$CZ$58,$N32)</f>
        <v>0</v>
      </c>
      <c r="K32" s="19" t="n">
        <f aca="false">INDEX(Engine!$DA$6:$DA$58,$N32)</f>
        <v>0</v>
      </c>
      <c r="L32" s="9" t="str">
        <f aca="false">INDEX(Engine!$T$6:$T$58,$N32)</f>
        <v>Location fails</v>
      </c>
      <c r="M32" s="9" t="str">
        <f aca="false">INDEX(Engine!$DB$6:$DB$58,$N32)</f>
        <v>Under 4,000 households in 3 mi.</v>
      </c>
      <c r="N32" s="15" t="n">
        <f aca="false">MATCH(LARGE(Engine!$DC$6:$DC$58,A32),Engine!$DC$6:$DC$58,0)</f>
        <v>33</v>
      </c>
    </row>
    <row r="33" customFormat="false" ht="15" hidden="false" customHeight="false" outlineLevel="0" collapsed="false">
      <c r="A33" s="15" t="n">
        <v>28</v>
      </c>
      <c r="B33" s="4" t="str">
        <f aca="false">INDEX(Engine!$A$6:$A$58,$N33)</f>
        <v>Laundromat</v>
      </c>
      <c r="C33" s="9" t="str">
        <f aca="false">INDEX(Engine!$B$6:$B$58,$N33)</f>
        <v>Operator Pad</v>
      </c>
      <c r="D33" s="15" t="n">
        <f aca="false">INDEX(Engine!$S$6:$S$58,$N33)</f>
        <v>0</v>
      </c>
      <c r="E33" s="9" t="str">
        <f aca="false">INDEX(Engine!$C$6:$C$58,$N33)</f>
        <v>acre</v>
      </c>
      <c r="F33" s="9" t="str">
        <f aca="false">INDEX(Engine!$CW$6:$CW$58,$N33)</f>
        <v>None works</v>
      </c>
      <c r="G33" s="18" t="n">
        <f aca="false">INDEX(Engine!$CV$6:$CV$58,$N33)</f>
        <v>0</v>
      </c>
      <c r="H33" s="19" t="n">
        <f aca="false">INDEX(Engine!$CX$6:$CX$58,$N33)</f>
        <v>0</v>
      </c>
      <c r="I33" s="19" t="n">
        <f aca="false">INDEX(Engine!$CY$6:$CY$58,$N33)</f>
        <v>-300000</v>
      </c>
      <c r="J33" s="19" t="n">
        <f aca="false">INDEX(Engine!$CZ$6:$CZ$58,$N33)</f>
        <v>0</v>
      </c>
      <c r="K33" s="19" t="n">
        <f aca="false">INDEX(Engine!$DA$6:$DA$58,$N33)</f>
        <v>0</v>
      </c>
      <c r="L33" s="9" t="str">
        <f aca="false">INDEX(Engine!$T$6:$T$58,$N33)</f>
        <v>Location fails</v>
      </c>
      <c r="M33" s="9" t="str">
        <f aca="false">INDEX(Engine!$DB$6:$DB$58,$N33)</f>
        <v>Under 4,000 households in 3 mi.</v>
      </c>
      <c r="N33" s="15" t="n">
        <f aca="false">MATCH(LARGE(Engine!$DC$6:$DC$58,A33),Engine!$DC$6:$DC$58,0)</f>
        <v>32</v>
      </c>
    </row>
    <row r="34" customFormat="false" ht="15" hidden="false" customHeight="false" outlineLevel="0" collapsed="false">
      <c r="A34" s="15" t="n">
        <v>29</v>
      </c>
      <c r="B34" s="4" t="str">
        <f aca="false">INDEX(Engine!$A$6:$A$58,$N34)</f>
        <v>Auto service / tire / oil pad</v>
      </c>
      <c r="C34" s="9" t="str">
        <f aca="false">INDEX(Engine!$B$6:$B$58,$N34)</f>
        <v>Income</v>
      </c>
      <c r="D34" s="15" t="n">
        <f aca="false">INDEX(Engine!$S$6:$S$58,$N34)</f>
        <v>0</v>
      </c>
      <c r="E34" s="9" t="str">
        <f aca="false">INDEX(Engine!$C$6:$C$58,$N34)</f>
        <v>bldg SF</v>
      </c>
      <c r="F34" s="9" t="str">
        <f aca="false">INDEX(Engine!$CW$6:$CW$58,$N34)</f>
        <v>None works</v>
      </c>
      <c r="G34" s="18" t="n">
        <f aca="false">INDEX(Engine!$CV$6:$CV$58,$N34)</f>
        <v>0</v>
      </c>
      <c r="H34" s="19" t="n">
        <f aca="false">INDEX(Engine!$CX$6:$CX$58,$N34)</f>
        <v>0</v>
      </c>
      <c r="I34" s="19" t="n">
        <f aca="false">INDEX(Engine!$CY$6:$CY$58,$N34)</f>
        <v>-300000</v>
      </c>
      <c r="J34" s="19" t="n">
        <f aca="false">INDEX(Engine!$CZ$6:$CZ$58,$N34)</f>
        <v>0</v>
      </c>
      <c r="K34" s="19" t="n">
        <f aca="false">INDEX(Engine!$DA$6:$DA$58,$N34)</f>
        <v>0</v>
      </c>
      <c r="L34" s="9" t="str">
        <f aca="false">INDEX(Engine!$T$6:$T$58,$N34)</f>
        <v>Location fails</v>
      </c>
      <c r="M34" s="9" t="str">
        <f aca="false">INDEX(Engine!$DB$6:$DB$58,$N34)</f>
        <v>Traffic under 10,000 VPD. Under 5,000 households in 3 mi.</v>
      </c>
      <c r="N34" s="15" t="n">
        <f aca="false">MATCH(LARGE(Engine!$DC$6:$DC$58,A34),Engine!$DC$6:$DC$58,0)</f>
        <v>31</v>
      </c>
    </row>
    <row r="35" customFormat="false" ht="15" hidden="false" customHeight="false" outlineLevel="0" collapsed="false">
      <c r="A35" s="15" t="n">
        <v>30</v>
      </c>
      <c r="B35" s="4" t="str">
        <f aca="false">INDEX(Engine!$A$6:$A$58,$N35)</f>
        <v>Salon suites</v>
      </c>
      <c r="C35" s="9" t="str">
        <f aca="false">INDEX(Engine!$B$6:$B$58,$N35)</f>
        <v>Income</v>
      </c>
      <c r="D35" s="15" t="n">
        <f aca="false">INDEX(Engine!$S$6:$S$58,$N35)</f>
        <v>0</v>
      </c>
      <c r="E35" s="9" t="str">
        <f aca="false">INDEX(Engine!$C$6:$C$58,$N35)</f>
        <v>bldg SF</v>
      </c>
      <c r="F35" s="9" t="str">
        <f aca="false">INDEX(Engine!$CW$6:$CW$58,$N35)</f>
        <v>None works</v>
      </c>
      <c r="G35" s="18" t="n">
        <f aca="false">INDEX(Engine!$CV$6:$CV$58,$N35)</f>
        <v>0</v>
      </c>
      <c r="H35" s="19" t="n">
        <f aca="false">INDEX(Engine!$CX$6:$CX$58,$N35)</f>
        <v>0</v>
      </c>
      <c r="I35" s="19" t="n">
        <f aca="false">INDEX(Engine!$CY$6:$CY$58,$N35)</f>
        <v>-300000</v>
      </c>
      <c r="J35" s="19" t="n">
        <f aca="false">INDEX(Engine!$CZ$6:$CZ$58,$N35)</f>
        <v>0</v>
      </c>
      <c r="K35" s="19" t="n">
        <f aca="false">INDEX(Engine!$DA$6:$DA$58,$N35)</f>
        <v>0</v>
      </c>
      <c r="L35" s="9" t="str">
        <f aca="false">INDEX(Engine!$T$6:$T$58,$N35)</f>
        <v>Location fails</v>
      </c>
      <c r="M35" s="9" t="str">
        <f aca="false">INDEX(Engine!$DB$6:$DB$58,$N35)</f>
        <v>Under 8,000 households in 3 mi.</v>
      </c>
      <c r="N35" s="15" t="n">
        <f aca="false">MATCH(LARGE(Engine!$DC$6:$DC$58,A35),Engine!$DC$6:$DC$58,0)</f>
        <v>30</v>
      </c>
    </row>
    <row r="36" customFormat="false" ht="15" hidden="false" customHeight="false" outlineLevel="0" collapsed="false">
      <c r="A36" s="15" t="n">
        <v>31</v>
      </c>
      <c r="B36" s="4" t="str">
        <f aca="false">INDEX(Engine!$A$6:$A$58,$N36)</f>
        <v>Neighborhood strip center</v>
      </c>
      <c r="C36" s="9" t="str">
        <f aca="false">INDEX(Engine!$B$6:$B$58,$N36)</f>
        <v>Income</v>
      </c>
      <c r="D36" s="15" t="n">
        <f aca="false">INDEX(Engine!$S$6:$S$58,$N36)</f>
        <v>0</v>
      </c>
      <c r="E36" s="9" t="str">
        <f aca="false">INDEX(Engine!$C$6:$C$58,$N36)</f>
        <v>bldg SF</v>
      </c>
      <c r="F36" s="9" t="str">
        <f aca="false">INDEX(Engine!$CW$6:$CW$58,$N36)</f>
        <v>None works</v>
      </c>
      <c r="G36" s="18" t="n">
        <f aca="false">INDEX(Engine!$CV$6:$CV$58,$N36)</f>
        <v>0</v>
      </c>
      <c r="H36" s="19" t="n">
        <f aca="false">INDEX(Engine!$CX$6:$CX$58,$N36)</f>
        <v>0</v>
      </c>
      <c r="I36" s="19" t="n">
        <f aca="false">INDEX(Engine!$CY$6:$CY$58,$N36)</f>
        <v>-300000</v>
      </c>
      <c r="J36" s="19" t="n">
        <f aca="false">INDEX(Engine!$CZ$6:$CZ$58,$N36)</f>
        <v>0</v>
      </c>
      <c r="K36" s="19" t="n">
        <f aca="false">INDEX(Engine!$DA$6:$DA$58,$N36)</f>
        <v>0</v>
      </c>
      <c r="L36" s="9" t="str">
        <f aca="false">INDEX(Engine!$T$6:$T$58,$N36)</f>
        <v>Location fails</v>
      </c>
      <c r="M36" s="9" t="str">
        <f aca="false">INDEX(Engine!$DB$6:$DB$58,$N36)</f>
        <v>Traffic under 10,000 VPD. Under 6,000 households in 3 mi.</v>
      </c>
      <c r="N36" s="15" t="n">
        <f aca="false">MATCH(LARGE(Engine!$DC$6:$DC$58,A36),Engine!$DC$6:$DC$58,0)</f>
        <v>29</v>
      </c>
    </row>
    <row r="37" customFormat="false" ht="15" hidden="false" customHeight="false" outlineLevel="0" collapsed="false">
      <c r="A37" s="15" t="n">
        <v>32</v>
      </c>
      <c r="B37" s="4" t="str">
        <f aca="false">INDEX(Engine!$A$6:$A$58,$N37)</f>
        <v>QSR / drive-thru pad</v>
      </c>
      <c r="C37" s="9" t="str">
        <f aca="false">INDEX(Engine!$B$6:$B$58,$N37)</f>
        <v>Income</v>
      </c>
      <c r="D37" s="15" t="n">
        <f aca="false">INDEX(Engine!$S$6:$S$58,$N37)</f>
        <v>0</v>
      </c>
      <c r="E37" s="9" t="str">
        <f aca="false">INDEX(Engine!$C$6:$C$58,$N37)</f>
        <v>bldg SF</v>
      </c>
      <c r="F37" s="9" t="str">
        <f aca="false">INDEX(Engine!$CW$6:$CW$58,$N37)</f>
        <v>None works</v>
      </c>
      <c r="G37" s="18" t="n">
        <f aca="false">INDEX(Engine!$CV$6:$CV$58,$N37)</f>
        <v>0</v>
      </c>
      <c r="H37" s="19" t="n">
        <f aca="false">INDEX(Engine!$CX$6:$CX$58,$N37)</f>
        <v>0</v>
      </c>
      <c r="I37" s="19" t="n">
        <f aca="false">INDEX(Engine!$CY$6:$CY$58,$N37)</f>
        <v>-300000</v>
      </c>
      <c r="J37" s="19" t="n">
        <f aca="false">INDEX(Engine!$CZ$6:$CZ$58,$N37)</f>
        <v>0</v>
      </c>
      <c r="K37" s="19" t="n">
        <f aca="false">INDEX(Engine!$DA$6:$DA$58,$N37)</f>
        <v>0</v>
      </c>
      <c r="L37" s="9" t="str">
        <f aca="false">INDEX(Engine!$T$6:$T$58,$N37)</f>
        <v>Location fails</v>
      </c>
      <c r="M37" s="9" t="str">
        <f aca="false">INDEX(Engine!$DB$6:$DB$58,$N37)</f>
        <v>Traffic under 15,000 VPD. Under 5,000 households in 3 mi.</v>
      </c>
      <c r="N37" s="15" t="n">
        <f aca="false">MATCH(LARGE(Engine!$DC$6:$DC$58,A37),Engine!$DC$6:$DC$58,0)</f>
        <v>28</v>
      </c>
    </row>
    <row r="38" customFormat="false" ht="15" hidden="false" customHeight="false" outlineLevel="0" collapsed="false">
      <c r="A38" s="15" t="n">
        <v>33</v>
      </c>
      <c r="B38" s="4" t="str">
        <f aca="false">INDEX(Engine!$A$6:$A$58,$N38)</f>
        <v>Gas station / c-store pad</v>
      </c>
      <c r="C38" s="9" t="str">
        <f aca="false">INDEX(Engine!$B$6:$B$58,$N38)</f>
        <v>Income</v>
      </c>
      <c r="D38" s="15" t="n">
        <f aca="false">INDEX(Engine!$S$6:$S$58,$N38)</f>
        <v>0</v>
      </c>
      <c r="E38" s="9" t="str">
        <f aca="false">INDEX(Engine!$C$6:$C$58,$N38)</f>
        <v>bldg SF</v>
      </c>
      <c r="F38" s="9" t="str">
        <f aca="false">INDEX(Engine!$CW$6:$CW$58,$N38)</f>
        <v>None works</v>
      </c>
      <c r="G38" s="18" t="n">
        <f aca="false">INDEX(Engine!$CV$6:$CV$58,$N38)</f>
        <v>0</v>
      </c>
      <c r="H38" s="19" t="n">
        <f aca="false">INDEX(Engine!$CX$6:$CX$58,$N38)</f>
        <v>0</v>
      </c>
      <c r="I38" s="19" t="n">
        <f aca="false">INDEX(Engine!$CY$6:$CY$58,$N38)</f>
        <v>-300000</v>
      </c>
      <c r="J38" s="19" t="n">
        <f aca="false">INDEX(Engine!$CZ$6:$CZ$58,$N38)</f>
        <v>0</v>
      </c>
      <c r="K38" s="19" t="n">
        <f aca="false">INDEX(Engine!$DA$6:$DA$58,$N38)</f>
        <v>0</v>
      </c>
      <c r="L38" s="9" t="str">
        <f aca="false">INDEX(Engine!$T$6:$T$58,$N38)</f>
        <v>Location fails</v>
      </c>
      <c r="M38" s="9" t="str">
        <f aca="false">INDEX(Engine!$DB$6:$DB$58,$N38)</f>
        <v>Traffic under 15,000 VPD. Under 3,000 households in 3 mi. Needs a corner.</v>
      </c>
      <c r="N38" s="15" t="n">
        <f aca="false">MATCH(LARGE(Engine!$DC$6:$DC$58,A38),Engine!$DC$6:$DC$58,0)</f>
        <v>27</v>
      </c>
    </row>
    <row r="39" customFormat="false" ht="15" hidden="false" customHeight="false" outlineLevel="0" collapsed="false">
      <c r="A39" s="15" t="n">
        <v>34</v>
      </c>
      <c r="B39" s="4" t="str">
        <f aca="false">INDEX(Engine!$A$6:$A$58,$N39)</f>
        <v>Grocery-anchored center</v>
      </c>
      <c r="C39" s="9" t="str">
        <f aca="false">INDEX(Engine!$B$6:$B$58,$N39)</f>
        <v>Income</v>
      </c>
      <c r="D39" s="15" t="n">
        <f aca="false">INDEX(Engine!$S$6:$S$58,$N39)</f>
        <v>0</v>
      </c>
      <c r="E39" s="9" t="str">
        <f aca="false">INDEX(Engine!$C$6:$C$58,$N39)</f>
        <v>bldg SF</v>
      </c>
      <c r="F39" s="9" t="str">
        <f aca="false">INDEX(Engine!$CW$6:$CW$58,$N39)</f>
        <v>None works</v>
      </c>
      <c r="G39" s="18" t="n">
        <f aca="false">INDEX(Engine!$CV$6:$CV$58,$N39)</f>
        <v>0</v>
      </c>
      <c r="H39" s="19" t="n">
        <f aca="false">INDEX(Engine!$CX$6:$CX$58,$N39)</f>
        <v>0</v>
      </c>
      <c r="I39" s="19" t="n">
        <f aca="false">INDEX(Engine!$CY$6:$CY$58,$N39)</f>
        <v>-300000</v>
      </c>
      <c r="J39" s="19" t="n">
        <f aca="false">INDEX(Engine!$CZ$6:$CZ$58,$N39)</f>
        <v>0</v>
      </c>
      <c r="K39" s="19" t="n">
        <f aca="false">INDEX(Engine!$DA$6:$DA$58,$N39)</f>
        <v>0</v>
      </c>
      <c r="L39" s="9" t="str">
        <f aca="false">INDEX(Engine!$T$6:$T$58,$N39)</f>
        <v>Location fails</v>
      </c>
      <c r="M39" s="9" t="str">
        <f aca="false">INDEX(Engine!$DB$6:$DB$58,$N39)</f>
        <v>Traffic under 15,000 VPD. Under 10,000 households in 3 mi. Needs a corner.</v>
      </c>
      <c r="N39" s="15" t="n">
        <f aca="false">MATCH(LARGE(Engine!$DC$6:$DC$58,A39),Engine!$DC$6:$DC$58,0)</f>
        <v>26</v>
      </c>
    </row>
    <row r="40" customFormat="false" ht="15" hidden="false" customHeight="false" outlineLevel="0" collapsed="false">
      <c r="A40" s="15" t="n">
        <v>35</v>
      </c>
      <c r="B40" s="4" t="str">
        <f aca="false">INDEX(Engine!$A$6:$A$58,$N40)</f>
        <v>Veterinary clinic</v>
      </c>
      <c r="C40" s="9" t="str">
        <f aca="false">INDEX(Engine!$B$6:$B$58,$N40)</f>
        <v>Income</v>
      </c>
      <c r="D40" s="15" t="n">
        <f aca="false">INDEX(Engine!$S$6:$S$58,$N40)</f>
        <v>0</v>
      </c>
      <c r="E40" s="9" t="str">
        <f aca="false">INDEX(Engine!$C$6:$C$58,$N40)</f>
        <v>bldg SF</v>
      </c>
      <c r="F40" s="9" t="str">
        <f aca="false">INDEX(Engine!$CW$6:$CW$58,$N40)</f>
        <v>None works</v>
      </c>
      <c r="G40" s="18" t="n">
        <f aca="false">INDEX(Engine!$CV$6:$CV$58,$N40)</f>
        <v>0</v>
      </c>
      <c r="H40" s="19" t="n">
        <f aca="false">INDEX(Engine!$CX$6:$CX$58,$N40)</f>
        <v>0</v>
      </c>
      <c r="I40" s="19" t="n">
        <f aca="false">INDEX(Engine!$CY$6:$CY$58,$N40)</f>
        <v>-300000</v>
      </c>
      <c r="J40" s="19" t="n">
        <f aca="false">INDEX(Engine!$CZ$6:$CZ$58,$N40)</f>
        <v>0</v>
      </c>
      <c r="K40" s="19" t="n">
        <f aca="false">INDEX(Engine!$DA$6:$DA$58,$N40)</f>
        <v>0</v>
      </c>
      <c r="L40" s="9" t="str">
        <f aca="false">INDEX(Engine!$T$6:$T$58,$N40)</f>
        <v>Location fails</v>
      </c>
      <c r="M40" s="9" t="str">
        <f aca="false">INDEX(Engine!$DB$6:$DB$58,$N40)</f>
        <v>Under 5,000 households in 3 mi.</v>
      </c>
      <c r="N40" s="15" t="n">
        <f aca="false">MATCH(LARGE(Engine!$DC$6:$DC$58,A40),Engine!$DC$6:$DC$58,0)</f>
        <v>25</v>
      </c>
    </row>
    <row r="41" customFormat="false" ht="15" hidden="false" customHeight="false" outlineLevel="0" collapsed="false">
      <c r="A41" s="15" t="n">
        <v>36</v>
      </c>
      <c r="B41" s="4" t="str">
        <f aca="false">INDEX(Engine!$A$6:$A$58,$N41)</f>
        <v>Pharmacy / drugstore pad</v>
      </c>
      <c r="C41" s="9" t="str">
        <f aca="false">INDEX(Engine!$B$6:$B$58,$N41)</f>
        <v>Income</v>
      </c>
      <c r="D41" s="15" t="n">
        <f aca="false">INDEX(Engine!$S$6:$S$58,$N41)</f>
        <v>0</v>
      </c>
      <c r="E41" s="9" t="str">
        <f aca="false">INDEX(Engine!$C$6:$C$58,$N41)</f>
        <v>bldg SF</v>
      </c>
      <c r="F41" s="9" t="str">
        <f aca="false">INDEX(Engine!$CW$6:$CW$58,$N41)</f>
        <v>None works</v>
      </c>
      <c r="G41" s="18" t="n">
        <f aca="false">INDEX(Engine!$CV$6:$CV$58,$N41)</f>
        <v>0</v>
      </c>
      <c r="H41" s="19" t="n">
        <f aca="false">INDEX(Engine!$CX$6:$CX$58,$N41)</f>
        <v>0</v>
      </c>
      <c r="I41" s="19" t="n">
        <f aca="false">INDEX(Engine!$CY$6:$CY$58,$N41)</f>
        <v>-300000</v>
      </c>
      <c r="J41" s="19" t="n">
        <f aca="false">INDEX(Engine!$CZ$6:$CZ$58,$N41)</f>
        <v>0</v>
      </c>
      <c r="K41" s="19" t="n">
        <f aca="false">INDEX(Engine!$DA$6:$DA$58,$N41)</f>
        <v>0</v>
      </c>
      <c r="L41" s="9" t="str">
        <f aca="false">INDEX(Engine!$T$6:$T$58,$N41)</f>
        <v>Location fails</v>
      </c>
      <c r="M41" s="9" t="str">
        <f aca="false">INDEX(Engine!$DB$6:$DB$58,$N41)</f>
        <v>Traffic under 20,000 VPD. Under 8,000 households in 3 mi. Needs a corner.</v>
      </c>
      <c r="N41" s="15" t="n">
        <f aca="false">MATCH(LARGE(Engine!$DC$6:$DC$58,A41),Engine!$DC$6:$DC$58,0)</f>
        <v>24</v>
      </c>
    </row>
    <row r="42" customFormat="false" ht="15" hidden="false" customHeight="false" outlineLevel="0" collapsed="false">
      <c r="A42" s="15" t="n">
        <v>37</v>
      </c>
      <c r="B42" s="4" t="str">
        <f aca="false">INDEX(Engine!$A$6:$A$58,$N42)</f>
        <v>Dialysis / outpatient therapy</v>
      </c>
      <c r="C42" s="9" t="str">
        <f aca="false">INDEX(Engine!$B$6:$B$58,$N42)</f>
        <v>Income</v>
      </c>
      <c r="D42" s="15" t="n">
        <f aca="false">INDEX(Engine!$S$6:$S$58,$N42)</f>
        <v>0</v>
      </c>
      <c r="E42" s="9" t="str">
        <f aca="false">INDEX(Engine!$C$6:$C$58,$N42)</f>
        <v>bldg SF</v>
      </c>
      <c r="F42" s="9" t="str">
        <f aca="false">INDEX(Engine!$CW$6:$CW$58,$N42)</f>
        <v>None works</v>
      </c>
      <c r="G42" s="18" t="n">
        <f aca="false">INDEX(Engine!$CV$6:$CV$58,$N42)</f>
        <v>0</v>
      </c>
      <c r="H42" s="19" t="n">
        <f aca="false">INDEX(Engine!$CX$6:$CX$58,$N42)</f>
        <v>0</v>
      </c>
      <c r="I42" s="19" t="n">
        <f aca="false">INDEX(Engine!$CY$6:$CY$58,$N42)</f>
        <v>-300000</v>
      </c>
      <c r="J42" s="19" t="n">
        <f aca="false">INDEX(Engine!$CZ$6:$CZ$58,$N42)</f>
        <v>0</v>
      </c>
      <c r="K42" s="19" t="n">
        <f aca="false">INDEX(Engine!$DA$6:$DA$58,$N42)</f>
        <v>0</v>
      </c>
      <c r="L42" s="9" t="str">
        <f aca="false">INDEX(Engine!$T$6:$T$58,$N42)</f>
        <v>Location fails</v>
      </c>
      <c r="M42" s="9" t="str">
        <f aca="false">INDEX(Engine!$DB$6:$DB$58,$N42)</f>
        <v>Under 8,000 households in 3 mi.</v>
      </c>
      <c r="N42" s="15" t="n">
        <f aca="false">MATCH(LARGE(Engine!$DC$6:$DC$58,A42),Engine!$DC$6:$DC$58,0)</f>
        <v>23</v>
      </c>
    </row>
    <row r="43" customFormat="false" ht="15" hidden="false" customHeight="false" outlineLevel="0" collapsed="false">
      <c r="A43" s="15" t="n">
        <v>38</v>
      </c>
      <c r="B43" s="4" t="str">
        <f aca="false">INDEX(Engine!$A$6:$A$58,$N43)</f>
        <v>Dental / specialty clinic pad</v>
      </c>
      <c r="C43" s="9" t="str">
        <f aca="false">INDEX(Engine!$B$6:$B$58,$N43)</f>
        <v>Income</v>
      </c>
      <c r="D43" s="15" t="n">
        <f aca="false">INDEX(Engine!$S$6:$S$58,$N43)</f>
        <v>0</v>
      </c>
      <c r="E43" s="9" t="str">
        <f aca="false">INDEX(Engine!$C$6:$C$58,$N43)</f>
        <v>bldg SF</v>
      </c>
      <c r="F43" s="9" t="str">
        <f aca="false">INDEX(Engine!$CW$6:$CW$58,$N43)</f>
        <v>None works</v>
      </c>
      <c r="G43" s="18" t="n">
        <f aca="false">INDEX(Engine!$CV$6:$CV$58,$N43)</f>
        <v>0</v>
      </c>
      <c r="H43" s="19" t="n">
        <f aca="false">INDEX(Engine!$CX$6:$CX$58,$N43)</f>
        <v>0</v>
      </c>
      <c r="I43" s="19" t="n">
        <f aca="false">INDEX(Engine!$CY$6:$CY$58,$N43)</f>
        <v>-300000</v>
      </c>
      <c r="J43" s="19" t="n">
        <f aca="false">INDEX(Engine!$CZ$6:$CZ$58,$N43)</f>
        <v>0</v>
      </c>
      <c r="K43" s="19" t="n">
        <f aca="false">INDEX(Engine!$DA$6:$DA$58,$N43)</f>
        <v>0</v>
      </c>
      <c r="L43" s="9" t="str">
        <f aca="false">INDEX(Engine!$T$6:$T$58,$N43)</f>
        <v>Location fails</v>
      </c>
      <c r="M43" s="9" t="str">
        <f aca="false">INDEX(Engine!$DB$6:$DB$58,$N43)</f>
        <v>Under 6,000 households in 3 mi.</v>
      </c>
      <c r="N43" s="15" t="n">
        <f aca="false">MATCH(LARGE(Engine!$DC$6:$DC$58,A43),Engine!$DC$6:$DC$58,0)</f>
        <v>22</v>
      </c>
    </row>
    <row r="44" customFormat="false" ht="15" hidden="false" customHeight="false" outlineLevel="0" collapsed="false">
      <c r="A44" s="15" t="n">
        <v>39</v>
      </c>
      <c r="B44" s="4" t="str">
        <f aca="false">INDEX(Engine!$A$6:$A$58,$N44)</f>
        <v>Urgent care / freestanding ER</v>
      </c>
      <c r="C44" s="9" t="str">
        <f aca="false">INDEX(Engine!$B$6:$B$58,$N44)</f>
        <v>Income</v>
      </c>
      <c r="D44" s="15" t="n">
        <f aca="false">INDEX(Engine!$S$6:$S$58,$N44)</f>
        <v>0</v>
      </c>
      <c r="E44" s="9" t="str">
        <f aca="false">INDEX(Engine!$C$6:$C$58,$N44)</f>
        <v>bldg SF</v>
      </c>
      <c r="F44" s="9" t="str">
        <f aca="false">INDEX(Engine!$CW$6:$CW$58,$N44)</f>
        <v>None works</v>
      </c>
      <c r="G44" s="18" t="n">
        <f aca="false">INDEX(Engine!$CV$6:$CV$58,$N44)</f>
        <v>0</v>
      </c>
      <c r="H44" s="19" t="n">
        <f aca="false">INDEX(Engine!$CX$6:$CX$58,$N44)</f>
        <v>0</v>
      </c>
      <c r="I44" s="19" t="n">
        <f aca="false">INDEX(Engine!$CY$6:$CY$58,$N44)</f>
        <v>-300000</v>
      </c>
      <c r="J44" s="19" t="n">
        <f aca="false">INDEX(Engine!$CZ$6:$CZ$58,$N44)</f>
        <v>0</v>
      </c>
      <c r="K44" s="19" t="n">
        <f aca="false">INDEX(Engine!$DA$6:$DA$58,$N44)</f>
        <v>0</v>
      </c>
      <c r="L44" s="9" t="str">
        <f aca="false">INDEX(Engine!$T$6:$T$58,$N44)</f>
        <v>Location fails</v>
      </c>
      <c r="M44" s="9" t="str">
        <f aca="false">INDEX(Engine!$DB$6:$DB$58,$N44)</f>
        <v>Traffic under 15,000 VPD. Under 8,000 households in 3 mi.</v>
      </c>
      <c r="N44" s="15" t="n">
        <f aca="false">MATCH(LARGE(Engine!$DC$6:$DC$58,A44),Engine!$DC$6:$DC$58,0)</f>
        <v>21</v>
      </c>
    </row>
    <row r="45" customFormat="false" ht="15" hidden="false" customHeight="false" outlineLevel="0" collapsed="false">
      <c r="A45" s="15" t="n">
        <v>40</v>
      </c>
      <c r="B45" s="4" t="str">
        <f aca="false">INDEX(Engine!$A$6:$A$58,$N45)</f>
        <v>Medical office building</v>
      </c>
      <c r="C45" s="9" t="str">
        <f aca="false">INDEX(Engine!$B$6:$B$58,$N45)</f>
        <v>Income</v>
      </c>
      <c r="D45" s="15" t="n">
        <f aca="false">INDEX(Engine!$S$6:$S$58,$N45)</f>
        <v>0</v>
      </c>
      <c r="E45" s="9" t="str">
        <f aca="false">INDEX(Engine!$C$6:$C$58,$N45)</f>
        <v>bldg SF</v>
      </c>
      <c r="F45" s="9" t="str">
        <f aca="false">INDEX(Engine!$CW$6:$CW$58,$N45)</f>
        <v>None works</v>
      </c>
      <c r="G45" s="18" t="n">
        <f aca="false">INDEX(Engine!$CV$6:$CV$58,$N45)</f>
        <v>0</v>
      </c>
      <c r="H45" s="19" t="n">
        <f aca="false">INDEX(Engine!$CX$6:$CX$58,$N45)</f>
        <v>0</v>
      </c>
      <c r="I45" s="19" t="n">
        <f aca="false">INDEX(Engine!$CY$6:$CY$58,$N45)</f>
        <v>-300000</v>
      </c>
      <c r="J45" s="19" t="n">
        <f aca="false">INDEX(Engine!$CZ$6:$CZ$58,$N45)</f>
        <v>0</v>
      </c>
      <c r="K45" s="19" t="n">
        <f aca="false">INDEX(Engine!$DA$6:$DA$58,$N45)</f>
        <v>0</v>
      </c>
      <c r="L45" s="9" t="str">
        <f aca="false">INDEX(Engine!$T$6:$T$58,$N45)</f>
        <v>Location fails</v>
      </c>
      <c r="M45" s="9" t="str">
        <f aca="false">INDEX(Engine!$DB$6:$DB$58,$N45)</f>
        <v>Under 10,000 households in 3 mi.</v>
      </c>
      <c r="N45" s="15" t="n">
        <f aca="false">MATCH(LARGE(Engine!$DC$6:$DC$58,A45),Engine!$DC$6:$DC$58,0)</f>
        <v>20</v>
      </c>
    </row>
    <row r="46" customFormat="false" ht="15" hidden="false" customHeight="false" outlineLevel="0" collapsed="false">
      <c r="A46" s="15" t="n">
        <v>41</v>
      </c>
      <c r="B46" s="4" t="str">
        <f aca="false">INDEX(Engine!$A$6:$A$58,$N46)</f>
        <v>Senior housing (assisted living / memory care)</v>
      </c>
      <c r="C46" s="9" t="str">
        <f aca="false">INDEX(Engine!$B$6:$B$58,$N46)</f>
        <v>Operator Pad</v>
      </c>
      <c r="D46" s="15" t="n">
        <f aca="false">INDEX(Engine!$S$6:$S$58,$N46)</f>
        <v>0</v>
      </c>
      <c r="E46" s="9" t="str">
        <f aca="false">INDEX(Engine!$C$6:$C$58,$N46)</f>
        <v>acre</v>
      </c>
      <c r="F46" s="9" t="str">
        <f aca="false">INDEX(Engine!$CW$6:$CW$58,$N46)</f>
        <v>None works</v>
      </c>
      <c r="G46" s="18" t="n">
        <f aca="false">INDEX(Engine!$CV$6:$CV$58,$N46)</f>
        <v>0</v>
      </c>
      <c r="H46" s="19" t="n">
        <f aca="false">INDEX(Engine!$CX$6:$CX$58,$N46)</f>
        <v>0</v>
      </c>
      <c r="I46" s="19" t="n">
        <f aca="false">INDEX(Engine!$CY$6:$CY$58,$N46)</f>
        <v>-300000</v>
      </c>
      <c r="J46" s="19" t="n">
        <f aca="false">INDEX(Engine!$CZ$6:$CZ$58,$N46)</f>
        <v>0</v>
      </c>
      <c r="K46" s="19" t="n">
        <f aca="false">INDEX(Engine!$DA$6:$DA$58,$N46)</f>
        <v>0</v>
      </c>
      <c r="L46" s="9" t="str">
        <f aca="false">INDEX(Engine!$T$6:$T$58,$N46)</f>
        <v>Location fails</v>
      </c>
      <c r="M46" s="9" t="str">
        <f aca="false">INDEX(Engine!$DB$6:$DB$58,$N46)</f>
        <v>Under 8,000 households in 3 mi.</v>
      </c>
      <c r="N46" s="15" t="n">
        <f aca="false">MATCH(LARGE(Engine!$DC$6:$DC$58,A46),Engine!$DC$6:$DC$58,0)</f>
        <v>19</v>
      </c>
    </row>
    <row r="47" customFormat="false" ht="15" hidden="false" customHeight="false" outlineLevel="0" collapsed="false">
      <c r="A47" s="15" t="n">
        <v>42</v>
      </c>
      <c r="B47" s="4" t="str">
        <f aca="false">INDEX(Engine!$A$6:$A$58,$N47)</f>
        <v>Build-to-rent cottages</v>
      </c>
      <c r="C47" s="9" t="str">
        <f aca="false">INDEX(Engine!$B$6:$B$58,$N47)</f>
        <v>Income</v>
      </c>
      <c r="D47" s="15" t="n">
        <f aca="false">INDEX(Engine!$S$6:$S$58,$N47)</f>
        <v>0</v>
      </c>
      <c r="E47" s="9" t="str">
        <f aca="false">INDEX(Engine!$C$6:$C$58,$N47)</f>
        <v>home</v>
      </c>
      <c r="F47" s="9" t="str">
        <f aca="false">INDEX(Engine!$CW$6:$CW$58,$N47)</f>
        <v>None works</v>
      </c>
      <c r="G47" s="18" t="n">
        <f aca="false">INDEX(Engine!$CV$6:$CV$58,$N47)</f>
        <v>0</v>
      </c>
      <c r="H47" s="19" t="n">
        <f aca="false">INDEX(Engine!$CX$6:$CX$58,$N47)</f>
        <v>0</v>
      </c>
      <c r="I47" s="19" t="n">
        <f aca="false">INDEX(Engine!$CY$6:$CY$58,$N47)</f>
        <v>-300000</v>
      </c>
      <c r="J47" s="19" t="n">
        <f aca="false">INDEX(Engine!$CZ$6:$CZ$58,$N47)</f>
        <v>0</v>
      </c>
      <c r="K47" s="19" t="n">
        <f aca="false">INDEX(Engine!$DA$6:$DA$58,$N47)</f>
        <v>0</v>
      </c>
      <c r="L47" s="9" t="str">
        <f aca="false">INDEX(Engine!$T$6:$T$58,$N47)</f>
        <v>Needs public sewer</v>
      </c>
      <c r="M47" s="9" t="str">
        <f aca="false">INDEX(Engine!$DB$6:$DB$58,$N47)</f>
        <v>Nothing fits.</v>
      </c>
      <c r="N47" s="15" t="n">
        <f aca="false">MATCH(LARGE(Engine!$DC$6:$DC$58,A47),Engine!$DC$6:$DC$58,0)</f>
        <v>18</v>
      </c>
    </row>
    <row r="48" customFormat="false" ht="15" hidden="false" customHeight="false" outlineLevel="0" collapsed="false">
      <c r="A48" s="15" t="n">
        <v>43</v>
      </c>
      <c r="B48" s="4" t="str">
        <f aca="false">INDEX(Engine!$A$6:$A$58,$N48)</f>
        <v>Tiny-home long-term rental community</v>
      </c>
      <c r="C48" s="9" t="str">
        <f aca="false">INDEX(Engine!$B$6:$B$58,$N48)</f>
        <v>Income</v>
      </c>
      <c r="D48" s="15" t="n">
        <f aca="false">INDEX(Engine!$S$6:$S$58,$N48)</f>
        <v>156</v>
      </c>
      <c r="E48" s="9" t="str">
        <f aca="false">INDEX(Engine!$C$6:$C$58,$N48)</f>
        <v>home</v>
      </c>
      <c r="F48" s="9" t="str">
        <f aca="false">INDEX(Engine!$CW$6:$CW$58,$N48)</f>
        <v>None works</v>
      </c>
      <c r="G48" s="18" t="n">
        <f aca="false">INDEX(Engine!$CV$6:$CV$58,$N48)</f>
        <v>0</v>
      </c>
      <c r="H48" s="19" t="n">
        <f aca="false">INDEX(Engine!$CX$6:$CX$58,$N48)</f>
        <v>0</v>
      </c>
      <c r="I48" s="19" t="n">
        <f aca="false">INDEX(Engine!$CY$6:$CY$58,$N48)</f>
        <v>-300000</v>
      </c>
      <c r="J48" s="19" t="n">
        <f aca="false">INDEX(Engine!$CZ$6:$CZ$58,$N48)</f>
        <v>0</v>
      </c>
      <c r="K48" s="19" t="n">
        <f aca="false">INDEX(Engine!$DA$6:$DA$58,$N48)</f>
        <v>0</v>
      </c>
      <c r="L48" s="9" t="str">
        <f aca="false">INDEX(Engine!$T$6:$T$58,$N48)</f>
        <v>Density</v>
      </c>
      <c r="M48" s="9" t="str">
        <f aca="false">INDEX(Engine!$DB$6:$DB$58,$N48)</f>
        <v/>
      </c>
      <c r="N48" s="15" t="n">
        <f aca="false">MATCH(LARGE(Engine!$DC$6:$DC$58,A48),Engine!$DC$6:$DC$58,0)</f>
        <v>17</v>
      </c>
    </row>
    <row r="49" customFormat="false" ht="15" hidden="false" customHeight="false" outlineLevel="0" collapsed="false">
      <c r="A49" s="15" t="n">
        <v>44</v>
      </c>
      <c r="B49" s="4" t="str">
        <f aca="false">INDEX(Engine!$A$6:$A$58,$N49)</f>
        <v>Duplex / fourplex rental</v>
      </c>
      <c r="C49" s="9" t="str">
        <f aca="false">INDEX(Engine!$B$6:$B$58,$N49)</f>
        <v>Income</v>
      </c>
      <c r="D49" s="15" t="n">
        <f aca="false">INDEX(Engine!$S$6:$S$58,$N49)</f>
        <v>0</v>
      </c>
      <c r="E49" s="9" t="str">
        <f aca="false">INDEX(Engine!$C$6:$C$58,$N49)</f>
        <v>unit</v>
      </c>
      <c r="F49" s="9" t="str">
        <f aca="false">INDEX(Engine!$CW$6:$CW$58,$N49)</f>
        <v>None works</v>
      </c>
      <c r="G49" s="18" t="n">
        <f aca="false">INDEX(Engine!$CV$6:$CV$58,$N49)</f>
        <v>0</v>
      </c>
      <c r="H49" s="19" t="n">
        <f aca="false">INDEX(Engine!$CX$6:$CX$58,$N49)</f>
        <v>0</v>
      </c>
      <c r="I49" s="19" t="n">
        <f aca="false">INDEX(Engine!$CY$6:$CY$58,$N49)</f>
        <v>-300000</v>
      </c>
      <c r="J49" s="19" t="n">
        <f aca="false">INDEX(Engine!$CZ$6:$CZ$58,$N49)</f>
        <v>0</v>
      </c>
      <c r="K49" s="19" t="n">
        <f aca="false">INDEX(Engine!$DA$6:$DA$58,$N49)</f>
        <v>0</v>
      </c>
      <c r="L49" s="9" t="str">
        <f aca="false">INDEX(Engine!$T$6:$T$58,$N49)</f>
        <v>Needs public sewer</v>
      </c>
      <c r="M49" s="9" t="str">
        <f aca="false">INDEX(Engine!$DB$6:$DB$58,$N49)</f>
        <v>Nothing fits.</v>
      </c>
      <c r="N49" s="15" t="n">
        <f aca="false">MATCH(LARGE(Engine!$DC$6:$DC$58,A49),Engine!$DC$6:$DC$58,0)</f>
        <v>16</v>
      </c>
    </row>
    <row r="50" customFormat="false" ht="15" hidden="false" customHeight="false" outlineLevel="0" collapsed="false">
      <c r="A50" s="15" t="n">
        <v>45</v>
      </c>
      <c r="B50" s="4" t="str">
        <f aca="false">INDEX(Engine!$A$6:$A$58,$N50)</f>
        <v>Multifamily - mid-rise / wrap</v>
      </c>
      <c r="C50" s="9" t="str">
        <f aca="false">INDEX(Engine!$B$6:$B$58,$N50)</f>
        <v>Income</v>
      </c>
      <c r="D50" s="15" t="n">
        <f aca="false">INDEX(Engine!$S$6:$S$58,$N50)</f>
        <v>0</v>
      </c>
      <c r="E50" s="9" t="str">
        <f aca="false">INDEX(Engine!$C$6:$C$58,$N50)</f>
        <v>unit</v>
      </c>
      <c r="F50" s="9" t="str">
        <f aca="false">INDEX(Engine!$CW$6:$CW$58,$N50)</f>
        <v>None works</v>
      </c>
      <c r="G50" s="18" t="n">
        <f aca="false">INDEX(Engine!$CV$6:$CV$58,$N50)</f>
        <v>0</v>
      </c>
      <c r="H50" s="19" t="n">
        <f aca="false">INDEX(Engine!$CX$6:$CX$58,$N50)</f>
        <v>0</v>
      </c>
      <c r="I50" s="19" t="n">
        <f aca="false">INDEX(Engine!$CY$6:$CY$58,$N50)</f>
        <v>-300000</v>
      </c>
      <c r="J50" s="19" t="n">
        <f aca="false">INDEX(Engine!$CZ$6:$CZ$58,$N50)</f>
        <v>0</v>
      </c>
      <c r="K50" s="19" t="n">
        <f aca="false">INDEX(Engine!$DA$6:$DA$58,$N50)</f>
        <v>0</v>
      </c>
      <c r="L50" s="9" t="str">
        <f aca="false">INDEX(Engine!$T$6:$T$58,$N50)</f>
        <v>Location fails</v>
      </c>
      <c r="M50" s="9" t="str">
        <f aca="false">INDEX(Engine!$DB$6:$DB$58,$N50)</f>
        <v>Under 15,000 households in 3 mi.</v>
      </c>
      <c r="N50" s="15" t="n">
        <f aca="false">MATCH(LARGE(Engine!$DC$6:$DC$58,A50),Engine!$DC$6:$DC$58,0)</f>
        <v>15</v>
      </c>
    </row>
    <row r="51" customFormat="false" ht="15" hidden="false" customHeight="false" outlineLevel="0" collapsed="false">
      <c r="A51" s="15" t="n">
        <v>46</v>
      </c>
      <c r="B51" s="4" t="str">
        <f aca="false">INDEX(Engine!$A$6:$A$58,$N51)</f>
        <v>Multifamily - large garden (150+ units)</v>
      </c>
      <c r="C51" s="9" t="str">
        <f aca="false">INDEX(Engine!$B$6:$B$58,$N51)</f>
        <v>Income</v>
      </c>
      <c r="D51" s="15" t="n">
        <f aca="false">INDEX(Engine!$S$6:$S$58,$N51)</f>
        <v>0</v>
      </c>
      <c r="E51" s="9" t="str">
        <f aca="false">INDEX(Engine!$C$6:$C$58,$N51)</f>
        <v>unit</v>
      </c>
      <c r="F51" s="9" t="str">
        <f aca="false">INDEX(Engine!$CW$6:$CW$58,$N51)</f>
        <v>None works</v>
      </c>
      <c r="G51" s="18" t="n">
        <f aca="false">INDEX(Engine!$CV$6:$CV$58,$N51)</f>
        <v>0</v>
      </c>
      <c r="H51" s="19" t="n">
        <f aca="false">INDEX(Engine!$CX$6:$CX$58,$N51)</f>
        <v>0</v>
      </c>
      <c r="I51" s="19" t="n">
        <f aca="false">INDEX(Engine!$CY$6:$CY$58,$N51)</f>
        <v>-300000</v>
      </c>
      <c r="J51" s="19" t="n">
        <f aca="false">INDEX(Engine!$CZ$6:$CZ$58,$N51)</f>
        <v>0</v>
      </c>
      <c r="K51" s="19" t="n">
        <f aca="false">INDEX(Engine!$DA$6:$DA$58,$N51)</f>
        <v>0</v>
      </c>
      <c r="L51" s="9" t="str">
        <f aca="false">INDEX(Engine!$T$6:$T$58,$N51)</f>
        <v>Location fails</v>
      </c>
      <c r="M51" s="9" t="str">
        <f aca="false">INDEX(Engine!$DB$6:$DB$58,$N51)</f>
        <v>Under 8,000 households in 3 mi.</v>
      </c>
      <c r="N51" s="15" t="n">
        <f aca="false">MATCH(LARGE(Engine!$DC$6:$DC$58,A51),Engine!$DC$6:$DC$58,0)</f>
        <v>14</v>
      </c>
    </row>
    <row r="52" customFormat="false" ht="15" hidden="false" customHeight="false" outlineLevel="0" collapsed="false">
      <c r="A52" s="15" t="n">
        <v>47</v>
      </c>
      <c r="B52" s="4" t="str">
        <f aca="false">INDEX(Engine!$A$6:$A$58,$N52)</f>
        <v>Workforce rental housing (garden)</v>
      </c>
      <c r="C52" s="9" t="str">
        <f aca="false">INDEX(Engine!$B$6:$B$58,$N52)</f>
        <v>Income</v>
      </c>
      <c r="D52" s="15" t="n">
        <f aca="false">INDEX(Engine!$S$6:$S$58,$N52)</f>
        <v>0</v>
      </c>
      <c r="E52" s="9" t="str">
        <f aca="false">INDEX(Engine!$C$6:$C$58,$N52)</f>
        <v>unit</v>
      </c>
      <c r="F52" s="9" t="str">
        <f aca="false">INDEX(Engine!$CW$6:$CW$58,$N52)</f>
        <v>None works</v>
      </c>
      <c r="G52" s="18" t="n">
        <f aca="false">INDEX(Engine!$CV$6:$CV$58,$N52)</f>
        <v>0</v>
      </c>
      <c r="H52" s="19" t="n">
        <f aca="false">INDEX(Engine!$CX$6:$CX$58,$N52)</f>
        <v>0</v>
      </c>
      <c r="I52" s="19" t="n">
        <f aca="false">INDEX(Engine!$CY$6:$CY$58,$N52)</f>
        <v>-300000</v>
      </c>
      <c r="J52" s="19" t="n">
        <f aca="false">INDEX(Engine!$CZ$6:$CZ$58,$N52)</f>
        <v>0</v>
      </c>
      <c r="K52" s="19" t="n">
        <f aca="false">INDEX(Engine!$DA$6:$DA$58,$N52)</f>
        <v>0</v>
      </c>
      <c r="L52" s="9" t="str">
        <f aca="false">INDEX(Engine!$T$6:$T$58,$N52)</f>
        <v>Location fails</v>
      </c>
      <c r="M52" s="9" t="str">
        <f aca="false">INDEX(Engine!$DB$6:$DB$58,$N52)</f>
        <v>Under 4,000 households in 3 mi.</v>
      </c>
      <c r="N52" s="15" t="n">
        <f aca="false">MATCH(LARGE(Engine!$DC$6:$DC$58,A52),Engine!$DC$6:$DC$58,0)</f>
        <v>13</v>
      </c>
    </row>
    <row r="53" customFormat="false" ht="15" hidden="false" customHeight="false" outlineLevel="0" collapsed="false">
      <c r="A53" s="15" t="n">
        <v>48</v>
      </c>
      <c r="B53" s="4" t="str">
        <f aca="false">INDEX(Engine!$A$6:$A$58,$N53)</f>
        <v>Manufactured home community (MHC)</v>
      </c>
      <c r="C53" s="9" t="str">
        <f aca="false">INDEX(Engine!$B$6:$B$58,$N53)</f>
        <v>Income</v>
      </c>
      <c r="D53" s="15" t="n">
        <f aca="false">INDEX(Engine!$S$6:$S$58,$N53)</f>
        <v>24</v>
      </c>
      <c r="E53" s="9" t="str">
        <f aca="false">INDEX(Engine!$C$6:$C$58,$N53)</f>
        <v>pad</v>
      </c>
      <c r="F53" s="9" t="str">
        <f aca="false">INDEX(Engine!$CW$6:$CW$58,$N53)</f>
        <v>None works</v>
      </c>
      <c r="G53" s="18" t="n">
        <f aca="false">INDEX(Engine!$CV$6:$CV$58,$N53)</f>
        <v>0</v>
      </c>
      <c r="H53" s="19" t="n">
        <f aca="false">INDEX(Engine!$CX$6:$CX$58,$N53)</f>
        <v>0</v>
      </c>
      <c r="I53" s="19" t="n">
        <f aca="false">INDEX(Engine!$CY$6:$CY$58,$N53)</f>
        <v>-300000</v>
      </c>
      <c r="J53" s="19" t="n">
        <f aca="false">INDEX(Engine!$CZ$6:$CZ$58,$N53)</f>
        <v>0</v>
      </c>
      <c r="K53" s="19" t="n">
        <f aca="false">INDEX(Engine!$DA$6:$DA$58,$N53)</f>
        <v>0</v>
      </c>
      <c r="L53" s="9" t="str">
        <f aca="false">INDEX(Engine!$T$6:$T$58,$N53)</f>
        <v>Septic lot size</v>
      </c>
      <c r="M53" s="9" t="str">
        <f aca="false">INDEX(Engine!$DB$6:$DB$58,$N53)</f>
        <v/>
      </c>
      <c r="N53" s="15" t="n">
        <f aca="false">MATCH(LARGE(Engine!$DC$6:$DC$58,A53),Engine!$DC$6:$DC$58,0)</f>
        <v>11</v>
      </c>
    </row>
    <row r="54" customFormat="false" ht="15" hidden="false" customHeight="false" outlineLevel="0" collapsed="false">
      <c r="A54" s="15" t="n">
        <v>49</v>
      </c>
      <c r="B54" s="4" t="str">
        <f aca="false">INDEX(Engine!$A$6:$A$58,$N54)</f>
        <v>Professional office condos</v>
      </c>
      <c r="C54" s="9" t="str">
        <f aca="false">INDEX(Engine!$B$6:$B$58,$N54)</f>
        <v>For-Sale</v>
      </c>
      <c r="D54" s="15" t="n">
        <f aca="false">INDEX(Engine!$S$6:$S$58,$N54)</f>
        <v>29</v>
      </c>
      <c r="E54" s="9" t="str">
        <f aca="false">INDEX(Engine!$C$6:$C$58,$N54)</f>
        <v>condo (1,500 SF)</v>
      </c>
      <c r="F54" s="9" t="str">
        <f aca="false">INDEX(Engine!$CW$6:$CW$58,$N54)</f>
        <v>None works</v>
      </c>
      <c r="G54" s="18" t="n">
        <f aca="false">INDEX(Engine!$CV$6:$CV$58,$N54)</f>
        <v>0</v>
      </c>
      <c r="H54" s="19" t="n">
        <f aca="false">INDEX(Engine!$CX$6:$CX$58,$N54)</f>
        <v>0</v>
      </c>
      <c r="I54" s="19" t="n">
        <f aca="false">INDEX(Engine!$CY$6:$CY$58,$N54)</f>
        <v>-300000</v>
      </c>
      <c r="J54" s="19" t="n">
        <f aca="false">INDEX(Engine!$CZ$6:$CZ$58,$N54)</f>
        <v>0</v>
      </c>
      <c r="K54" s="19" t="n">
        <f aca="false">INDEX(Engine!$DA$6:$DA$58,$N54)</f>
        <v>0</v>
      </c>
      <c r="L54" s="9" t="str">
        <f aca="false">INDEX(Engine!$T$6:$T$58,$N54)</f>
        <v>Site area / parking</v>
      </c>
      <c r="M54" s="9" t="str">
        <f aca="false">INDEX(Engine!$DB$6:$DB$58,$N54)</f>
        <v>Only 4 ac used - rest resold.</v>
      </c>
      <c r="N54" s="15" t="n">
        <f aca="false">MATCH(LARGE(Engine!$DC$6:$DC$58,A54),Engine!$DC$6:$DC$58,0)</f>
        <v>10</v>
      </c>
    </row>
    <row r="55" customFormat="false" ht="15" hidden="false" customHeight="false" outlineLevel="0" collapsed="false">
      <c r="A55" s="15" t="n">
        <v>50</v>
      </c>
      <c r="B55" s="4" t="str">
        <f aca="false">INDEX(Engine!$A$6:$A$58,$N55)</f>
        <v>Contractor shop condos</v>
      </c>
      <c r="C55" s="9" t="str">
        <f aca="false">INDEX(Engine!$B$6:$B$58,$N55)</f>
        <v>For-Sale</v>
      </c>
      <c r="D55" s="15" t="n">
        <f aca="false">INDEX(Engine!$S$6:$S$58,$N55)</f>
        <v>45</v>
      </c>
      <c r="E55" s="9" t="str">
        <f aca="false">INDEX(Engine!$C$6:$C$58,$N55)</f>
        <v>condo (2,000 SF)</v>
      </c>
      <c r="F55" s="9" t="str">
        <f aca="false">INDEX(Engine!$CW$6:$CW$58,$N55)</f>
        <v>None works</v>
      </c>
      <c r="G55" s="18" t="n">
        <f aca="false">INDEX(Engine!$CV$6:$CV$58,$N55)</f>
        <v>0</v>
      </c>
      <c r="H55" s="19" t="n">
        <f aca="false">INDEX(Engine!$CX$6:$CX$58,$N55)</f>
        <v>0</v>
      </c>
      <c r="I55" s="19" t="n">
        <f aca="false">INDEX(Engine!$CY$6:$CY$58,$N55)</f>
        <v>-300000</v>
      </c>
      <c r="J55" s="19" t="n">
        <f aca="false">INDEX(Engine!$CZ$6:$CZ$58,$N55)</f>
        <v>0</v>
      </c>
      <c r="K55" s="19" t="n">
        <f aca="false">INDEX(Engine!$DA$6:$DA$58,$N55)</f>
        <v>0</v>
      </c>
      <c r="L55" s="9" t="str">
        <f aca="false">INDEX(Engine!$T$6:$T$58,$N55)</f>
        <v>Site area / parking</v>
      </c>
      <c r="M55" s="9" t="str">
        <f aca="false">INDEX(Engine!$DB$6:$DB$58,$N55)</f>
        <v>Only 6 ac used - rest resold.</v>
      </c>
      <c r="N55" s="15" t="n">
        <f aca="false">MATCH(LARGE(Engine!$DC$6:$DC$58,A55),Engine!$DC$6:$DC$58,0)</f>
        <v>9</v>
      </c>
    </row>
    <row r="56" customFormat="false" ht="15" hidden="false" customHeight="false" outlineLevel="0" collapsed="false">
      <c r="A56" s="15" t="n">
        <v>51</v>
      </c>
      <c r="B56" s="4" t="str">
        <f aca="false">INDEX(Engine!$A$6:$A$58,$N56)</f>
        <v>Garage / car condos</v>
      </c>
      <c r="C56" s="9" t="str">
        <f aca="false">INDEX(Engine!$B$6:$B$58,$N56)</f>
        <v>For-Sale</v>
      </c>
      <c r="D56" s="15" t="n">
        <f aca="false">INDEX(Engine!$S$6:$S$58,$N56)</f>
        <v>213</v>
      </c>
      <c r="E56" s="9" t="str">
        <f aca="false">INDEX(Engine!$C$6:$C$58,$N56)</f>
        <v>condo</v>
      </c>
      <c r="F56" s="9" t="str">
        <f aca="false">INDEX(Engine!$CW$6:$CW$58,$N56)</f>
        <v>None works</v>
      </c>
      <c r="G56" s="18" t="n">
        <f aca="false">INDEX(Engine!$CV$6:$CV$58,$N56)</f>
        <v>0</v>
      </c>
      <c r="H56" s="19" t="n">
        <f aca="false">INDEX(Engine!$CX$6:$CX$58,$N56)</f>
        <v>0</v>
      </c>
      <c r="I56" s="19" t="n">
        <f aca="false">INDEX(Engine!$CY$6:$CY$58,$N56)</f>
        <v>-300000</v>
      </c>
      <c r="J56" s="19" t="n">
        <f aca="false">INDEX(Engine!$CZ$6:$CZ$58,$N56)</f>
        <v>0</v>
      </c>
      <c r="K56" s="19" t="n">
        <f aca="false">INDEX(Engine!$DA$6:$DA$58,$N56)</f>
        <v>0</v>
      </c>
      <c r="L56" s="9" t="str">
        <f aca="false">INDEX(Engine!$T$6:$T$58,$N56)</f>
        <v>Site area / parking</v>
      </c>
      <c r="M56" s="9" t="str">
        <f aca="false">INDEX(Engine!$DB$6:$DB$58,$N56)</f>
        <v/>
      </c>
      <c r="N56" s="15" t="n">
        <f aca="false">MATCH(LARGE(Engine!$DC$6:$DC$58,A56),Engine!$DC$6:$DC$58,0)</f>
        <v>8</v>
      </c>
    </row>
    <row r="57" customFormat="false" ht="15" hidden="false" customHeight="false" outlineLevel="0" collapsed="false">
      <c r="A57" s="15" t="n">
        <v>52</v>
      </c>
      <c r="B57" s="4" t="str">
        <f aca="false">INDEX(Engine!$A$6:$A$58,$N57)</f>
        <v>Ranchette / acreage lots</v>
      </c>
      <c r="C57" s="9" t="str">
        <f aca="false">INDEX(Engine!$B$6:$B$58,$N57)</f>
        <v>For-Sale</v>
      </c>
      <c r="D57" s="15" t="n">
        <f aca="false">INDEX(Engine!$S$6:$S$58,$N57)</f>
        <v>3</v>
      </c>
      <c r="E57" s="9" t="str">
        <f aca="false">INDEX(Engine!$C$6:$C$58,$N57)</f>
        <v>lot</v>
      </c>
      <c r="F57" s="9" t="str">
        <f aca="false">INDEX(Engine!$CW$6:$CW$58,$N57)</f>
        <v>None works</v>
      </c>
      <c r="G57" s="18" t="n">
        <f aca="false">INDEX(Engine!$CV$6:$CV$58,$N57)</f>
        <v>0</v>
      </c>
      <c r="H57" s="19" t="n">
        <f aca="false">INDEX(Engine!$CX$6:$CX$58,$N57)</f>
        <v>0</v>
      </c>
      <c r="I57" s="19" t="n">
        <f aca="false">INDEX(Engine!$CY$6:$CY$58,$N57)</f>
        <v>-300000</v>
      </c>
      <c r="J57" s="19" t="n">
        <f aca="false">INDEX(Engine!$CZ$6:$CZ$58,$N57)</f>
        <v>0</v>
      </c>
      <c r="K57" s="19" t="n">
        <f aca="false">INDEX(Engine!$DA$6:$DA$58,$N57)</f>
        <v>0</v>
      </c>
      <c r="L57" s="9" t="str">
        <f aca="false">INDEX(Engine!$T$6:$T$58,$N57)</f>
        <v>Density</v>
      </c>
      <c r="M57" s="9" t="str">
        <f aca="false">INDEX(Engine!$DB$6:$DB$58,$N57)</f>
        <v/>
      </c>
      <c r="N57" s="15" t="n">
        <f aca="false">MATCH(LARGE(Engine!$DC$6:$DC$58,A57),Engine!$DC$6:$DC$58,0)</f>
        <v>7</v>
      </c>
    </row>
    <row r="58" customFormat="false" ht="15" hidden="false" customHeight="false" outlineLevel="0" collapsed="false">
      <c r="A58" s="15" t="n">
        <v>53</v>
      </c>
      <c r="B58" s="4" t="str">
        <f aca="false">INDEX(Engine!$A$6:$A$58,$N58)</f>
        <v>Townhomes</v>
      </c>
      <c r="C58" s="9" t="str">
        <f aca="false">INDEX(Engine!$B$6:$B$58,$N58)</f>
        <v>For-Sale</v>
      </c>
      <c r="D58" s="15" t="n">
        <f aca="false">INDEX(Engine!$S$6:$S$58,$N58)</f>
        <v>0</v>
      </c>
      <c r="E58" s="9" t="str">
        <f aca="false">INDEX(Engine!$C$6:$C$58,$N58)</f>
        <v>unit</v>
      </c>
      <c r="F58" s="9" t="str">
        <f aca="false">INDEX(Engine!$CW$6:$CW$58,$N58)</f>
        <v>None works</v>
      </c>
      <c r="G58" s="18" t="n">
        <f aca="false">INDEX(Engine!$CV$6:$CV$58,$N58)</f>
        <v>0</v>
      </c>
      <c r="H58" s="19" t="n">
        <f aca="false">INDEX(Engine!$CX$6:$CX$58,$N58)</f>
        <v>0</v>
      </c>
      <c r="I58" s="19" t="n">
        <f aca="false">INDEX(Engine!$CY$6:$CY$58,$N58)</f>
        <v>-300000</v>
      </c>
      <c r="J58" s="19" t="n">
        <f aca="false">INDEX(Engine!$CZ$6:$CZ$58,$N58)</f>
        <v>0</v>
      </c>
      <c r="K58" s="19" t="n">
        <f aca="false">INDEX(Engine!$DA$6:$DA$58,$N58)</f>
        <v>0</v>
      </c>
      <c r="L58" s="9" t="str">
        <f aca="false">INDEX(Engine!$T$6:$T$58,$N58)</f>
        <v>Needs public sewer</v>
      </c>
      <c r="M58" s="9" t="str">
        <f aca="false">INDEX(Engine!$DB$6:$DB$58,$N58)</f>
        <v>Nothing fits.</v>
      </c>
      <c r="N58" s="15" t="n">
        <f aca="false">MATCH(LARGE(Engine!$DC$6:$DC$58,A58),Engine!$DC$6:$DC$58,0)</f>
        <v>6</v>
      </c>
    </row>
    <row r="60" customFormat="false" ht="15" hidden="false" customHeight="false" outlineLevel="0" collapsed="false">
      <c r="B60" s="2"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8"/>
    <col collapsed="false" customWidth="true" hidden="false" outlineLevel="0" max="5" min="3" style="0" width="22"/>
  </cols>
  <sheetData>
    <row r="1" customFormat="false" ht="17.35" hidden="false" customHeight="false" outlineLevel="0" collapsed="false">
      <c r="A1" s="1" t="s">
        <v>118</v>
      </c>
    </row>
    <row r="2" customFormat="false" ht="15" hidden="false" customHeight="false" outlineLevel="0" collapsed="false">
      <c r="A2" s="2" t="s">
        <v>119</v>
      </c>
    </row>
    <row r="4" customFormat="false" ht="15" hidden="false" customHeight="false" outlineLevel="0" collapsed="false">
      <c r="B4" s="4" t="s">
        <v>107</v>
      </c>
      <c r="C4" s="6" t="s">
        <v>120</v>
      </c>
    </row>
    <row r="5" customFormat="false" ht="15" hidden="false" customHeight="false" outlineLevel="0" collapsed="false">
      <c r="B5" s="2" t="s">
        <v>121</v>
      </c>
      <c r="C5" s="15" t="n">
        <f aca="false">MATCH(C4,Engine!$A$6:$A$58,0)</f>
        <v>14</v>
      </c>
    </row>
    <row r="6" customFormat="false" ht="15" hidden="false" customHeight="false" outlineLevel="0" collapsed="false">
      <c r="B6" s="4" t="s">
        <v>122</v>
      </c>
      <c r="C6" s="2" t="str">
        <f aca="false">INDEX(Use_Library!$AS$5:$AS$57,$C$5)</f>
        <v>MF zoning; arterial frontage; employment within 20 min; sewer capacity letter</v>
      </c>
    </row>
    <row r="9" customFormat="false" ht="15" hidden="false" customHeight="false" outlineLevel="0" collapsed="false">
      <c r="B9" s="3" t="s">
        <v>123</v>
      </c>
    </row>
    <row r="10" customFormat="false" ht="15" hidden="false" customHeight="false" outlineLevel="0" collapsed="false">
      <c r="B10" s="9" t="s">
        <v>16</v>
      </c>
      <c r="C10" s="9" t="str">
        <f aca="false">INDEX(Engine!$B$6:$B$58,$C$5)</f>
        <v>Income</v>
      </c>
    </row>
    <row r="11" customFormat="false" ht="15" hidden="false" customHeight="false" outlineLevel="0" collapsed="false">
      <c r="B11" s="9" t="s">
        <v>124</v>
      </c>
      <c r="C11" s="9" t="str">
        <f aca="false">INDEX(Engine!$C$6:$C$58,$C$5)</f>
        <v>unit</v>
      </c>
    </row>
    <row r="13" customFormat="false" ht="15" hidden="false" customHeight="false" outlineLevel="0" collapsed="false">
      <c r="B13" s="3" t="s">
        <v>125</v>
      </c>
    </row>
    <row r="14" customFormat="false" ht="15" hidden="false" customHeight="false" outlineLevel="0" collapsed="false">
      <c r="B14" s="9" t="s">
        <v>126</v>
      </c>
      <c r="C14" s="14" t="n">
        <f aca="false">INDEX(Engine!$D$6:$D$58,$C$5)</f>
        <v>14.196</v>
      </c>
    </row>
    <row r="15" customFormat="false" ht="15" hidden="false" customHeight="false" outlineLevel="0" collapsed="false">
      <c r="B15" s="9" t="s">
        <v>127</v>
      </c>
      <c r="C15" s="14" t="n">
        <f aca="false">INDEX(Engine!$E$6:$E$58,$C$5)</f>
        <v>14.196</v>
      </c>
    </row>
    <row r="16" customFormat="false" ht="15" hidden="false" customHeight="false" outlineLevel="0" collapsed="false">
      <c r="B16" s="9" t="s">
        <v>128</v>
      </c>
      <c r="C16" s="20" t="n">
        <f aca="false">INDEX(Engine!$F$6:$F$58,$C$5)</f>
        <v>1</v>
      </c>
    </row>
    <row r="17" customFormat="false" ht="15" hidden="false" customHeight="false" outlineLevel="0" collapsed="false">
      <c r="B17" s="9" t="s">
        <v>129</v>
      </c>
      <c r="C17" s="14" t="n">
        <f aca="false">INDEX(Engine!$G$6:$G$58,$C$5)</f>
        <v>15.6</v>
      </c>
    </row>
    <row r="18" customFormat="false" ht="15" hidden="false" customHeight="false" outlineLevel="0" collapsed="false">
      <c r="B18" s="9" t="s">
        <v>130</v>
      </c>
      <c r="C18" s="14" t="n">
        <f aca="false">INDEX(Engine!$H$6:$H$58,$C$5)</f>
        <v>0.624</v>
      </c>
    </row>
    <row r="19" customFormat="false" ht="15" hidden="false" customHeight="false" outlineLevel="0" collapsed="false">
      <c r="B19" s="9" t="s">
        <v>131</v>
      </c>
      <c r="C19" s="14" t="n">
        <f aca="false">INDEX(Engine!$I$6:$I$58,$C$5)</f>
        <v>14.82</v>
      </c>
    </row>
    <row r="20" customFormat="false" ht="15" hidden="false" customHeight="false" outlineLevel="0" collapsed="false">
      <c r="B20" s="9" t="s">
        <v>132</v>
      </c>
      <c r="C20" s="14" t="n">
        <f aca="false">INDEX(Engine!$J$6:$J$58,$C$5)</f>
        <v>0</v>
      </c>
    </row>
    <row r="21" customFormat="false" ht="15" hidden="false" customHeight="false" outlineLevel="0" collapsed="false">
      <c r="B21" s="9" t="s">
        <v>133</v>
      </c>
      <c r="C21" s="15" t="n">
        <f aca="false">INDEX(Engine!$K$6:$K$58,$C$5)</f>
        <v>0</v>
      </c>
    </row>
    <row r="22" customFormat="false" ht="15" hidden="false" customHeight="false" outlineLevel="0" collapsed="false">
      <c r="B22" s="9" t="s">
        <v>134</v>
      </c>
      <c r="C22" s="15" t="n">
        <f aca="false">INDEX(Engine!$L$6:$L$58,$C$5)</f>
        <v>1</v>
      </c>
    </row>
    <row r="23" customFormat="false" ht="15" hidden="false" customHeight="false" outlineLevel="0" collapsed="false">
      <c r="B23" s="9" t="s">
        <v>135</v>
      </c>
      <c r="C23" s="9" t="str">
        <f aca="false">INDEX(Engine!$M$6:$M$58,$C$5)</f>
        <v>Under 8,000 households in 3 mi.</v>
      </c>
    </row>
    <row r="24" customFormat="false" ht="15" hidden="false" customHeight="false" outlineLevel="0" collapsed="false">
      <c r="B24" s="9" t="s">
        <v>136</v>
      </c>
      <c r="C24" s="15" t="n">
        <f aca="false">INDEX(Engine!$N$6:$N$58,$C$5)</f>
        <v>0</v>
      </c>
    </row>
    <row r="25" customFormat="false" ht="15" hidden="false" customHeight="false" outlineLevel="0" collapsed="false">
      <c r="B25" s="9" t="s">
        <v>137</v>
      </c>
      <c r="C25" s="15" t="n">
        <f aca="false">INDEX(Engine!$O$6:$O$58,$C$5)</f>
        <v>1</v>
      </c>
    </row>
    <row r="26" customFormat="false" ht="15" hidden="false" customHeight="false" outlineLevel="0" collapsed="false">
      <c r="B26" s="9" t="s">
        <v>138</v>
      </c>
      <c r="C26" s="14" t="n">
        <f aca="false">INDEX(Engine!$P$6:$P$58,$C$5)</f>
        <v>374.4</v>
      </c>
    </row>
    <row r="27" customFormat="false" ht="15" hidden="false" customHeight="false" outlineLevel="0" collapsed="false">
      <c r="B27" s="9" t="s">
        <v>139</v>
      </c>
      <c r="C27" s="14" t="n">
        <f aca="false">INDEX(Engine!$Q$6:$Q$58,$C$5)</f>
        <v>515.3148</v>
      </c>
    </row>
    <row r="28" customFormat="false" ht="15" hidden="false" customHeight="false" outlineLevel="0" collapsed="false">
      <c r="B28" s="9" t="s">
        <v>140</v>
      </c>
      <c r="C28" s="14" t="n">
        <f aca="false">INDEX(Engine!$R$6:$R$58,$C$5)</f>
        <v>1000000000</v>
      </c>
    </row>
    <row r="29" customFormat="false" ht="15" hidden="false" customHeight="false" outlineLevel="0" collapsed="false">
      <c r="B29" s="9" t="s">
        <v>141</v>
      </c>
      <c r="C29" s="21" t="n">
        <f aca="false">INDEX(Engine!$S$6:$S$58,$C$5)</f>
        <v>0</v>
      </c>
    </row>
    <row r="30" customFormat="false" ht="15" hidden="false" customHeight="false" outlineLevel="0" collapsed="false">
      <c r="B30" s="9" t="s">
        <v>114</v>
      </c>
      <c r="C30" s="9" t="str">
        <f aca="false">INDEX(Engine!$T$6:$T$58,$C$5)</f>
        <v>Location fails</v>
      </c>
    </row>
    <row r="31" customFormat="false" ht="15" hidden="false" customHeight="false" outlineLevel="0" collapsed="false">
      <c r="B31" s="9" t="s">
        <v>142</v>
      </c>
      <c r="C31" s="15" t="n">
        <f aca="false">INDEX(Engine!$U$6:$U$58,$C$5)</f>
        <v>0</v>
      </c>
    </row>
    <row r="32" customFormat="false" ht="15" hidden="false" customHeight="false" outlineLevel="0" collapsed="false">
      <c r="B32" s="9" t="s">
        <v>143</v>
      </c>
      <c r="C32" s="15" t="n">
        <f aca="false">INDEX(Engine!$V$6:$V$58,$C$5)</f>
        <v>0</v>
      </c>
    </row>
    <row r="34" customFormat="false" ht="15" hidden="false" customHeight="false" outlineLevel="0" collapsed="false">
      <c r="B34" s="3" t="s">
        <v>144</v>
      </c>
    </row>
    <row r="35" customFormat="false" ht="15" hidden="false" customHeight="false" outlineLevel="0" collapsed="false">
      <c r="B35" s="9" t="s">
        <v>145</v>
      </c>
      <c r="C35" s="15" t="n">
        <f aca="false">INDEX(Engine!$W$6:$W$58,$C$5)</f>
        <v>0</v>
      </c>
    </row>
    <row r="36" customFormat="false" ht="15" hidden="false" customHeight="false" outlineLevel="0" collapsed="false">
      <c r="B36" s="9" t="s">
        <v>146</v>
      </c>
      <c r="C36" s="15" t="n">
        <f aca="false">INDEX(Engine!$X$6:$X$58,$C$5)</f>
        <v>0</v>
      </c>
    </row>
    <row r="37" customFormat="false" ht="15" hidden="false" customHeight="false" outlineLevel="0" collapsed="false">
      <c r="B37" s="9" t="s">
        <v>147</v>
      </c>
      <c r="C37" s="15" t="n">
        <f aca="false">INDEX(Engine!$Y$6:$Y$58,$C$5)</f>
        <v>0</v>
      </c>
    </row>
    <row r="38" customFormat="false" ht="15" hidden="false" customHeight="false" outlineLevel="0" collapsed="false">
      <c r="B38" s="9" t="s">
        <v>148</v>
      </c>
      <c r="C38" s="14" t="n">
        <f aca="false">INDEX(Engine!$Z$6:$Z$58,$C$5)</f>
        <v>0</v>
      </c>
    </row>
    <row r="39" customFormat="false" ht="15" hidden="false" customHeight="false" outlineLevel="0" collapsed="false">
      <c r="B39" s="9" t="s">
        <v>149</v>
      </c>
      <c r="C39" s="15" t="n">
        <f aca="false">INDEX(Engine!$AA$6:$AA$58,$C$5)</f>
        <v>0</v>
      </c>
    </row>
    <row r="40" customFormat="false" ht="15" hidden="false" customHeight="false" outlineLevel="0" collapsed="false">
      <c r="B40" s="9" t="s">
        <v>150</v>
      </c>
      <c r="C40" s="14" t="n">
        <f aca="false">INDEX(Engine!$AB$6:$AB$58,$C$5)</f>
        <v>0</v>
      </c>
    </row>
    <row r="41" customFormat="false" ht="15" hidden="false" customHeight="false" outlineLevel="0" collapsed="false">
      <c r="B41" s="9" t="s">
        <v>151</v>
      </c>
      <c r="C41" s="14" t="n">
        <f aca="false">INDEX(Engine!$AC$6:$AC$58,$C$5)</f>
        <v>0</v>
      </c>
    </row>
    <row r="42" customFormat="false" ht="15" hidden="false" customHeight="false" outlineLevel="0" collapsed="false">
      <c r="B42" s="9" t="s">
        <v>152</v>
      </c>
      <c r="C42" s="14" t="n">
        <f aca="false">INDEX(Engine!$AD$6:$AD$58,$C$5)</f>
        <v>0</v>
      </c>
    </row>
    <row r="43" customFormat="false" ht="15" hidden="false" customHeight="false" outlineLevel="0" collapsed="false">
      <c r="B43" s="9" t="s">
        <v>153</v>
      </c>
      <c r="C43" s="14" t="n">
        <f aca="false">INDEX(Engine!$AE$6:$AE$58,$C$5)</f>
        <v>0</v>
      </c>
    </row>
    <row r="44" customFormat="false" ht="15" hidden="false" customHeight="false" outlineLevel="0" collapsed="false">
      <c r="B44" s="9" t="s">
        <v>154</v>
      </c>
      <c r="C44" s="14" t="n">
        <f aca="false">INDEX(Engine!$AF$6:$AF$58,$C$5)</f>
        <v>0</v>
      </c>
    </row>
    <row r="45" customFormat="false" ht="15" hidden="false" customHeight="false" outlineLevel="0" collapsed="false">
      <c r="B45" s="9" t="s">
        <v>155</v>
      </c>
      <c r="C45" s="15" t="n">
        <f aca="false">INDEX(Engine!$AG$6:$AG$58,$C$5)</f>
        <v>0</v>
      </c>
    </row>
    <row r="47" customFormat="false" ht="15" hidden="false" customHeight="false" outlineLevel="0" collapsed="false">
      <c r="B47" s="3" t="s">
        <v>156</v>
      </c>
    </row>
    <row r="48" customFormat="false" ht="15" hidden="false" customHeight="false" outlineLevel="0" collapsed="false">
      <c r="B48" s="9" t="s">
        <v>157</v>
      </c>
      <c r="C48" s="19" t="n">
        <f aca="false">INDEX(Engine!$AH$6:$AH$58,$C$5)</f>
        <v>0</v>
      </c>
    </row>
    <row r="49" customFormat="false" ht="15" hidden="false" customHeight="false" outlineLevel="0" collapsed="false">
      <c r="B49" s="9" t="s">
        <v>158</v>
      </c>
      <c r="C49" s="19" t="n">
        <f aca="false">INDEX(Engine!$AI$6:$AI$58,$C$5)</f>
        <v>0</v>
      </c>
    </row>
    <row r="50" customFormat="false" ht="15" hidden="false" customHeight="false" outlineLevel="0" collapsed="false">
      <c r="B50" s="9" t="s">
        <v>159</v>
      </c>
      <c r="C50" s="19" t="n">
        <f aca="false">INDEX(Engine!$AJ$6:$AJ$58,$C$5)</f>
        <v>0</v>
      </c>
    </row>
    <row r="51" customFormat="false" ht="15" hidden="false" customHeight="false" outlineLevel="0" collapsed="false">
      <c r="B51" s="9" t="s">
        <v>160</v>
      </c>
      <c r="C51" s="19" t="n">
        <f aca="false">INDEX(Engine!$AK$6:$AK$58,$C$5)</f>
        <v>0</v>
      </c>
    </row>
    <row r="52" customFormat="false" ht="15" hidden="false" customHeight="false" outlineLevel="0" collapsed="false">
      <c r="B52" s="9" t="s">
        <v>161</v>
      </c>
      <c r="C52" s="19" t="n">
        <f aca="false">INDEX(Engine!$AL$6:$AL$58,$C$5)</f>
        <v>0</v>
      </c>
    </row>
    <row r="53" customFormat="false" ht="15" hidden="false" customHeight="false" outlineLevel="0" collapsed="false">
      <c r="B53" s="9" t="s">
        <v>162</v>
      </c>
      <c r="C53" s="19" t="n">
        <f aca="false">INDEX(Engine!$AM$6:$AM$58,$C$5)</f>
        <v>0</v>
      </c>
    </row>
    <row r="54" customFormat="false" ht="15" hidden="false" customHeight="false" outlineLevel="0" collapsed="false">
      <c r="B54" s="9" t="s">
        <v>163</v>
      </c>
      <c r="C54" s="19" t="n">
        <f aca="false">INDEX(Engine!$AN$6:$AN$58,$C$5)</f>
        <v>0</v>
      </c>
    </row>
    <row r="55" customFormat="false" ht="15" hidden="false" customHeight="false" outlineLevel="0" collapsed="false">
      <c r="B55" s="9" t="s">
        <v>164</v>
      </c>
      <c r="C55" s="19" t="n">
        <f aca="false">INDEX(Engine!$AO$6:$AO$58,$C$5)</f>
        <v>0</v>
      </c>
    </row>
    <row r="56" customFormat="false" ht="15" hidden="false" customHeight="false" outlineLevel="0" collapsed="false">
      <c r="B56" s="9" t="s">
        <v>165</v>
      </c>
      <c r="C56" s="19" t="n">
        <f aca="false">INDEX(Engine!$AP$6:$AP$58,$C$5)</f>
        <v>0</v>
      </c>
    </row>
    <row r="57" customFormat="false" ht="15" hidden="false" customHeight="false" outlineLevel="0" collapsed="false">
      <c r="B57" s="9" t="s">
        <v>166</v>
      </c>
      <c r="C57" s="19" t="n">
        <f aca="false">INDEX(Engine!$AQ$6:$AQ$58,$C$5)</f>
        <v>0</v>
      </c>
    </row>
    <row r="58" customFormat="false" ht="15" hidden="false" customHeight="false" outlineLevel="0" collapsed="false">
      <c r="B58" s="9" t="s">
        <v>167</v>
      </c>
      <c r="C58" s="19" t="n">
        <f aca="false">INDEX(Engine!$AR$6:$AR$58,$C$5)</f>
        <v>0</v>
      </c>
    </row>
    <row r="59" customFormat="false" ht="15" hidden="false" customHeight="false" outlineLevel="0" collapsed="false">
      <c r="B59" s="9" t="s">
        <v>168</v>
      </c>
      <c r="C59" s="19" t="n">
        <f aca="false">INDEX(Engine!$AS$6:$AS$58,$C$5)</f>
        <v>0</v>
      </c>
    </row>
    <row r="60" customFormat="false" ht="15" hidden="false" customHeight="false" outlineLevel="0" collapsed="false">
      <c r="B60" s="9" t="s">
        <v>169</v>
      </c>
      <c r="C60" s="19" t="n">
        <f aca="false">INDEX(Engine!$AT$6:$AT$58,$C$5)</f>
        <v>0</v>
      </c>
    </row>
    <row r="61" customFormat="false" ht="15" hidden="false" customHeight="false" outlineLevel="0" collapsed="false">
      <c r="B61" s="9" t="s">
        <v>170</v>
      </c>
      <c r="C61" s="19" t="n">
        <f aca="false">INDEX(Engine!$AU$6:$AU$58,$C$5)</f>
        <v>0</v>
      </c>
    </row>
    <row r="62" customFormat="false" ht="15" hidden="false" customHeight="false" outlineLevel="0" collapsed="false">
      <c r="B62" s="9" t="s">
        <v>171</v>
      </c>
      <c r="C62" s="19" t="n">
        <f aca="false">INDEX(Engine!$AV$6:$AV$58,$C$5)</f>
        <v>0</v>
      </c>
    </row>
    <row r="63" customFormat="false" ht="15" hidden="false" customHeight="false" outlineLevel="0" collapsed="false">
      <c r="B63" s="9" t="s">
        <v>172</v>
      </c>
      <c r="C63" s="19" t="n">
        <f aca="false">INDEX(Engine!$AW$6:$AW$58,$C$5)</f>
        <v>0</v>
      </c>
    </row>
    <row r="64" customFormat="false" ht="15" hidden="false" customHeight="false" outlineLevel="0" collapsed="false">
      <c r="B64" s="9" t="s">
        <v>173</v>
      </c>
      <c r="C64" s="19" t="n">
        <f aca="false">INDEX(Engine!$AX$6:$AX$58,$C$5)</f>
        <v>0</v>
      </c>
    </row>
    <row r="65" customFormat="false" ht="15" hidden="false" customHeight="false" outlineLevel="0" collapsed="false">
      <c r="B65" s="9" t="s">
        <v>174</v>
      </c>
      <c r="C65" s="19" t="n">
        <f aca="false">INDEX(Engine!$AY$6:$AY$58,$C$5)</f>
        <v>0</v>
      </c>
    </row>
    <row r="66" customFormat="false" ht="15" hidden="false" customHeight="false" outlineLevel="0" collapsed="false">
      <c r="B66" s="9" t="s">
        <v>175</v>
      </c>
      <c r="C66" s="19" t="n">
        <f aca="false">INDEX(Engine!$AZ$6:$AZ$58,$C$5)</f>
        <v>0</v>
      </c>
    </row>
    <row r="67" customFormat="false" ht="15" hidden="false" customHeight="false" outlineLevel="0" collapsed="false">
      <c r="B67" s="9" t="s">
        <v>176</v>
      </c>
      <c r="C67" s="19" t="n">
        <f aca="false">INDEX(Engine!$BA$6:$BA$58,$C$5)</f>
        <v>0</v>
      </c>
    </row>
    <row r="68" customFormat="false" ht="15" hidden="false" customHeight="false" outlineLevel="0" collapsed="false">
      <c r="B68" s="9" t="s">
        <v>177</v>
      </c>
      <c r="C68" s="19" t="n">
        <f aca="false">INDEX(Engine!$BB$6:$BB$58,$C$5)</f>
        <v>0</v>
      </c>
    </row>
    <row r="69" customFormat="false" ht="15" hidden="false" customHeight="false" outlineLevel="0" collapsed="false">
      <c r="B69" s="9" t="s">
        <v>178</v>
      </c>
      <c r="C69" s="19" t="n">
        <f aca="false">INDEX(Engine!$BC$6:$BC$58,$C$5)</f>
        <v>0</v>
      </c>
    </row>
    <row r="70" customFormat="false" ht="15" hidden="false" customHeight="false" outlineLevel="0" collapsed="false">
      <c r="B70" s="9" t="s">
        <v>179</v>
      </c>
      <c r="C70" s="19" t="n">
        <f aca="false">INDEX(Engine!$BD$6:$BD$58,$C$5)</f>
        <v>0</v>
      </c>
    </row>
    <row r="71" customFormat="false" ht="15" hidden="false" customHeight="false" outlineLevel="0" collapsed="false">
      <c r="B71" s="9" t="s">
        <v>180</v>
      </c>
      <c r="C71" s="19" t="n">
        <f aca="false">INDEX(Engine!$BE$6:$BE$58,$C$5)</f>
        <v>0</v>
      </c>
    </row>
    <row r="72" customFormat="false" ht="15" hidden="false" customHeight="false" outlineLevel="0" collapsed="false">
      <c r="B72" s="9" t="s">
        <v>181</v>
      </c>
      <c r="C72" s="22" t="n">
        <f aca="false">INDEX(Engine!$BF$6:$BF$58,$C$5)</f>
        <v>0</v>
      </c>
    </row>
    <row r="74" customFormat="false" ht="15" hidden="false" customHeight="false" outlineLevel="0" collapsed="false">
      <c r="B74" s="3" t="s">
        <v>182</v>
      </c>
    </row>
    <row r="75" customFormat="false" ht="15" hidden="false" customHeight="false" outlineLevel="0" collapsed="false">
      <c r="B75" s="9" t="s">
        <v>183</v>
      </c>
      <c r="C75" s="19" t="n">
        <f aca="false">INDEX(Engine!$BG$6:$BG$58,$C$5)</f>
        <v>0</v>
      </c>
    </row>
    <row r="76" customFormat="false" ht="15" hidden="false" customHeight="false" outlineLevel="0" collapsed="false">
      <c r="B76" s="9" t="s">
        <v>184</v>
      </c>
      <c r="C76" s="19" t="n">
        <f aca="false">INDEX(Engine!$BH$6:$BH$58,$C$5)</f>
        <v>0</v>
      </c>
    </row>
    <row r="77" customFormat="false" ht="15" hidden="false" customHeight="false" outlineLevel="0" collapsed="false">
      <c r="B77" s="9" t="s">
        <v>185</v>
      </c>
      <c r="C77" s="19" t="n">
        <f aca="false">INDEX(Engine!$BI$6:$BI$58,$C$5)</f>
        <v>0</v>
      </c>
    </row>
    <row r="79" customFormat="false" ht="15" hidden="false" customHeight="false" outlineLevel="0" collapsed="false">
      <c r="B79" s="3" t="s">
        <v>186</v>
      </c>
    </row>
    <row r="80" customFormat="false" ht="15" hidden="false" customHeight="false" outlineLevel="0" collapsed="false">
      <c r="B80" s="9" t="s">
        <v>187</v>
      </c>
      <c r="C80" s="23" t="n">
        <f aca="false">INDEX(Engine!$BJ$6:$BJ$58,$C$5)</f>
        <v>1.06166666666667</v>
      </c>
    </row>
    <row r="81" customFormat="false" ht="15" hidden="false" customHeight="false" outlineLevel="0" collapsed="false">
      <c r="B81" s="9" t="s">
        <v>188</v>
      </c>
      <c r="C81" s="23" t="n">
        <f aca="false">INDEX(Engine!$BK$6:$BK$58,$C$5)</f>
        <v>1.060125</v>
      </c>
    </row>
    <row r="82" customFormat="false" ht="15" hidden="false" customHeight="false" outlineLevel="0" collapsed="false">
      <c r="B82" s="9" t="s">
        <v>189</v>
      </c>
      <c r="C82" s="23" t="n">
        <f aca="false">INDEX(Engine!$BL$6:$BL$58,$C$5)</f>
        <v>1.104</v>
      </c>
    </row>
    <row r="83" customFormat="false" ht="15" hidden="false" customHeight="false" outlineLevel="0" collapsed="false">
      <c r="B83" s="9" t="s">
        <v>190</v>
      </c>
      <c r="C83" s="19" t="n">
        <f aca="false">INDEX(Engine!$BM$6:$BM$58,$C$5)</f>
        <v>0</v>
      </c>
    </row>
    <row r="85" customFormat="false" ht="15" hidden="false" customHeight="false" outlineLevel="0" collapsed="false">
      <c r="B85" s="3" t="s">
        <v>191</v>
      </c>
    </row>
    <row r="86" customFormat="false" ht="15" hidden="false" customHeight="false" outlineLevel="0" collapsed="false">
      <c r="B86" s="9" t="s">
        <v>192</v>
      </c>
      <c r="C86" s="19" t="n">
        <f aca="false">INDEX(Engine!$BT$6:$BT$58,$C$5)</f>
        <v>0</v>
      </c>
    </row>
    <row r="87" customFormat="false" ht="15" hidden="false" customHeight="false" outlineLevel="0" collapsed="false">
      <c r="B87" s="9" t="s">
        <v>193</v>
      </c>
      <c r="C87" s="23" t="n">
        <f aca="false">INDEX(Engine!$BU$6:$BU$58,$C$5)</f>
        <v>1.17208</v>
      </c>
    </row>
    <row r="89" customFormat="false" ht="15" hidden="false" customHeight="false" outlineLevel="0" collapsed="false">
      <c r="B89" s="3" t="s">
        <v>194</v>
      </c>
    </row>
    <row r="90" customFormat="false" ht="15" hidden="false" customHeight="false" outlineLevel="0" collapsed="false">
      <c r="B90" s="9" t="s">
        <v>195</v>
      </c>
      <c r="C90" s="19" t="n">
        <f aca="false">INDEX(Engine!$BW$6:$BW$58,$C$5)</f>
        <v>0</v>
      </c>
    </row>
    <row r="91" customFormat="false" ht="15" hidden="false" customHeight="false" outlineLevel="0" collapsed="false">
      <c r="B91" s="9" t="s">
        <v>196</v>
      </c>
      <c r="C91" s="19" t="n">
        <f aca="false">INDEX(Engine!$BX$6:$BX$58,$C$5)</f>
        <v>0</v>
      </c>
    </row>
    <row r="92" customFormat="false" ht="15" hidden="false" customHeight="false" outlineLevel="0" collapsed="false">
      <c r="B92" s="9" t="s">
        <v>197</v>
      </c>
      <c r="C92" s="19" t="n">
        <f aca="false">INDEX(Engine!$BY$6:$BY$58,$C$5)</f>
        <v>0</v>
      </c>
    </row>
    <row r="93" customFormat="false" ht="15" hidden="false" customHeight="false" outlineLevel="0" collapsed="false">
      <c r="B93" s="9" t="s">
        <v>198</v>
      </c>
      <c r="C93" s="19" t="n">
        <f aca="false">INDEX(Engine!$BZ$6:$BZ$58,$C$5)</f>
        <v>6575.3688</v>
      </c>
    </row>
    <row r="94" customFormat="false" ht="15" hidden="false" customHeight="false" outlineLevel="0" collapsed="false">
      <c r="B94" s="9" t="s">
        <v>199</v>
      </c>
      <c r="C94" s="19" t="n">
        <f aca="false">INDEX(Engine!$CA$6:$CA$58,$C$5)</f>
        <v>0</v>
      </c>
    </row>
    <row r="95" customFormat="false" ht="15" hidden="false" customHeight="false" outlineLevel="0" collapsed="false">
      <c r="B95" s="9" t="s">
        <v>200</v>
      </c>
      <c r="C95" s="19" t="n">
        <f aca="false">INDEX(Engine!$CB$6:$CB$58,$C$5)</f>
        <v>328.76844</v>
      </c>
    </row>
    <row r="96" customFormat="false" ht="15" hidden="false" customHeight="false" outlineLevel="0" collapsed="false">
      <c r="B96" s="9" t="s">
        <v>201</v>
      </c>
      <c r="C96" s="22" t="n">
        <f aca="false">INDEX(Engine!$CC$6:$CC$58,$C$5)</f>
        <v>-6246.60036</v>
      </c>
    </row>
    <row r="97" customFormat="false" ht="15" hidden="false" customHeight="false" outlineLevel="0" collapsed="false">
      <c r="B97" s="9" t="s">
        <v>202</v>
      </c>
      <c r="C97" s="19" t="n">
        <f aca="false">INDEX(Engine!$CD$6:$CD$58,$C$5)</f>
        <v>-113574.552</v>
      </c>
    </row>
    <row r="98" customFormat="false" ht="15" hidden="false" customHeight="false" outlineLevel="0" collapsed="false">
      <c r="B98" s="9" t="s">
        <v>203</v>
      </c>
      <c r="C98" s="24" t="n">
        <f aca="false">INDEX(Engine!$CE$6:$CE$58,$C$5)</f>
        <v>-0.0208220012</v>
      </c>
    </row>
    <row r="99" customFormat="false" ht="15" hidden="false" customHeight="false" outlineLevel="0" collapsed="false">
      <c r="B99" s="9" t="s">
        <v>204</v>
      </c>
      <c r="C99" s="20" t="n">
        <f aca="false">INDEX(Engine!$CF$6:$CF$58,$C$5)</f>
        <v>-0.017765</v>
      </c>
    </row>
    <row r="101" customFormat="false" ht="15" hidden="false" customHeight="false" outlineLevel="0" collapsed="false">
      <c r="B101" s="3" t="s">
        <v>205</v>
      </c>
    </row>
    <row r="102" customFormat="false" ht="15" hidden="false" customHeight="false" outlineLevel="0" collapsed="false">
      <c r="B102" s="9" t="s">
        <v>206</v>
      </c>
      <c r="C102" s="19" t="n">
        <f aca="false">INDEX(Engine!$CR$6:$CR$58,$C$5)</f>
        <v>207025</v>
      </c>
    </row>
    <row r="103" customFormat="false" ht="15" hidden="false" customHeight="false" outlineLevel="0" collapsed="false">
      <c r="B103" s="9" t="s">
        <v>207</v>
      </c>
      <c r="C103" s="19" t="n">
        <f aca="false">INDEX(Engine!$CS$6:$CS$58,$C$5)</f>
        <v>0</v>
      </c>
    </row>
    <row r="104" customFormat="false" ht="15" hidden="false" customHeight="false" outlineLevel="0" collapsed="false">
      <c r="B104" s="9" t="s">
        <v>208</v>
      </c>
      <c r="C104" s="25" t="n">
        <f aca="false">INDEX(Engine!$CT$6:$CT$58,$C$5)</f>
        <v>0</v>
      </c>
    </row>
    <row r="105" customFormat="false" ht="15" hidden="false" customHeight="false" outlineLevel="0" collapsed="false">
      <c r="B105" s="9" t="s">
        <v>209</v>
      </c>
      <c r="C105" s="19" t="n">
        <f aca="false">INDEX(Engine!$CU$6:$CU$58,$C$5)</f>
        <v>-207025</v>
      </c>
    </row>
    <row r="107" customFormat="false" ht="15" hidden="false" customHeight="false" outlineLevel="0" collapsed="false">
      <c r="B107" s="3" t="s">
        <v>210</v>
      </c>
    </row>
    <row r="108" customFormat="false" ht="15" hidden="false" customHeight="false" outlineLevel="0" collapsed="false">
      <c r="B108" s="8" t="s">
        <v>211</v>
      </c>
      <c r="C108" s="8" t="s">
        <v>212</v>
      </c>
      <c r="D108" s="8" t="s">
        <v>213</v>
      </c>
      <c r="E108" s="8" t="s">
        <v>214</v>
      </c>
    </row>
    <row r="109" customFormat="false" ht="15" hidden="false" customHeight="false" outlineLevel="0" collapsed="false">
      <c r="B109" s="9" t="s">
        <v>215</v>
      </c>
      <c r="C109" s="9" t="str">
        <f aca="false">IF(INDEX(Use_Library!$AJ$5:$AJ$57,$C$5)=1,"Yes","No")</f>
        <v>Yes</v>
      </c>
      <c r="D109" s="9" t="str">
        <f aca="false">IF(INDEX(Use_Library!$AK$5:$AK$57,$C$5)=1,"Yes","No")</f>
        <v>Yes</v>
      </c>
      <c r="E109" s="9" t="str">
        <f aca="false">IF(INDEX(Use_Library!$AL$5:$AL$57,$C$5)=1,"Yes","No")</f>
        <v>Yes</v>
      </c>
    </row>
    <row r="110" customFormat="false" ht="15" hidden="false" customHeight="false" outlineLevel="0" collapsed="false">
      <c r="B110" s="9" t="s">
        <v>216</v>
      </c>
      <c r="C110" s="19" t="n">
        <f aca="false">INDEX(Engine!$BN$6:$BN$58,$C$5)</f>
        <v>0</v>
      </c>
      <c r="D110" s="19" t="n">
        <f aca="false">INDEX(Engine!$CG$6:$CG$58,$C$5)</f>
        <v>-0</v>
      </c>
      <c r="E110" s="19" t="n">
        <f aca="false">INDEX(Engine!$CK$6:$CK$58,$C$5)</f>
        <v>-0</v>
      </c>
    </row>
    <row r="111" customFormat="false" ht="15" hidden="false" customHeight="false" outlineLevel="0" collapsed="false">
      <c r="B111" s="9" t="s">
        <v>217</v>
      </c>
      <c r="C111" s="19" t="n">
        <f aca="false">INDEX(Engine!$BQ$6:$BQ$58,$C$5)</f>
        <v>337649.8125</v>
      </c>
      <c r="D111" s="19" t="n">
        <f aca="false">INDEX(Engine!$BV$6:$BV$58,$C$5)</f>
        <v>351624</v>
      </c>
      <c r="E111" s="19" t="n">
        <f aca="false">INDEX(Engine!$CN$6:$CN$58,$C$5)</f>
        <v>351624</v>
      </c>
    </row>
    <row r="112" customFormat="false" ht="15" hidden="false" customHeight="false" outlineLevel="0" collapsed="false">
      <c r="B112" s="9" t="s">
        <v>218</v>
      </c>
      <c r="C112" s="19" t="n">
        <f aca="false">INDEX(Engine!$BR$6:$BR$58,$C$5)</f>
        <v>-337649.8125</v>
      </c>
      <c r="D112" s="19" t="n">
        <f aca="false">INDEX(Engine!$CI$6:$CI$58,$C$5)</f>
        <v>-351624</v>
      </c>
      <c r="E112" s="19" t="n">
        <f aca="false">INDEX(Engine!$CP$6:$CP$58,$C$5)</f>
        <v>-351624</v>
      </c>
    </row>
    <row r="113" customFormat="false" ht="15" hidden="false" customHeight="false" outlineLevel="0" collapsed="false">
      <c r="B113" s="9" t="s">
        <v>219</v>
      </c>
      <c r="C113" s="23" t="n">
        <f aca="false">INDEX(Engine!$BP$6:$BP$58,$C$5)</f>
        <v>1.125499375</v>
      </c>
      <c r="D113" s="23" t="n">
        <f aca="false">INDEX(Engine!$BU$6:$BU$58,$C$5)</f>
        <v>1.17208</v>
      </c>
      <c r="E113" s="23" t="n">
        <f aca="false">INDEX(Engine!$CM$6:$CM$58,$C$5)</f>
        <v>1.17208</v>
      </c>
    </row>
    <row r="114" customFormat="false" ht="15" hidden="false" customHeight="false" outlineLevel="0" collapsed="false">
      <c r="B114" s="4" t="s">
        <v>220</v>
      </c>
      <c r="C114" s="18" t="n">
        <f aca="false">INDEX(Engine!$BS$6:$BS$58,$C$5)</f>
        <v>0</v>
      </c>
      <c r="D114" s="18" t="n">
        <f aca="false">INDEX(Engine!$CJ$6:$CJ$58,$C$5)</f>
        <v>0</v>
      </c>
      <c r="E114" s="18" t="n">
        <f aca="false">INDEX(Engine!$CQ$6:$CQ$58,$C$5)</f>
        <v>0</v>
      </c>
    </row>
    <row r="115" customFormat="false" ht="15" hidden="false" customHeight="false" outlineLevel="0" collapsed="false">
      <c r="B115" s="9" t="s">
        <v>221</v>
      </c>
      <c r="C115" s="20" t="n">
        <f aca="false">IF(INDEX(Engine!$BN$6:$BN$58,$C$5)=0,0,INDEX(Engine!$BR$6:$BR$58,$C$5)/INDEX(Engine!$BN$6:$BN$58,$C$5))</f>
        <v>0</v>
      </c>
      <c r="D115" s="20" t="n">
        <f aca="false">IF(INDEX(Engine!$CG$6:$CG$58,$C$5)=0,0,INDEX(Engine!$CI$6:$CI$58,$C$5)/INDEX(Engine!$CG$6:$CG$58,$C$5))</f>
        <v>0</v>
      </c>
      <c r="E115" s="20" t="n">
        <f aca="false">IF(INDEX(Engine!$CK$6:$CK$58,$C$5)=0,0,INDEX(Engine!$CP$6:$CP$58,$C$5)/INDEX(Engine!$CK$6:$CK$58,$C$5))</f>
        <v>0</v>
      </c>
    </row>
    <row r="116" customFormat="false" ht="15" hidden="false" customHeight="false" outlineLevel="0" collapsed="false">
      <c r="B116" s="9" t="s">
        <v>222</v>
      </c>
      <c r="C116" s="26" t="n">
        <f aca="false">INDEX(Use_Library!$AI$5:$AI$57,$C$5)</f>
        <v>0.15</v>
      </c>
    </row>
    <row r="118" customFormat="false" ht="15" hidden="false" customHeight="false" outlineLevel="0" collapsed="false">
      <c r="B118" s="4" t="s">
        <v>223</v>
      </c>
      <c r="C118" s="18" t="n">
        <f aca="false">INDEX(Engine!$CV$6:$CV$58,$C$5)</f>
        <v>0</v>
      </c>
    </row>
    <row r="119" customFormat="false" ht="15" hidden="false" customHeight="false" outlineLevel="0" collapsed="false">
      <c r="B119" s="4" t="s">
        <v>109</v>
      </c>
      <c r="C119" s="27" t="str">
        <f aca="false">INDEX(Engine!$CW$6:$CW$58,$C$5)</f>
        <v>None works</v>
      </c>
    </row>
    <row r="120" customFormat="false" ht="15" hidden="false" customHeight="false" outlineLevel="0" collapsed="false">
      <c r="B120" s="4" t="s">
        <v>110</v>
      </c>
      <c r="C120" s="18" t="n">
        <f aca="false">INDEX(Engine!$CX$6:$CX$58,$C$5)</f>
        <v>0</v>
      </c>
    </row>
    <row r="121" customFormat="false" ht="15" hidden="false" customHeight="false" outlineLevel="0" collapsed="false">
      <c r="B121" s="4" t="s">
        <v>224</v>
      </c>
      <c r="C121" s="18" t="n">
        <f aca="false">INDEX(Engine!$CY$6:$CY$58,$C$5)</f>
        <v>-300000</v>
      </c>
    </row>
    <row r="122" customFormat="false" ht="15" hidden="false" customHeight="false" outlineLevel="0" collapsed="false">
      <c r="B122" s="4" t="s">
        <v>225</v>
      </c>
      <c r="C122" s="18" t="n">
        <f aca="false">INDEX(Engine!$CZ$6:$CZ$58,$C$5)</f>
        <v>0</v>
      </c>
    </row>
    <row r="123" customFormat="false" ht="15" hidden="false" customHeight="false" outlineLevel="0" collapsed="false">
      <c r="B123" s="4" t="s">
        <v>226</v>
      </c>
      <c r="C123" s="18" t="n">
        <f aca="false">INDEX(Engine!$DA$6:$DA$58,$C$5)</f>
        <v>0</v>
      </c>
    </row>
    <row r="124" customFormat="false" ht="15" hidden="false" customHeight="false" outlineLevel="0" collapsed="false">
      <c r="B124" s="4" t="s">
        <v>115</v>
      </c>
      <c r="C124" s="27" t="str">
        <f aca="false">INDEX(Engine!$DB$6:$DB$58,$C$5)</f>
        <v>Under 8,000 households in 3 mi.</v>
      </c>
    </row>
  </sheetData>
  <dataValidations count="1">
    <dataValidation allowBlank="true" errorStyle="stop" operator="between" showDropDown="false" showErrorMessage="false" showInputMessage="false" sqref="C4" type="list">
      <formula1>Use_Library!$A$5:$A$57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13"/>
    <col collapsed="false" customWidth="true" hidden="false" outlineLevel="0" max="4" min="4" style="0" width="15"/>
    <col collapsed="false" customWidth="true" hidden="false" outlineLevel="0" max="42" min="5" style="0" width="12"/>
    <col collapsed="false" customWidth="true" hidden="false" outlineLevel="0" max="43" min="43" style="0" width="10"/>
    <col collapsed="false" customWidth="true" hidden="false" outlineLevel="0" max="44" min="44" style="0" width="12"/>
    <col collapsed="false" customWidth="true" hidden="false" outlineLevel="0" max="45" min="45" style="0" width="60"/>
    <col collapsed="false" customWidth="true" hidden="false" outlineLevel="0" max="46" min="46" style="0" width="50"/>
  </cols>
  <sheetData>
    <row r="1" customFormat="false" ht="17.35" hidden="false" customHeight="false" outlineLevel="0" collapsed="false">
      <c r="A1" s="1" t="s">
        <v>227</v>
      </c>
    </row>
    <row r="2" customFormat="false" ht="15" hidden="false" customHeight="false" outlineLevel="0" collapsed="false">
      <c r="A2" s="2" t="s">
        <v>228</v>
      </c>
    </row>
    <row r="4" customFormat="false" ht="60" hidden="false" customHeight="true" outlineLevel="0" collapsed="false">
      <c r="A4" s="8" t="s">
        <v>107</v>
      </c>
      <c r="B4" s="8" t="s">
        <v>229</v>
      </c>
      <c r="C4" s="8" t="s">
        <v>16</v>
      </c>
      <c r="D4" s="8" t="s">
        <v>124</v>
      </c>
      <c r="E4" s="8" t="s">
        <v>230</v>
      </c>
      <c r="F4" s="8" t="s">
        <v>231</v>
      </c>
      <c r="G4" s="8" t="s">
        <v>232</v>
      </c>
      <c r="H4" s="8" t="s">
        <v>233</v>
      </c>
      <c r="I4" s="8" t="s">
        <v>234</v>
      </c>
      <c r="J4" s="8" t="s">
        <v>235</v>
      </c>
      <c r="K4" s="8" t="s">
        <v>236</v>
      </c>
      <c r="L4" s="8" t="s">
        <v>237</v>
      </c>
      <c r="M4" s="8" t="s">
        <v>238</v>
      </c>
      <c r="N4" s="8" t="s">
        <v>239</v>
      </c>
      <c r="O4" s="8" t="s">
        <v>240</v>
      </c>
      <c r="P4" s="8" t="s">
        <v>241</v>
      </c>
      <c r="Q4" s="8" t="s">
        <v>242</v>
      </c>
      <c r="R4" s="8" t="s">
        <v>243</v>
      </c>
      <c r="S4" s="8" t="s">
        <v>244</v>
      </c>
      <c r="T4" s="8" t="s">
        <v>245</v>
      </c>
      <c r="U4" s="8" t="s">
        <v>246</v>
      </c>
      <c r="V4" s="8" t="s">
        <v>247</v>
      </c>
      <c r="W4" s="8" t="s">
        <v>248</v>
      </c>
      <c r="X4" s="8" t="s">
        <v>249</v>
      </c>
      <c r="Y4" s="8" t="s">
        <v>250</v>
      </c>
      <c r="Z4" s="8" t="s">
        <v>251</v>
      </c>
      <c r="AA4" s="8" t="s">
        <v>252</v>
      </c>
      <c r="AB4" s="8" t="s">
        <v>253</v>
      </c>
      <c r="AC4" s="8" t="s">
        <v>254</v>
      </c>
      <c r="AD4" s="8" t="s">
        <v>255</v>
      </c>
      <c r="AE4" s="8" t="s">
        <v>256</v>
      </c>
      <c r="AF4" s="8" t="s">
        <v>257</v>
      </c>
      <c r="AG4" s="8" t="s">
        <v>258</v>
      </c>
      <c r="AH4" s="8" t="s">
        <v>259</v>
      </c>
      <c r="AI4" s="8" t="s">
        <v>222</v>
      </c>
      <c r="AJ4" s="8" t="s">
        <v>260</v>
      </c>
      <c r="AK4" s="8" t="s">
        <v>261</v>
      </c>
      <c r="AL4" s="8" t="s">
        <v>262</v>
      </c>
      <c r="AM4" s="8" t="s">
        <v>263</v>
      </c>
      <c r="AN4" s="8" t="s">
        <v>264</v>
      </c>
      <c r="AO4" s="8" t="s">
        <v>265</v>
      </c>
      <c r="AP4" s="8" t="s">
        <v>266</v>
      </c>
      <c r="AQ4" s="8" t="s">
        <v>267</v>
      </c>
      <c r="AR4" s="8" t="s">
        <v>268</v>
      </c>
      <c r="AS4" s="8" t="s">
        <v>269</v>
      </c>
      <c r="AT4" s="8" t="s">
        <v>270</v>
      </c>
    </row>
    <row r="5" customFormat="false" ht="15" hidden="false" customHeight="false" outlineLevel="0" collapsed="false">
      <c r="A5" s="4" t="s">
        <v>271</v>
      </c>
      <c r="B5" s="9" t="s">
        <v>272</v>
      </c>
      <c r="C5" s="6" t="s">
        <v>273</v>
      </c>
      <c r="D5" s="6" t="s">
        <v>274</v>
      </c>
      <c r="E5" s="6" t="s">
        <v>66</v>
      </c>
      <c r="F5" s="28" t="n">
        <v>4</v>
      </c>
      <c r="G5" s="29" t="n">
        <v>0</v>
      </c>
      <c r="H5" s="6" t="s">
        <v>66</v>
      </c>
      <c r="I5" s="6" t="s">
        <v>71</v>
      </c>
      <c r="J5" s="6" t="s">
        <v>71</v>
      </c>
      <c r="K5" s="6" t="s">
        <v>66</v>
      </c>
      <c r="L5" s="28" t="n">
        <v>0</v>
      </c>
      <c r="M5" s="28" t="n">
        <v>0</v>
      </c>
      <c r="N5" s="11" t="n">
        <v>0.05</v>
      </c>
      <c r="O5" s="29" t="n">
        <v>50</v>
      </c>
      <c r="P5" s="29" t="n">
        <v>0</v>
      </c>
      <c r="Q5" s="29" t="n">
        <v>1</v>
      </c>
      <c r="R5" s="29" t="n">
        <v>1</v>
      </c>
      <c r="S5" s="13" t="n">
        <v>25000</v>
      </c>
      <c r="T5" s="13" t="n">
        <v>245000</v>
      </c>
      <c r="U5" s="13" t="n">
        <v>80000</v>
      </c>
      <c r="V5" s="13" t="n">
        <v>375000</v>
      </c>
      <c r="W5" s="13" t="n">
        <v>0</v>
      </c>
      <c r="X5" s="11" t="n">
        <v>0</v>
      </c>
      <c r="Y5" s="11" t="n">
        <v>0</v>
      </c>
      <c r="Z5" s="13" t="n">
        <v>0</v>
      </c>
      <c r="AA5" s="11" t="n">
        <v>0</v>
      </c>
      <c r="AB5" s="11" t="n">
        <v>0</v>
      </c>
      <c r="AC5" s="13" t="n">
        <v>0</v>
      </c>
      <c r="AD5" s="6" t="n">
        <v>0</v>
      </c>
      <c r="AE5" s="11" t="n">
        <v>0.07</v>
      </c>
      <c r="AF5" s="13" t="n">
        <v>0</v>
      </c>
      <c r="AG5" s="13" t="n">
        <v>0</v>
      </c>
      <c r="AH5" s="6" t="n">
        <v>12</v>
      </c>
      <c r="AI5" s="11" t="n">
        <v>0.15</v>
      </c>
      <c r="AJ5" s="6" t="n">
        <v>1</v>
      </c>
      <c r="AK5" s="6" t="n">
        <v>1</v>
      </c>
      <c r="AL5" s="6" t="n">
        <v>0</v>
      </c>
      <c r="AM5" s="6" t="n">
        <v>60</v>
      </c>
      <c r="AN5" s="6" t="n">
        <v>0</v>
      </c>
      <c r="AO5" s="6" t="n">
        <v>0</v>
      </c>
      <c r="AP5" s="6" t="n">
        <v>0</v>
      </c>
      <c r="AQ5" s="6" t="s">
        <v>71</v>
      </c>
      <c r="AR5" s="6" t="n">
        <v>0</v>
      </c>
      <c r="AS5" s="2" t="s">
        <v>275</v>
      </c>
      <c r="AT5" s="2" t="s">
        <v>276</v>
      </c>
    </row>
    <row r="6" customFormat="false" ht="15" hidden="false" customHeight="false" outlineLevel="0" collapsed="false">
      <c r="A6" s="4" t="s">
        <v>277</v>
      </c>
      <c r="B6" s="9" t="s">
        <v>272</v>
      </c>
      <c r="C6" s="6" t="s">
        <v>273</v>
      </c>
      <c r="D6" s="6" t="s">
        <v>278</v>
      </c>
      <c r="E6" s="6" t="s">
        <v>66</v>
      </c>
      <c r="F6" s="28" t="n">
        <v>4</v>
      </c>
      <c r="G6" s="29" t="n">
        <v>0</v>
      </c>
      <c r="H6" s="6" t="s">
        <v>66</v>
      </c>
      <c r="I6" s="6" t="s">
        <v>71</v>
      </c>
      <c r="J6" s="6" t="s">
        <v>71</v>
      </c>
      <c r="K6" s="6" t="s">
        <v>66</v>
      </c>
      <c r="L6" s="28" t="n">
        <v>0</v>
      </c>
      <c r="M6" s="28" t="n">
        <v>0</v>
      </c>
      <c r="N6" s="11" t="n">
        <v>0.05</v>
      </c>
      <c r="O6" s="29" t="n">
        <v>50</v>
      </c>
      <c r="P6" s="29" t="n">
        <v>0</v>
      </c>
      <c r="Q6" s="29" t="n">
        <v>1</v>
      </c>
      <c r="R6" s="29" t="n">
        <v>1</v>
      </c>
      <c r="S6" s="13" t="n">
        <v>25000</v>
      </c>
      <c r="T6" s="13" t="n">
        <v>0</v>
      </c>
      <c r="U6" s="13" t="n">
        <v>75000</v>
      </c>
      <c r="V6" s="13" t="n">
        <v>0</v>
      </c>
      <c r="W6" s="13" t="n">
        <v>0</v>
      </c>
      <c r="X6" s="11" t="n">
        <v>0</v>
      </c>
      <c r="Y6" s="11" t="n">
        <v>0</v>
      </c>
      <c r="Z6" s="13" t="n">
        <v>0</v>
      </c>
      <c r="AA6" s="11" t="n">
        <v>0</v>
      </c>
      <c r="AB6" s="11" t="n">
        <v>0</v>
      </c>
      <c r="AC6" s="13" t="n">
        <v>0</v>
      </c>
      <c r="AD6" s="6" t="n">
        <v>0</v>
      </c>
      <c r="AE6" s="11" t="n">
        <v>0.07</v>
      </c>
      <c r="AF6" s="13" t="n">
        <v>0</v>
      </c>
      <c r="AG6" s="13" t="n">
        <v>0</v>
      </c>
      <c r="AH6" s="6" t="n">
        <v>12</v>
      </c>
      <c r="AI6" s="11" t="n">
        <v>0.15</v>
      </c>
      <c r="AJ6" s="6" t="n">
        <v>1</v>
      </c>
      <c r="AK6" s="6" t="n">
        <v>0</v>
      </c>
      <c r="AL6" s="6" t="n">
        <v>0</v>
      </c>
      <c r="AM6" s="6" t="n">
        <v>60</v>
      </c>
      <c r="AN6" s="6" t="n">
        <v>0</v>
      </c>
      <c r="AO6" s="6" t="n">
        <v>0</v>
      </c>
      <c r="AP6" s="6" t="n">
        <v>0</v>
      </c>
      <c r="AQ6" s="6" t="s">
        <v>71</v>
      </c>
      <c r="AR6" s="6" t="n">
        <v>0</v>
      </c>
      <c r="AS6" s="2" t="s">
        <v>279</v>
      </c>
      <c r="AT6" s="2" t="s">
        <v>276</v>
      </c>
    </row>
    <row r="7" customFormat="false" ht="15" hidden="false" customHeight="false" outlineLevel="0" collapsed="false">
      <c r="A7" s="4" t="s">
        <v>280</v>
      </c>
      <c r="B7" s="9" t="s">
        <v>272</v>
      </c>
      <c r="C7" s="6" t="s">
        <v>273</v>
      </c>
      <c r="D7" s="6" t="s">
        <v>274</v>
      </c>
      <c r="E7" s="6" t="s">
        <v>66</v>
      </c>
      <c r="F7" s="28" t="n">
        <v>5</v>
      </c>
      <c r="G7" s="29" t="n">
        <v>0</v>
      </c>
      <c r="H7" s="6" t="s">
        <v>66</v>
      </c>
      <c r="I7" s="6" t="s">
        <v>71</v>
      </c>
      <c r="J7" s="6" t="s">
        <v>71</v>
      </c>
      <c r="K7" s="6" t="s">
        <v>66</v>
      </c>
      <c r="L7" s="28" t="n">
        <v>0</v>
      </c>
      <c r="M7" s="28" t="n">
        <v>0</v>
      </c>
      <c r="N7" s="11" t="n">
        <v>0.05</v>
      </c>
      <c r="O7" s="29" t="n">
        <v>45</v>
      </c>
      <c r="P7" s="29" t="n">
        <v>0</v>
      </c>
      <c r="Q7" s="29" t="n">
        <v>1</v>
      </c>
      <c r="R7" s="29" t="n">
        <v>1</v>
      </c>
      <c r="S7" s="13" t="n">
        <v>25000</v>
      </c>
      <c r="T7" s="13" t="n">
        <v>230000</v>
      </c>
      <c r="U7" s="13" t="n">
        <v>70000</v>
      </c>
      <c r="V7" s="13" t="n">
        <v>360000</v>
      </c>
      <c r="W7" s="13" t="n">
        <v>0</v>
      </c>
      <c r="X7" s="11" t="n">
        <v>0</v>
      </c>
      <c r="Y7" s="11" t="n">
        <v>0</v>
      </c>
      <c r="Z7" s="13" t="n">
        <v>0</v>
      </c>
      <c r="AA7" s="11" t="n">
        <v>0</v>
      </c>
      <c r="AB7" s="11" t="n">
        <v>0</v>
      </c>
      <c r="AC7" s="13" t="n">
        <v>0</v>
      </c>
      <c r="AD7" s="6" t="n">
        <v>0</v>
      </c>
      <c r="AE7" s="11" t="n">
        <v>0.07</v>
      </c>
      <c r="AF7" s="13" t="n">
        <v>0</v>
      </c>
      <c r="AG7" s="13" t="n">
        <v>0</v>
      </c>
      <c r="AH7" s="6" t="n">
        <v>12</v>
      </c>
      <c r="AI7" s="11" t="n">
        <v>0.15</v>
      </c>
      <c r="AJ7" s="6" t="n">
        <v>1</v>
      </c>
      <c r="AK7" s="6" t="n">
        <v>1</v>
      </c>
      <c r="AL7" s="6" t="n">
        <v>0</v>
      </c>
      <c r="AM7" s="6" t="n">
        <v>60</v>
      </c>
      <c r="AN7" s="6" t="n">
        <v>0</v>
      </c>
      <c r="AO7" s="6" t="n">
        <v>0</v>
      </c>
      <c r="AP7" s="6" t="n">
        <v>0</v>
      </c>
      <c r="AQ7" s="6" t="s">
        <v>71</v>
      </c>
      <c r="AR7" s="6" t="n">
        <v>0</v>
      </c>
      <c r="AS7" s="2" t="s">
        <v>281</v>
      </c>
      <c r="AT7" s="2" t="s">
        <v>276</v>
      </c>
    </row>
    <row r="8" customFormat="false" ht="15" hidden="false" customHeight="false" outlineLevel="0" collapsed="false">
      <c r="A8" s="4" t="s">
        <v>282</v>
      </c>
      <c r="B8" s="9" t="s">
        <v>272</v>
      </c>
      <c r="C8" s="6" t="s">
        <v>273</v>
      </c>
      <c r="D8" s="6" t="s">
        <v>274</v>
      </c>
      <c r="E8" s="6" t="s">
        <v>66</v>
      </c>
      <c r="F8" s="28" t="n">
        <v>5</v>
      </c>
      <c r="G8" s="29" t="n">
        <v>0</v>
      </c>
      <c r="H8" s="6" t="s">
        <v>66</v>
      </c>
      <c r="I8" s="6" t="s">
        <v>71</v>
      </c>
      <c r="J8" s="6" t="s">
        <v>71</v>
      </c>
      <c r="K8" s="6" t="s">
        <v>66</v>
      </c>
      <c r="L8" s="28" t="n">
        <v>0</v>
      </c>
      <c r="M8" s="28" t="n">
        <v>0</v>
      </c>
      <c r="N8" s="11" t="n">
        <v>0.05</v>
      </c>
      <c r="O8" s="29" t="n">
        <v>45</v>
      </c>
      <c r="P8" s="29" t="n">
        <v>0</v>
      </c>
      <c r="Q8" s="29" t="n">
        <v>1</v>
      </c>
      <c r="R8" s="29" t="n">
        <v>1</v>
      </c>
      <c r="S8" s="13" t="n">
        <v>25000</v>
      </c>
      <c r="T8" s="13" t="n">
        <v>210000</v>
      </c>
      <c r="U8" s="13" t="n">
        <v>65000</v>
      </c>
      <c r="V8" s="13" t="n">
        <v>310000</v>
      </c>
      <c r="W8" s="13" t="n">
        <v>0</v>
      </c>
      <c r="X8" s="11" t="n">
        <v>0</v>
      </c>
      <c r="Y8" s="11" t="n">
        <v>0</v>
      </c>
      <c r="Z8" s="13" t="n">
        <v>0</v>
      </c>
      <c r="AA8" s="11" t="n">
        <v>0</v>
      </c>
      <c r="AB8" s="11" t="n">
        <v>0</v>
      </c>
      <c r="AC8" s="13" t="n">
        <v>0</v>
      </c>
      <c r="AD8" s="6" t="n">
        <v>0</v>
      </c>
      <c r="AE8" s="11" t="n">
        <v>0.07</v>
      </c>
      <c r="AF8" s="13" t="n">
        <v>0</v>
      </c>
      <c r="AG8" s="13" t="n">
        <v>0</v>
      </c>
      <c r="AH8" s="6" t="n">
        <v>12</v>
      </c>
      <c r="AI8" s="11" t="n">
        <v>0.15</v>
      </c>
      <c r="AJ8" s="6" t="n">
        <v>1</v>
      </c>
      <c r="AK8" s="6" t="n">
        <v>1</v>
      </c>
      <c r="AL8" s="6" t="n">
        <v>0</v>
      </c>
      <c r="AM8" s="6" t="n">
        <v>60</v>
      </c>
      <c r="AN8" s="6" t="n">
        <v>0</v>
      </c>
      <c r="AO8" s="6" t="n">
        <v>0</v>
      </c>
      <c r="AP8" s="6" t="n">
        <v>0</v>
      </c>
      <c r="AQ8" s="6" t="s">
        <v>71</v>
      </c>
      <c r="AR8" s="6" t="n">
        <v>0</v>
      </c>
      <c r="AS8" s="2" t="s">
        <v>283</v>
      </c>
      <c r="AT8" s="2" t="s">
        <v>276</v>
      </c>
    </row>
    <row r="9" customFormat="false" ht="15" hidden="false" customHeight="false" outlineLevel="0" collapsed="false">
      <c r="A9" s="4" t="s">
        <v>284</v>
      </c>
      <c r="B9" s="9" t="s">
        <v>272</v>
      </c>
      <c r="C9" s="6" t="s">
        <v>273</v>
      </c>
      <c r="D9" s="6" t="s">
        <v>274</v>
      </c>
      <c r="E9" s="6" t="s">
        <v>66</v>
      </c>
      <c r="F9" s="28" t="n">
        <v>4</v>
      </c>
      <c r="G9" s="29" t="n">
        <v>0</v>
      </c>
      <c r="H9" s="6" t="s">
        <v>66</v>
      </c>
      <c r="I9" s="6" t="s">
        <v>71</v>
      </c>
      <c r="J9" s="6" t="s">
        <v>71</v>
      </c>
      <c r="K9" s="6" t="s">
        <v>66</v>
      </c>
      <c r="L9" s="28" t="n">
        <v>0</v>
      </c>
      <c r="M9" s="28" t="n">
        <v>0</v>
      </c>
      <c r="N9" s="11" t="n">
        <v>0.05</v>
      </c>
      <c r="O9" s="29" t="n">
        <v>50</v>
      </c>
      <c r="P9" s="29" t="n">
        <v>0</v>
      </c>
      <c r="Q9" s="29" t="n">
        <v>1</v>
      </c>
      <c r="R9" s="29" t="n">
        <v>1</v>
      </c>
      <c r="S9" s="13" t="n">
        <v>25000</v>
      </c>
      <c r="T9" s="13" t="n">
        <v>116500</v>
      </c>
      <c r="U9" s="13" t="n">
        <v>55000</v>
      </c>
      <c r="V9" s="13" t="n">
        <v>245000</v>
      </c>
      <c r="W9" s="13" t="n">
        <v>0</v>
      </c>
      <c r="X9" s="11" t="n">
        <v>0</v>
      </c>
      <c r="Y9" s="11" t="n">
        <v>0</v>
      </c>
      <c r="Z9" s="13" t="n">
        <v>0</v>
      </c>
      <c r="AA9" s="11" t="n">
        <v>0</v>
      </c>
      <c r="AB9" s="11" t="n">
        <v>0</v>
      </c>
      <c r="AC9" s="13" t="n">
        <v>0</v>
      </c>
      <c r="AD9" s="6" t="n">
        <v>0</v>
      </c>
      <c r="AE9" s="11" t="n">
        <v>0.07</v>
      </c>
      <c r="AF9" s="13" t="n">
        <v>0</v>
      </c>
      <c r="AG9" s="13" t="n">
        <v>0</v>
      </c>
      <c r="AH9" s="6" t="n">
        <v>12</v>
      </c>
      <c r="AI9" s="11" t="n">
        <v>0.15</v>
      </c>
      <c r="AJ9" s="6" t="n">
        <v>1</v>
      </c>
      <c r="AK9" s="6" t="n">
        <v>1</v>
      </c>
      <c r="AL9" s="6" t="n">
        <v>0</v>
      </c>
      <c r="AM9" s="6" t="n">
        <v>60</v>
      </c>
      <c r="AN9" s="6" t="n">
        <v>0</v>
      </c>
      <c r="AO9" s="6" t="n">
        <v>0</v>
      </c>
      <c r="AP9" s="6" t="n">
        <v>0</v>
      </c>
      <c r="AQ9" s="6" t="s">
        <v>71</v>
      </c>
      <c r="AR9" s="6" t="n">
        <v>0</v>
      </c>
      <c r="AS9" s="2" t="s">
        <v>285</v>
      </c>
      <c r="AT9" s="2" t="s">
        <v>286</v>
      </c>
    </row>
    <row r="10" customFormat="false" ht="15" hidden="false" customHeight="false" outlineLevel="0" collapsed="false">
      <c r="A10" s="4" t="s">
        <v>287</v>
      </c>
      <c r="B10" s="9" t="s">
        <v>272</v>
      </c>
      <c r="C10" s="6" t="s">
        <v>273</v>
      </c>
      <c r="D10" s="6" t="s">
        <v>288</v>
      </c>
      <c r="E10" s="6" t="s">
        <v>66</v>
      </c>
      <c r="F10" s="28" t="n">
        <v>10</v>
      </c>
      <c r="G10" s="29" t="n">
        <v>0</v>
      </c>
      <c r="H10" s="6" t="s">
        <v>71</v>
      </c>
      <c r="I10" s="6" t="s">
        <v>66</v>
      </c>
      <c r="J10" s="6" t="s">
        <v>66</v>
      </c>
      <c r="K10" s="6" t="s">
        <v>66</v>
      </c>
      <c r="L10" s="28" t="n">
        <v>0</v>
      </c>
      <c r="M10" s="28" t="n">
        <v>0</v>
      </c>
      <c r="N10" s="11" t="n">
        <v>0.05</v>
      </c>
      <c r="O10" s="29" t="n">
        <v>25</v>
      </c>
      <c r="P10" s="29" t="n">
        <v>0</v>
      </c>
      <c r="Q10" s="29" t="n">
        <v>1</v>
      </c>
      <c r="R10" s="29" t="n">
        <v>0</v>
      </c>
      <c r="S10" s="13" t="n">
        <v>25000</v>
      </c>
      <c r="T10" s="13" t="n">
        <v>200000</v>
      </c>
      <c r="U10" s="13" t="n">
        <v>45000</v>
      </c>
      <c r="V10" s="13" t="n">
        <v>300000</v>
      </c>
      <c r="W10" s="13" t="n">
        <v>0</v>
      </c>
      <c r="X10" s="11" t="n">
        <v>0</v>
      </c>
      <c r="Y10" s="11" t="n">
        <v>0</v>
      </c>
      <c r="Z10" s="13" t="n">
        <v>0</v>
      </c>
      <c r="AA10" s="11" t="n">
        <v>0</v>
      </c>
      <c r="AB10" s="11" t="n">
        <v>0</v>
      </c>
      <c r="AC10" s="13" t="n">
        <v>0</v>
      </c>
      <c r="AD10" s="6" t="n">
        <v>0</v>
      </c>
      <c r="AE10" s="11" t="n">
        <v>0.07</v>
      </c>
      <c r="AF10" s="13" t="n">
        <v>0</v>
      </c>
      <c r="AG10" s="13" t="n">
        <v>0</v>
      </c>
      <c r="AH10" s="6" t="n">
        <v>12</v>
      </c>
      <c r="AI10" s="11" t="n">
        <v>0.15</v>
      </c>
      <c r="AJ10" s="6" t="n">
        <v>1</v>
      </c>
      <c r="AK10" s="6" t="n">
        <v>1</v>
      </c>
      <c r="AL10" s="6" t="n">
        <v>0</v>
      </c>
      <c r="AM10" s="6" t="n">
        <v>60</v>
      </c>
      <c r="AN10" s="6" t="n">
        <v>0</v>
      </c>
      <c r="AO10" s="6" t="n">
        <v>0</v>
      </c>
      <c r="AP10" s="6" t="n">
        <v>0</v>
      </c>
      <c r="AQ10" s="6" t="s">
        <v>71</v>
      </c>
      <c r="AR10" s="6" t="n">
        <v>0</v>
      </c>
      <c r="AS10" s="2" t="s">
        <v>289</v>
      </c>
      <c r="AT10" s="2" t="s">
        <v>276</v>
      </c>
    </row>
    <row r="11" customFormat="false" ht="15" hidden="false" customHeight="false" outlineLevel="0" collapsed="false">
      <c r="A11" s="4" t="s">
        <v>290</v>
      </c>
      <c r="B11" s="9" t="s">
        <v>272</v>
      </c>
      <c r="C11" s="6" t="s">
        <v>273</v>
      </c>
      <c r="D11" s="6" t="s">
        <v>278</v>
      </c>
      <c r="E11" s="6" t="s">
        <v>66</v>
      </c>
      <c r="F11" s="28" t="n">
        <v>0.2</v>
      </c>
      <c r="G11" s="29" t="n">
        <v>0</v>
      </c>
      <c r="H11" s="6" t="s">
        <v>66</v>
      </c>
      <c r="I11" s="6" t="s">
        <v>71</v>
      </c>
      <c r="J11" s="6" t="s">
        <v>71</v>
      </c>
      <c r="K11" s="6" t="s">
        <v>66</v>
      </c>
      <c r="L11" s="28" t="n">
        <v>0</v>
      </c>
      <c r="M11" s="28" t="n">
        <v>0</v>
      </c>
      <c r="N11" s="11" t="n">
        <v>0.05</v>
      </c>
      <c r="O11" s="29" t="n">
        <v>150</v>
      </c>
      <c r="P11" s="29" t="n">
        <v>0</v>
      </c>
      <c r="Q11" s="29" t="n">
        <v>1</v>
      </c>
      <c r="R11" s="29" t="n">
        <v>1</v>
      </c>
      <c r="S11" s="13" t="n">
        <v>10000</v>
      </c>
      <c r="T11" s="13" t="n">
        <v>0</v>
      </c>
      <c r="U11" s="13" t="n">
        <v>90000</v>
      </c>
      <c r="V11" s="13" t="n">
        <v>0</v>
      </c>
      <c r="W11" s="13" t="n">
        <v>0</v>
      </c>
      <c r="X11" s="11" t="n">
        <v>0</v>
      </c>
      <c r="Y11" s="11" t="n">
        <v>0</v>
      </c>
      <c r="Z11" s="13" t="n">
        <v>0</v>
      </c>
      <c r="AA11" s="11" t="n">
        <v>0</v>
      </c>
      <c r="AB11" s="11" t="n">
        <v>0</v>
      </c>
      <c r="AC11" s="13" t="n">
        <v>0</v>
      </c>
      <c r="AD11" s="6" t="n">
        <v>0</v>
      </c>
      <c r="AE11" s="11" t="n">
        <v>0.07</v>
      </c>
      <c r="AF11" s="13" t="n">
        <v>0</v>
      </c>
      <c r="AG11" s="13" t="n">
        <v>0</v>
      </c>
      <c r="AH11" s="6" t="n">
        <v>12</v>
      </c>
      <c r="AI11" s="11" t="n">
        <v>0.15</v>
      </c>
      <c r="AJ11" s="6" t="n">
        <v>1</v>
      </c>
      <c r="AK11" s="6" t="n">
        <v>0</v>
      </c>
      <c r="AL11" s="6" t="n">
        <v>0</v>
      </c>
      <c r="AM11" s="6" t="n">
        <v>60</v>
      </c>
      <c r="AN11" s="6" t="n">
        <v>0</v>
      </c>
      <c r="AO11" s="6" t="n">
        <v>0</v>
      </c>
      <c r="AP11" s="6" t="n">
        <v>0</v>
      </c>
      <c r="AQ11" s="6" t="s">
        <v>71</v>
      </c>
      <c r="AR11" s="6" t="n">
        <v>0</v>
      </c>
      <c r="AS11" s="2" t="s">
        <v>291</v>
      </c>
      <c r="AT11" s="2" t="s">
        <v>276</v>
      </c>
    </row>
    <row r="12" customFormat="false" ht="15" hidden="false" customHeight="false" outlineLevel="0" collapsed="false">
      <c r="A12" s="4" t="s">
        <v>292</v>
      </c>
      <c r="B12" s="9" t="s">
        <v>293</v>
      </c>
      <c r="C12" s="6" t="s">
        <v>273</v>
      </c>
      <c r="D12" s="6" t="s">
        <v>294</v>
      </c>
      <c r="E12" s="6" t="s">
        <v>66</v>
      </c>
      <c r="F12" s="28" t="n">
        <v>0</v>
      </c>
      <c r="G12" s="29" t="n">
        <v>2900</v>
      </c>
      <c r="H12" s="6" t="s">
        <v>71</v>
      </c>
      <c r="I12" s="6" t="s">
        <v>71</v>
      </c>
      <c r="J12" s="6" t="s">
        <v>71</v>
      </c>
      <c r="K12" s="6" t="s">
        <v>66</v>
      </c>
      <c r="L12" s="28" t="n">
        <v>0</v>
      </c>
      <c r="M12" s="28" t="n">
        <v>0</v>
      </c>
      <c r="N12" s="11" t="n">
        <v>0.05</v>
      </c>
      <c r="O12" s="29" t="n">
        <v>8</v>
      </c>
      <c r="P12" s="29" t="n">
        <v>900</v>
      </c>
      <c r="Q12" s="29" t="n">
        <v>0.1</v>
      </c>
      <c r="R12" s="29" t="n">
        <v>0.1</v>
      </c>
      <c r="S12" s="13" t="n">
        <v>25000</v>
      </c>
      <c r="T12" s="13" t="n">
        <v>85000</v>
      </c>
      <c r="U12" s="13" t="n">
        <v>0</v>
      </c>
      <c r="V12" s="13" t="n">
        <v>135000</v>
      </c>
      <c r="W12" s="13" t="n">
        <v>0</v>
      </c>
      <c r="X12" s="11" t="n">
        <v>0</v>
      </c>
      <c r="Y12" s="11" t="n">
        <v>0</v>
      </c>
      <c r="Z12" s="13" t="n">
        <v>0</v>
      </c>
      <c r="AA12" s="11" t="n">
        <v>0</v>
      </c>
      <c r="AB12" s="11" t="n">
        <v>0</v>
      </c>
      <c r="AC12" s="13" t="n">
        <v>0</v>
      </c>
      <c r="AD12" s="6" t="n">
        <v>0</v>
      </c>
      <c r="AE12" s="11" t="n">
        <v>0.07</v>
      </c>
      <c r="AF12" s="13" t="n">
        <v>0</v>
      </c>
      <c r="AG12" s="13" t="n">
        <v>0</v>
      </c>
      <c r="AH12" s="6" t="n">
        <v>12</v>
      </c>
      <c r="AI12" s="11" t="n">
        <v>0.15</v>
      </c>
      <c r="AJ12" s="6" t="n">
        <v>0</v>
      </c>
      <c r="AK12" s="6" t="n">
        <v>1</v>
      </c>
      <c r="AL12" s="6" t="n">
        <v>0</v>
      </c>
      <c r="AM12" s="6" t="n">
        <v>100</v>
      </c>
      <c r="AN12" s="6" t="n">
        <v>0</v>
      </c>
      <c r="AO12" s="6" t="n">
        <v>0</v>
      </c>
      <c r="AP12" s="6" t="n">
        <v>0</v>
      </c>
      <c r="AQ12" s="6" t="s">
        <v>71</v>
      </c>
      <c r="AR12" s="6" t="n">
        <v>0</v>
      </c>
      <c r="AS12" s="2" t="s">
        <v>295</v>
      </c>
      <c r="AT12" s="2" t="s">
        <v>276</v>
      </c>
    </row>
    <row r="13" customFormat="false" ht="15" hidden="false" customHeight="false" outlineLevel="0" collapsed="false">
      <c r="A13" s="4" t="s">
        <v>296</v>
      </c>
      <c r="B13" s="9" t="s">
        <v>297</v>
      </c>
      <c r="C13" s="6" t="s">
        <v>273</v>
      </c>
      <c r="D13" s="6" t="s">
        <v>298</v>
      </c>
      <c r="E13" s="6" t="s">
        <v>66</v>
      </c>
      <c r="F13" s="28" t="n">
        <v>0</v>
      </c>
      <c r="G13" s="29" t="n">
        <v>5700</v>
      </c>
      <c r="H13" s="6" t="s">
        <v>71</v>
      </c>
      <c r="I13" s="6" t="s">
        <v>71</v>
      </c>
      <c r="J13" s="6" t="s">
        <v>71</v>
      </c>
      <c r="K13" s="6" t="s">
        <v>66</v>
      </c>
      <c r="L13" s="28" t="n">
        <v>0</v>
      </c>
      <c r="M13" s="28" t="n">
        <v>6</v>
      </c>
      <c r="N13" s="11" t="n">
        <v>0.05</v>
      </c>
      <c r="O13" s="29" t="n">
        <v>10</v>
      </c>
      <c r="P13" s="29" t="n">
        <v>2500</v>
      </c>
      <c r="Q13" s="29" t="n">
        <v>0.2</v>
      </c>
      <c r="R13" s="29" t="n">
        <v>0.2</v>
      </c>
      <c r="S13" s="13" t="n">
        <v>25000</v>
      </c>
      <c r="T13" s="13" t="n">
        <v>190000</v>
      </c>
      <c r="U13" s="13" t="n">
        <v>0</v>
      </c>
      <c r="V13" s="13" t="n">
        <v>280000</v>
      </c>
      <c r="W13" s="13" t="n">
        <v>0</v>
      </c>
      <c r="X13" s="11" t="n">
        <v>0</v>
      </c>
      <c r="Y13" s="11" t="n">
        <v>0</v>
      </c>
      <c r="Z13" s="13" t="n">
        <v>0</v>
      </c>
      <c r="AA13" s="11" t="n">
        <v>0</v>
      </c>
      <c r="AB13" s="11" t="n">
        <v>0</v>
      </c>
      <c r="AC13" s="13" t="n">
        <v>0</v>
      </c>
      <c r="AD13" s="6" t="n">
        <v>0</v>
      </c>
      <c r="AE13" s="11" t="n">
        <v>0.07</v>
      </c>
      <c r="AF13" s="13" t="n">
        <v>0</v>
      </c>
      <c r="AG13" s="13" t="n">
        <v>0</v>
      </c>
      <c r="AH13" s="6" t="n">
        <v>12</v>
      </c>
      <c r="AI13" s="11" t="n">
        <v>0.15</v>
      </c>
      <c r="AJ13" s="6" t="n">
        <v>0</v>
      </c>
      <c r="AK13" s="6" t="n">
        <v>1</v>
      </c>
      <c r="AL13" s="6" t="n">
        <v>0</v>
      </c>
      <c r="AM13" s="6" t="n">
        <v>150</v>
      </c>
      <c r="AN13" s="6" t="n">
        <v>0</v>
      </c>
      <c r="AO13" s="6" t="n">
        <v>0</v>
      </c>
      <c r="AP13" s="6" t="n">
        <v>0</v>
      </c>
      <c r="AQ13" s="6" t="s">
        <v>71</v>
      </c>
      <c r="AR13" s="6" t="n">
        <v>0</v>
      </c>
      <c r="AS13" s="2" t="s">
        <v>299</v>
      </c>
      <c r="AT13" s="2" t="s">
        <v>276</v>
      </c>
    </row>
    <row r="14" customFormat="false" ht="15" hidden="false" customHeight="false" outlineLevel="0" collapsed="false">
      <c r="A14" s="4" t="s">
        <v>300</v>
      </c>
      <c r="B14" s="9" t="s">
        <v>297</v>
      </c>
      <c r="C14" s="6" t="s">
        <v>273</v>
      </c>
      <c r="D14" s="6" t="s">
        <v>301</v>
      </c>
      <c r="E14" s="6" t="s">
        <v>66</v>
      </c>
      <c r="F14" s="28" t="n">
        <v>0</v>
      </c>
      <c r="G14" s="29" t="n">
        <v>6000</v>
      </c>
      <c r="H14" s="6" t="s">
        <v>71</v>
      </c>
      <c r="I14" s="6" t="s">
        <v>71</v>
      </c>
      <c r="J14" s="6" t="s">
        <v>66</v>
      </c>
      <c r="K14" s="6" t="s">
        <v>66</v>
      </c>
      <c r="L14" s="28" t="n">
        <v>0</v>
      </c>
      <c r="M14" s="28" t="n">
        <v>4</v>
      </c>
      <c r="N14" s="11" t="n">
        <v>0.05</v>
      </c>
      <c r="O14" s="29" t="n">
        <v>8</v>
      </c>
      <c r="P14" s="29" t="n">
        <v>3000</v>
      </c>
      <c r="Q14" s="29" t="n">
        <v>0.25</v>
      </c>
      <c r="R14" s="29" t="n">
        <v>0.25</v>
      </c>
      <c r="S14" s="13" t="n">
        <v>25000</v>
      </c>
      <c r="T14" s="13" t="n">
        <v>300000</v>
      </c>
      <c r="U14" s="13" t="n">
        <v>0</v>
      </c>
      <c r="V14" s="13" t="n">
        <v>450000</v>
      </c>
      <c r="W14" s="13" t="n">
        <v>0</v>
      </c>
      <c r="X14" s="11" t="n">
        <v>0</v>
      </c>
      <c r="Y14" s="11" t="n">
        <v>0</v>
      </c>
      <c r="Z14" s="13" t="n">
        <v>0</v>
      </c>
      <c r="AA14" s="11" t="n">
        <v>0</v>
      </c>
      <c r="AB14" s="11" t="n">
        <v>0</v>
      </c>
      <c r="AC14" s="13" t="n">
        <v>0</v>
      </c>
      <c r="AD14" s="6" t="n">
        <v>0</v>
      </c>
      <c r="AE14" s="11" t="n">
        <v>0.07</v>
      </c>
      <c r="AF14" s="13" t="n">
        <v>0</v>
      </c>
      <c r="AG14" s="13" t="n">
        <v>0</v>
      </c>
      <c r="AH14" s="6" t="n">
        <v>12</v>
      </c>
      <c r="AI14" s="11" t="n">
        <v>0.15</v>
      </c>
      <c r="AJ14" s="6" t="n">
        <v>0</v>
      </c>
      <c r="AK14" s="6" t="n">
        <v>1</v>
      </c>
      <c r="AL14" s="6" t="n">
        <v>0</v>
      </c>
      <c r="AM14" s="6" t="n">
        <v>150</v>
      </c>
      <c r="AN14" s="6" t="n">
        <v>0</v>
      </c>
      <c r="AO14" s="6" t="n">
        <v>0</v>
      </c>
      <c r="AP14" s="6" t="n">
        <v>0</v>
      </c>
      <c r="AQ14" s="6" t="s">
        <v>71</v>
      </c>
      <c r="AR14" s="6" t="n">
        <v>0</v>
      </c>
      <c r="AS14" s="2" t="s">
        <v>302</v>
      </c>
      <c r="AT14" s="2" t="s">
        <v>276</v>
      </c>
    </row>
    <row r="15" customFormat="false" ht="15" hidden="false" customHeight="false" outlineLevel="0" collapsed="false">
      <c r="A15" s="4" t="s">
        <v>303</v>
      </c>
      <c r="B15" s="9" t="s">
        <v>272</v>
      </c>
      <c r="C15" s="6" t="s">
        <v>304</v>
      </c>
      <c r="D15" s="6" t="s">
        <v>305</v>
      </c>
      <c r="E15" s="6" t="s">
        <v>66</v>
      </c>
      <c r="F15" s="28" t="n">
        <v>7</v>
      </c>
      <c r="G15" s="29" t="n">
        <v>0</v>
      </c>
      <c r="H15" s="6" t="s">
        <v>66</v>
      </c>
      <c r="I15" s="6" t="s">
        <v>71</v>
      </c>
      <c r="J15" s="6" t="s">
        <v>71</v>
      </c>
      <c r="K15" s="6" t="s">
        <v>66</v>
      </c>
      <c r="L15" s="28" t="n">
        <v>5</v>
      </c>
      <c r="M15" s="28" t="n">
        <v>0</v>
      </c>
      <c r="N15" s="11" t="n">
        <v>0.05</v>
      </c>
      <c r="O15" s="29" t="n">
        <v>40</v>
      </c>
      <c r="P15" s="29" t="n">
        <v>0</v>
      </c>
      <c r="Q15" s="29" t="n">
        <v>1</v>
      </c>
      <c r="R15" s="29" t="n">
        <v>1</v>
      </c>
      <c r="S15" s="13" t="n">
        <v>40000</v>
      </c>
      <c r="T15" s="13" t="n">
        <v>12000</v>
      </c>
      <c r="U15" s="13" t="n">
        <v>0</v>
      </c>
      <c r="V15" s="13" t="n">
        <v>0</v>
      </c>
      <c r="W15" s="13" t="n">
        <v>6600</v>
      </c>
      <c r="X15" s="11" t="n">
        <v>0.05</v>
      </c>
      <c r="Y15" s="11" t="n">
        <v>0.07</v>
      </c>
      <c r="Z15" s="13" t="n">
        <v>1200</v>
      </c>
      <c r="AA15" s="11" t="n">
        <v>0.05</v>
      </c>
      <c r="AB15" s="11" t="n">
        <v>0.15</v>
      </c>
      <c r="AC15" s="13" t="n">
        <v>0</v>
      </c>
      <c r="AD15" s="6" t="n">
        <v>24</v>
      </c>
      <c r="AE15" s="11" t="n">
        <v>0.065</v>
      </c>
      <c r="AF15" s="13" t="n">
        <v>40000</v>
      </c>
      <c r="AG15" s="13" t="n">
        <v>0</v>
      </c>
      <c r="AH15" s="6" t="n">
        <v>12</v>
      </c>
      <c r="AI15" s="11" t="n">
        <v>0.15</v>
      </c>
      <c r="AJ15" s="6" t="n">
        <v>1</v>
      </c>
      <c r="AK15" s="6" t="n">
        <v>1</v>
      </c>
      <c r="AL15" s="6" t="n">
        <v>1</v>
      </c>
      <c r="AM15" s="6" t="n">
        <v>60</v>
      </c>
      <c r="AN15" s="6" t="n">
        <v>0</v>
      </c>
      <c r="AO15" s="6" t="n">
        <v>0</v>
      </c>
      <c r="AP15" s="6" t="n">
        <v>0</v>
      </c>
      <c r="AQ15" s="6" t="s">
        <v>71</v>
      </c>
      <c r="AR15" s="6" t="n">
        <v>0</v>
      </c>
      <c r="AS15" s="2" t="s">
        <v>306</v>
      </c>
      <c r="AT15" s="2" t="s">
        <v>307</v>
      </c>
    </row>
    <row r="16" customFormat="false" ht="15" hidden="false" customHeight="false" outlineLevel="0" collapsed="false">
      <c r="A16" s="4" t="s">
        <v>308</v>
      </c>
      <c r="B16" s="9" t="s">
        <v>272</v>
      </c>
      <c r="C16" s="6" t="s">
        <v>304</v>
      </c>
      <c r="D16" s="6" t="s">
        <v>309</v>
      </c>
      <c r="E16" s="6" t="s">
        <v>66</v>
      </c>
      <c r="F16" s="28" t="n">
        <v>15</v>
      </c>
      <c r="G16" s="29" t="n">
        <v>0</v>
      </c>
      <c r="H16" s="6" t="s">
        <v>71</v>
      </c>
      <c r="I16" s="6" t="s">
        <v>71</v>
      </c>
      <c r="J16" s="6" t="s">
        <v>71</v>
      </c>
      <c r="K16" s="6" t="s">
        <v>66</v>
      </c>
      <c r="L16" s="28" t="n">
        <v>5</v>
      </c>
      <c r="M16" s="28" t="n">
        <v>0</v>
      </c>
      <c r="N16" s="11" t="n">
        <v>0.05</v>
      </c>
      <c r="O16" s="29" t="n">
        <v>30</v>
      </c>
      <c r="P16" s="29" t="n">
        <v>0</v>
      </c>
      <c r="Q16" s="29" t="n">
        <v>0.25</v>
      </c>
      <c r="R16" s="29" t="n">
        <v>0.25</v>
      </c>
      <c r="S16" s="13" t="n">
        <v>40000</v>
      </c>
      <c r="T16" s="13" t="n">
        <v>18000</v>
      </c>
      <c r="U16" s="13" t="n">
        <v>0</v>
      </c>
      <c r="V16" s="13" t="n">
        <v>0</v>
      </c>
      <c r="W16" s="13" t="n">
        <v>7800</v>
      </c>
      <c r="X16" s="11" t="n">
        <v>0.05</v>
      </c>
      <c r="Y16" s="11" t="n">
        <v>0.15</v>
      </c>
      <c r="Z16" s="13" t="n">
        <v>1800</v>
      </c>
      <c r="AA16" s="11" t="n">
        <v>0.08</v>
      </c>
      <c r="AB16" s="11" t="n">
        <v>0</v>
      </c>
      <c r="AC16" s="13" t="n">
        <v>0</v>
      </c>
      <c r="AD16" s="6" t="n">
        <v>12</v>
      </c>
      <c r="AE16" s="11" t="n">
        <v>0.085</v>
      </c>
      <c r="AF16" s="13" t="n">
        <v>40000</v>
      </c>
      <c r="AG16" s="13" t="n">
        <v>0</v>
      </c>
      <c r="AH16" s="6" t="n">
        <v>10</v>
      </c>
      <c r="AI16" s="11" t="n">
        <v>0.15</v>
      </c>
      <c r="AJ16" s="6" t="n">
        <v>1</v>
      </c>
      <c r="AK16" s="6" t="n">
        <v>1</v>
      </c>
      <c r="AL16" s="6" t="n">
        <v>1</v>
      </c>
      <c r="AM16" s="6" t="n">
        <v>60</v>
      </c>
      <c r="AN16" s="6" t="n">
        <v>0</v>
      </c>
      <c r="AO16" s="6" t="n">
        <v>0</v>
      </c>
      <c r="AP16" s="6" t="n">
        <v>0</v>
      </c>
      <c r="AQ16" s="6" t="s">
        <v>71</v>
      </c>
      <c r="AR16" s="6" t="n">
        <v>0</v>
      </c>
      <c r="AS16" s="2" t="s">
        <v>310</v>
      </c>
      <c r="AT16" s="2" t="s">
        <v>276</v>
      </c>
    </row>
    <row r="17" customFormat="false" ht="15" hidden="false" customHeight="false" outlineLevel="0" collapsed="false">
      <c r="A17" s="4" t="s">
        <v>311</v>
      </c>
      <c r="B17" s="9" t="s">
        <v>272</v>
      </c>
      <c r="C17" s="6" t="s">
        <v>304</v>
      </c>
      <c r="D17" s="6" t="s">
        <v>288</v>
      </c>
      <c r="E17" s="6" t="s">
        <v>66</v>
      </c>
      <c r="F17" s="28" t="n">
        <v>20</v>
      </c>
      <c r="G17" s="29" t="n">
        <v>1300</v>
      </c>
      <c r="H17" s="6" t="s">
        <v>71</v>
      </c>
      <c r="I17" s="6" t="s">
        <v>66</v>
      </c>
      <c r="J17" s="6" t="s">
        <v>66</v>
      </c>
      <c r="K17" s="6" t="s">
        <v>66</v>
      </c>
      <c r="L17" s="28" t="n">
        <v>3</v>
      </c>
      <c r="M17" s="28" t="n">
        <v>0</v>
      </c>
      <c r="N17" s="11" t="n">
        <v>0.05</v>
      </c>
      <c r="O17" s="29" t="n">
        <v>8</v>
      </c>
      <c r="P17" s="29" t="n">
        <v>560</v>
      </c>
      <c r="Q17" s="29" t="n">
        <v>0.05</v>
      </c>
      <c r="R17" s="29" t="n">
        <v>0</v>
      </c>
      <c r="S17" s="13" t="n">
        <v>75000</v>
      </c>
      <c r="T17" s="13" t="n">
        <v>140000</v>
      </c>
      <c r="U17" s="13" t="n">
        <v>0</v>
      </c>
      <c r="V17" s="13" t="n">
        <v>0</v>
      </c>
      <c r="W17" s="13" t="n">
        <v>17400</v>
      </c>
      <c r="X17" s="11" t="n">
        <v>0.05</v>
      </c>
      <c r="Y17" s="11" t="n">
        <v>0.06</v>
      </c>
      <c r="Z17" s="13" t="n">
        <v>4500</v>
      </c>
      <c r="AA17" s="11" t="n">
        <v>0.035</v>
      </c>
      <c r="AB17" s="11" t="n">
        <v>0.05</v>
      </c>
      <c r="AC17" s="13" t="n">
        <v>0</v>
      </c>
      <c r="AD17" s="6" t="n">
        <v>15</v>
      </c>
      <c r="AE17" s="11" t="n">
        <v>0.0575</v>
      </c>
      <c r="AF17" s="13" t="n">
        <v>250000</v>
      </c>
      <c r="AG17" s="13" t="n">
        <v>0</v>
      </c>
      <c r="AH17" s="6" t="n">
        <v>18</v>
      </c>
      <c r="AI17" s="11" t="n">
        <v>0.15</v>
      </c>
      <c r="AJ17" s="6" t="n">
        <v>1</v>
      </c>
      <c r="AK17" s="6" t="n">
        <v>1</v>
      </c>
      <c r="AL17" s="6" t="n">
        <v>1</v>
      </c>
      <c r="AM17" s="6" t="n">
        <v>200</v>
      </c>
      <c r="AN17" s="6" t="n">
        <v>0</v>
      </c>
      <c r="AO17" s="6" t="n">
        <v>4000</v>
      </c>
      <c r="AP17" s="6" t="n">
        <v>0</v>
      </c>
      <c r="AQ17" s="6" t="s">
        <v>71</v>
      </c>
      <c r="AR17" s="6" t="n">
        <v>0</v>
      </c>
      <c r="AS17" s="2" t="s">
        <v>312</v>
      </c>
      <c r="AT17" s="2" t="s">
        <v>276</v>
      </c>
    </row>
    <row r="18" customFormat="false" ht="15" hidden="false" customHeight="false" outlineLevel="0" collapsed="false">
      <c r="A18" s="4" t="s">
        <v>120</v>
      </c>
      <c r="B18" s="9" t="s">
        <v>272</v>
      </c>
      <c r="C18" s="6" t="s">
        <v>304</v>
      </c>
      <c r="D18" s="6" t="s">
        <v>288</v>
      </c>
      <c r="E18" s="6" t="s">
        <v>66</v>
      </c>
      <c r="F18" s="28" t="n">
        <v>24</v>
      </c>
      <c r="G18" s="29" t="n">
        <v>1200</v>
      </c>
      <c r="H18" s="6" t="s">
        <v>71</v>
      </c>
      <c r="I18" s="6" t="s">
        <v>66</v>
      </c>
      <c r="J18" s="6" t="s">
        <v>66</v>
      </c>
      <c r="K18" s="6" t="s">
        <v>66</v>
      </c>
      <c r="L18" s="28" t="n">
        <v>6</v>
      </c>
      <c r="M18" s="28" t="n">
        <v>0</v>
      </c>
      <c r="N18" s="11" t="n">
        <v>0.05</v>
      </c>
      <c r="O18" s="29" t="n">
        <v>8</v>
      </c>
      <c r="P18" s="29" t="n">
        <v>560</v>
      </c>
      <c r="Q18" s="29" t="n">
        <v>0.04</v>
      </c>
      <c r="R18" s="29" t="n">
        <v>0</v>
      </c>
      <c r="S18" s="13" t="n">
        <v>100000</v>
      </c>
      <c r="T18" s="13" t="n">
        <v>150000</v>
      </c>
      <c r="U18" s="13" t="n">
        <v>0</v>
      </c>
      <c r="V18" s="13" t="n">
        <v>0</v>
      </c>
      <c r="W18" s="13" t="n">
        <v>21000</v>
      </c>
      <c r="X18" s="11" t="n">
        <v>0.06</v>
      </c>
      <c r="Y18" s="11" t="n">
        <v>0.06</v>
      </c>
      <c r="Z18" s="13" t="n">
        <v>5000</v>
      </c>
      <c r="AA18" s="11" t="n">
        <v>0.03</v>
      </c>
      <c r="AB18" s="11" t="n">
        <v>0.05</v>
      </c>
      <c r="AC18" s="13" t="n">
        <v>0</v>
      </c>
      <c r="AD18" s="6" t="n">
        <v>18</v>
      </c>
      <c r="AE18" s="11" t="n">
        <v>0.055</v>
      </c>
      <c r="AF18" s="13" t="n">
        <v>350000</v>
      </c>
      <c r="AG18" s="13" t="n">
        <v>0</v>
      </c>
      <c r="AH18" s="6" t="n">
        <v>20</v>
      </c>
      <c r="AI18" s="11" t="n">
        <v>0.15</v>
      </c>
      <c r="AJ18" s="6" t="n">
        <v>1</v>
      </c>
      <c r="AK18" s="6" t="n">
        <v>1</v>
      </c>
      <c r="AL18" s="6" t="n">
        <v>1</v>
      </c>
      <c r="AM18" s="6" t="n">
        <v>300</v>
      </c>
      <c r="AN18" s="6" t="n">
        <v>0</v>
      </c>
      <c r="AO18" s="6" t="n">
        <v>8000</v>
      </c>
      <c r="AP18" s="6" t="n">
        <v>10</v>
      </c>
      <c r="AQ18" s="6" t="s">
        <v>71</v>
      </c>
      <c r="AR18" s="6" t="n">
        <v>0</v>
      </c>
      <c r="AS18" s="2" t="s">
        <v>313</v>
      </c>
      <c r="AT18" s="2" t="s">
        <v>314</v>
      </c>
    </row>
    <row r="19" customFormat="false" ht="15" hidden="false" customHeight="false" outlineLevel="0" collapsed="false">
      <c r="A19" s="4" t="s">
        <v>315</v>
      </c>
      <c r="B19" s="9" t="s">
        <v>272</v>
      </c>
      <c r="C19" s="6" t="s">
        <v>304</v>
      </c>
      <c r="D19" s="6" t="s">
        <v>288</v>
      </c>
      <c r="E19" s="6" t="s">
        <v>66</v>
      </c>
      <c r="F19" s="28" t="n">
        <v>60</v>
      </c>
      <c r="G19" s="29" t="n">
        <v>500</v>
      </c>
      <c r="H19" s="6" t="s">
        <v>71</v>
      </c>
      <c r="I19" s="6" t="s">
        <v>66</v>
      </c>
      <c r="J19" s="6" t="s">
        <v>66</v>
      </c>
      <c r="K19" s="6" t="s">
        <v>66</v>
      </c>
      <c r="L19" s="28" t="n">
        <v>2</v>
      </c>
      <c r="M19" s="28" t="n">
        <v>6</v>
      </c>
      <c r="N19" s="11" t="n">
        <v>0.05</v>
      </c>
      <c r="O19" s="29" t="n">
        <v>3</v>
      </c>
      <c r="P19" s="29" t="n">
        <v>0</v>
      </c>
      <c r="Q19" s="29" t="n">
        <v>0.02</v>
      </c>
      <c r="R19" s="29" t="n">
        <v>0</v>
      </c>
      <c r="S19" s="13" t="n">
        <v>150000</v>
      </c>
      <c r="T19" s="13" t="n">
        <v>240000</v>
      </c>
      <c r="U19" s="13" t="n">
        <v>0</v>
      </c>
      <c r="V19" s="13" t="n">
        <v>0</v>
      </c>
      <c r="W19" s="13" t="n">
        <v>25200</v>
      </c>
      <c r="X19" s="11" t="n">
        <v>0.07</v>
      </c>
      <c r="Y19" s="11" t="n">
        <v>0.06</v>
      </c>
      <c r="Z19" s="13" t="n">
        <v>5500</v>
      </c>
      <c r="AA19" s="11" t="n">
        <v>0.03</v>
      </c>
      <c r="AB19" s="11" t="n">
        <v>0.05</v>
      </c>
      <c r="AC19" s="13" t="n">
        <v>0</v>
      </c>
      <c r="AD19" s="6" t="n">
        <v>20</v>
      </c>
      <c r="AE19" s="11" t="n">
        <v>0.0525</v>
      </c>
      <c r="AF19" s="13" t="n">
        <v>900000</v>
      </c>
      <c r="AG19" s="13" t="n">
        <v>0</v>
      </c>
      <c r="AH19" s="6" t="n">
        <v>26</v>
      </c>
      <c r="AI19" s="11" t="n">
        <v>0.15</v>
      </c>
      <c r="AJ19" s="6" t="n">
        <v>1</v>
      </c>
      <c r="AK19" s="6" t="n">
        <v>1</v>
      </c>
      <c r="AL19" s="6" t="n">
        <v>1</v>
      </c>
      <c r="AM19" s="6" t="n">
        <v>250</v>
      </c>
      <c r="AN19" s="6" t="n">
        <v>0</v>
      </c>
      <c r="AO19" s="6" t="n">
        <v>15000</v>
      </c>
      <c r="AP19" s="6" t="n">
        <v>0</v>
      </c>
      <c r="AQ19" s="6" t="s">
        <v>71</v>
      </c>
      <c r="AR19" s="6" t="n">
        <v>0</v>
      </c>
      <c r="AS19" s="2" t="s">
        <v>316</v>
      </c>
      <c r="AT19" s="2" t="s">
        <v>317</v>
      </c>
    </row>
    <row r="20" customFormat="false" ht="15" hidden="false" customHeight="false" outlineLevel="0" collapsed="false">
      <c r="A20" s="4" t="s">
        <v>318</v>
      </c>
      <c r="B20" s="9" t="s">
        <v>272</v>
      </c>
      <c r="C20" s="6" t="s">
        <v>304</v>
      </c>
      <c r="D20" s="6" t="s">
        <v>288</v>
      </c>
      <c r="E20" s="6" t="s">
        <v>66</v>
      </c>
      <c r="F20" s="28" t="n">
        <v>8</v>
      </c>
      <c r="G20" s="29" t="n">
        <v>0</v>
      </c>
      <c r="H20" s="6" t="s">
        <v>71</v>
      </c>
      <c r="I20" s="6" t="s">
        <v>66</v>
      </c>
      <c r="J20" s="6" t="s">
        <v>66</v>
      </c>
      <c r="K20" s="6" t="s">
        <v>66</v>
      </c>
      <c r="L20" s="28" t="n">
        <v>0</v>
      </c>
      <c r="M20" s="28" t="n">
        <v>0</v>
      </c>
      <c r="N20" s="11" t="n">
        <v>0.05</v>
      </c>
      <c r="O20" s="29" t="n">
        <v>20</v>
      </c>
      <c r="P20" s="29" t="n">
        <v>0</v>
      </c>
      <c r="Q20" s="29" t="n">
        <v>0.5</v>
      </c>
      <c r="R20" s="29" t="n">
        <v>0</v>
      </c>
      <c r="S20" s="13" t="n">
        <v>25000</v>
      </c>
      <c r="T20" s="13" t="n">
        <v>175000</v>
      </c>
      <c r="U20" s="13" t="n">
        <v>0</v>
      </c>
      <c r="V20" s="13" t="n">
        <v>0</v>
      </c>
      <c r="W20" s="13" t="n">
        <v>19800</v>
      </c>
      <c r="X20" s="11" t="n">
        <v>0.02</v>
      </c>
      <c r="Y20" s="11" t="n">
        <v>0.05</v>
      </c>
      <c r="Z20" s="13" t="n">
        <v>3500</v>
      </c>
      <c r="AA20" s="11" t="n">
        <v>0.08</v>
      </c>
      <c r="AB20" s="11" t="n">
        <v>0.05</v>
      </c>
      <c r="AC20" s="13" t="n">
        <v>0</v>
      </c>
      <c r="AD20" s="6" t="n">
        <v>6</v>
      </c>
      <c r="AE20" s="11" t="n">
        <v>0.0625</v>
      </c>
      <c r="AF20" s="13" t="n">
        <v>150000</v>
      </c>
      <c r="AG20" s="13" t="n">
        <v>0</v>
      </c>
      <c r="AH20" s="6" t="n">
        <v>12</v>
      </c>
      <c r="AI20" s="11" t="n">
        <v>0.15</v>
      </c>
      <c r="AJ20" s="6" t="n">
        <v>1</v>
      </c>
      <c r="AK20" s="6" t="n">
        <v>1</v>
      </c>
      <c r="AL20" s="6" t="n">
        <v>1</v>
      </c>
      <c r="AM20" s="6" t="n">
        <v>60</v>
      </c>
      <c r="AN20" s="6" t="n">
        <v>0</v>
      </c>
      <c r="AO20" s="6" t="n">
        <v>0</v>
      </c>
      <c r="AP20" s="6" t="n">
        <v>0</v>
      </c>
      <c r="AQ20" s="6" t="s">
        <v>71</v>
      </c>
      <c r="AR20" s="6" t="n">
        <v>0</v>
      </c>
      <c r="AS20" s="2" t="s">
        <v>319</v>
      </c>
      <c r="AT20" s="2" t="s">
        <v>276</v>
      </c>
    </row>
    <row r="21" customFormat="false" ht="15" hidden="false" customHeight="false" outlineLevel="0" collapsed="false">
      <c r="A21" s="4" t="s">
        <v>320</v>
      </c>
      <c r="B21" s="9" t="s">
        <v>272</v>
      </c>
      <c r="C21" s="6" t="s">
        <v>304</v>
      </c>
      <c r="D21" s="6" t="s">
        <v>321</v>
      </c>
      <c r="E21" s="6" t="s">
        <v>66</v>
      </c>
      <c r="F21" s="28" t="n">
        <v>10</v>
      </c>
      <c r="G21" s="29" t="n">
        <v>0</v>
      </c>
      <c r="H21" s="6" t="s">
        <v>71</v>
      </c>
      <c r="I21" s="6" t="s">
        <v>71</v>
      </c>
      <c r="J21" s="6" t="s">
        <v>71</v>
      </c>
      <c r="K21" s="6" t="s">
        <v>66</v>
      </c>
      <c r="L21" s="28" t="n">
        <v>0</v>
      </c>
      <c r="M21" s="28" t="n">
        <v>0</v>
      </c>
      <c r="N21" s="11" t="n">
        <v>0.05</v>
      </c>
      <c r="O21" s="29" t="n">
        <v>25</v>
      </c>
      <c r="P21" s="29" t="n">
        <v>0</v>
      </c>
      <c r="Q21" s="29" t="n">
        <v>1</v>
      </c>
      <c r="R21" s="29" t="n">
        <v>0.25</v>
      </c>
      <c r="S21" s="13" t="n">
        <v>25000</v>
      </c>
      <c r="T21" s="13" t="n">
        <v>85000</v>
      </c>
      <c r="U21" s="13" t="n">
        <v>0</v>
      </c>
      <c r="V21" s="13" t="n">
        <v>0</v>
      </c>
      <c r="W21" s="13" t="n">
        <v>13200</v>
      </c>
      <c r="X21" s="11" t="n">
        <v>0.03</v>
      </c>
      <c r="Y21" s="11" t="n">
        <v>0.07</v>
      </c>
      <c r="Z21" s="13" t="n">
        <v>2500</v>
      </c>
      <c r="AA21" s="11" t="n">
        <v>0.08</v>
      </c>
      <c r="AB21" s="11" t="n">
        <v>0.05</v>
      </c>
      <c r="AC21" s="13" t="n">
        <v>0</v>
      </c>
      <c r="AD21" s="6" t="n">
        <v>9</v>
      </c>
      <c r="AE21" s="11" t="n">
        <v>0.0675</v>
      </c>
      <c r="AF21" s="13" t="n">
        <v>40000</v>
      </c>
      <c r="AG21" s="13" t="n">
        <v>0</v>
      </c>
      <c r="AH21" s="6" t="n">
        <v>12</v>
      </c>
      <c r="AI21" s="11" t="n">
        <v>0.15</v>
      </c>
      <c r="AJ21" s="6" t="n">
        <v>1</v>
      </c>
      <c r="AK21" s="6" t="n">
        <v>1</v>
      </c>
      <c r="AL21" s="6" t="n">
        <v>1</v>
      </c>
      <c r="AM21" s="6" t="n">
        <v>60</v>
      </c>
      <c r="AN21" s="6" t="n">
        <v>0</v>
      </c>
      <c r="AO21" s="6" t="n">
        <v>0</v>
      </c>
      <c r="AP21" s="6" t="n">
        <v>0</v>
      </c>
      <c r="AQ21" s="6" t="s">
        <v>71</v>
      </c>
      <c r="AR21" s="6" t="n">
        <v>0</v>
      </c>
      <c r="AS21" s="2" t="s">
        <v>322</v>
      </c>
      <c r="AT21" s="2" t="s">
        <v>276</v>
      </c>
    </row>
    <row r="22" customFormat="false" ht="15" hidden="false" customHeight="false" outlineLevel="0" collapsed="false">
      <c r="A22" s="4" t="s">
        <v>323</v>
      </c>
      <c r="B22" s="9" t="s">
        <v>272</v>
      </c>
      <c r="C22" s="6" t="s">
        <v>304</v>
      </c>
      <c r="D22" s="6" t="s">
        <v>321</v>
      </c>
      <c r="E22" s="6" t="s">
        <v>66</v>
      </c>
      <c r="F22" s="28" t="n">
        <v>8</v>
      </c>
      <c r="G22" s="29" t="n">
        <v>0</v>
      </c>
      <c r="H22" s="6" t="s">
        <v>71</v>
      </c>
      <c r="I22" s="6" t="s">
        <v>66</v>
      </c>
      <c r="J22" s="6" t="s">
        <v>66</v>
      </c>
      <c r="K22" s="6" t="s">
        <v>66</v>
      </c>
      <c r="L22" s="28" t="n">
        <v>0</v>
      </c>
      <c r="M22" s="28" t="n">
        <v>0</v>
      </c>
      <c r="N22" s="11" t="n">
        <v>0.05</v>
      </c>
      <c r="O22" s="29" t="n">
        <v>20</v>
      </c>
      <c r="P22" s="29" t="n">
        <v>0</v>
      </c>
      <c r="Q22" s="29" t="n">
        <v>1</v>
      </c>
      <c r="R22" s="29" t="n">
        <v>0</v>
      </c>
      <c r="S22" s="13" t="n">
        <v>60000</v>
      </c>
      <c r="T22" s="13" t="n">
        <v>185000</v>
      </c>
      <c r="U22" s="13" t="n">
        <v>0</v>
      </c>
      <c r="V22" s="13" t="n">
        <v>0</v>
      </c>
      <c r="W22" s="13" t="n">
        <v>22800</v>
      </c>
      <c r="X22" s="11" t="n">
        <v>0.03</v>
      </c>
      <c r="Y22" s="11" t="n">
        <v>0.05</v>
      </c>
      <c r="Z22" s="13" t="n">
        <v>4000</v>
      </c>
      <c r="AA22" s="11" t="n">
        <v>0.06</v>
      </c>
      <c r="AB22" s="11" t="n">
        <v>0.05</v>
      </c>
      <c r="AC22" s="13" t="n">
        <v>0</v>
      </c>
      <c r="AD22" s="6" t="n">
        <v>12</v>
      </c>
      <c r="AE22" s="11" t="n">
        <v>0.0575</v>
      </c>
      <c r="AF22" s="13" t="n">
        <v>150000</v>
      </c>
      <c r="AG22" s="13" t="n">
        <v>0</v>
      </c>
      <c r="AH22" s="6" t="n">
        <v>16</v>
      </c>
      <c r="AI22" s="11" t="n">
        <v>0.15</v>
      </c>
      <c r="AJ22" s="6" t="n">
        <v>1</v>
      </c>
      <c r="AK22" s="6" t="n">
        <v>1</v>
      </c>
      <c r="AL22" s="6" t="n">
        <v>1</v>
      </c>
      <c r="AM22" s="6" t="n">
        <v>60</v>
      </c>
      <c r="AN22" s="6" t="n">
        <v>0</v>
      </c>
      <c r="AO22" s="6" t="n">
        <v>0</v>
      </c>
      <c r="AP22" s="6" t="n">
        <v>0</v>
      </c>
      <c r="AQ22" s="6" t="s">
        <v>71</v>
      </c>
      <c r="AR22" s="6" t="n">
        <v>0</v>
      </c>
      <c r="AS22" s="2" t="s">
        <v>324</v>
      </c>
      <c r="AT22" s="2" t="s">
        <v>276</v>
      </c>
    </row>
    <row r="23" customFormat="false" ht="15" hidden="false" customHeight="false" outlineLevel="0" collapsed="false">
      <c r="A23" s="4" t="s">
        <v>325</v>
      </c>
      <c r="B23" s="9" t="s">
        <v>272</v>
      </c>
      <c r="C23" s="6" t="s">
        <v>326</v>
      </c>
      <c r="D23" s="6" t="s">
        <v>327</v>
      </c>
      <c r="E23" s="6" t="s">
        <v>71</v>
      </c>
      <c r="F23" s="28" t="n">
        <v>0</v>
      </c>
      <c r="G23" s="29" t="n">
        <v>43560</v>
      </c>
      <c r="H23" s="6" t="s">
        <v>71</v>
      </c>
      <c r="I23" s="6" t="s">
        <v>71</v>
      </c>
      <c r="J23" s="6" t="s">
        <v>71</v>
      </c>
      <c r="K23" s="6" t="s">
        <v>66</v>
      </c>
      <c r="L23" s="28" t="n">
        <v>0</v>
      </c>
      <c r="M23" s="28" t="n">
        <v>6</v>
      </c>
      <c r="N23" s="11" t="n">
        <v>0.05</v>
      </c>
      <c r="O23" s="29" t="n">
        <v>0</v>
      </c>
      <c r="P23" s="29" t="n">
        <v>0</v>
      </c>
      <c r="Q23" s="29" t="n">
        <v>0</v>
      </c>
      <c r="R23" s="29" t="n">
        <v>0</v>
      </c>
      <c r="S23" s="13" t="n">
        <v>40000</v>
      </c>
      <c r="T23" s="13" t="n">
        <v>0</v>
      </c>
      <c r="U23" s="13" t="n">
        <v>0</v>
      </c>
      <c r="V23" s="13" t="n">
        <v>0</v>
      </c>
      <c r="W23" s="13" t="n">
        <v>0</v>
      </c>
      <c r="X23" s="11" t="n">
        <v>0</v>
      </c>
      <c r="Y23" s="11" t="n">
        <v>0</v>
      </c>
      <c r="Z23" s="13" t="n">
        <v>0</v>
      </c>
      <c r="AA23" s="11" t="n">
        <v>0</v>
      </c>
      <c r="AB23" s="11" t="n">
        <v>0</v>
      </c>
      <c r="AC23" s="13" t="n">
        <v>0</v>
      </c>
      <c r="AD23" s="6" t="n">
        <v>0</v>
      </c>
      <c r="AE23" s="11" t="n">
        <v>0.065</v>
      </c>
      <c r="AF23" s="13" t="n">
        <v>250000</v>
      </c>
      <c r="AG23" s="13" t="n">
        <v>17500</v>
      </c>
      <c r="AH23" s="6" t="n">
        <v>12</v>
      </c>
      <c r="AI23" s="11" t="n">
        <v>0.2</v>
      </c>
      <c r="AJ23" s="6" t="n">
        <v>1</v>
      </c>
      <c r="AK23" s="6" t="n">
        <v>0</v>
      </c>
      <c r="AL23" s="6" t="n">
        <v>1</v>
      </c>
      <c r="AM23" s="6" t="n">
        <v>100</v>
      </c>
      <c r="AN23" s="6" t="n">
        <v>0</v>
      </c>
      <c r="AO23" s="6" t="n">
        <v>8000</v>
      </c>
      <c r="AP23" s="6" t="n">
        <v>0</v>
      </c>
      <c r="AQ23" s="6" t="s">
        <v>71</v>
      </c>
      <c r="AR23" s="6" t="n">
        <v>0</v>
      </c>
      <c r="AS23" s="2" t="s">
        <v>328</v>
      </c>
      <c r="AT23" s="2" t="s">
        <v>329</v>
      </c>
    </row>
    <row r="24" customFormat="false" ht="15" hidden="false" customHeight="false" outlineLevel="0" collapsed="false">
      <c r="A24" s="4" t="s">
        <v>330</v>
      </c>
      <c r="B24" s="9" t="s">
        <v>331</v>
      </c>
      <c r="C24" s="6" t="s">
        <v>304</v>
      </c>
      <c r="D24" s="6" t="s">
        <v>332</v>
      </c>
      <c r="E24" s="6" t="s">
        <v>71</v>
      </c>
      <c r="F24" s="28" t="n">
        <v>0</v>
      </c>
      <c r="G24" s="29" t="n">
        <v>4.545</v>
      </c>
      <c r="H24" s="6" t="s">
        <v>71</v>
      </c>
      <c r="I24" s="6" t="s">
        <v>71</v>
      </c>
      <c r="J24" s="6" t="s">
        <v>66</v>
      </c>
      <c r="K24" s="6" t="s">
        <v>66</v>
      </c>
      <c r="L24" s="28" t="n">
        <v>0</v>
      </c>
      <c r="M24" s="28" t="n">
        <v>4</v>
      </c>
      <c r="N24" s="11" t="n">
        <v>0.08</v>
      </c>
      <c r="O24" s="29" t="n">
        <v>0.006</v>
      </c>
      <c r="P24" s="29" t="n">
        <v>3.5</v>
      </c>
      <c r="Q24" s="29" t="n">
        <v>0.0001</v>
      </c>
      <c r="R24" s="29" t="n">
        <v>0.0001</v>
      </c>
      <c r="S24" s="13" t="n">
        <v>40000</v>
      </c>
      <c r="T24" s="13" t="n">
        <v>325</v>
      </c>
      <c r="U24" s="13" t="n">
        <v>0</v>
      </c>
      <c r="V24" s="13" t="n">
        <v>0</v>
      </c>
      <c r="W24" s="13" t="n">
        <v>30</v>
      </c>
      <c r="X24" s="11" t="n">
        <v>0</v>
      </c>
      <c r="Y24" s="11" t="n">
        <v>0.07</v>
      </c>
      <c r="Z24" s="13" t="n">
        <v>9</v>
      </c>
      <c r="AA24" s="11" t="n">
        <v>0.03</v>
      </c>
      <c r="AB24" s="11" t="n">
        <v>0.9</v>
      </c>
      <c r="AC24" s="13" t="n">
        <v>45</v>
      </c>
      <c r="AD24" s="6" t="n">
        <v>12</v>
      </c>
      <c r="AE24" s="11" t="n">
        <v>0.0675</v>
      </c>
      <c r="AF24" s="13" t="n">
        <v>450000</v>
      </c>
      <c r="AG24" s="13" t="n">
        <v>0</v>
      </c>
      <c r="AH24" s="6" t="n">
        <v>14</v>
      </c>
      <c r="AI24" s="11" t="n">
        <v>0.15</v>
      </c>
      <c r="AJ24" s="6" t="n">
        <v>1</v>
      </c>
      <c r="AK24" s="6" t="n">
        <v>1</v>
      </c>
      <c r="AL24" s="6" t="n">
        <v>1</v>
      </c>
      <c r="AM24" s="6" t="n">
        <v>150</v>
      </c>
      <c r="AN24" s="6" t="n">
        <v>0</v>
      </c>
      <c r="AO24" s="6" t="n">
        <v>10000</v>
      </c>
      <c r="AP24" s="6" t="n">
        <v>0</v>
      </c>
      <c r="AQ24" s="6" t="s">
        <v>71</v>
      </c>
      <c r="AR24" s="6" t="n">
        <v>0</v>
      </c>
      <c r="AS24" s="2" t="s">
        <v>333</v>
      </c>
      <c r="AT24" s="2" t="s">
        <v>276</v>
      </c>
    </row>
    <row r="25" customFormat="false" ht="15" hidden="false" customHeight="false" outlineLevel="0" collapsed="false">
      <c r="A25" s="4" t="s">
        <v>334</v>
      </c>
      <c r="B25" s="9" t="s">
        <v>331</v>
      </c>
      <c r="C25" s="6" t="s">
        <v>304</v>
      </c>
      <c r="D25" s="6" t="s">
        <v>332</v>
      </c>
      <c r="E25" s="6" t="s">
        <v>71</v>
      </c>
      <c r="F25" s="28" t="n">
        <v>0</v>
      </c>
      <c r="G25" s="29" t="n">
        <v>5</v>
      </c>
      <c r="H25" s="6" t="s">
        <v>71</v>
      </c>
      <c r="I25" s="6" t="s">
        <v>71</v>
      </c>
      <c r="J25" s="6" t="s">
        <v>66</v>
      </c>
      <c r="K25" s="6" t="s">
        <v>66</v>
      </c>
      <c r="L25" s="28" t="n">
        <v>0</v>
      </c>
      <c r="M25" s="28" t="n">
        <v>1.5</v>
      </c>
      <c r="N25" s="11" t="n">
        <v>0.08</v>
      </c>
      <c r="O25" s="29" t="n">
        <v>0.006</v>
      </c>
      <c r="P25" s="29" t="n">
        <v>4</v>
      </c>
      <c r="Q25" s="29" t="n">
        <v>0.0001</v>
      </c>
      <c r="R25" s="29" t="n">
        <v>0.0001</v>
      </c>
      <c r="S25" s="13" t="n">
        <v>40000</v>
      </c>
      <c r="T25" s="13" t="n">
        <v>450</v>
      </c>
      <c r="U25" s="13" t="n">
        <v>0</v>
      </c>
      <c r="V25" s="13" t="n">
        <v>0</v>
      </c>
      <c r="W25" s="13" t="n">
        <v>45</v>
      </c>
      <c r="X25" s="11" t="n">
        <v>0</v>
      </c>
      <c r="Y25" s="11" t="n">
        <v>0.07</v>
      </c>
      <c r="Z25" s="13" t="n">
        <v>10</v>
      </c>
      <c r="AA25" s="11" t="n">
        <v>0.03</v>
      </c>
      <c r="AB25" s="11" t="n">
        <v>1</v>
      </c>
      <c r="AC25" s="13" t="n">
        <v>20</v>
      </c>
      <c r="AD25" s="6" t="n">
        <v>6</v>
      </c>
      <c r="AE25" s="11" t="n">
        <v>0.0625</v>
      </c>
      <c r="AF25" s="13" t="n">
        <v>650000</v>
      </c>
      <c r="AG25" s="13" t="n">
        <v>0</v>
      </c>
      <c r="AH25" s="6" t="n">
        <v>14</v>
      </c>
      <c r="AI25" s="11" t="n">
        <v>0.15</v>
      </c>
      <c r="AJ25" s="6" t="n">
        <v>1</v>
      </c>
      <c r="AK25" s="6" t="n">
        <v>1</v>
      </c>
      <c r="AL25" s="6" t="n">
        <v>1</v>
      </c>
      <c r="AM25" s="6" t="n">
        <v>150</v>
      </c>
      <c r="AN25" s="6" t="n">
        <v>15000</v>
      </c>
      <c r="AO25" s="6" t="n">
        <v>8000</v>
      </c>
      <c r="AP25" s="6" t="n">
        <v>0</v>
      </c>
      <c r="AQ25" s="6" t="s">
        <v>71</v>
      </c>
      <c r="AR25" s="6" t="n">
        <v>0</v>
      </c>
      <c r="AS25" s="2" t="s">
        <v>335</v>
      </c>
      <c r="AT25" s="2" t="s">
        <v>276</v>
      </c>
    </row>
    <row r="26" customFormat="false" ht="15" hidden="false" customHeight="false" outlineLevel="0" collapsed="false">
      <c r="A26" s="4" t="s">
        <v>336</v>
      </c>
      <c r="B26" s="9" t="s">
        <v>331</v>
      </c>
      <c r="C26" s="6" t="s">
        <v>304</v>
      </c>
      <c r="D26" s="6" t="s">
        <v>332</v>
      </c>
      <c r="E26" s="6" t="s">
        <v>71</v>
      </c>
      <c r="F26" s="28" t="n">
        <v>0</v>
      </c>
      <c r="G26" s="29" t="n">
        <v>5</v>
      </c>
      <c r="H26" s="6" t="s">
        <v>71</v>
      </c>
      <c r="I26" s="6" t="s">
        <v>71</v>
      </c>
      <c r="J26" s="6" t="s">
        <v>66</v>
      </c>
      <c r="K26" s="6" t="s">
        <v>66</v>
      </c>
      <c r="L26" s="28" t="n">
        <v>0</v>
      </c>
      <c r="M26" s="28" t="n">
        <v>1</v>
      </c>
      <c r="N26" s="11" t="n">
        <v>0.08</v>
      </c>
      <c r="O26" s="29" t="n">
        <v>0.006</v>
      </c>
      <c r="P26" s="29" t="n">
        <v>3.5</v>
      </c>
      <c r="Q26" s="29" t="n">
        <v>0.0001</v>
      </c>
      <c r="R26" s="29" t="n">
        <v>0.0001</v>
      </c>
      <c r="S26" s="13" t="n">
        <v>40000</v>
      </c>
      <c r="T26" s="13" t="n">
        <v>300</v>
      </c>
      <c r="U26" s="13" t="n">
        <v>0</v>
      </c>
      <c r="V26" s="13" t="n">
        <v>0</v>
      </c>
      <c r="W26" s="13" t="n">
        <v>32</v>
      </c>
      <c r="X26" s="11" t="n">
        <v>0</v>
      </c>
      <c r="Y26" s="11" t="n">
        <v>0.07</v>
      </c>
      <c r="Z26" s="13" t="n">
        <v>9</v>
      </c>
      <c r="AA26" s="11" t="n">
        <v>0.03</v>
      </c>
      <c r="AB26" s="11" t="n">
        <v>0.95</v>
      </c>
      <c r="AC26" s="13" t="n">
        <v>50</v>
      </c>
      <c r="AD26" s="6" t="n">
        <v>9</v>
      </c>
      <c r="AE26" s="11" t="n">
        <v>0.0675</v>
      </c>
      <c r="AF26" s="13" t="n">
        <v>450000</v>
      </c>
      <c r="AG26" s="13" t="n">
        <v>0</v>
      </c>
      <c r="AH26" s="6" t="n">
        <v>14</v>
      </c>
      <c r="AI26" s="11" t="n">
        <v>0.15</v>
      </c>
      <c r="AJ26" s="6" t="n">
        <v>1</v>
      </c>
      <c r="AK26" s="6" t="n">
        <v>1</v>
      </c>
      <c r="AL26" s="6" t="n">
        <v>1</v>
      </c>
      <c r="AM26" s="6" t="n">
        <v>150</v>
      </c>
      <c r="AN26" s="6" t="n">
        <v>0</v>
      </c>
      <c r="AO26" s="6" t="n">
        <v>6000</v>
      </c>
      <c r="AP26" s="6" t="n">
        <v>0</v>
      </c>
      <c r="AQ26" s="6" t="s">
        <v>71</v>
      </c>
      <c r="AR26" s="6" t="n">
        <v>0</v>
      </c>
      <c r="AS26" s="2" t="s">
        <v>337</v>
      </c>
      <c r="AT26" s="2" t="s">
        <v>276</v>
      </c>
    </row>
    <row r="27" customFormat="false" ht="15" hidden="false" customHeight="false" outlineLevel="0" collapsed="false">
      <c r="A27" s="4" t="s">
        <v>338</v>
      </c>
      <c r="B27" s="9" t="s">
        <v>331</v>
      </c>
      <c r="C27" s="6" t="s">
        <v>304</v>
      </c>
      <c r="D27" s="6" t="s">
        <v>332</v>
      </c>
      <c r="E27" s="6" t="s">
        <v>71</v>
      </c>
      <c r="F27" s="28" t="n">
        <v>0</v>
      </c>
      <c r="G27" s="29" t="n">
        <v>4</v>
      </c>
      <c r="H27" s="6" t="s">
        <v>71</v>
      </c>
      <c r="I27" s="6" t="s">
        <v>71</v>
      </c>
      <c r="J27" s="6" t="s">
        <v>66</v>
      </c>
      <c r="K27" s="6" t="s">
        <v>66</v>
      </c>
      <c r="L27" s="28" t="n">
        <v>0</v>
      </c>
      <c r="M27" s="28" t="n">
        <v>1.5</v>
      </c>
      <c r="N27" s="11" t="n">
        <v>0.08</v>
      </c>
      <c r="O27" s="29" t="n">
        <v>0.006</v>
      </c>
      <c r="P27" s="29" t="n">
        <v>3</v>
      </c>
      <c r="Q27" s="29" t="n">
        <v>0.0001</v>
      </c>
      <c r="R27" s="29" t="n">
        <v>0.0001</v>
      </c>
      <c r="S27" s="13" t="n">
        <v>40000</v>
      </c>
      <c r="T27" s="13" t="n">
        <v>280</v>
      </c>
      <c r="U27" s="13" t="n">
        <v>0</v>
      </c>
      <c r="V27" s="13" t="n">
        <v>0</v>
      </c>
      <c r="W27" s="13" t="n">
        <v>28</v>
      </c>
      <c r="X27" s="11" t="n">
        <v>0</v>
      </c>
      <c r="Y27" s="11" t="n">
        <v>0.07</v>
      </c>
      <c r="Z27" s="13" t="n">
        <v>8</v>
      </c>
      <c r="AA27" s="11" t="n">
        <v>0.03</v>
      </c>
      <c r="AB27" s="11" t="n">
        <v>1</v>
      </c>
      <c r="AC27" s="13" t="n">
        <v>20</v>
      </c>
      <c r="AD27" s="6" t="n">
        <v>6</v>
      </c>
      <c r="AE27" s="11" t="n">
        <v>0.065</v>
      </c>
      <c r="AF27" s="13" t="n">
        <v>350000</v>
      </c>
      <c r="AG27" s="13" t="n">
        <v>0</v>
      </c>
      <c r="AH27" s="6" t="n">
        <v>14</v>
      </c>
      <c r="AI27" s="11" t="n">
        <v>0.15</v>
      </c>
      <c r="AJ27" s="6" t="n">
        <v>1</v>
      </c>
      <c r="AK27" s="6" t="n">
        <v>1</v>
      </c>
      <c r="AL27" s="6" t="n">
        <v>1</v>
      </c>
      <c r="AM27" s="6" t="n">
        <v>150</v>
      </c>
      <c r="AN27" s="6" t="n">
        <v>0</v>
      </c>
      <c r="AO27" s="6" t="n">
        <v>8000</v>
      </c>
      <c r="AP27" s="6" t="n">
        <v>0</v>
      </c>
      <c r="AQ27" s="6" t="s">
        <v>71</v>
      </c>
      <c r="AR27" s="6" t="n">
        <v>0</v>
      </c>
      <c r="AS27" s="2" t="s">
        <v>339</v>
      </c>
      <c r="AT27" s="2" t="s">
        <v>276</v>
      </c>
    </row>
    <row r="28" customFormat="false" ht="15" hidden="false" customHeight="false" outlineLevel="0" collapsed="false">
      <c r="A28" s="4" t="s">
        <v>340</v>
      </c>
      <c r="B28" s="9" t="s">
        <v>331</v>
      </c>
      <c r="C28" s="6" t="s">
        <v>304</v>
      </c>
      <c r="D28" s="6" t="s">
        <v>332</v>
      </c>
      <c r="E28" s="6" t="s">
        <v>71</v>
      </c>
      <c r="F28" s="28" t="n">
        <v>0</v>
      </c>
      <c r="G28" s="29" t="n">
        <v>5.556</v>
      </c>
      <c r="H28" s="6" t="s">
        <v>71</v>
      </c>
      <c r="I28" s="6" t="s">
        <v>71</v>
      </c>
      <c r="J28" s="6" t="s">
        <v>66</v>
      </c>
      <c r="K28" s="6" t="s">
        <v>66</v>
      </c>
      <c r="L28" s="28" t="n">
        <v>0</v>
      </c>
      <c r="M28" s="28" t="n">
        <v>1.5</v>
      </c>
      <c r="N28" s="11" t="n">
        <v>0.08</v>
      </c>
      <c r="O28" s="29" t="n">
        <v>0.006</v>
      </c>
      <c r="P28" s="29" t="n">
        <v>4.5</v>
      </c>
      <c r="Q28" s="29" t="n">
        <v>0.0001</v>
      </c>
      <c r="R28" s="29" t="n">
        <v>0.0001</v>
      </c>
      <c r="S28" s="13" t="n">
        <v>40000</v>
      </c>
      <c r="T28" s="13" t="n">
        <v>300</v>
      </c>
      <c r="U28" s="13" t="n">
        <v>0</v>
      </c>
      <c r="V28" s="13" t="n">
        <v>0</v>
      </c>
      <c r="W28" s="13" t="n">
        <v>30</v>
      </c>
      <c r="X28" s="11" t="n">
        <v>0</v>
      </c>
      <c r="Y28" s="11" t="n">
        <v>0.07</v>
      </c>
      <c r="Z28" s="13" t="n">
        <v>8</v>
      </c>
      <c r="AA28" s="11" t="n">
        <v>0.03</v>
      </c>
      <c r="AB28" s="11" t="n">
        <v>1</v>
      </c>
      <c r="AC28" s="13" t="n">
        <v>0</v>
      </c>
      <c r="AD28" s="6" t="n">
        <v>3</v>
      </c>
      <c r="AE28" s="11" t="n">
        <v>0.06</v>
      </c>
      <c r="AF28" s="13" t="n">
        <v>700000</v>
      </c>
      <c r="AG28" s="13" t="n">
        <v>0</v>
      </c>
      <c r="AH28" s="6" t="n">
        <v>14</v>
      </c>
      <c r="AI28" s="11" t="n">
        <v>0.15</v>
      </c>
      <c r="AJ28" s="6" t="n">
        <v>1</v>
      </c>
      <c r="AK28" s="6" t="n">
        <v>1</v>
      </c>
      <c r="AL28" s="6" t="n">
        <v>1</v>
      </c>
      <c r="AM28" s="6" t="n">
        <v>150</v>
      </c>
      <c r="AN28" s="6" t="n">
        <v>20000</v>
      </c>
      <c r="AO28" s="6" t="n">
        <v>8000</v>
      </c>
      <c r="AP28" s="6" t="n">
        <v>0</v>
      </c>
      <c r="AQ28" s="6" t="s">
        <v>66</v>
      </c>
      <c r="AR28" s="6" t="n">
        <v>0</v>
      </c>
      <c r="AS28" s="2" t="s">
        <v>341</v>
      </c>
      <c r="AT28" s="2" t="s">
        <v>276</v>
      </c>
    </row>
    <row r="29" customFormat="false" ht="15" hidden="false" customHeight="false" outlineLevel="0" collapsed="false">
      <c r="A29" s="4" t="s">
        <v>342</v>
      </c>
      <c r="B29" s="9" t="s">
        <v>331</v>
      </c>
      <c r="C29" s="6" t="s">
        <v>304</v>
      </c>
      <c r="D29" s="6" t="s">
        <v>332</v>
      </c>
      <c r="E29" s="6" t="s">
        <v>71</v>
      </c>
      <c r="F29" s="28" t="n">
        <v>0</v>
      </c>
      <c r="G29" s="29" t="n">
        <v>4.545</v>
      </c>
      <c r="H29" s="6" t="s">
        <v>71</v>
      </c>
      <c r="I29" s="6" t="s">
        <v>71</v>
      </c>
      <c r="J29" s="6" t="s">
        <v>66</v>
      </c>
      <c r="K29" s="6" t="s">
        <v>66</v>
      </c>
      <c r="L29" s="28" t="n">
        <v>0</v>
      </c>
      <c r="M29" s="28" t="n">
        <v>1.5</v>
      </c>
      <c r="N29" s="11" t="n">
        <v>0.08</v>
      </c>
      <c r="O29" s="29" t="n">
        <v>0.006</v>
      </c>
      <c r="P29" s="29" t="n">
        <v>3</v>
      </c>
      <c r="Q29" s="29" t="n">
        <v>0.0001</v>
      </c>
      <c r="R29" s="29" t="n">
        <v>0.0001</v>
      </c>
      <c r="S29" s="13" t="n">
        <v>40000</v>
      </c>
      <c r="T29" s="13" t="n">
        <v>300</v>
      </c>
      <c r="U29" s="13" t="n">
        <v>0</v>
      </c>
      <c r="V29" s="13" t="n">
        <v>0</v>
      </c>
      <c r="W29" s="13" t="n">
        <v>30</v>
      </c>
      <c r="X29" s="11" t="n">
        <v>0</v>
      </c>
      <c r="Y29" s="11" t="n">
        <v>0.07</v>
      </c>
      <c r="Z29" s="13" t="n">
        <v>8</v>
      </c>
      <c r="AA29" s="11" t="n">
        <v>0.03</v>
      </c>
      <c r="AB29" s="11" t="n">
        <v>1</v>
      </c>
      <c r="AC29" s="13" t="n">
        <v>25</v>
      </c>
      <c r="AD29" s="6" t="n">
        <v>6</v>
      </c>
      <c r="AE29" s="11" t="n">
        <v>0.07</v>
      </c>
      <c r="AF29" s="13" t="n">
        <v>350000</v>
      </c>
      <c r="AG29" s="13" t="n">
        <v>0</v>
      </c>
      <c r="AH29" s="6" t="n">
        <v>14</v>
      </c>
      <c r="AI29" s="11" t="n">
        <v>0.15</v>
      </c>
      <c r="AJ29" s="6" t="n">
        <v>1</v>
      </c>
      <c r="AK29" s="6" t="n">
        <v>1</v>
      </c>
      <c r="AL29" s="6" t="n">
        <v>1</v>
      </c>
      <c r="AM29" s="6" t="n">
        <v>150</v>
      </c>
      <c r="AN29" s="6" t="n">
        <v>0</v>
      </c>
      <c r="AO29" s="6" t="n">
        <v>5000</v>
      </c>
      <c r="AP29" s="6" t="n">
        <v>0</v>
      </c>
      <c r="AQ29" s="6" t="s">
        <v>71</v>
      </c>
      <c r="AR29" s="6" t="n">
        <v>0</v>
      </c>
      <c r="AS29" s="2" t="s">
        <v>343</v>
      </c>
      <c r="AT29" s="2" t="s">
        <v>276</v>
      </c>
    </row>
    <row r="30" customFormat="false" ht="15" hidden="false" customHeight="false" outlineLevel="0" collapsed="false">
      <c r="A30" s="4" t="s">
        <v>344</v>
      </c>
      <c r="B30" s="9" t="s">
        <v>345</v>
      </c>
      <c r="C30" s="6" t="s">
        <v>304</v>
      </c>
      <c r="D30" s="6" t="s">
        <v>332</v>
      </c>
      <c r="E30" s="6" t="s">
        <v>71</v>
      </c>
      <c r="F30" s="28" t="n">
        <v>0</v>
      </c>
      <c r="G30" s="29" t="n">
        <v>4.545</v>
      </c>
      <c r="H30" s="6" t="s">
        <v>71</v>
      </c>
      <c r="I30" s="6" t="s">
        <v>71</v>
      </c>
      <c r="J30" s="6" t="s">
        <v>66</v>
      </c>
      <c r="K30" s="6" t="s">
        <v>66</v>
      </c>
      <c r="L30" s="28" t="n">
        <v>10</v>
      </c>
      <c r="M30" s="28" t="n">
        <v>15</v>
      </c>
      <c r="N30" s="11" t="n">
        <v>0.08</v>
      </c>
      <c r="O30" s="29" t="n">
        <v>0.006</v>
      </c>
      <c r="P30" s="29" t="n">
        <v>3.5</v>
      </c>
      <c r="Q30" s="29" t="n">
        <v>0.0001</v>
      </c>
      <c r="R30" s="29" t="n">
        <v>0.0001</v>
      </c>
      <c r="S30" s="13" t="n">
        <v>75000</v>
      </c>
      <c r="T30" s="13" t="n">
        <v>220</v>
      </c>
      <c r="U30" s="13" t="n">
        <v>0</v>
      </c>
      <c r="V30" s="13" t="n">
        <v>0</v>
      </c>
      <c r="W30" s="13" t="n">
        <v>22</v>
      </c>
      <c r="X30" s="11" t="n">
        <v>0</v>
      </c>
      <c r="Y30" s="11" t="n">
        <v>0.07</v>
      </c>
      <c r="Z30" s="13" t="n">
        <v>7</v>
      </c>
      <c r="AA30" s="11" t="n">
        <v>0.03</v>
      </c>
      <c r="AB30" s="11" t="n">
        <v>0.85</v>
      </c>
      <c r="AC30" s="13" t="n">
        <v>25</v>
      </c>
      <c r="AD30" s="6" t="n">
        <v>18</v>
      </c>
      <c r="AE30" s="11" t="n">
        <v>0.07</v>
      </c>
      <c r="AF30" s="13" t="n">
        <v>500000</v>
      </c>
      <c r="AG30" s="13" t="n">
        <v>0</v>
      </c>
      <c r="AH30" s="6" t="n">
        <v>14</v>
      </c>
      <c r="AI30" s="11" t="n">
        <v>0.15</v>
      </c>
      <c r="AJ30" s="6" t="n">
        <v>1</v>
      </c>
      <c r="AK30" s="6" t="n">
        <v>1</v>
      </c>
      <c r="AL30" s="6" t="n">
        <v>1</v>
      </c>
      <c r="AM30" s="6" t="n">
        <v>500</v>
      </c>
      <c r="AN30" s="6" t="n">
        <v>15000</v>
      </c>
      <c r="AO30" s="6" t="n">
        <v>10000</v>
      </c>
      <c r="AP30" s="6" t="n">
        <v>0</v>
      </c>
      <c r="AQ30" s="6" t="s">
        <v>66</v>
      </c>
      <c r="AR30" s="6" t="n">
        <v>0</v>
      </c>
      <c r="AS30" s="2" t="s">
        <v>346</v>
      </c>
      <c r="AT30" s="2" t="s">
        <v>276</v>
      </c>
    </row>
    <row r="31" customFormat="false" ht="15" hidden="false" customHeight="false" outlineLevel="0" collapsed="false">
      <c r="A31" s="4" t="s">
        <v>347</v>
      </c>
      <c r="B31" s="9" t="s">
        <v>345</v>
      </c>
      <c r="C31" s="6" t="s">
        <v>304</v>
      </c>
      <c r="D31" s="6" t="s">
        <v>332</v>
      </c>
      <c r="E31" s="6" t="s">
        <v>71</v>
      </c>
      <c r="F31" s="28" t="n">
        <v>0</v>
      </c>
      <c r="G31" s="29" t="n">
        <v>16.667</v>
      </c>
      <c r="H31" s="6" t="s">
        <v>71</v>
      </c>
      <c r="I31" s="6" t="s">
        <v>71</v>
      </c>
      <c r="J31" s="6" t="s">
        <v>66</v>
      </c>
      <c r="K31" s="6" t="s">
        <v>66</v>
      </c>
      <c r="L31" s="28" t="n">
        <v>0</v>
      </c>
      <c r="M31" s="28" t="n">
        <v>2</v>
      </c>
      <c r="N31" s="11" t="n">
        <v>0.08</v>
      </c>
      <c r="O31" s="29" t="n">
        <v>0.006</v>
      </c>
      <c r="P31" s="29" t="n">
        <v>9</v>
      </c>
      <c r="Q31" s="29" t="n">
        <v>0.0001</v>
      </c>
      <c r="R31" s="29" t="n">
        <v>0.0001</v>
      </c>
      <c r="S31" s="13" t="n">
        <v>40000</v>
      </c>
      <c r="T31" s="13" t="n">
        <v>600</v>
      </c>
      <c r="U31" s="13" t="n">
        <v>0</v>
      </c>
      <c r="V31" s="13" t="n">
        <v>0</v>
      </c>
      <c r="W31" s="13" t="n">
        <v>45</v>
      </c>
      <c r="X31" s="11" t="n">
        <v>0</v>
      </c>
      <c r="Y31" s="11" t="n">
        <v>0.07</v>
      </c>
      <c r="Z31" s="13" t="n">
        <v>10</v>
      </c>
      <c r="AA31" s="11" t="n">
        <v>0.03</v>
      </c>
      <c r="AB31" s="11" t="n">
        <v>1</v>
      </c>
      <c r="AC31" s="13" t="n">
        <v>0</v>
      </c>
      <c r="AD31" s="6" t="n">
        <v>3</v>
      </c>
      <c r="AE31" s="11" t="n">
        <v>0.0575</v>
      </c>
      <c r="AF31" s="13" t="n">
        <v>900000</v>
      </c>
      <c r="AG31" s="13" t="n">
        <v>0</v>
      </c>
      <c r="AH31" s="6" t="n">
        <v>14</v>
      </c>
      <c r="AI31" s="11" t="n">
        <v>0.15</v>
      </c>
      <c r="AJ31" s="6" t="n">
        <v>1</v>
      </c>
      <c r="AK31" s="6" t="n">
        <v>1</v>
      </c>
      <c r="AL31" s="6" t="n">
        <v>1</v>
      </c>
      <c r="AM31" s="6" t="n">
        <v>150</v>
      </c>
      <c r="AN31" s="6" t="n">
        <v>15000</v>
      </c>
      <c r="AO31" s="6" t="n">
        <v>3000</v>
      </c>
      <c r="AP31" s="6" t="n">
        <v>0</v>
      </c>
      <c r="AQ31" s="6" t="s">
        <v>66</v>
      </c>
      <c r="AR31" s="6" t="n">
        <v>0</v>
      </c>
      <c r="AS31" s="2" t="s">
        <v>348</v>
      </c>
      <c r="AT31" s="2" t="s">
        <v>276</v>
      </c>
    </row>
    <row r="32" customFormat="false" ht="15" hidden="false" customHeight="false" outlineLevel="0" collapsed="false">
      <c r="A32" s="4" t="s">
        <v>349</v>
      </c>
      <c r="B32" s="9" t="s">
        <v>345</v>
      </c>
      <c r="C32" s="6" t="s">
        <v>304</v>
      </c>
      <c r="D32" s="6" t="s">
        <v>332</v>
      </c>
      <c r="E32" s="6" t="s">
        <v>71</v>
      </c>
      <c r="F32" s="28" t="n">
        <v>0</v>
      </c>
      <c r="G32" s="29" t="n">
        <v>18.182</v>
      </c>
      <c r="H32" s="6" t="s">
        <v>71</v>
      </c>
      <c r="I32" s="6" t="s">
        <v>71</v>
      </c>
      <c r="J32" s="6" t="s">
        <v>66</v>
      </c>
      <c r="K32" s="6" t="s">
        <v>66</v>
      </c>
      <c r="L32" s="28" t="n">
        <v>0</v>
      </c>
      <c r="M32" s="28" t="n">
        <v>1.2</v>
      </c>
      <c r="N32" s="11" t="n">
        <v>0.08</v>
      </c>
      <c r="O32" s="29" t="n">
        <v>0.006</v>
      </c>
      <c r="P32" s="29" t="n">
        <v>6</v>
      </c>
      <c r="Q32" s="29" t="n">
        <v>0.0001</v>
      </c>
      <c r="R32" s="29" t="n">
        <v>0.0001</v>
      </c>
      <c r="S32" s="13" t="n">
        <v>40000</v>
      </c>
      <c r="T32" s="13" t="n">
        <v>450</v>
      </c>
      <c r="U32" s="13" t="n">
        <v>0</v>
      </c>
      <c r="V32" s="13" t="n">
        <v>0</v>
      </c>
      <c r="W32" s="13" t="n">
        <v>55</v>
      </c>
      <c r="X32" s="11" t="n">
        <v>0</v>
      </c>
      <c r="Y32" s="11" t="n">
        <v>0.07</v>
      </c>
      <c r="Z32" s="13" t="n">
        <v>10</v>
      </c>
      <c r="AA32" s="11" t="n">
        <v>0.03</v>
      </c>
      <c r="AB32" s="11" t="n">
        <v>1</v>
      </c>
      <c r="AC32" s="13" t="n">
        <v>0</v>
      </c>
      <c r="AD32" s="6" t="n">
        <v>3</v>
      </c>
      <c r="AE32" s="11" t="n">
        <v>0.055</v>
      </c>
      <c r="AF32" s="13" t="n">
        <v>900000</v>
      </c>
      <c r="AG32" s="13" t="n">
        <v>0</v>
      </c>
      <c r="AH32" s="6" t="n">
        <v>14</v>
      </c>
      <c r="AI32" s="11" t="n">
        <v>0.15</v>
      </c>
      <c r="AJ32" s="6" t="n">
        <v>1</v>
      </c>
      <c r="AK32" s="6" t="n">
        <v>1</v>
      </c>
      <c r="AL32" s="6" t="n">
        <v>1</v>
      </c>
      <c r="AM32" s="6" t="n">
        <v>150</v>
      </c>
      <c r="AN32" s="6" t="n">
        <v>15000</v>
      </c>
      <c r="AO32" s="6" t="n">
        <v>5000</v>
      </c>
      <c r="AP32" s="6" t="n">
        <v>0</v>
      </c>
      <c r="AQ32" s="6" t="s">
        <v>71</v>
      </c>
      <c r="AR32" s="6" t="n">
        <v>0</v>
      </c>
      <c r="AS32" s="2" t="s">
        <v>350</v>
      </c>
      <c r="AT32" s="2" t="s">
        <v>276</v>
      </c>
    </row>
    <row r="33" customFormat="false" ht="15" hidden="false" customHeight="false" outlineLevel="0" collapsed="false">
      <c r="A33" s="4" t="s">
        <v>351</v>
      </c>
      <c r="B33" s="9" t="s">
        <v>345</v>
      </c>
      <c r="C33" s="6" t="s">
        <v>304</v>
      </c>
      <c r="D33" s="6" t="s">
        <v>332</v>
      </c>
      <c r="E33" s="6" t="s">
        <v>71</v>
      </c>
      <c r="F33" s="28" t="n">
        <v>0</v>
      </c>
      <c r="G33" s="29" t="n">
        <v>4.545</v>
      </c>
      <c r="H33" s="6" t="s">
        <v>71</v>
      </c>
      <c r="I33" s="6" t="s">
        <v>71</v>
      </c>
      <c r="J33" s="6" t="s">
        <v>66</v>
      </c>
      <c r="K33" s="6" t="s">
        <v>66</v>
      </c>
      <c r="L33" s="28" t="n">
        <v>0</v>
      </c>
      <c r="M33" s="28" t="n">
        <v>4</v>
      </c>
      <c r="N33" s="11" t="n">
        <v>0.08</v>
      </c>
      <c r="O33" s="29" t="n">
        <v>0.006</v>
      </c>
      <c r="P33" s="29" t="n">
        <v>3.5</v>
      </c>
      <c r="Q33" s="29" t="n">
        <v>0.0001</v>
      </c>
      <c r="R33" s="29" t="n">
        <v>0.0001</v>
      </c>
      <c r="S33" s="13" t="n">
        <v>40000</v>
      </c>
      <c r="T33" s="13" t="n">
        <v>200</v>
      </c>
      <c r="U33" s="13" t="n">
        <v>0</v>
      </c>
      <c r="V33" s="13" t="n">
        <v>0</v>
      </c>
      <c r="W33" s="13" t="n">
        <v>26</v>
      </c>
      <c r="X33" s="11" t="n">
        <v>0</v>
      </c>
      <c r="Y33" s="11" t="n">
        <v>0.07</v>
      </c>
      <c r="Z33" s="13" t="n">
        <v>8</v>
      </c>
      <c r="AA33" s="11" t="n">
        <v>0.03</v>
      </c>
      <c r="AB33" s="11" t="n">
        <v>0.9</v>
      </c>
      <c r="AC33" s="13" t="n">
        <v>35</v>
      </c>
      <c r="AD33" s="6" t="n">
        <v>18</v>
      </c>
      <c r="AE33" s="11" t="n">
        <v>0.0725</v>
      </c>
      <c r="AF33" s="13" t="n">
        <v>550000</v>
      </c>
      <c r="AG33" s="13" t="n">
        <v>0</v>
      </c>
      <c r="AH33" s="6" t="n">
        <v>14</v>
      </c>
      <c r="AI33" s="11" t="n">
        <v>0.15</v>
      </c>
      <c r="AJ33" s="6" t="n">
        <v>1</v>
      </c>
      <c r="AK33" s="6" t="n">
        <v>1</v>
      </c>
      <c r="AL33" s="6" t="n">
        <v>1</v>
      </c>
      <c r="AM33" s="6" t="n">
        <v>150</v>
      </c>
      <c r="AN33" s="6" t="n">
        <v>10000</v>
      </c>
      <c r="AO33" s="6" t="n">
        <v>6000</v>
      </c>
      <c r="AP33" s="6" t="n">
        <v>0</v>
      </c>
      <c r="AQ33" s="6" t="s">
        <v>71</v>
      </c>
      <c r="AR33" s="6" t="n">
        <v>0</v>
      </c>
      <c r="AS33" s="2" t="s">
        <v>352</v>
      </c>
      <c r="AT33" s="2" t="s">
        <v>276</v>
      </c>
    </row>
    <row r="34" customFormat="false" ht="15" hidden="false" customHeight="false" outlineLevel="0" collapsed="false">
      <c r="A34" s="4" t="s">
        <v>353</v>
      </c>
      <c r="B34" s="9" t="s">
        <v>345</v>
      </c>
      <c r="C34" s="6" t="s">
        <v>304</v>
      </c>
      <c r="D34" s="6" t="s">
        <v>332</v>
      </c>
      <c r="E34" s="6" t="s">
        <v>71</v>
      </c>
      <c r="F34" s="28" t="n">
        <v>0</v>
      </c>
      <c r="G34" s="29" t="n">
        <v>4</v>
      </c>
      <c r="H34" s="6" t="s">
        <v>71</v>
      </c>
      <c r="I34" s="6" t="s">
        <v>71</v>
      </c>
      <c r="J34" s="6" t="s">
        <v>66</v>
      </c>
      <c r="K34" s="6" t="s">
        <v>66</v>
      </c>
      <c r="L34" s="28" t="n">
        <v>0</v>
      </c>
      <c r="M34" s="28" t="n">
        <v>1.5</v>
      </c>
      <c r="N34" s="11" t="n">
        <v>0.08</v>
      </c>
      <c r="O34" s="29" t="n">
        <v>0.006</v>
      </c>
      <c r="P34" s="29" t="n">
        <v>3</v>
      </c>
      <c r="Q34" s="29" t="n">
        <v>0.0001</v>
      </c>
      <c r="R34" s="29" t="n">
        <v>0.0001</v>
      </c>
      <c r="S34" s="13" t="n">
        <v>40000</v>
      </c>
      <c r="T34" s="13" t="n">
        <v>230</v>
      </c>
      <c r="U34" s="13" t="n">
        <v>0</v>
      </c>
      <c r="V34" s="13" t="n">
        <v>0</v>
      </c>
      <c r="W34" s="13" t="n">
        <v>40</v>
      </c>
      <c r="X34" s="11" t="n">
        <v>0</v>
      </c>
      <c r="Y34" s="11" t="n">
        <v>0.1</v>
      </c>
      <c r="Z34" s="13" t="n">
        <v>12</v>
      </c>
      <c r="AA34" s="11" t="n">
        <v>0.08</v>
      </c>
      <c r="AB34" s="11" t="n">
        <v>0</v>
      </c>
      <c r="AC34" s="13" t="n">
        <v>10</v>
      </c>
      <c r="AD34" s="6" t="n">
        <v>12</v>
      </c>
      <c r="AE34" s="11" t="n">
        <v>0.075</v>
      </c>
      <c r="AF34" s="13" t="n">
        <v>400000</v>
      </c>
      <c r="AG34" s="13" t="n">
        <v>0</v>
      </c>
      <c r="AH34" s="6" t="n">
        <v>14</v>
      </c>
      <c r="AI34" s="11" t="n">
        <v>0.15</v>
      </c>
      <c r="AJ34" s="6" t="n">
        <v>1</v>
      </c>
      <c r="AK34" s="6" t="n">
        <v>1</v>
      </c>
      <c r="AL34" s="6" t="n">
        <v>1</v>
      </c>
      <c r="AM34" s="6" t="n">
        <v>150</v>
      </c>
      <c r="AN34" s="6" t="n">
        <v>0</v>
      </c>
      <c r="AO34" s="6" t="n">
        <v>8000</v>
      </c>
      <c r="AP34" s="6" t="n">
        <v>0</v>
      </c>
      <c r="AQ34" s="6" t="s">
        <v>71</v>
      </c>
      <c r="AR34" s="6" t="n">
        <v>0</v>
      </c>
      <c r="AS34" s="2" t="s">
        <v>354</v>
      </c>
      <c r="AT34" s="2" t="s">
        <v>276</v>
      </c>
    </row>
    <row r="35" customFormat="false" ht="15" hidden="false" customHeight="false" outlineLevel="0" collapsed="false">
      <c r="A35" s="4" t="s">
        <v>355</v>
      </c>
      <c r="B35" s="9" t="s">
        <v>345</v>
      </c>
      <c r="C35" s="6" t="s">
        <v>304</v>
      </c>
      <c r="D35" s="6" t="s">
        <v>332</v>
      </c>
      <c r="E35" s="6" t="s">
        <v>71</v>
      </c>
      <c r="F35" s="28" t="n">
        <v>0</v>
      </c>
      <c r="G35" s="29" t="n">
        <v>6.667</v>
      </c>
      <c r="H35" s="6" t="s">
        <v>71</v>
      </c>
      <c r="I35" s="6" t="s">
        <v>71</v>
      </c>
      <c r="J35" s="6" t="s">
        <v>66</v>
      </c>
      <c r="K35" s="6" t="s">
        <v>66</v>
      </c>
      <c r="L35" s="28" t="n">
        <v>0</v>
      </c>
      <c r="M35" s="28" t="n">
        <v>1.5</v>
      </c>
      <c r="N35" s="11" t="n">
        <v>0.08</v>
      </c>
      <c r="O35" s="29" t="n">
        <v>0.006</v>
      </c>
      <c r="P35" s="29" t="n">
        <v>5</v>
      </c>
      <c r="Q35" s="29" t="n">
        <v>0.0001</v>
      </c>
      <c r="R35" s="29" t="n">
        <v>0.0001</v>
      </c>
      <c r="S35" s="13" t="n">
        <v>40000</v>
      </c>
      <c r="T35" s="13" t="n">
        <v>280</v>
      </c>
      <c r="U35" s="13" t="n">
        <v>0</v>
      </c>
      <c r="V35" s="13" t="n">
        <v>0</v>
      </c>
      <c r="W35" s="13" t="n">
        <v>32</v>
      </c>
      <c r="X35" s="11" t="n">
        <v>0</v>
      </c>
      <c r="Y35" s="11" t="n">
        <v>0.07</v>
      </c>
      <c r="Z35" s="13" t="n">
        <v>8</v>
      </c>
      <c r="AA35" s="11" t="n">
        <v>0.03</v>
      </c>
      <c r="AB35" s="11" t="n">
        <v>1</v>
      </c>
      <c r="AC35" s="13" t="n">
        <v>0</v>
      </c>
      <c r="AD35" s="6" t="n">
        <v>3</v>
      </c>
      <c r="AE35" s="11" t="n">
        <v>0.065</v>
      </c>
      <c r="AF35" s="13" t="n">
        <v>600000</v>
      </c>
      <c r="AG35" s="13" t="n">
        <v>0</v>
      </c>
      <c r="AH35" s="6" t="n">
        <v>14</v>
      </c>
      <c r="AI35" s="11" t="n">
        <v>0.15</v>
      </c>
      <c r="AJ35" s="6" t="n">
        <v>1</v>
      </c>
      <c r="AK35" s="6" t="n">
        <v>1</v>
      </c>
      <c r="AL35" s="6" t="n">
        <v>1</v>
      </c>
      <c r="AM35" s="6" t="n">
        <v>150</v>
      </c>
      <c r="AN35" s="6" t="n">
        <v>10000</v>
      </c>
      <c r="AO35" s="6" t="n">
        <v>5000</v>
      </c>
      <c r="AP35" s="6" t="n">
        <v>0</v>
      </c>
      <c r="AQ35" s="6" t="s">
        <v>71</v>
      </c>
      <c r="AR35" s="6" t="n">
        <v>0</v>
      </c>
      <c r="AS35" s="2" t="s">
        <v>356</v>
      </c>
      <c r="AT35" s="2" t="s">
        <v>276</v>
      </c>
    </row>
    <row r="36" customFormat="false" ht="15" hidden="false" customHeight="false" outlineLevel="0" collapsed="false">
      <c r="A36" s="4" t="s">
        <v>357</v>
      </c>
      <c r="B36" s="9" t="s">
        <v>345</v>
      </c>
      <c r="C36" s="6" t="s">
        <v>326</v>
      </c>
      <c r="D36" s="6" t="s">
        <v>327</v>
      </c>
      <c r="E36" s="6" t="s">
        <v>71</v>
      </c>
      <c r="F36" s="28" t="n">
        <v>0</v>
      </c>
      <c r="G36" s="29" t="n">
        <v>43560</v>
      </c>
      <c r="H36" s="6" t="s">
        <v>71</v>
      </c>
      <c r="I36" s="6" t="s">
        <v>71</v>
      </c>
      <c r="J36" s="6" t="s">
        <v>71</v>
      </c>
      <c r="K36" s="6" t="s">
        <v>66</v>
      </c>
      <c r="L36" s="28" t="n">
        <v>0</v>
      </c>
      <c r="M36" s="28" t="n">
        <v>1</v>
      </c>
      <c r="N36" s="11" t="n">
        <v>0.05</v>
      </c>
      <c r="O36" s="29" t="n">
        <v>0</v>
      </c>
      <c r="P36" s="29" t="n">
        <v>0</v>
      </c>
      <c r="Q36" s="29" t="n">
        <v>0</v>
      </c>
      <c r="R36" s="29" t="n">
        <v>0</v>
      </c>
      <c r="S36" s="13" t="n">
        <v>40000</v>
      </c>
      <c r="T36" s="13" t="n">
        <v>0</v>
      </c>
      <c r="U36" s="13" t="n">
        <v>0</v>
      </c>
      <c r="V36" s="13" t="n">
        <v>0</v>
      </c>
      <c r="W36" s="13" t="n">
        <v>0</v>
      </c>
      <c r="X36" s="11" t="n">
        <v>0</v>
      </c>
      <c r="Y36" s="11" t="n">
        <v>0</v>
      </c>
      <c r="Z36" s="13" t="n">
        <v>0</v>
      </c>
      <c r="AA36" s="11" t="n">
        <v>0</v>
      </c>
      <c r="AB36" s="11" t="n">
        <v>0</v>
      </c>
      <c r="AC36" s="13" t="n">
        <v>0</v>
      </c>
      <c r="AD36" s="6" t="n">
        <v>0</v>
      </c>
      <c r="AE36" s="11" t="n">
        <v>0.065</v>
      </c>
      <c r="AF36" s="13" t="n">
        <v>300000</v>
      </c>
      <c r="AG36" s="13" t="n">
        <v>21000</v>
      </c>
      <c r="AH36" s="6" t="n">
        <v>12</v>
      </c>
      <c r="AI36" s="11" t="n">
        <v>0.2</v>
      </c>
      <c r="AJ36" s="6" t="n">
        <v>1</v>
      </c>
      <c r="AK36" s="6" t="n">
        <v>0</v>
      </c>
      <c r="AL36" s="6" t="n">
        <v>1</v>
      </c>
      <c r="AM36" s="6" t="n">
        <v>100</v>
      </c>
      <c r="AN36" s="6" t="n">
        <v>0</v>
      </c>
      <c r="AO36" s="6" t="n">
        <v>4000</v>
      </c>
      <c r="AP36" s="6" t="n">
        <v>0</v>
      </c>
      <c r="AQ36" s="6" t="s">
        <v>71</v>
      </c>
      <c r="AR36" s="6" t="n">
        <v>0</v>
      </c>
      <c r="AS36" s="2" t="s">
        <v>358</v>
      </c>
      <c r="AT36" s="2" t="s">
        <v>329</v>
      </c>
    </row>
    <row r="37" customFormat="false" ht="15" hidden="false" customHeight="false" outlineLevel="0" collapsed="false">
      <c r="A37" s="4" t="s">
        <v>359</v>
      </c>
      <c r="B37" s="9" t="s">
        <v>345</v>
      </c>
      <c r="C37" s="6" t="s">
        <v>326</v>
      </c>
      <c r="D37" s="6" t="s">
        <v>327</v>
      </c>
      <c r="E37" s="6" t="s">
        <v>71</v>
      </c>
      <c r="F37" s="28" t="n">
        <v>0</v>
      </c>
      <c r="G37" s="29" t="n">
        <v>43560</v>
      </c>
      <c r="H37" s="6" t="s">
        <v>71</v>
      </c>
      <c r="I37" s="6" t="s">
        <v>71</v>
      </c>
      <c r="J37" s="6" t="s">
        <v>71</v>
      </c>
      <c r="K37" s="6" t="s">
        <v>66</v>
      </c>
      <c r="L37" s="28" t="n">
        <v>0</v>
      </c>
      <c r="M37" s="28" t="n">
        <v>3</v>
      </c>
      <c r="N37" s="11" t="n">
        <v>0.05</v>
      </c>
      <c r="O37" s="29" t="n">
        <v>0</v>
      </c>
      <c r="P37" s="29" t="n">
        <v>0</v>
      </c>
      <c r="Q37" s="29" t="n">
        <v>0</v>
      </c>
      <c r="R37" s="29" t="n">
        <v>0</v>
      </c>
      <c r="S37" s="13" t="n">
        <v>40000</v>
      </c>
      <c r="T37" s="13" t="n">
        <v>0</v>
      </c>
      <c r="U37" s="13" t="n">
        <v>0</v>
      </c>
      <c r="V37" s="13" t="n">
        <v>0</v>
      </c>
      <c r="W37" s="13" t="n">
        <v>0</v>
      </c>
      <c r="X37" s="11" t="n">
        <v>0</v>
      </c>
      <c r="Y37" s="11" t="n">
        <v>0</v>
      </c>
      <c r="Z37" s="13" t="n">
        <v>0</v>
      </c>
      <c r="AA37" s="11" t="n">
        <v>0</v>
      </c>
      <c r="AB37" s="11" t="n">
        <v>0</v>
      </c>
      <c r="AC37" s="13" t="n">
        <v>0</v>
      </c>
      <c r="AD37" s="6" t="n">
        <v>0</v>
      </c>
      <c r="AE37" s="11" t="n">
        <v>0.065</v>
      </c>
      <c r="AF37" s="13" t="n">
        <v>200000</v>
      </c>
      <c r="AG37" s="13" t="n">
        <v>14000</v>
      </c>
      <c r="AH37" s="6" t="n">
        <v>12</v>
      </c>
      <c r="AI37" s="11" t="n">
        <v>0.2</v>
      </c>
      <c r="AJ37" s="6" t="n">
        <v>1</v>
      </c>
      <c r="AK37" s="6" t="n">
        <v>0</v>
      </c>
      <c r="AL37" s="6" t="n">
        <v>1</v>
      </c>
      <c r="AM37" s="6" t="n">
        <v>100</v>
      </c>
      <c r="AN37" s="6" t="n">
        <v>0</v>
      </c>
      <c r="AO37" s="6" t="n">
        <v>4000</v>
      </c>
      <c r="AP37" s="6" t="n">
        <v>0</v>
      </c>
      <c r="AQ37" s="6" t="s">
        <v>71</v>
      </c>
      <c r="AR37" s="6" t="n">
        <v>0</v>
      </c>
      <c r="AS37" s="2" t="s">
        <v>360</v>
      </c>
      <c r="AT37" s="2" t="s">
        <v>329</v>
      </c>
    </row>
    <row r="38" customFormat="false" ht="15" hidden="false" customHeight="false" outlineLevel="0" collapsed="false">
      <c r="A38" s="4" t="s">
        <v>361</v>
      </c>
      <c r="B38" s="9" t="s">
        <v>362</v>
      </c>
      <c r="C38" s="6" t="s">
        <v>326</v>
      </c>
      <c r="D38" s="6" t="s">
        <v>327</v>
      </c>
      <c r="E38" s="6" t="s">
        <v>71</v>
      </c>
      <c r="F38" s="28" t="n">
        <v>0</v>
      </c>
      <c r="G38" s="29" t="n">
        <v>43560</v>
      </c>
      <c r="H38" s="6" t="s">
        <v>71</v>
      </c>
      <c r="I38" s="6" t="s">
        <v>71</v>
      </c>
      <c r="J38" s="6" t="s">
        <v>71</v>
      </c>
      <c r="K38" s="6" t="s">
        <v>66</v>
      </c>
      <c r="L38" s="28" t="n">
        <v>0</v>
      </c>
      <c r="M38" s="28" t="n">
        <v>2</v>
      </c>
      <c r="N38" s="11" t="n">
        <v>0.05</v>
      </c>
      <c r="O38" s="29" t="n">
        <v>0</v>
      </c>
      <c r="P38" s="29" t="n">
        <v>0</v>
      </c>
      <c r="Q38" s="29" t="n">
        <v>0</v>
      </c>
      <c r="R38" s="29" t="n">
        <v>0</v>
      </c>
      <c r="S38" s="13" t="n">
        <v>40000</v>
      </c>
      <c r="T38" s="13" t="n">
        <v>0</v>
      </c>
      <c r="U38" s="13" t="n">
        <v>0</v>
      </c>
      <c r="V38" s="13" t="n">
        <v>0</v>
      </c>
      <c r="W38" s="13" t="n">
        <v>0</v>
      </c>
      <c r="X38" s="11" t="n">
        <v>0</v>
      </c>
      <c r="Y38" s="11" t="n">
        <v>0</v>
      </c>
      <c r="Z38" s="13" t="n">
        <v>0</v>
      </c>
      <c r="AA38" s="11" t="n">
        <v>0</v>
      </c>
      <c r="AB38" s="11" t="n">
        <v>0</v>
      </c>
      <c r="AC38" s="13" t="n">
        <v>0</v>
      </c>
      <c r="AD38" s="6" t="n">
        <v>0</v>
      </c>
      <c r="AE38" s="11" t="n">
        <v>0.0625</v>
      </c>
      <c r="AF38" s="13" t="n">
        <v>350000</v>
      </c>
      <c r="AG38" s="13" t="n">
        <v>24500</v>
      </c>
      <c r="AH38" s="6" t="n">
        <v>12</v>
      </c>
      <c r="AI38" s="11" t="n">
        <v>0.2</v>
      </c>
      <c r="AJ38" s="6" t="n">
        <v>1</v>
      </c>
      <c r="AK38" s="6" t="n">
        <v>0</v>
      </c>
      <c r="AL38" s="6" t="n">
        <v>1</v>
      </c>
      <c r="AM38" s="6" t="n">
        <v>100</v>
      </c>
      <c r="AN38" s="6" t="n">
        <v>0</v>
      </c>
      <c r="AO38" s="6" t="n">
        <v>5000</v>
      </c>
      <c r="AP38" s="6" t="n">
        <v>0</v>
      </c>
      <c r="AQ38" s="6" t="s">
        <v>71</v>
      </c>
      <c r="AR38" s="6" t="n">
        <v>0</v>
      </c>
      <c r="AS38" s="2" t="s">
        <v>363</v>
      </c>
      <c r="AT38" s="2" t="s">
        <v>329</v>
      </c>
    </row>
    <row r="39" customFormat="false" ht="15" hidden="false" customHeight="false" outlineLevel="0" collapsed="false">
      <c r="A39" s="4" t="s">
        <v>364</v>
      </c>
      <c r="B39" s="9" t="s">
        <v>362</v>
      </c>
      <c r="C39" s="6" t="s">
        <v>326</v>
      </c>
      <c r="D39" s="6" t="s">
        <v>327</v>
      </c>
      <c r="E39" s="6" t="s">
        <v>71</v>
      </c>
      <c r="F39" s="28" t="n">
        <v>0</v>
      </c>
      <c r="G39" s="29" t="n">
        <v>43560</v>
      </c>
      <c r="H39" s="6" t="s">
        <v>71</v>
      </c>
      <c r="I39" s="6" t="s">
        <v>71</v>
      </c>
      <c r="J39" s="6" t="s">
        <v>71</v>
      </c>
      <c r="K39" s="6" t="s">
        <v>66</v>
      </c>
      <c r="L39" s="28" t="n">
        <v>8</v>
      </c>
      <c r="M39" s="28" t="n">
        <v>10</v>
      </c>
      <c r="N39" s="11" t="n">
        <v>0.05</v>
      </c>
      <c r="O39" s="29" t="n">
        <v>0</v>
      </c>
      <c r="P39" s="29" t="n">
        <v>0</v>
      </c>
      <c r="Q39" s="29" t="n">
        <v>0</v>
      </c>
      <c r="R39" s="29" t="n">
        <v>0</v>
      </c>
      <c r="S39" s="13" t="n">
        <v>40000</v>
      </c>
      <c r="T39" s="13" t="n">
        <v>0</v>
      </c>
      <c r="U39" s="13" t="n">
        <v>0</v>
      </c>
      <c r="V39" s="13" t="n">
        <v>0</v>
      </c>
      <c r="W39" s="13" t="n">
        <v>0</v>
      </c>
      <c r="X39" s="11" t="n">
        <v>0</v>
      </c>
      <c r="Y39" s="11" t="n">
        <v>0</v>
      </c>
      <c r="Z39" s="13" t="n">
        <v>0</v>
      </c>
      <c r="AA39" s="11" t="n">
        <v>0</v>
      </c>
      <c r="AB39" s="11" t="n">
        <v>0</v>
      </c>
      <c r="AC39" s="13" t="n">
        <v>0</v>
      </c>
      <c r="AD39" s="6" t="n">
        <v>0</v>
      </c>
      <c r="AE39" s="11" t="n">
        <v>0.07</v>
      </c>
      <c r="AF39" s="13" t="n">
        <v>150000</v>
      </c>
      <c r="AG39" s="13" t="n">
        <v>10500</v>
      </c>
      <c r="AH39" s="6" t="n">
        <v>12</v>
      </c>
      <c r="AI39" s="11" t="n">
        <v>0.2</v>
      </c>
      <c r="AJ39" s="6" t="n">
        <v>1</v>
      </c>
      <c r="AK39" s="6" t="n">
        <v>0</v>
      </c>
      <c r="AL39" s="6" t="n">
        <v>1</v>
      </c>
      <c r="AM39" s="6" t="n">
        <v>100</v>
      </c>
      <c r="AN39" s="6" t="n">
        <v>0</v>
      </c>
      <c r="AO39" s="6" t="n">
        <v>8000</v>
      </c>
      <c r="AP39" s="6" t="n">
        <v>0</v>
      </c>
      <c r="AQ39" s="6" t="s">
        <v>71</v>
      </c>
      <c r="AR39" s="6" t="n">
        <v>0</v>
      </c>
      <c r="AS39" s="2" t="s">
        <v>365</v>
      </c>
      <c r="AT39" s="2" t="s">
        <v>329</v>
      </c>
    </row>
    <row r="40" customFormat="false" ht="15" hidden="false" customHeight="false" outlineLevel="0" collapsed="false">
      <c r="A40" s="4" t="s">
        <v>366</v>
      </c>
      <c r="B40" s="9" t="s">
        <v>362</v>
      </c>
      <c r="C40" s="6" t="s">
        <v>326</v>
      </c>
      <c r="D40" s="6" t="s">
        <v>327</v>
      </c>
      <c r="E40" s="6" t="s">
        <v>71</v>
      </c>
      <c r="F40" s="28" t="n">
        <v>0</v>
      </c>
      <c r="G40" s="29" t="n">
        <v>43560</v>
      </c>
      <c r="H40" s="6" t="s">
        <v>71</v>
      </c>
      <c r="I40" s="6" t="s">
        <v>71</v>
      </c>
      <c r="J40" s="6" t="s">
        <v>71</v>
      </c>
      <c r="K40" s="6" t="s">
        <v>66</v>
      </c>
      <c r="L40" s="28" t="n">
        <v>20</v>
      </c>
      <c r="M40" s="28" t="n">
        <v>30</v>
      </c>
      <c r="N40" s="11" t="n">
        <v>0.05</v>
      </c>
      <c r="O40" s="29" t="n">
        <v>0</v>
      </c>
      <c r="P40" s="29" t="n">
        <v>0</v>
      </c>
      <c r="Q40" s="29" t="n">
        <v>0</v>
      </c>
      <c r="R40" s="29" t="n">
        <v>0</v>
      </c>
      <c r="S40" s="13" t="n">
        <v>40000</v>
      </c>
      <c r="T40" s="13" t="n">
        <v>0</v>
      </c>
      <c r="U40" s="13" t="n">
        <v>0</v>
      </c>
      <c r="V40" s="13" t="n">
        <v>0</v>
      </c>
      <c r="W40" s="13" t="n">
        <v>0</v>
      </c>
      <c r="X40" s="11" t="n">
        <v>0</v>
      </c>
      <c r="Y40" s="11" t="n">
        <v>0</v>
      </c>
      <c r="Z40" s="13" t="n">
        <v>0</v>
      </c>
      <c r="AA40" s="11" t="n">
        <v>0</v>
      </c>
      <c r="AB40" s="11" t="n">
        <v>0</v>
      </c>
      <c r="AC40" s="13" t="n">
        <v>0</v>
      </c>
      <c r="AD40" s="6" t="n">
        <v>0</v>
      </c>
      <c r="AE40" s="11" t="n">
        <v>0.07</v>
      </c>
      <c r="AF40" s="13" t="n">
        <v>60000</v>
      </c>
      <c r="AG40" s="13" t="n">
        <v>4200</v>
      </c>
      <c r="AH40" s="6" t="n">
        <v>12</v>
      </c>
      <c r="AI40" s="11" t="n">
        <v>0.2</v>
      </c>
      <c r="AJ40" s="6" t="n">
        <v>1</v>
      </c>
      <c r="AK40" s="6" t="n">
        <v>0</v>
      </c>
      <c r="AL40" s="6" t="n">
        <v>1</v>
      </c>
      <c r="AM40" s="6" t="n">
        <v>100</v>
      </c>
      <c r="AN40" s="6" t="n">
        <v>0</v>
      </c>
      <c r="AO40" s="6" t="n">
        <v>5000</v>
      </c>
      <c r="AP40" s="6" t="n">
        <v>0</v>
      </c>
      <c r="AQ40" s="6" t="s">
        <v>71</v>
      </c>
      <c r="AR40" s="6" t="n">
        <v>0</v>
      </c>
      <c r="AS40" s="2" t="s">
        <v>367</v>
      </c>
      <c r="AT40" s="2" t="s">
        <v>329</v>
      </c>
    </row>
    <row r="41" customFormat="false" ht="15" hidden="false" customHeight="false" outlineLevel="0" collapsed="false">
      <c r="A41" s="4" t="s">
        <v>368</v>
      </c>
      <c r="B41" s="9" t="s">
        <v>362</v>
      </c>
      <c r="C41" s="6" t="s">
        <v>304</v>
      </c>
      <c r="D41" s="6" t="s">
        <v>332</v>
      </c>
      <c r="E41" s="6" t="s">
        <v>71</v>
      </c>
      <c r="F41" s="28" t="n">
        <v>0</v>
      </c>
      <c r="G41" s="29" t="n">
        <v>4</v>
      </c>
      <c r="H41" s="6" t="s">
        <v>71</v>
      </c>
      <c r="I41" s="6" t="s">
        <v>71</v>
      </c>
      <c r="J41" s="6" t="s">
        <v>66</v>
      </c>
      <c r="K41" s="6" t="s">
        <v>66</v>
      </c>
      <c r="L41" s="28" t="n">
        <v>0</v>
      </c>
      <c r="M41" s="28" t="n">
        <v>3</v>
      </c>
      <c r="N41" s="11" t="n">
        <v>0.08</v>
      </c>
      <c r="O41" s="29" t="n">
        <v>0.006</v>
      </c>
      <c r="P41" s="29" t="n">
        <v>4</v>
      </c>
      <c r="Q41" s="29" t="n">
        <v>0.0001</v>
      </c>
      <c r="R41" s="29" t="n">
        <v>0.0001</v>
      </c>
      <c r="S41" s="13" t="n">
        <v>40000</v>
      </c>
      <c r="T41" s="13" t="n">
        <v>180</v>
      </c>
      <c r="U41" s="13" t="n">
        <v>0</v>
      </c>
      <c r="V41" s="13" t="n">
        <v>0</v>
      </c>
      <c r="W41" s="13" t="n">
        <v>18</v>
      </c>
      <c r="X41" s="11" t="n">
        <v>0</v>
      </c>
      <c r="Y41" s="11" t="n">
        <v>0.07</v>
      </c>
      <c r="Z41" s="13" t="n">
        <v>7</v>
      </c>
      <c r="AA41" s="11" t="n">
        <v>0.03</v>
      </c>
      <c r="AB41" s="11" t="n">
        <v>1</v>
      </c>
      <c r="AC41" s="13" t="n">
        <v>30</v>
      </c>
      <c r="AD41" s="6" t="n">
        <v>9</v>
      </c>
      <c r="AE41" s="11" t="n">
        <v>0.0725</v>
      </c>
      <c r="AF41" s="13" t="n">
        <v>400000</v>
      </c>
      <c r="AG41" s="13" t="n">
        <v>0</v>
      </c>
      <c r="AH41" s="6" t="n">
        <v>14</v>
      </c>
      <c r="AI41" s="11" t="n">
        <v>0.15</v>
      </c>
      <c r="AJ41" s="6" t="n">
        <v>1</v>
      </c>
      <c r="AK41" s="6" t="n">
        <v>1</v>
      </c>
      <c r="AL41" s="6" t="n">
        <v>1</v>
      </c>
      <c r="AM41" s="6" t="n">
        <v>150</v>
      </c>
      <c r="AN41" s="6" t="n">
        <v>0</v>
      </c>
      <c r="AO41" s="6" t="n">
        <v>8000</v>
      </c>
      <c r="AP41" s="6" t="n">
        <v>0</v>
      </c>
      <c r="AQ41" s="6" t="s">
        <v>71</v>
      </c>
      <c r="AR41" s="6" t="n">
        <v>0</v>
      </c>
      <c r="AS41" s="2" t="s">
        <v>369</v>
      </c>
      <c r="AT41" s="2" t="s">
        <v>276</v>
      </c>
    </row>
    <row r="42" customFormat="false" ht="15" hidden="false" customHeight="false" outlineLevel="0" collapsed="false">
      <c r="A42" s="4" t="s">
        <v>370</v>
      </c>
      <c r="B42" s="9" t="s">
        <v>362</v>
      </c>
      <c r="C42" s="6" t="s">
        <v>326</v>
      </c>
      <c r="D42" s="6" t="s">
        <v>327</v>
      </c>
      <c r="E42" s="6" t="s">
        <v>71</v>
      </c>
      <c r="F42" s="28" t="n">
        <v>0</v>
      </c>
      <c r="G42" s="29" t="n">
        <v>43560</v>
      </c>
      <c r="H42" s="6" t="s">
        <v>71</v>
      </c>
      <c r="I42" s="6" t="s">
        <v>71</v>
      </c>
      <c r="J42" s="6" t="s">
        <v>71</v>
      </c>
      <c r="K42" s="6" t="s">
        <v>66</v>
      </c>
      <c r="L42" s="28" t="n">
        <v>5</v>
      </c>
      <c r="M42" s="28" t="n">
        <v>15</v>
      </c>
      <c r="N42" s="11" t="n">
        <v>0.05</v>
      </c>
      <c r="O42" s="29" t="n">
        <v>0</v>
      </c>
      <c r="P42" s="29" t="n">
        <v>0</v>
      </c>
      <c r="Q42" s="29" t="n">
        <v>0</v>
      </c>
      <c r="R42" s="29" t="n">
        <v>0</v>
      </c>
      <c r="S42" s="13" t="n">
        <v>40000</v>
      </c>
      <c r="T42" s="13" t="n">
        <v>0</v>
      </c>
      <c r="U42" s="13" t="n">
        <v>0</v>
      </c>
      <c r="V42" s="13" t="n">
        <v>0</v>
      </c>
      <c r="W42" s="13" t="n">
        <v>0</v>
      </c>
      <c r="X42" s="11" t="n">
        <v>0</v>
      </c>
      <c r="Y42" s="11" t="n">
        <v>0</v>
      </c>
      <c r="Z42" s="13" t="n">
        <v>0</v>
      </c>
      <c r="AA42" s="11" t="n">
        <v>0</v>
      </c>
      <c r="AB42" s="11" t="n">
        <v>0</v>
      </c>
      <c r="AC42" s="13" t="n">
        <v>0</v>
      </c>
      <c r="AD42" s="6" t="n">
        <v>0</v>
      </c>
      <c r="AE42" s="11" t="n">
        <v>0.075</v>
      </c>
      <c r="AF42" s="13" t="n">
        <v>50000</v>
      </c>
      <c r="AG42" s="13" t="n">
        <v>3500</v>
      </c>
      <c r="AH42" s="6" t="n">
        <v>12</v>
      </c>
      <c r="AI42" s="11" t="n">
        <v>0.2</v>
      </c>
      <c r="AJ42" s="6" t="n">
        <v>1</v>
      </c>
      <c r="AK42" s="6" t="n">
        <v>0</v>
      </c>
      <c r="AL42" s="6" t="n">
        <v>1</v>
      </c>
      <c r="AM42" s="6" t="n">
        <v>100</v>
      </c>
      <c r="AN42" s="6" t="n">
        <v>0</v>
      </c>
      <c r="AO42" s="6" t="n">
        <v>0</v>
      </c>
      <c r="AP42" s="6" t="n">
        <v>0</v>
      </c>
      <c r="AQ42" s="6" t="s">
        <v>71</v>
      </c>
      <c r="AR42" s="6" t="n">
        <v>0</v>
      </c>
      <c r="AS42" s="2" t="s">
        <v>371</v>
      </c>
      <c r="AT42" s="2" t="s">
        <v>329</v>
      </c>
    </row>
    <row r="43" customFormat="false" ht="15" hidden="false" customHeight="false" outlineLevel="0" collapsed="false">
      <c r="A43" s="4" t="s">
        <v>372</v>
      </c>
      <c r="B43" s="9" t="s">
        <v>297</v>
      </c>
      <c r="C43" s="6" t="s">
        <v>304</v>
      </c>
      <c r="D43" s="6" t="s">
        <v>332</v>
      </c>
      <c r="E43" s="6" t="s">
        <v>71</v>
      </c>
      <c r="F43" s="28" t="n">
        <v>0</v>
      </c>
      <c r="G43" s="29" t="n">
        <v>3.333</v>
      </c>
      <c r="H43" s="6" t="s">
        <v>71</v>
      </c>
      <c r="I43" s="6" t="s">
        <v>71</v>
      </c>
      <c r="J43" s="6" t="s">
        <v>66</v>
      </c>
      <c r="K43" s="6" t="s">
        <v>66</v>
      </c>
      <c r="L43" s="28" t="n">
        <v>0</v>
      </c>
      <c r="M43" s="28" t="n">
        <v>10</v>
      </c>
      <c r="N43" s="11" t="n">
        <v>0.08</v>
      </c>
      <c r="O43" s="29" t="n">
        <v>0.006</v>
      </c>
      <c r="P43" s="29" t="n">
        <v>1.4</v>
      </c>
      <c r="Q43" s="29" t="n">
        <v>0.0001</v>
      </c>
      <c r="R43" s="29" t="n">
        <v>0.0001</v>
      </c>
      <c r="S43" s="13" t="n">
        <v>40000</v>
      </c>
      <c r="T43" s="13" t="n">
        <v>115</v>
      </c>
      <c r="U43" s="13" t="n">
        <v>0</v>
      </c>
      <c r="V43" s="13" t="n">
        <v>0</v>
      </c>
      <c r="W43" s="13" t="n">
        <v>15</v>
      </c>
      <c r="X43" s="11" t="n">
        <v>0</v>
      </c>
      <c r="Y43" s="11" t="n">
        <v>0.07</v>
      </c>
      <c r="Z43" s="30" t="n">
        <v>3.5</v>
      </c>
      <c r="AA43" s="11" t="n">
        <v>0.03</v>
      </c>
      <c r="AB43" s="11" t="n">
        <v>0.95</v>
      </c>
      <c r="AC43" s="13" t="n">
        <v>8</v>
      </c>
      <c r="AD43" s="6" t="n">
        <v>12</v>
      </c>
      <c r="AE43" s="11" t="n">
        <v>0.07</v>
      </c>
      <c r="AF43" s="13" t="n">
        <v>175000</v>
      </c>
      <c r="AG43" s="13" t="n">
        <v>0</v>
      </c>
      <c r="AH43" s="6" t="n">
        <v>14</v>
      </c>
      <c r="AI43" s="11" t="n">
        <v>0.15</v>
      </c>
      <c r="AJ43" s="6" t="n">
        <v>1</v>
      </c>
      <c r="AK43" s="6" t="n">
        <v>1</v>
      </c>
      <c r="AL43" s="6" t="n">
        <v>1</v>
      </c>
      <c r="AM43" s="6" t="n">
        <v>150</v>
      </c>
      <c r="AN43" s="6" t="n">
        <v>0</v>
      </c>
      <c r="AO43" s="6" t="n">
        <v>0</v>
      </c>
      <c r="AP43" s="6" t="n">
        <v>5</v>
      </c>
      <c r="AQ43" s="6" t="s">
        <v>71</v>
      </c>
      <c r="AR43" s="6" t="n">
        <v>0</v>
      </c>
      <c r="AS43" s="2" t="s">
        <v>373</v>
      </c>
      <c r="AT43" s="2" t="s">
        <v>276</v>
      </c>
    </row>
    <row r="44" customFormat="false" ht="15" hidden="false" customHeight="false" outlineLevel="0" collapsed="false">
      <c r="A44" s="4" t="s">
        <v>374</v>
      </c>
      <c r="B44" s="9" t="s">
        <v>297</v>
      </c>
      <c r="C44" s="6" t="s">
        <v>304</v>
      </c>
      <c r="D44" s="6" t="s">
        <v>332</v>
      </c>
      <c r="E44" s="6" t="s">
        <v>71</v>
      </c>
      <c r="F44" s="28" t="n">
        <v>0</v>
      </c>
      <c r="G44" s="29" t="n">
        <v>3.125</v>
      </c>
      <c r="H44" s="6" t="s">
        <v>71</v>
      </c>
      <c r="I44" s="6" t="s">
        <v>71</v>
      </c>
      <c r="J44" s="6" t="s">
        <v>66</v>
      </c>
      <c r="K44" s="6" t="s">
        <v>66</v>
      </c>
      <c r="L44" s="28" t="n">
        <v>0</v>
      </c>
      <c r="M44" s="28" t="n">
        <v>10</v>
      </c>
      <c r="N44" s="11" t="n">
        <v>0.08</v>
      </c>
      <c r="O44" s="29" t="n">
        <v>0.006</v>
      </c>
      <c r="P44" s="29" t="n">
        <v>1.4</v>
      </c>
      <c r="Q44" s="29" t="n">
        <v>0.0001</v>
      </c>
      <c r="R44" s="29" t="n">
        <v>0.0001</v>
      </c>
      <c r="S44" s="13" t="n">
        <v>40000</v>
      </c>
      <c r="T44" s="13" t="n">
        <v>125</v>
      </c>
      <c r="U44" s="13" t="n">
        <v>0</v>
      </c>
      <c r="V44" s="13" t="n">
        <v>0</v>
      </c>
      <c r="W44" s="13" t="n">
        <v>14</v>
      </c>
      <c r="X44" s="11" t="n">
        <v>0</v>
      </c>
      <c r="Y44" s="11" t="n">
        <v>0.07</v>
      </c>
      <c r="Z44" s="30" t="n">
        <v>3.5</v>
      </c>
      <c r="AA44" s="11" t="n">
        <v>0.03</v>
      </c>
      <c r="AB44" s="11" t="n">
        <v>0.95</v>
      </c>
      <c r="AC44" s="13" t="n">
        <v>10</v>
      </c>
      <c r="AD44" s="6" t="n">
        <v>12</v>
      </c>
      <c r="AE44" s="11" t="n">
        <v>0.07</v>
      </c>
      <c r="AF44" s="13" t="n">
        <v>175000</v>
      </c>
      <c r="AG44" s="13" t="n">
        <v>0</v>
      </c>
      <c r="AH44" s="6" t="n">
        <v>14</v>
      </c>
      <c r="AI44" s="11" t="n">
        <v>0.15</v>
      </c>
      <c r="AJ44" s="6" t="n">
        <v>1</v>
      </c>
      <c r="AK44" s="6" t="n">
        <v>1</v>
      </c>
      <c r="AL44" s="6" t="n">
        <v>1</v>
      </c>
      <c r="AM44" s="6" t="n">
        <v>150</v>
      </c>
      <c r="AN44" s="6" t="n">
        <v>0</v>
      </c>
      <c r="AO44" s="6" t="n">
        <v>0</v>
      </c>
      <c r="AP44" s="6" t="n">
        <v>3</v>
      </c>
      <c r="AQ44" s="6" t="s">
        <v>71</v>
      </c>
      <c r="AR44" s="6" t="n">
        <v>0</v>
      </c>
      <c r="AS44" s="2" t="s">
        <v>375</v>
      </c>
      <c r="AT44" s="2" t="s">
        <v>276</v>
      </c>
    </row>
    <row r="45" customFormat="false" ht="15" hidden="false" customHeight="false" outlineLevel="0" collapsed="false">
      <c r="A45" s="4" t="s">
        <v>376</v>
      </c>
      <c r="B45" s="9" t="s">
        <v>297</v>
      </c>
      <c r="C45" s="6" t="s">
        <v>304</v>
      </c>
      <c r="D45" s="6" t="s">
        <v>332</v>
      </c>
      <c r="E45" s="6" t="s">
        <v>71</v>
      </c>
      <c r="F45" s="28" t="n">
        <v>0</v>
      </c>
      <c r="G45" s="29" t="n">
        <v>2.5</v>
      </c>
      <c r="H45" s="6" t="s">
        <v>71</v>
      </c>
      <c r="I45" s="6" t="s">
        <v>71</v>
      </c>
      <c r="J45" s="6" t="s">
        <v>66</v>
      </c>
      <c r="K45" s="6" t="s">
        <v>66</v>
      </c>
      <c r="L45" s="28" t="n">
        <v>10</v>
      </c>
      <c r="M45" s="28" t="n">
        <v>20</v>
      </c>
      <c r="N45" s="11" t="n">
        <v>0.08</v>
      </c>
      <c r="O45" s="29" t="n">
        <v>0.006</v>
      </c>
      <c r="P45" s="29" t="n">
        <v>1.2</v>
      </c>
      <c r="Q45" s="29" t="n">
        <v>0.0001</v>
      </c>
      <c r="R45" s="29" t="n">
        <v>0.0001</v>
      </c>
      <c r="S45" s="13" t="n">
        <v>40000</v>
      </c>
      <c r="T45" s="13" t="n">
        <v>140</v>
      </c>
      <c r="U45" s="13" t="n">
        <v>0</v>
      </c>
      <c r="V45" s="13" t="n">
        <v>0</v>
      </c>
      <c r="W45" s="13" t="n">
        <v>12</v>
      </c>
      <c r="X45" s="11" t="n">
        <v>0</v>
      </c>
      <c r="Y45" s="11" t="n">
        <v>0.07</v>
      </c>
      <c r="Z45" s="13" t="n">
        <v>3</v>
      </c>
      <c r="AA45" s="11" t="n">
        <v>0.03</v>
      </c>
      <c r="AB45" s="11" t="n">
        <v>1</v>
      </c>
      <c r="AC45" s="13" t="n">
        <v>0</v>
      </c>
      <c r="AD45" s="6" t="n">
        <v>3</v>
      </c>
      <c r="AE45" s="11" t="n">
        <v>0.065</v>
      </c>
      <c r="AF45" s="13" t="n">
        <v>150000</v>
      </c>
      <c r="AG45" s="13" t="n">
        <v>0</v>
      </c>
      <c r="AH45" s="6" t="n">
        <v>14</v>
      </c>
      <c r="AI45" s="11" t="n">
        <v>0.15</v>
      </c>
      <c r="AJ45" s="6" t="n">
        <v>1</v>
      </c>
      <c r="AK45" s="6" t="n">
        <v>1</v>
      </c>
      <c r="AL45" s="6" t="n">
        <v>1</v>
      </c>
      <c r="AM45" s="6" t="n">
        <v>150</v>
      </c>
      <c r="AN45" s="6" t="n">
        <v>0</v>
      </c>
      <c r="AO45" s="6" t="n">
        <v>0</v>
      </c>
      <c r="AP45" s="6" t="n">
        <v>10</v>
      </c>
      <c r="AQ45" s="6" t="s">
        <v>71</v>
      </c>
      <c r="AR45" s="6" t="n">
        <v>0</v>
      </c>
      <c r="AS45" s="2" t="s">
        <v>377</v>
      </c>
      <c r="AT45" s="2" t="s">
        <v>276</v>
      </c>
    </row>
    <row r="46" customFormat="false" ht="15" hidden="false" customHeight="false" outlineLevel="0" collapsed="false">
      <c r="A46" s="4" t="s">
        <v>378</v>
      </c>
      <c r="B46" s="9" t="s">
        <v>297</v>
      </c>
      <c r="C46" s="6" t="s">
        <v>304</v>
      </c>
      <c r="D46" s="6" t="s">
        <v>332</v>
      </c>
      <c r="E46" s="6" t="s">
        <v>71</v>
      </c>
      <c r="F46" s="28" t="n">
        <v>0</v>
      </c>
      <c r="G46" s="29" t="n">
        <v>4</v>
      </c>
      <c r="H46" s="6" t="s">
        <v>71</v>
      </c>
      <c r="I46" s="6" t="s">
        <v>71</v>
      </c>
      <c r="J46" s="6" t="s">
        <v>66</v>
      </c>
      <c r="K46" s="6" t="s">
        <v>66</v>
      </c>
      <c r="L46" s="28" t="n">
        <v>15</v>
      </c>
      <c r="M46" s="28" t="n">
        <v>25</v>
      </c>
      <c r="N46" s="11" t="n">
        <v>0.08</v>
      </c>
      <c r="O46" s="29" t="n">
        <v>0.006</v>
      </c>
      <c r="P46" s="29" t="n">
        <v>3</v>
      </c>
      <c r="Q46" s="29" t="n">
        <v>0.0001</v>
      </c>
      <c r="R46" s="29" t="n">
        <v>0.0001</v>
      </c>
      <c r="S46" s="13" t="n">
        <v>40000</v>
      </c>
      <c r="T46" s="13" t="n">
        <v>160</v>
      </c>
      <c r="U46" s="13" t="n">
        <v>0</v>
      </c>
      <c r="V46" s="13" t="n">
        <v>0</v>
      </c>
      <c r="W46" s="13" t="n">
        <v>16</v>
      </c>
      <c r="X46" s="11" t="n">
        <v>0</v>
      </c>
      <c r="Y46" s="11" t="n">
        <v>0.07</v>
      </c>
      <c r="Z46" s="13" t="n">
        <v>3</v>
      </c>
      <c r="AA46" s="11" t="n">
        <v>0.03</v>
      </c>
      <c r="AB46" s="11" t="n">
        <v>1</v>
      </c>
      <c r="AC46" s="13" t="n">
        <v>5</v>
      </c>
      <c r="AD46" s="6" t="n">
        <v>6</v>
      </c>
      <c r="AE46" s="11" t="n">
        <v>0.06</v>
      </c>
      <c r="AF46" s="13" t="n">
        <v>250000</v>
      </c>
      <c r="AG46" s="13" t="n">
        <v>0</v>
      </c>
      <c r="AH46" s="6" t="n">
        <v>14</v>
      </c>
      <c r="AI46" s="11" t="n">
        <v>0.15</v>
      </c>
      <c r="AJ46" s="6" t="n">
        <v>1</v>
      </c>
      <c r="AK46" s="6" t="n">
        <v>1</v>
      </c>
      <c r="AL46" s="6" t="n">
        <v>1</v>
      </c>
      <c r="AM46" s="6" t="n">
        <v>150</v>
      </c>
      <c r="AN46" s="6" t="n">
        <v>0</v>
      </c>
      <c r="AO46" s="6" t="n">
        <v>15000</v>
      </c>
      <c r="AP46" s="6" t="n">
        <v>3</v>
      </c>
      <c r="AQ46" s="6" t="s">
        <v>71</v>
      </c>
      <c r="AR46" s="6" t="n">
        <v>0</v>
      </c>
      <c r="AS46" s="2" t="s">
        <v>379</v>
      </c>
      <c r="AT46" s="2" t="s">
        <v>276</v>
      </c>
    </row>
    <row r="47" customFormat="false" ht="15" hidden="false" customHeight="false" outlineLevel="0" collapsed="false">
      <c r="A47" s="4" t="s">
        <v>380</v>
      </c>
      <c r="B47" s="9" t="s">
        <v>297</v>
      </c>
      <c r="C47" s="6" t="s">
        <v>304</v>
      </c>
      <c r="D47" s="6" t="s">
        <v>332</v>
      </c>
      <c r="E47" s="6" t="s">
        <v>71</v>
      </c>
      <c r="F47" s="28" t="n">
        <v>0</v>
      </c>
      <c r="G47" s="29" t="n">
        <v>2.222</v>
      </c>
      <c r="H47" s="6" t="s">
        <v>71</v>
      </c>
      <c r="I47" s="6" t="s">
        <v>71</v>
      </c>
      <c r="J47" s="6" t="s">
        <v>66</v>
      </c>
      <c r="K47" s="6" t="s">
        <v>66</v>
      </c>
      <c r="L47" s="28" t="n">
        <v>30</v>
      </c>
      <c r="M47" s="28" t="n">
        <v>0</v>
      </c>
      <c r="N47" s="11" t="n">
        <v>0.08</v>
      </c>
      <c r="O47" s="29" t="n">
        <v>0.006</v>
      </c>
      <c r="P47" s="29" t="n">
        <v>0.9</v>
      </c>
      <c r="Q47" s="29" t="n">
        <v>0.0001</v>
      </c>
      <c r="R47" s="29" t="n">
        <v>0.0001</v>
      </c>
      <c r="S47" s="13" t="n">
        <v>100000</v>
      </c>
      <c r="T47" s="13" t="n">
        <v>75</v>
      </c>
      <c r="U47" s="13" t="n">
        <v>0</v>
      </c>
      <c r="V47" s="13" t="n">
        <v>0</v>
      </c>
      <c r="W47" s="30" t="n">
        <v>6.5</v>
      </c>
      <c r="X47" s="11" t="n">
        <v>0</v>
      </c>
      <c r="Y47" s="11" t="n">
        <v>0.07</v>
      </c>
      <c r="Z47" s="13" t="n">
        <v>2</v>
      </c>
      <c r="AA47" s="11" t="n">
        <v>0.03</v>
      </c>
      <c r="AB47" s="11" t="n">
        <v>1</v>
      </c>
      <c r="AC47" s="13" t="n">
        <v>4</v>
      </c>
      <c r="AD47" s="6" t="n">
        <v>12</v>
      </c>
      <c r="AE47" s="11" t="n">
        <v>0.0575</v>
      </c>
      <c r="AF47" s="13" t="n">
        <v>120000</v>
      </c>
      <c r="AG47" s="13" t="n">
        <v>0</v>
      </c>
      <c r="AH47" s="6" t="n">
        <v>14</v>
      </c>
      <c r="AI47" s="11" t="n">
        <v>0.15</v>
      </c>
      <c r="AJ47" s="6" t="n">
        <v>1</v>
      </c>
      <c r="AK47" s="6" t="n">
        <v>1</v>
      </c>
      <c r="AL47" s="6" t="n">
        <v>1</v>
      </c>
      <c r="AM47" s="6" t="n">
        <v>600</v>
      </c>
      <c r="AN47" s="6" t="n">
        <v>0</v>
      </c>
      <c r="AO47" s="6" t="n">
        <v>0</v>
      </c>
      <c r="AP47" s="6" t="n">
        <v>2</v>
      </c>
      <c r="AQ47" s="6" t="s">
        <v>71</v>
      </c>
      <c r="AR47" s="6" t="n">
        <v>0</v>
      </c>
      <c r="AS47" s="2" t="s">
        <v>381</v>
      </c>
      <c r="AT47" s="2" t="s">
        <v>276</v>
      </c>
    </row>
    <row r="48" customFormat="false" ht="15" hidden="false" customHeight="false" outlineLevel="0" collapsed="false">
      <c r="A48" s="4" t="s">
        <v>382</v>
      </c>
      <c r="B48" s="9" t="s">
        <v>297</v>
      </c>
      <c r="C48" s="6" t="s">
        <v>304</v>
      </c>
      <c r="D48" s="6" t="s">
        <v>332</v>
      </c>
      <c r="E48" s="6" t="s">
        <v>71</v>
      </c>
      <c r="F48" s="28" t="n">
        <v>0</v>
      </c>
      <c r="G48" s="29" t="n">
        <v>2.5</v>
      </c>
      <c r="H48" s="6" t="s">
        <v>71</v>
      </c>
      <c r="I48" s="6" t="s">
        <v>71</v>
      </c>
      <c r="J48" s="6" t="s">
        <v>66</v>
      </c>
      <c r="K48" s="6" t="s">
        <v>66</v>
      </c>
      <c r="L48" s="28" t="n">
        <v>10</v>
      </c>
      <c r="M48" s="28" t="n">
        <v>20</v>
      </c>
      <c r="N48" s="11" t="n">
        <v>0.08</v>
      </c>
      <c r="O48" s="29" t="n">
        <v>0.006</v>
      </c>
      <c r="P48" s="29" t="n">
        <v>1</v>
      </c>
      <c r="Q48" s="29" t="n">
        <v>0.0001</v>
      </c>
      <c r="R48" s="29" t="n">
        <v>0.0001</v>
      </c>
      <c r="S48" s="13" t="n">
        <v>40000</v>
      </c>
      <c r="T48" s="13" t="n">
        <v>260</v>
      </c>
      <c r="U48" s="13" t="n">
        <v>0</v>
      </c>
      <c r="V48" s="13" t="n">
        <v>0</v>
      </c>
      <c r="W48" s="13" t="n">
        <v>14</v>
      </c>
      <c r="X48" s="11" t="n">
        <v>0</v>
      </c>
      <c r="Y48" s="11" t="n">
        <v>0.07</v>
      </c>
      <c r="Z48" s="13" t="n">
        <v>3</v>
      </c>
      <c r="AA48" s="11" t="n">
        <v>0.03</v>
      </c>
      <c r="AB48" s="11" t="n">
        <v>1</v>
      </c>
      <c r="AC48" s="13" t="n">
        <v>5</v>
      </c>
      <c r="AD48" s="6" t="n">
        <v>12</v>
      </c>
      <c r="AE48" s="11" t="n">
        <v>0.06</v>
      </c>
      <c r="AF48" s="13" t="n">
        <v>150000</v>
      </c>
      <c r="AG48" s="13" t="n">
        <v>0</v>
      </c>
      <c r="AH48" s="6" t="n">
        <v>14</v>
      </c>
      <c r="AI48" s="11" t="n">
        <v>0.15</v>
      </c>
      <c r="AJ48" s="6" t="n">
        <v>1</v>
      </c>
      <c r="AK48" s="6" t="n">
        <v>1</v>
      </c>
      <c r="AL48" s="6" t="n">
        <v>1</v>
      </c>
      <c r="AM48" s="6" t="n">
        <v>150</v>
      </c>
      <c r="AN48" s="6" t="n">
        <v>0</v>
      </c>
      <c r="AO48" s="6" t="n">
        <v>0</v>
      </c>
      <c r="AP48" s="6" t="n">
        <v>3</v>
      </c>
      <c r="AQ48" s="6" t="s">
        <v>71</v>
      </c>
      <c r="AR48" s="6" t="n">
        <v>0</v>
      </c>
      <c r="AS48" s="2" t="s">
        <v>383</v>
      </c>
      <c r="AT48" s="2" t="s">
        <v>276</v>
      </c>
    </row>
    <row r="49" customFormat="false" ht="15" hidden="false" customHeight="false" outlineLevel="0" collapsed="false">
      <c r="A49" s="4" t="s">
        <v>384</v>
      </c>
      <c r="B49" s="9" t="s">
        <v>297</v>
      </c>
      <c r="C49" s="6" t="s">
        <v>304</v>
      </c>
      <c r="D49" s="6" t="s">
        <v>327</v>
      </c>
      <c r="E49" s="6" t="s">
        <v>71</v>
      </c>
      <c r="F49" s="28" t="n">
        <v>0</v>
      </c>
      <c r="G49" s="29" t="n">
        <v>43560</v>
      </c>
      <c r="H49" s="6" t="s">
        <v>71</v>
      </c>
      <c r="I49" s="6" t="s">
        <v>71</v>
      </c>
      <c r="J49" s="6" t="s">
        <v>71</v>
      </c>
      <c r="K49" s="6" t="s">
        <v>66</v>
      </c>
      <c r="L49" s="28" t="n">
        <v>0</v>
      </c>
      <c r="M49" s="28" t="n">
        <v>8</v>
      </c>
      <c r="N49" s="11" t="n">
        <v>0.05</v>
      </c>
      <c r="O49" s="29" t="n">
        <v>0</v>
      </c>
      <c r="P49" s="29" t="n">
        <v>0</v>
      </c>
      <c r="Q49" s="29" t="n">
        <v>0</v>
      </c>
      <c r="R49" s="29" t="n">
        <v>0</v>
      </c>
      <c r="S49" s="13" t="n">
        <v>25000</v>
      </c>
      <c r="T49" s="13" t="n">
        <v>120000</v>
      </c>
      <c r="U49" s="13" t="n">
        <v>0</v>
      </c>
      <c r="V49" s="13" t="n">
        <v>0</v>
      </c>
      <c r="W49" s="13" t="n">
        <v>18000</v>
      </c>
      <c r="X49" s="11" t="n">
        <v>0</v>
      </c>
      <c r="Y49" s="11" t="n">
        <v>0.05</v>
      </c>
      <c r="Z49" s="13" t="n">
        <v>2000</v>
      </c>
      <c r="AA49" s="11" t="n">
        <v>0.03</v>
      </c>
      <c r="AB49" s="11" t="n">
        <v>0.8</v>
      </c>
      <c r="AC49" s="13" t="n">
        <v>0</v>
      </c>
      <c r="AD49" s="6" t="n">
        <v>6</v>
      </c>
      <c r="AE49" s="11" t="n">
        <v>0.0675</v>
      </c>
      <c r="AF49" s="13" t="n">
        <v>150000</v>
      </c>
      <c r="AG49" s="13" t="n">
        <v>0</v>
      </c>
      <c r="AH49" s="6" t="n">
        <v>8</v>
      </c>
      <c r="AI49" s="11" t="n">
        <v>0.15</v>
      </c>
      <c r="AJ49" s="6" t="n">
        <v>1</v>
      </c>
      <c r="AK49" s="6" t="n">
        <v>1</v>
      </c>
      <c r="AL49" s="6" t="n">
        <v>1</v>
      </c>
      <c r="AM49" s="6" t="n">
        <v>100</v>
      </c>
      <c r="AN49" s="6" t="n">
        <v>0</v>
      </c>
      <c r="AO49" s="6" t="n">
        <v>0</v>
      </c>
      <c r="AP49" s="6" t="n">
        <v>5</v>
      </c>
      <c r="AQ49" s="6" t="s">
        <v>71</v>
      </c>
      <c r="AR49" s="6" t="n">
        <v>0</v>
      </c>
      <c r="AS49" s="2" t="s">
        <v>385</v>
      </c>
      <c r="AT49" s="2" t="s">
        <v>386</v>
      </c>
    </row>
    <row r="50" customFormat="false" ht="15" hidden="false" customHeight="false" outlineLevel="0" collapsed="false">
      <c r="A50" s="4" t="s">
        <v>387</v>
      </c>
      <c r="B50" s="9" t="s">
        <v>297</v>
      </c>
      <c r="C50" s="6" t="s">
        <v>304</v>
      </c>
      <c r="D50" s="6" t="s">
        <v>327</v>
      </c>
      <c r="E50" s="6" t="s">
        <v>71</v>
      </c>
      <c r="F50" s="28" t="n">
        <v>0</v>
      </c>
      <c r="G50" s="29" t="n">
        <v>43560</v>
      </c>
      <c r="H50" s="6" t="s">
        <v>71</v>
      </c>
      <c r="I50" s="6" t="s">
        <v>71</v>
      </c>
      <c r="J50" s="6" t="s">
        <v>71</v>
      </c>
      <c r="K50" s="6" t="s">
        <v>66</v>
      </c>
      <c r="L50" s="28" t="n">
        <v>0</v>
      </c>
      <c r="M50" s="28" t="n">
        <v>8</v>
      </c>
      <c r="N50" s="11" t="n">
        <v>0.05</v>
      </c>
      <c r="O50" s="29" t="n">
        <v>0</v>
      </c>
      <c r="P50" s="29" t="n">
        <v>0</v>
      </c>
      <c r="Q50" s="29" t="n">
        <v>0</v>
      </c>
      <c r="R50" s="29" t="n">
        <v>0</v>
      </c>
      <c r="S50" s="13" t="n">
        <v>25000</v>
      </c>
      <c r="T50" s="13" t="n">
        <v>150000</v>
      </c>
      <c r="U50" s="13" t="n">
        <v>0</v>
      </c>
      <c r="V50" s="13" t="n">
        <v>0</v>
      </c>
      <c r="W50" s="13" t="n">
        <v>22000</v>
      </c>
      <c r="X50" s="11" t="n">
        <v>0</v>
      </c>
      <c r="Y50" s="11" t="n">
        <v>0.05</v>
      </c>
      <c r="Z50" s="13" t="n">
        <v>2000</v>
      </c>
      <c r="AA50" s="11" t="n">
        <v>0.03</v>
      </c>
      <c r="AB50" s="11" t="n">
        <v>1</v>
      </c>
      <c r="AC50" s="13" t="n">
        <v>0</v>
      </c>
      <c r="AD50" s="6" t="n">
        <v>6</v>
      </c>
      <c r="AE50" s="11" t="n">
        <v>0.07</v>
      </c>
      <c r="AF50" s="13" t="n">
        <v>175000</v>
      </c>
      <c r="AG50" s="13" t="n">
        <v>0</v>
      </c>
      <c r="AH50" s="6" t="n">
        <v>10</v>
      </c>
      <c r="AI50" s="11" t="n">
        <v>0.15</v>
      </c>
      <c r="AJ50" s="6" t="n">
        <v>1</v>
      </c>
      <c r="AK50" s="6" t="n">
        <v>1</v>
      </c>
      <c r="AL50" s="6" t="n">
        <v>1</v>
      </c>
      <c r="AM50" s="6" t="n">
        <v>100</v>
      </c>
      <c r="AN50" s="6" t="n">
        <v>8000</v>
      </c>
      <c r="AO50" s="6" t="n">
        <v>0</v>
      </c>
      <c r="AP50" s="6" t="n">
        <v>0</v>
      </c>
      <c r="AQ50" s="6" t="s">
        <v>71</v>
      </c>
      <c r="AR50" s="6" t="n">
        <v>0</v>
      </c>
      <c r="AS50" s="2" t="s">
        <v>388</v>
      </c>
      <c r="AT50" s="2" t="s">
        <v>276</v>
      </c>
    </row>
    <row r="51" customFormat="false" ht="15" hidden="false" customHeight="false" outlineLevel="0" collapsed="false">
      <c r="A51" s="4" t="s">
        <v>389</v>
      </c>
      <c r="B51" s="9" t="s">
        <v>297</v>
      </c>
      <c r="C51" s="6" t="s">
        <v>304</v>
      </c>
      <c r="D51" s="6" t="s">
        <v>390</v>
      </c>
      <c r="E51" s="6" t="s">
        <v>66</v>
      </c>
      <c r="F51" s="28" t="n">
        <v>0</v>
      </c>
      <c r="G51" s="29" t="n">
        <v>1400</v>
      </c>
      <c r="H51" s="6" t="s">
        <v>71</v>
      </c>
      <c r="I51" s="6" t="s">
        <v>71</v>
      </c>
      <c r="J51" s="6" t="s">
        <v>71</v>
      </c>
      <c r="K51" s="6" t="s">
        <v>66</v>
      </c>
      <c r="L51" s="28" t="n">
        <v>0</v>
      </c>
      <c r="M51" s="28" t="n">
        <v>5</v>
      </c>
      <c r="N51" s="11" t="n">
        <v>0.05</v>
      </c>
      <c r="O51" s="29" t="n">
        <v>0</v>
      </c>
      <c r="P51" s="29" t="n">
        <v>0</v>
      </c>
      <c r="Q51" s="29" t="n">
        <v>0</v>
      </c>
      <c r="R51" s="29" t="n">
        <v>0</v>
      </c>
      <c r="S51" s="13" t="n">
        <v>25000</v>
      </c>
      <c r="T51" s="13" t="n">
        <v>7500</v>
      </c>
      <c r="U51" s="13" t="n">
        <v>0</v>
      </c>
      <c r="V51" s="13" t="n">
        <v>0</v>
      </c>
      <c r="W51" s="13" t="n">
        <v>2700</v>
      </c>
      <c r="X51" s="11" t="n">
        <v>0</v>
      </c>
      <c r="Y51" s="11" t="n">
        <v>0.15</v>
      </c>
      <c r="Z51" s="13" t="n">
        <v>300</v>
      </c>
      <c r="AA51" s="11" t="n">
        <v>0.08</v>
      </c>
      <c r="AB51" s="11" t="n">
        <v>0</v>
      </c>
      <c r="AC51" s="13" t="n">
        <v>0</v>
      </c>
      <c r="AD51" s="6" t="n">
        <v>12</v>
      </c>
      <c r="AE51" s="11" t="n">
        <v>0.08</v>
      </c>
      <c r="AF51" s="13" t="n">
        <v>150000</v>
      </c>
      <c r="AG51" s="13" t="n">
        <v>0</v>
      </c>
      <c r="AH51" s="6" t="n">
        <v>8</v>
      </c>
      <c r="AI51" s="11" t="n">
        <v>0.15</v>
      </c>
      <c r="AJ51" s="6" t="n">
        <v>1</v>
      </c>
      <c r="AK51" s="6" t="n">
        <v>1</v>
      </c>
      <c r="AL51" s="6" t="n">
        <v>1</v>
      </c>
      <c r="AM51" s="6" t="n">
        <v>150</v>
      </c>
      <c r="AN51" s="6" t="n">
        <v>0</v>
      </c>
      <c r="AO51" s="6" t="n">
        <v>0</v>
      </c>
      <c r="AP51" s="6" t="n">
        <v>2</v>
      </c>
      <c r="AQ51" s="6" t="s">
        <v>71</v>
      </c>
      <c r="AR51" s="6" t="n">
        <v>0</v>
      </c>
      <c r="AS51" s="2" t="s">
        <v>391</v>
      </c>
      <c r="AT51" s="2" t="s">
        <v>276</v>
      </c>
    </row>
    <row r="52" customFormat="false" ht="15" hidden="false" customHeight="false" outlineLevel="0" collapsed="false">
      <c r="A52" s="4" t="s">
        <v>392</v>
      </c>
      <c r="B52" s="9" t="s">
        <v>293</v>
      </c>
      <c r="C52" s="6" t="s">
        <v>304</v>
      </c>
      <c r="D52" s="6" t="s">
        <v>390</v>
      </c>
      <c r="E52" s="6" t="s">
        <v>66</v>
      </c>
      <c r="F52" s="28" t="n">
        <v>0</v>
      </c>
      <c r="G52" s="29" t="n">
        <v>700</v>
      </c>
      <c r="H52" s="6" t="s">
        <v>71</v>
      </c>
      <c r="I52" s="6" t="s">
        <v>71</v>
      </c>
      <c r="J52" s="6" t="s">
        <v>71</v>
      </c>
      <c r="K52" s="6" t="s">
        <v>66</v>
      </c>
      <c r="L52" s="28" t="n">
        <v>0</v>
      </c>
      <c r="M52" s="28" t="n">
        <v>6</v>
      </c>
      <c r="N52" s="11" t="n">
        <v>0.05</v>
      </c>
      <c r="O52" s="29" t="n">
        <v>0</v>
      </c>
      <c r="P52" s="29" t="n">
        <v>0</v>
      </c>
      <c r="Q52" s="29" t="n">
        <v>0</v>
      </c>
      <c r="R52" s="29" t="n">
        <v>0</v>
      </c>
      <c r="S52" s="13" t="n">
        <v>25000</v>
      </c>
      <c r="T52" s="13" t="n">
        <v>4500</v>
      </c>
      <c r="U52" s="13" t="n">
        <v>0</v>
      </c>
      <c r="V52" s="13" t="n">
        <v>0</v>
      </c>
      <c r="W52" s="13" t="n">
        <v>1500</v>
      </c>
      <c r="X52" s="11" t="n">
        <v>0</v>
      </c>
      <c r="Y52" s="11" t="n">
        <v>0.12</v>
      </c>
      <c r="Z52" s="13" t="n">
        <v>150</v>
      </c>
      <c r="AA52" s="11" t="n">
        <v>0.08</v>
      </c>
      <c r="AB52" s="11" t="n">
        <v>0</v>
      </c>
      <c r="AC52" s="13" t="n">
        <v>0</v>
      </c>
      <c r="AD52" s="6" t="n">
        <v>24</v>
      </c>
      <c r="AE52" s="11" t="n">
        <v>0.0725</v>
      </c>
      <c r="AF52" s="13" t="n">
        <v>120000</v>
      </c>
      <c r="AG52" s="13" t="n">
        <v>0</v>
      </c>
      <c r="AH52" s="6" t="n">
        <v>8</v>
      </c>
      <c r="AI52" s="11" t="n">
        <v>0.15</v>
      </c>
      <c r="AJ52" s="6" t="n">
        <v>1</v>
      </c>
      <c r="AK52" s="6" t="n">
        <v>1</v>
      </c>
      <c r="AL52" s="6" t="n">
        <v>1</v>
      </c>
      <c r="AM52" s="6" t="n">
        <v>100</v>
      </c>
      <c r="AN52" s="6" t="n">
        <v>0</v>
      </c>
      <c r="AO52" s="6" t="n">
        <v>2000</v>
      </c>
      <c r="AP52" s="6" t="n">
        <v>0</v>
      </c>
      <c r="AQ52" s="6" t="s">
        <v>71</v>
      </c>
      <c r="AR52" s="6" t="n">
        <v>0</v>
      </c>
      <c r="AS52" s="2" t="s">
        <v>393</v>
      </c>
      <c r="AT52" s="2" t="s">
        <v>276</v>
      </c>
    </row>
    <row r="53" customFormat="false" ht="15" hidden="false" customHeight="false" outlineLevel="0" collapsed="false">
      <c r="A53" s="4" t="s">
        <v>394</v>
      </c>
      <c r="B53" s="9" t="s">
        <v>293</v>
      </c>
      <c r="C53" s="6" t="s">
        <v>304</v>
      </c>
      <c r="D53" s="6" t="s">
        <v>332</v>
      </c>
      <c r="E53" s="6" t="s">
        <v>71</v>
      </c>
      <c r="F53" s="28" t="n">
        <v>0</v>
      </c>
      <c r="G53" s="29" t="n">
        <v>2.857</v>
      </c>
      <c r="H53" s="6" t="s">
        <v>71</v>
      </c>
      <c r="I53" s="6" t="s">
        <v>71</v>
      </c>
      <c r="J53" s="6" t="s">
        <v>66</v>
      </c>
      <c r="K53" s="6" t="s">
        <v>66</v>
      </c>
      <c r="L53" s="28" t="n">
        <v>0</v>
      </c>
      <c r="M53" s="28" t="n">
        <v>6</v>
      </c>
      <c r="N53" s="11" t="n">
        <v>0.08</v>
      </c>
      <c r="O53" s="29" t="n">
        <v>0.006</v>
      </c>
      <c r="P53" s="29" t="n">
        <v>1.2</v>
      </c>
      <c r="Q53" s="29" t="n">
        <v>0.0001</v>
      </c>
      <c r="R53" s="29" t="n">
        <v>0.0001</v>
      </c>
      <c r="S53" s="13" t="n">
        <v>40000</v>
      </c>
      <c r="T53" s="13" t="n">
        <v>55</v>
      </c>
      <c r="U53" s="13" t="n">
        <v>0</v>
      </c>
      <c r="V53" s="13" t="n">
        <v>0</v>
      </c>
      <c r="W53" s="13" t="n">
        <v>14</v>
      </c>
      <c r="X53" s="11" t="n">
        <v>0</v>
      </c>
      <c r="Y53" s="11" t="n">
        <v>0.1</v>
      </c>
      <c r="Z53" s="30" t="n">
        <v>4.5</v>
      </c>
      <c r="AA53" s="11" t="n">
        <v>0.06</v>
      </c>
      <c r="AB53" s="11" t="n">
        <v>0</v>
      </c>
      <c r="AC53" s="13" t="n">
        <v>0</v>
      </c>
      <c r="AD53" s="6" t="n">
        <v>30</v>
      </c>
      <c r="AE53" s="11" t="n">
        <v>0.0625</v>
      </c>
      <c r="AF53" s="13" t="n">
        <v>200000</v>
      </c>
      <c r="AG53" s="13" t="n">
        <v>0</v>
      </c>
      <c r="AH53" s="6" t="n">
        <v>14</v>
      </c>
      <c r="AI53" s="11" t="n">
        <v>0.15</v>
      </c>
      <c r="AJ53" s="6" t="n">
        <v>1</v>
      </c>
      <c r="AK53" s="6" t="n">
        <v>1</v>
      </c>
      <c r="AL53" s="6" t="n">
        <v>1</v>
      </c>
      <c r="AM53" s="6" t="n">
        <v>150</v>
      </c>
      <c r="AN53" s="6" t="n">
        <v>0</v>
      </c>
      <c r="AO53" s="6" t="n">
        <v>5000</v>
      </c>
      <c r="AP53" s="6" t="n">
        <v>0</v>
      </c>
      <c r="AQ53" s="6" t="s">
        <v>71</v>
      </c>
      <c r="AR53" s="6" t="n">
        <v>0</v>
      </c>
      <c r="AS53" s="2" t="s">
        <v>395</v>
      </c>
      <c r="AT53" s="2" t="s">
        <v>276</v>
      </c>
    </row>
    <row r="54" customFormat="false" ht="15" hidden="false" customHeight="false" outlineLevel="0" collapsed="false">
      <c r="A54" s="4" t="s">
        <v>396</v>
      </c>
      <c r="B54" s="9" t="s">
        <v>397</v>
      </c>
      <c r="C54" s="6" t="s">
        <v>326</v>
      </c>
      <c r="D54" s="6" t="s">
        <v>327</v>
      </c>
      <c r="E54" s="6" t="s">
        <v>71</v>
      </c>
      <c r="F54" s="28" t="n">
        <v>0</v>
      </c>
      <c r="G54" s="29" t="n">
        <v>43560</v>
      </c>
      <c r="H54" s="6" t="s">
        <v>71</v>
      </c>
      <c r="I54" s="6" t="s">
        <v>71</v>
      </c>
      <c r="J54" s="6" t="s">
        <v>71</v>
      </c>
      <c r="K54" s="6" t="s">
        <v>66</v>
      </c>
      <c r="L54" s="28" t="n">
        <v>0</v>
      </c>
      <c r="M54" s="28" t="n">
        <v>3</v>
      </c>
      <c r="N54" s="11" t="n">
        <v>0.05</v>
      </c>
      <c r="O54" s="29" t="n">
        <v>0</v>
      </c>
      <c r="P54" s="29" t="n">
        <v>0</v>
      </c>
      <c r="Q54" s="29" t="n">
        <v>0</v>
      </c>
      <c r="R54" s="29" t="n">
        <v>0</v>
      </c>
      <c r="S54" s="13" t="n">
        <v>40000</v>
      </c>
      <c r="T54" s="13" t="n">
        <v>0</v>
      </c>
      <c r="U54" s="13" t="n">
        <v>0</v>
      </c>
      <c r="V54" s="13" t="n">
        <v>0</v>
      </c>
      <c r="W54" s="13" t="n">
        <v>0</v>
      </c>
      <c r="X54" s="11" t="n">
        <v>0</v>
      </c>
      <c r="Y54" s="11" t="n">
        <v>0</v>
      </c>
      <c r="Z54" s="13" t="n">
        <v>0</v>
      </c>
      <c r="AA54" s="11" t="n">
        <v>0</v>
      </c>
      <c r="AB54" s="11" t="n">
        <v>0</v>
      </c>
      <c r="AC54" s="13" t="n">
        <v>0</v>
      </c>
      <c r="AD54" s="6" t="n">
        <v>0</v>
      </c>
      <c r="AE54" s="11" t="n">
        <v>0.0625</v>
      </c>
      <c r="AF54" s="13" t="n">
        <v>450000</v>
      </c>
      <c r="AG54" s="13" t="n">
        <v>31500</v>
      </c>
      <c r="AH54" s="6" t="n">
        <v>12</v>
      </c>
      <c r="AI54" s="11" t="n">
        <v>0.2</v>
      </c>
      <c r="AJ54" s="6" t="n">
        <v>1</v>
      </c>
      <c r="AK54" s="6" t="n">
        <v>0</v>
      </c>
      <c r="AL54" s="6" t="n">
        <v>1</v>
      </c>
      <c r="AM54" s="6" t="n">
        <v>100</v>
      </c>
      <c r="AN54" s="6" t="n">
        <v>0</v>
      </c>
      <c r="AO54" s="6" t="n">
        <v>5000</v>
      </c>
      <c r="AP54" s="6" t="n">
        <v>2</v>
      </c>
      <c r="AQ54" s="6" t="s">
        <v>71</v>
      </c>
      <c r="AR54" s="6" t="n">
        <v>0</v>
      </c>
      <c r="AS54" s="2" t="s">
        <v>398</v>
      </c>
      <c r="AT54" s="2" t="s">
        <v>329</v>
      </c>
    </row>
    <row r="55" customFormat="false" ht="15" hidden="false" customHeight="false" outlineLevel="0" collapsed="false">
      <c r="A55" s="4" t="s">
        <v>399</v>
      </c>
      <c r="B55" s="9" t="s">
        <v>400</v>
      </c>
      <c r="C55" s="6" t="s">
        <v>401</v>
      </c>
      <c r="D55" s="6" t="s">
        <v>327</v>
      </c>
      <c r="E55" s="6" t="s">
        <v>71</v>
      </c>
      <c r="F55" s="28" t="n">
        <v>0</v>
      </c>
      <c r="G55" s="29" t="n">
        <v>43560</v>
      </c>
      <c r="H55" s="6" t="s">
        <v>71</v>
      </c>
      <c r="I55" s="6" t="s">
        <v>71</v>
      </c>
      <c r="J55" s="6" t="s">
        <v>71</v>
      </c>
      <c r="K55" s="6" t="s">
        <v>71</v>
      </c>
      <c r="L55" s="28" t="n">
        <v>0</v>
      </c>
      <c r="M55" s="28" t="n">
        <v>5</v>
      </c>
      <c r="N55" s="11" t="n">
        <v>0.05</v>
      </c>
      <c r="O55" s="29" t="n">
        <v>0</v>
      </c>
      <c r="P55" s="29" t="n">
        <v>0</v>
      </c>
      <c r="Q55" s="29" t="n">
        <v>0</v>
      </c>
      <c r="R55" s="29" t="n">
        <v>0</v>
      </c>
      <c r="S55" s="13" t="n">
        <v>150000</v>
      </c>
      <c r="T55" s="13" t="n">
        <v>0</v>
      </c>
      <c r="U55" s="13" t="n">
        <v>0</v>
      </c>
      <c r="V55" s="13" t="n">
        <v>0</v>
      </c>
      <c r="W55" s="13" t="n">
        <v>0</v>
      </c>
      <c r="X55" s="11" t="n">
        <v>0</v>
      </c>
      <c r="Y55" s="11" t="n">
        <v>0</v>
      </c>
      <c r="Z55" s="13" t="n">
        <v>0</v>
      </c>
      <c r="AA55" s="11" t="n">
        <v>0</v>
      </c>
      <c r="AB55" s="11" t="n">
        <v>0</v>
      </c>
      <c r="AC55" s="13" t="n">
        <v>0</v>
      </c>
      <c r="AD55" s="6" t="n">
        <v>0</v>
      </c>
      <c r="AE55" s="11" t="n">
        <v>0.07</v>
      </c>
      <c r="AF55" s="13" t="n">
        <v>60000</v>
      </c>
      <c r="AG55" s="13" t="n">
        <v>0</v>
      </c>
      <c r="AH55" s="6" t="n">
        <v>18</v>
      </c>
      <c r="AI55" s="11" t="n">
        <v>0.25</v>
      </c>
      <c r="AJ55" s="6" t="n">
        <v>1</v>
      </c>
      <c r="AK55" s="6" t="n">
        <v>0</v>
      </c>
      <c r="AL55" s="6" t="n">
        <v>0</v>
      </c>
      <c r="AM55" s="6" t="n">
        <v>100</v>
      </c>
      <c r="AN55" s="6" t="n">
        <v>0</v>
      </c>
      <c r="AO55" s="6" t="n">
        <v>0</v>
      </c>
      <c r="AP55" s="6" t="n">
        <v>0</v>
      </c>
      <c r="AQ55" s="6" t="s">
        <v>71</v>
      </c>
      <c r="AR55" s="6" t="n">
        <v>0</v>
      </c>
      <c r="AS55" s="2" t="s">
        <v>402</v>
      </c>
      <c r="AT55" s="2" t="s">
        <v>403</v>
      </c>
    </row>
    <row r="56" customFormat="false" ht="15" hidden="false" customHeight="false" outlineLevel="0" collapsed="false">
      <c r="A56" s="4" t="s">
        <v>404</v>
      </c>
      <c r="B56" s="9" t="s">
        <v>400</v>
      </c>
      <c r="C56" s="6" t="s">
        <v>401</v>
      </c>
      <c r="D56" s="6" t="s">
        <v>327</v>
      </c>
      <c r="E56" s="6" t="s">
        <v>71</v>
      </c>
      <c r="F56" s="28" t="n">
        <v>0</v>
      </c>
      <c r="G56" s="29" t="n">
        <v>43560</v>
      </c>
      <c r="H56" s="6" t="s">
        <v>71</v>
      </c>
      <c r="I56" s="6" t="s">
        <v>71</v>
      </c>
      <c r="J56" s="6" t="s">
        <v>71</v>
      </c>
      <c r="K56" s="6" t="s">
        <v>71</v>
      </c>
      <c r="L56" s="28" t="n">
        <v>20</v>
      </c>
      <c r="M56" s="28" t="n">
        <v>0</v>
      </c>
      <c r="N56" s="11" t="n">
        <v>0.05</v>
      </c>
      <c r="O56" s="29" t="n">
        <v>0</v>
      </c>
      <c r="P56" s="29" t="n">
        <v>0</v>
      </c>
      <c r="Q56" s="29" t="n">
        <v>0</v>
      </c>
      <c r="R56" s="29" t="n">
        <v>0</v>
      </c>
      <c r="S56" s="13" t="n">
        <v>50000</v>
      </c>
      <c r="T56" s="13" t="n">
        <v>0</v>
      </c>
      <c r="U56" s="13" t="n">
        <v>0</v>
      </c>
      <c r="V56" s="13" t="n">
        <v>0</v>
      </c>
      <c r="W56" s="13" t="n">
        <v>0</v>
      </c>
      <c r="X56" s="11" t="n">
        <v>0</v>
      </c>
      <c r="Y56" s="11" t="n">
        <v>0</v>
      </c>
      <c r="Z56" s="13" t="n">
        <v>0</v>
      </c>
      <c r="AA56" s="11" t="n">
        <v>0</v>
      </c>
      <c r="AB56" s="11" t="n">
        <v>0</v>
      </c>
      <c r="AC56" s="13" t="n">
        <v>0</v>
      </c>
      <c r="AD56" s="6" t="n">
        <v>0</v>
      </c>
      <c r="AE56" s="11" t="n">
        <v>0.08</v>
      </c>
      <c r="AF56" s="13" t="n">
        <v>0</v>
      </c>
      <c r="AG56" s="13" t="n">
        <v>1000</v>
      </c>
      <c r="AH56" s="6" t="n">
        <v>18</v>
      </c>
      <c r="AI56" s="11" t="n">
        <v>0.25</v>
      </c>
      <c r="AJ56" s="6" t="n">
        <v>0</v>
      </c>
      <c r="AK56" s="6" t="n">
        <v>0</v>
      </c>
      <c r="AL56" s="6" t="n">
        <v>1</v>
      </c>
      <c r="AM56" s="6" t="n">
        <v>100</v>
      </c>
      <c r="AN56" s="6" t="n">
        <v>0</v>
      </c>
      <c r="AO56" s="6" t="n">
        <v>0</v>
      </c>
      <c r="AP56" s="6" t="n">
        <v>0</v>
      </c>
      <c r="AQ56" s="6" t="s">
        <v>71</v>
      </c>
      <c r="AR56" s="6" t="n">
        <v>2</v>
      </c>
      <c r="AS56" s="2" t="s">
        <v>405</v>
      </c>
      <c r="AT56" s="2" t="s">
        <v>276</v>
      </c>
    </row>
    <row r="57" customFormat="false" ht="15" hidden="false" customHeight="false" outlineLevel="0" collapsed="false">
      <c r="A57" s="4" t="s">
        <v>406</v>
      </c>
      <c r="B57" s="9" t="s">
        <v>400</v>
      </c>
      <c r="C57" s="6" t="s">
        <v>401</v>
      </c>
      <c r="D57" s="6" t="s">
        <v>327</v>
      </c>
      <c r="E57" s="6" t="s">
        <v>71</v>
      </c>
      <c r="F57" s="28" t="n">
        <v>0</v>
      </c>
      <c r="G57" s="29" t="n">
        <v>43560</v>
      </c>
      <c r="H57" s="6" t="s">
        <v>71</v>
      </c>
      <c r="I57" s="6" t="s">
        <v>71</v>
      </c>
      <c r="J57" s="6" t="s">
        <v>71</v>
      </c>
      <c r="K57" s="6" t="s">
        <v>71</v>
      </c>
      <c r="L57" s="28" t="n">
        <v>50</v>
      </c>
      <c r="M57" s="28" t="n">
        <v>0</v>
      </c>
      <c r="N57" s="11" t="n">
        <v>0.05</v>
      </c>
      <c r="O57" s="29" t="n">
        <v>0</v>
      </c>
      <c r="P57" s="29" t="n">
        <v>0</v>
      </c>
      <c r="Q57" s="29" t="n">
        <v>0</v>
      </c>
      <c r="R57" s="29" t="n">
        <v>0</v>
      </c>
      <c r="S57" s="13" t="n">
        <v>500000</v>
      </c>
      <c r="T57" s="13" t="n">
        <v>0</v>
      </c>
      <c r="U57" s="13" t="n">
        <v>0</v>
      </c>
      <c r="V57" s="13" t="n">
        <v>0</v>
      </c>
      <c r="W57" s="13" t="n">
        <v>0</v>
      </c>
      <c r="X57" s="11" t="n">
        <v>0</v>
      </c>
      <c r="Y57" s="11" t="n">
        <v>0</v>
      </c>
      <c r="Z57" s="13" t="n">
        <v>0</v>
      </c>
      <c r="AA57" s="11" t="n">
        <v>0</v>
      </c>
      <c r="AB57" s="11" t="n">
        <v>0</v>
      </c>
      <c r="AC57" s="13" t="n">
        <v>0</v>
      </c>
      <c r="AD57" s="6" t="n">
        <v>0</v>
      </c>
      <c r="AE57" s="11" t="n">
        <v>0.07</v>
      </c>
      <c r="AF57" s="13" t="n">
        <v>200000</v>
      </c>
      <c r="AG57" s="13" t="n">
        <v>0</v>
      </c>
      <c r="AH57" s="6" t="n">
        <v>24</v>
      </c>
      <c r="AI57" s="11" t="n">
        <v>0.25</v>
      </c>
      <c r="AJ57" s="6" t="n">
        <v>1</v>
      </c>
      <c r="AK57" s="6" t="n">
        <v>0</v>
      </c>
      <c r="AL57" s="6" t="n">
        <v>0</v>
      </c>
      <c r="AM57" s="6" t="n">
        <v>100</v>
      </c>
      <c r="AN57" s="6" t="n">
        <v>0</v>
      </c>
      <c r="AO57" s="6" t="n">
        <v>0</v>
      </c>
      <c r="AP57" s="6" t="n">
        <v>0</v>
      </c>
      <c r="AQ57" s="6" t="s">
        <v>71</v>
      </c>
      <c r="AR57" s="6" t="n">
        <v>1</v>
      </c>
      <c r="AS57" s="2" t="s">
        <v>407</v>
      </c>
      <c r="AT57" s="2" t="s">
        <v>408</v>
      </c>
    </row>
  </sheetData>
  <dataValidations count="6">
    <dataValidation allowBlank="true" errorStyle="stop" operator="between" showDropDown="false" showErrorMessage="false" showInputMessage="false" sqref="C5:C97" type="list">
      <formula1>Lookups!$N$5:$N$8</formula1>
      <formula2>0</formula2>
    </dataValidation>
    <dataValidation allowBlank="true" errorStyle="stop" operator="between" showDropDown="false" showErrorMessage="false" showInputMessage="false" sqref="E5:E97" type="list">
      <formula1>Lookups!$L$5:$L$6</formula1>
      <formula2>0</formula2>
    </dataValidation>
    <dataValidation allowBlank="true" errorStyle="stop" operator="between" showDropDown="false" showErrorMessage="false" showInputMessage="false" sqref="H5:H97" type="list">
      <formula1>Lookups!$L$5:$L$6</formula1>
      <formula2>0</formula2>
    </dataValidation>
    <dataValidation allowBlank="true" errorStyle="stop" operator="between" showDropDown="false" showErrorMessage="false" showInputMessage="false" sqref="I5:I97" type="list">
      <formula1>Lookups!$L$5:$L$6</formula1>
      <formula2>0</formula2>
    </dataValidation>
    <dataValidation allowBlank="true" errorStyle="stop" operator="between" showDropDown="false" showErrorMessage="false" showInputMessage="false" sqref="J5:J97" type="list">
      <formula1>Lookups!$L$5:$L$6</formula1>
      <formula2>0</formula2>
    </dataValidation>
    <dataValidation allowBlank="true" errorStyle="stop" operator="between" showDropDown="false" showErrorMessage="false" showInputMessage="false" sqref="K5:K97" type="list">
      <formula1>Lookups!$L$5:$L$6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C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105" min="2" style="0" width="14"/>
    <col collapsed="false" customWidth="true" hidden="false" outlineLevel="0" max="106" min="106" style="0" width="30"/>
    <col collapsed="false" customWidth="true" hidden="false" outlineLevel="0" max="107" min="107" style="0" width="14"/>
  </cols>
  <sheetData>
    <row r="1" customFormat="false" ht="17.35" hidden="false" customHeight="false" outlineLevel="0" collapsed="false">
      <c r="A1" s="1" t="s">
        <v>409</v>
      </c>
    </row>
    <row r="2" customFormat="false" ht="15" hidden="false" customHeight="false" outlineLevel="0" collapsed="false">
      <c r="A2" s="2" t="s">
        <v>410</v>
      </c>
    </row>
    <row r="4" customFormat="false" ht="15" hidden="false" customHeight="false" outlineLevel="0" collapsed="false">
      <c r="A4" s="31" t="s">
        <v>123</v>
      </c>
      <c r="D4" s="31" t="s">
        <v>125</v>
      </c>
      <c r="W4" s="31" t="s">
        <v>144</v>
      </c>
      <c r="AH4" s="31" t="s">
        <v>156</v>
      </c>
      <c r="BG4" s="31" t="s">
        <v>182</v>
      </c>
      <c r="BJ4" s="31" t="s">
        <v>186</v>
      </c>
      <c r="BN4" s="31" t="s">
        <v>411</v>
      </c>
      <c r="BT4" s="31" t="s">
        <v>191</v>
      </c>
      <c r="BW4" s="31" t="s">
        <v>194</v>
      </c>
      <c r="CG4" s="31" t="s">
        <v>412</v>
      </c>
      <c r="CK4" s="31" t="s">
        <v>413</v>
      </c>
      <c r="CR4" s="31" t="s">
        <v>205</v>
      </c>
      <c r="CV4" s="31" t="s">
        <v>414</v>
      </c>
    </row>
    <row r="5" customFormat="false" ht="69.75" hidden="false" customHeight="true" outlineLevel="0" collapsed="false">
      <c r="A5" s="8" t="s">
        <v>107</v>
      </c>
      <c r="B5" s="8" t="s">
        <v>16</v>
      </c>
      <c r="C5" s="8" t="s">
        <v>124</v>
      </c>
      <c r="D5" s="8" t="s">
        <v>126</v>
      </c>
      <c r="E5" s="8" t="s">
        <v>127</v>
      </c>
      <c r="F5" s="8" t="s">
        <v>128</v>
      </c>
      <c r="G5" s="8" t="s">
        <v>129</v>
      </c>
      <c r="H5" s="8" t="s">
        <v>130</v>
      </c>
      <c r="I5" s="8" t="s">
        <v>131</v>
      </c>
      <c r="J5" s="8" t="s">
        <v>132</v>
      </c>
      <c r="K5" s="8" t="s">
        <v>133</v>
      </c>
      <c r="L5" s="8" t="s">
        <v>134</v>
      </c>
      <c r="M5" s="8" t="s">
        <v>135</v>
      </c>
      <c r="N5" s="8" t="s">
        <v>136</v>
      </c>
      <c r="O5" s="8" t="s">
        <v>137</v>
      </c>
      <c r="P5" s="8" t="s">
        <v>138</v>
      </c>
      <c r="Q5" s="8" t="s">
        <v>139</v>
      </c>
      <c r="R5" s="8" t="s">
        <v>140</v>
      </c>
      <c r="S5" s="8" t="s">
        <v>141</v>
      </c>
      <c r="T5" s="8" t="s">
        <v>114</v>
      </c>
      <c r="U5" s="8" t="s">
        <v>142</v>
      </c>
      <c r="V5" s="8" t="s">
        <v>143</v>
      </c>
      <c r="W5" s="8" t="s">
        <v>145</v>
      </c>
      <c r="X5" s="8" t="s">
        <v>146</v>
      </c>
      <c r="Y5" s="8" t="s">
        <v>147</v>
      </c>
      <c r="Z5" s="8" t="s">
        <v>148</v>
      </c>
      <c r="AA5" s="8" t="s">
        <v>149</v>
      </c>
      <c r="AB5" s="8" t="s">
        <v>150</v>
      </c>
      <c r="AC5" s="8" t="s">
        <v>151</v>
      </c>
      <c r="AD5" s="8" t="s">
        <v>152</v>
      </c>
      <c r="AE5" s="8" t="s">
        <v>153</v>
      </c>
      <c r="AF5" s="8" t="s">
        <v>154</v>
      </c>
      <c r="AG5" s="8" t="s">
        <v>155</v>
      </c>
      <c r="AH5" s="8" t="s">
        <v>157</v>
      </c>
      <c r="AI5" s="8" t="s">
        <v>158</v>
      </c>
      <c r="AJ5" s="8" t="s">
        <v>159</v>
      </c>
      <c r="AK5" s="8" t="s">
        <v>160</v>
      </c>
      <c r="AL5" s="8" t="s">
        <v>161</v>
      </c>
      <c r="AM5" s="8" t="s">
        <v>162</v>
      </c>
      <c r="AN5" s="8" t="s">
        <v>163</v>
      </c>
      <c r="AO5" s="8" t="s">
        <v>164</v>
      </c>
      <c r="AP5" s="8" t="s">
        <v>165</v>
      </c>
      <c r="AQ5" s="8" t="s">
        <v>166</v>
      </c>
      <c r="AR5" s="8" t="s">
        <v>167</v>
      </c>
      <c r="AS5" s="8" t="s">
        <v>168</v>
      </c>
      <c r="AT5" s="8" t="s">
        <v>169</v>
      </c>
      <c r="AU5" s="8" t="s">
        <v>170</v>
      </c>
      <c r="AV5" s="8" t="s">
        <v>171</v>
      </c>
      <c r="AW5" s="8" t="s">
        <v>172</v>
      </c>
      <c r="AX5" s="8" t="s">
        <v>173</v>
      </c>
      <c r="AY5" s="8" t="s">
        <v>174</v>
      </c>
      <c r="AZ5" s="8" t="s">
        <v>175</v>
      </c>
      <c r="BA5" s="8" t="s">
        <v>176</v>
      </c>
      <c r="BB5" s="8" t="s">
        <v>177</v>
      </c>
      <c r="BC5" s="8" t="s">
        <v>178</v>
      </c>
      <c r="BD5" s="8" t="s">
        <v>179</v>
      </c>
      <c r="BE5" s="8" t="s">
        <v>180</v>
      </c>
      <c r="BF5" s="8" t="s">
        <v>181</v>
      </c>
      <c r="BG5" s="8" t="s">
        <v>183</v>
      </c>
      <c r="BH5" s="8" t="s">
        <v>184</v>
      </c>
      <c r="BI5" s="8" t="s">
        <v>185</v>
      </c>
      <c r="BJ5" s="8" t="s">
        <v>187</v>
      </c>
      <c r="BK5" s="8" t="s">
        <v>188</v>
      </c>
      <c r="BL5" s="8" t="s">
        <v>189</v>
      </c>
      <c r="BM5" s="8" t="s">
        <v>190</v>
      </c>
      <c r="BN5" s="8" t="s">
        <v>415</v>
      </c>
      <c r="BO5" s="8" t="s">
        <v>416</v>
      </c>
      <c r="BP5" s="8" t="s">
        <v>417</v>
      </c>
      <c r="BQ5" s="8" t="s">
        <v>418</v>
      </c>
      <c r="BR5" s="8" t="s">
        <v>419</v>
      </c>
      <c r="BS5" s="8" t="s">
        <v>420</v>
      </c>
      <c r="BT5" s="8" t="s">
        <v>192</v>
      </c>
      <c r="BU5" s="8" t="s">
        <v>193</v>
      </c>
      <c r="BV5" s="8" t="s">
        <v>421</v>
      </c>
      <c r="BW5" s="8" t="s">
        <v>195</v>
      </c>
      <c r="BX5" s="8" t="s">
        <v>196</v>
      </c>
      <c r="BY5" s="8" t="s">
        <v>197</v>
      </c>
      <c r="BZ5" s="8" t="s">
        <v>198</v>
      </c>
      <c r="CA5" s="8" t="s">
        <v>199</v>
      </c>
      <c r="CB5" s="8" t="s">
        <v>200</v>
      </c>
      <c r="CC5" s="8" t="s">
        <v>201</v>
      </c>
      <c r="CD5" s="8" t="s">
        <v>202</v>
      </c>
      <c r="CE5" s="8" t="s">
        <v>203</v>
      </c>
      <c r="CF5" s="8" t="s">
        <v>204</v>
      </c>
      <c r="CG5" s="8" t="s">
        <v>422</v>
      </c>
      <c r="CH5" s="8" t="s">
        <v>423</v>
      </c>
      <c r="CI5" s="8" t="s">
        <v>424</v>
      </c>
      <c r="CJ5" s="8" t="s">
        <v>425</v>
      </c>
      <c r="CK5" s="8" t="s">
        <v>426</v>
      </c>
      <c r="CL5" s="8" t="s">
        <v>427</v>
      </c>
      <c r="CM5" s="8" t="s">
        <v>428</v>
      </c>
      <c r="CN5" s="8" t="s">
        <v>429</v>
      </c>
      <c r="CO5" s="8" t="s">
        <v>430</v>
      </c>
      <c r="CP5" s="8" t="s">
        <v>431</v>
      </c>
      <c r="CQ5" s="8" t="s">
        <v>432</v>
      </c>
      <c r="CR5" s="8" t="s">
        <v>206</v>
      </c>
      <c r="CS5" s="8" t="s">
        <v>207</v>
      </c>
      <c r="CT5" s="8" t="s">
        <v>208</v>
      </c>
      <c r="CU5" s="8" t="s">
        <v>209</v>
      </c>
      <c r="CV5" s="8" t="s">
        <v>433</v>
      </c>
      <c r="CW5" s="8" t="s">
        <v>109</v>
      </c>
      <c r="CX5" s="8" t="s">
        <v>110</v>
      </c>
      <c r="CY5" s="8" t="s">
        <v>224</v>
      </c>
      <c r="CZ5" s="8" t="s">
        <v>225</v>
      </c>
      <c r="DA5" s="8" t="s">
        <v>434</v>
      </c>
      <c r="DB5" s="8" t="s">
        <v>115</v>
      </c>
      <c r="DC5" s="8" t="s">
        <v>435</v>
      </c>
    </row>
    <row r="6" customFormat="false" ht="15" hidden="false" customHeight="false" outlineLevel="0" collapsed="false">
      <c r="A6" s="4" t="str">
        <f aca="false">Use_Library!$A$5</f>
        <v>Homesites (stick-built, for sale)</v>
      </c>
      <c r="B6" s="9" t="str">
        <f aca="false">Use_Library!$C$5</f>
        <v>For-Sale</v>
      </c>
      <c r="C6" s="9" t="str">
        <f aca="false">Use_Library!$D$5</f>
        <v>lot / home</v>
      </c>
      <c r="D6" s="14" t="n">
        <f aca="false">MAX(0,Parcel!$C$26*(1-Use_Library!$N$5-Assumptions!$C$7))</f>
        <v>14.196</v>
      </c>
      <c r="E6" s="14" t="n">
        <f aca="false">IF(Use_Library!$M$5&gt;0,MIN(D6,Use_Library!$M$5),D6)</f>
        <v>14.196</v>
      </c>
      <c r="F6" s="20" t="n">
        <f aca="false">IF(D6=0,0,E6/D6)</f>
        <v>1</v>
      </c>
      <c r="G6" s="14" t="n">
        <f aca="false">Parcel!$C$26*F6</f>
        <v>15.6</v>
      </c>
      <c r="H6" s="14" t="n">
        <f aca="false">G6*Assumptions!$C$7</f>
        <v>0.624</v>
      </c>
      <c r="I6" s="14" t="n">
        <f aca="false">G6*(1-Use_Library!$N$5)</f>
        <v>14.82</v>
      </c>
      <c r="J6" s="14" t="n">
        <f aca="false">Parcel!$C$8*(1-F6)</f>
        <v>0</v>
      </c>
      <c r="K6" s="15" t="n">
        <f aca="false">IF(AND(Use_Library!$I$5="Y",Parcel!$C$28=0),0,1)</f>
        <v>1</v>
      </c>
      <c r="L6" s="15" t="n">
        <f aca="false">IF(AND(Use_Library!$J$5="Y",Parcel!$C$27=0),0,1)</f>
        <v>1</v>
      </c>
      <c r="M6" s="9" t="str">
        <f aca="false">TRIM(IF(AND(Use_Library!$AN$5&gt;0,Parcel!$C$19&lt;Use_Library!$AN$5),"Traffic under "&amp;TEXT(Use_Library!$AN$5,"#,##0")&amp;" VPD. ","")&amp;IF(AND(Use_Library!$AO$5&gt;0,Parcel!$C$20&lt;Use_Library!$AO$5),"Under "&amp;TEXT(Use_Library!$AO$5,"#,##0")&amp;" households in 3 mi. ","")&amp;IF(AND(Use_Library!$AP$5&gt;0,Parcel!$C$21&gt;Use_Library!$AP$5),"Over "&amp;Use_Library!$AP$5&amp;" mi to highway. ","")&amp;IF(AND(Use_Library!$AQ$5="Y",Parcel!$C$22&lt;&gt;"Y"),"Needs a corner. ","")&amp;IF(AND(Use_Library!$AR$5&gt;0,Parcel!$C$23&gt;Use_Library!$AR$5),"Over "&amp;Use_Library!$AR$5&amp;" mi to substation. ",""))</f>
        <v/>
      </c>
      <c r="N6" s="15" t="n">
        <f aca="false">IF(M6="",1,0)</f>
        <v>1</v>
      </c>
      <c r="O6" s="15" t="n">
        <f aca="false">IF(D6&gt;=Use_Library!$L$5,1,0)</f>
        <v>1</v>
      </c>
      <c r="P6" s="14" t="n">
        <f aca="false">IF(Use_Library!$F$5&gt;0,G6*Use_Library!$F$5,1000000000)</f>
        <v>62.4</v>
      </c>
      <c r="Q6" s="14" t="n">
        <f aca="false">IF(Use_Library!$G$5&gt;0,E6*43560/Use_Library!$G$5,1000000000)</f>
        <v>1000000000</v>
      </c>
      <c r="R6" s="14" t="n">
        <f aca="false">IF(AND(Use_Library!$H$5="Y",Parcel!$C$28=0),E6*(1-Assumptions!$C$8)/IF(Parcel!$C$27=1,Assumptions!$C$9,Assumptions!$C$10),1000000000)</f>
        <v>24.1332</v>
      </c>
      <c r="S6" s="21" t="n">
        <f aca="false">IF(K6*L6*O6*N6=0,0,IF(MIN(P6,Q6,R6)&gt;=1000000000,E6,IF(Use_Library!$E$5="Y",INT(MIN(P6,Q6,R6)),MIN(P6,Q6,R6))))</f>
        <v>24</v>
      </c>
      <c r="T6" s="9" t="str">
        <f aca="false">IF(N6=0,"Location fails",IF(O6=0,"Too small - needs "&amp;Use_Library!$L$5&amp;" usable ac",IF(K6=0,"Needs public sewer",IF(L6=0,"Needs public water",IF(R6&lt;=MIN(P6,Q6),"Septic lot size",IF(Q6&lt;=P6,"Site area / parking","Density"))))))</f>
        <v>Septic lot size</v>
      </c>
      <c r="U6" s="15" t="n">
        <f aca="false">IF(S6&gt;0,1,0)</f>
        <v>1</v>
      </c>
      <c r="V6" s="15" t="n">
        <f aca="false">IF(Use_Library!$K$5="Y",1,0)*U6</f>
        <v>1</v>
      </c>
      <c r="W6" s="15" t="n">
        <f aca="false">S6*Use_Library!$O$5*V6</f>
        <v>1200</v>
      </c>
      <c r="X6" s="15" t="n">
        <f aca="false">S6*Use_Library!$P$5*V6</f>
        <v>0</v>
      </c>
      <c r="Y6" s="15" t="n">
        <f aca="false">IF(Parcel!$C$27=1,W6+Parcel!$C$29,0)*V6</f>
        <v>1200</v>
      </c>
      <c r="Z6" s="14" t="n">
        <f aca="false">S6*Use_Library!$Q$5*Parcel!$C$27*V6</f>
        <v>24</v>
      </c>
      <c r="AA6" s="15" t="n">
        <f aca="false">IF(Parcel!$C$28=1,W6+Parcel!$C$30,0)*V6</f>
        <v>0</v>
      </c>
      <c r="AB6" s="14" t="n">
        <f aca="false">S6*Use_Library!$Q$5*Parcel!$C$28*V6</f>
        <v>0</v>
      </c>
      <c r="AC6" s="14" t="n">
        <f aca="false">IF(Parcel!$C$28=0,S6*Use_Library!$R$5,0)*V6</f>
        <v>24</v>
      </c>
      <c r="AD6" s="14" t="n">
        <f aca="false">IF(Parcel!$C$27=0,S6*Use_Library!$R$5,0)*V6</f>
        <v>0</v>
      </c>
      <c r="AE6" s="14" t="n">
        <f aca="false">I6*Parcel!$C$11*V6</f>
        <v>5.187</v>
      </c>
      <c r="AF6" s="14" t="n">
        <f aca="false">I6*V6</f>
        <v>14.82</v>
      </c>
      <c r="AG6" s="15" t="n">
        <f aca="false">IF(Use_Library!$C$5="For-Sale",IF(Use_Library!$E$5="Y",S6,1),1)*U6</f>
        <v>24</v>
      </c>
      <c r="AH6" s="19" t="n">
        <f aca="false">Cost_Library!$G$5*Parcel!$C$32*U6</f>
        <v>6500</v>
      </c>
      <c r="AI6" s="19" t="n">
        <f aca="false">AG6*Cost_Library!$G$6*Parcel!$C$32</f>
        <v>21600</v>
      </c>
      <c r="AJ6" s="19" t="n">
        <f aca="false">I6*Cost_Library!$G$7*Parcel!$C$32*V6</f>
        <v>74100</v>
      </c>
      <c r="AK6" s="19" t="n">
        <f aca="false">Cost_Library!$G$8*Parcel!$C$32*V6</f>
        <v>5000</v>
      </c>
      <c r="AL6" s="19" t="n">
        <f aca="false">AC6*Cost_Library!$G$9*Parcel!$C$32</f>
        <v>12000</v>
      </c>
      <c r="AM6" s="19" t="n">
        <f aca="false">Cost_Library!$G$10*U6</f>
        <v>2800</v>
      </c>
      <c r="AN6" s="19" t="n">
        <f aca="false">Cost_Library!$G$11*Parcel!$C$32*V6</f>
        <v>7500</v>
      </c>
      <c r="AO6" s="19" t="n">
        <f aca="false">Use_Library!$S$5*U6</f>
        <v>25000</v>
      </c>
      <c r="AP6" s="19" t="n">
        <f aca="false">Cost_Library!$G$12*U6</f>
        <v>10000</v>
      </c>
      <c r="AQ6" s="19" t="n">
        <f aca="false">AE6*Cost_Library!$G$13*Parcel!$C$32</f>
        <v>20748</v>
      </c>
      <c r="AR6" s="19" t="n">
        <f aca="false">AF6*Cost_Library!$G$14*Parcel!$C$32*Parcel!$C$33</f>
        <v>74100</v>
      </c>
      <c r="AS6" s="19" t="n">
        <f aca="false">W6*Cost_Library!$G$15*Parcel!$C$32</f>
        <v>180000</v>
      </c>
      <c r="AT6" s="19" t="n">
        <f aca="false">X6*Cost_Library!$G$16*Parcel!$C$32</f>
        <v>0</v>
      </c>
      <c r="AU6" s="19" t="n">
        <f aca="false">H6*Cost_Library!$G$17*Parcel!$C$32*V6</f>
        <v>34320</v>
      </c>
      <c r="AV6" s="19" t="n">
        <f aca="false">G6*Cost_Library!$G$18*Parcel!$C$32*V6</f>
        <v>10920</v>
      </c>
      <c r="AW6" s="19" t="n">
        <f aca="false">Y6*Cost_Library!$G$19*Parcel!$C$32</f>
        <v>60000</v>
      </c>
      <c r="AX6" s="19" t="n">
        <f aca="false">Z6*Cost_Library!$G$20</f>
        <v>60000</v>
      </c>
      <c r="AY6" s="19" t="n">
        <f aca="false">AA6*Cost_Library!$G$21*Parcel!$C$32</f>
        <v>0</v>
      </c>
      <c r="AZ6" s="19" t="n">
        <f aca="false">AB6*Cost_Library!$G$22</f>
        <v>0</v>
      </c>
      <c r="BA6" s="19" t="n">
        <f aca="false">AC6*Cost_Library!$G$23*Parcel!$C$32*Parcel!$C$34</f>
        <v>316800</v>
      </c>
      <c r="BB6" s="19" t="n">
        <f aca="false">AD6*Cost_Library!$G$24*Parcel!$C$32</f>
        <v>0</v>
      </c>
      <c r="BC6" s="19" t="n">
        <f aca="false">W6*Cost_Library!$G$25*Parcel!$C$32</f>
        <v>30000</v>
      </c>
      <c r="BD6" s="19" t="n">
        <f aca="false">SUM(AH6:BC6)</f>
        <v>951388</v>
      </c>
      <c r="BE6" s="19" t="n">
        <f aca="false">BD6*Assumptions!$C$11</f>
        <v>95138.8</v>
      </c>
      <c r="BF6" s="19" t="n">
        <f aca="false">BD6+BE6</f>
        <v>1046526.8</v>
      </c>
      <c r="BG6" s="19" t="n">
        <f aca="false">S6*Use_Library!$T$5</f>
        <v>5880000</v>
      </c>
      <c r="BH6" s="19" t="n">
        <f aca="false">BG6*(Assumptions!$C$12+Assumptions!$C$13)</f>
        <v>764400</v>
      </c>
      <c r="BI6" s="19" t="n">
        <f aca="false">S6*Use_Library!$AC$5</f>
        <v>0</v>
      </c>
      <c r="BJ6" s="23" t="n">
        <f aca="false">1+Assumptions!$C$14+Assumptions!$C$15*Use_Library!$AH$5/12</f>
        <v>1.045</v>
      </c>
      <c r="BK6" s="23" t="n">
        <f aca="false">1+Assumptions!$C$21*(Assumptions!$C$22*Use_Library!$AH$5/12*Assumptions!$C$24+Assumptions!$C$23)</f>
        <v>1.038675</v>
      </c>
      <c r="BL6" s="23" t="n">
        <f aca="false">1+Assumptions!$C$21*(Assumptions!$C$22*(Use_Library!$AH$5/12*Assumptions!$C$24+IF(Use_Library!$C$5="Income",Use_Library!$AD$5,0)/12*Assumptions!$C$25)+Assumptions!$C$23)</f>
        <v>1.038675</v>
      </c>
      <c r="BM6" s="19" t="n">
        <f aca="false">J6*Assumptions!$C$31*(1-Assumptions!$C$17)*U6</f>
        <v>0</v>
      </c>
      <c r="BN6" s="19" t="n">
        <f aca="false">IF(Use_Library!$AJ$5=1,IF(Use_Library!$C$5="For-Sale",S6*Use_Library!$U$5,E6*Use_Library!$AF$5)*(1-Assumptions!$C$17)+BM6,0)*U6</f>
        <v>1843200</v>
      </c>
      <c r="BO6" s="19" t="n">
        <f aca="false">(BD6-AT6)*(1+Assumptions!$C$11)</f>
        <v>1046526.8</v>
      </c>
      <c r="BP6" s="23" t="n">
        <f aca="false">BJ6*BK6</f>
        <v>1.085415375</v>
      </c>
      <c r="BQ6" s="19" t="n">
        <f aca="false">(Parcel!$C$18*BJ6+BO6)*BK6</f>
        <v>1412625.83649</v>
      </c>
      <c r="BR6" s="19" t="n">
        <f aca="false">BN6-BQ6</f>
        <v>430574.16351</v>
      </c>
      <c r="BS6" s="32" t="n">
        <f aca="false">IF(AND(Use_Library!$AJ$5=1,U6=1),MAX(0,((1-Use_Library!$AI$5)*BN6-BO6*BK6)/BP6),0)</f>
        <v>441967.920354915</v>
      </c>
      <c r="BT6" s="19" t="n">
        <f aca="false">BF6+BG6+BH6+BI6</f>
        <v>7690926.8</v>
      </c>
      <c r="BU6" s="23" t="n">
        <f aca="false">BJ6*BL6</f>
        <v>1.085415375</v>
      </c>
      <c r="BV6" s="19" t="n">
        <f aca="false">(Parcel!$C$18*BJ6+BT6)*BL6</f>
        <v>8313998.00649</v>
      </c>
      <c r="BW6" s="19" t="n">
        <f aca="false">IF(Use_Library!$C$5="Income",S6*Use_Library!$W$5,0)</f>
        <v>0</v>
      </c>
      <c r="BX6" s="19" t="n">
        <f aca="false">BW6*(1+Use_Library!$X$5)*(1-Use_Library!$Y$5)</f>
        <v>0</v>
      </c>
      <c r="BY6" s="19" t="n">
        <f aca="false">IF(Use_Library!$C$5="Income",S6*Use_Library!$Z$5,0)</f>
        <v>0</v>
      </c>
      <c r="BZ6" s="19" t="n">
        <f aca="false">IF(Use_Library!$C$5="Income",Assumptions!$C$19*Assumptions!$C$20*BV6,0)</f>
        <v>0</v>
      </c>
      <c r="CA6" s="19" t="n">
        <f aca="false">BX6*Use_Library!$AA$5</f>
        <v>0</v>
      </c>
      <c r="CB6" s="19" t="n">
        <f aca="false">(BY6+BZ6)*Use_Library!$AB$5</f>
        <v>0</v>
      </c>
      <c r="CC6" s="19" t="n">
        <f aca="false">BX6-BY6-BZ6-CA6+CB6</f>
        <v>0</v>
      </c>
      <c r="CD6" s="19" t="n">
        <f aca="false">IF(AND(Use_Library!$C$5="Income",Use_Library!$AE$5&gt;0),CC6/Use_Library!$AE$5,0)</f>
        <v>0</v>
      </c>
      <c r="CE6" s="24" t="n">
        <f aca="false">IF(Use_Library!$C$5="Income",-Assumptions!$C$19*Assumptions!$C$20*(1-Use_Library!$AB$5)*BU6,0)</f>
        <v>0</v>
      </c>
      <c r="CF6" s="20" t="n">
        <f aca="false">IF(BV6=0,0,CC6/BV6)</f>
        <v>0</v>
      </c>
      <c r="CG6" s="19" t="n">
        <f aca="false">IF(Use_Library!$AK$5=1,IF(Use_Library!$C$5="Income",CD6*(1-Assumptions!$C$18),S6*Use_Library!$V$5*(1-Assumptions!$C$16))+BM6,0)*U6</f>
        <v>8460000</v>
      </c>
      <c r="CH6" s="24" t="n">
        <f aca="false">IF(AND(Use_Library!$AK$5=1,Use_Library!$C$5="Income",Use_Library!$AE$5&gt;0),CE6/Use_Library!$AE$5*(1-Assumptions!$C$18),0)</f>
        <v>0</v>
      </c>
      <c r="CI6" s="19" t="n">
        <f aca="false">CG6-BV6</f>
        <v>146001.99351</v>
      </c>
      <c r="CJ6" s="32" t="n">
        <f aca="false">IF(AND(Use_Library!$AK$5=1,U6=1),MAX(0,Parcel!$C$18-((1-Use_Library!$AI$5)*CG6-BV6)/((1-Use_Library!$AI$5)*CH6-BU6)),0)</f>
        <v>0</v>
      </c>
      <c r="CK6" s="19" t="n">
        <f aca="false">IF(Use_Library!$AL$5=1,IF(Use_Library!$C$5="Income",CD6,IF(Use_Library!$AE$5&gt;0,E6*Use_Library!$AG$5/Use_Library!$AE$5,0))+BM6,0)*U6</f>
        <v>0</v>
      </c>
      <c r="CL6" s="19" t="n">
        <f aca="false">IF(Use_Library!$C$5="Income",BT6,BF6)</f>
        <v>1046526.8</v>
      </c>
      <c r="CM6" s="23" t="n">
        <f aca="false">IF(Use_Library!$C$5="Income",BU6,BJ6*BK6)</f>
        <v>1.085415375</v>
      </c>
      <c r="CN6" s="19" t="n">
        <f aca="false">IF(Use_Library!$C$5="Income",BV6,(Parcel!$C$18*BJ6+BF6)*BK6)</f>
        <v>1412625.83649</v>
      </c>
      <c r="CO6" s="24" t="n">
        <f aca="false">IF(AND(Use_Library!$AL$5=1,Use_Library!$C$5="Income",Use_Library!$AE$5&gt;0),CE6/Use_Library!$AE$5,0)</f>
        <v>0</v>
      </c>
      <c r="CP6" s="19" t="n">
        <f aca="false">CK6-CN6</f>
        <v>-1412625.83649</v>
      </c>
      <c r="CQ6" s="32" t="n">
        <f aca="false">IF(AND(Use_Library!$AL$5=1,U6=1),MAX(0,Parcel!$C$18-((1-Use_Library!$AI$5)*CK6-CN6)/((1-Use_Library!$AI$5)*CO6-CM6)),0)</f>
        <v>0</v>
      </c>
      <c r="CR6" s="19" t="n">
        <f aca="false">IF(Use_Library!$C$5="Income",Assumptions!$C$21*(Parcel!$C$18*BJ6+BT6),0)</f>
        <v>0</v>
      </c>
      <c r="CS6" s="19" t="n">
        <f aca="false">IF(AND(Use_Library!$C$5="Income",CC6&gt;0),MIN(Assumptions!$C$26*CD6,PV(Assumptions!$C$29/12,Assumptions!$C$30*12,-CC6/Assumptions!$C$27/12),CC6/Assumptions!$C$28),0)</f>
        <v>0</v>
      </c>
      <c r="CT6" s="25" t="n">
        <f aca="false">IF(CS6=0,0,CC6/(-PMT(Assumptions!$C$29/12,Assumptions!$C$30*12,CS6)*12))</f>
        <v>0</v>
      </c>
      <c r="CU6" s="19" t="n">
        <f aca="false">CS6-CR6</f>
        <v>0</v>
      </c>
      <c r="CV6" s="18" t="n">
        <f aca="false">MAX(BS6,CJ6,CQ6)</f>
        <v>441967.920354915</v>
      </c>
      <c r="CW6" s="9" t="str">
        <f aca="false">IF(CV6&lt;=0,"None works",IF(BS6=CV6,"Land / pad sale",IF(CJ6=CV6,"Build &amp; sell","Build &amp; hold / lease")))</f>
        <v>Land / pad sale</v>
      </c>
      <c r="CX6" s="19" t="n">
        <f aca="false">CV6*(1-Assumptions!$C$32)</f>
        <v>375672.732301678</v>
      </c>
      <c r="CY6" s="19" t="n">
        <f aca="false">CV6-Parcel!$C$18</f>
        <v>141967.920354915</v>
      </c>
      <c r="CZ6" s="19" t="n">
        <f aca="false">IF(Parcel!$C$8=0,0,CV6/Parcel!$C$8)</f>
        <v>22098.3960177457</v>
      </c>
      <c r="DA6" s="33" t="n">
        <f aca="false">IF(S6=0,0,CV6/S6)</f>
        <v>18415.3300147881</v>
      </c>
      <c r="DB6" s="9" t="str">
        <f aca="false">TRIM(M6&amp;" "&amp;IF(AND(U6=0,N6=1),"Nothing fits. ","")&amp;IF(Parcel!$C$12&lt;Use_Library!$AM$5,"Frontage under "&amp;Use_Library!$AM$5&amp;" LF. ","")&amp;IF(Parcel!$C$10&gt;0.15,"Slope over 15%. ","")&amp;IF(AND(U6=1,Use_Library!$M$5&gt;0,D6&gt;Use_Library!$M$5),"Only "&amp;Use_Library!$M$5&amp;" ac used - rest resold. ",""))</f>
        <v/>
      </c>
      <c r="DC6" s="19" t="n">
        <f aca="false">CV6+ROW()/1000000</f>
        <v>441967.920360915</v>
      </c>
    </row>
    <row r="7" customFormat="false" ht="15" hidden="false" customHeight="false" outlineLevel="0" collapsed="false">
      <c r="A7" s="4" t="str">
        <f aca="false">Use_Library!$A$6</f>
        <v>Finished / entitled lots</v>
      </c>
      <c r="B7" s="9" t="str">
        <f aca="false">Use_Library!$C$6</f>
        <v>For-Sale</v>
      </c>
      <c r="C7" s="9" t="str">
        <f aca="false">Use_Library!$D$6</f>
        <v>lot</v>
      </c>
      <c r="D7" s="14" t="n">
        <f aca="false">MAX(0,Parcel!$C$26*(1-Use_Library!$N$6-Assumptions!$C$7))</f>
        <v>14.196</v>
      </c>
      <c r="E7" s="14" t="n">
        <f aca="false">IF(Use_Library!$M$6&gt;0,MIN(D7,Use_Library!$M$6),D7)</f>
        <v>14.196</v>
      </c>
      <c r="F7" s="20" t="n">
        <f aca="false">IF(D7=0,0,E7/D7)</f>
        <v>1</v>
      </c>
      <c r="G7" s="14" t="n">
        <f aca="false">Parcel!$C$26*F7</f>
        <v>15.6</v>
      </c>
      <c r="H7" s="14" t="n">
        <f aca="false">G7*Assumptions!$C$7</f>
        <v>0.624</v>
      </c>
      <c r="I7" s="14" t="n">
        <f aca="false">G7*(1-Use_Library!$N$6)</f>
        <v>14.82</v>
      </c>
      <c r="J7" s="14" t="n">
        <f aca="false">Parcel!$C$8*(1-F7)</f>
        <v>0</v>
      </c>
      <c r="K7" s="15" t="n">
        <f aca="false">IF(AND(Use_Library!$I$6="Y",Parcel!$C$28=0),0,1)</f>
        <v>1</v>
      </c>
      <c r="L7" s="15" t="n">
        <f aca="false">IF(AND(Use_Library!$J$6="Y",Parcel!$C$27=0),0,1)</f>
        <v>1</v>
      </c>
      <c r="M7" s="9" t="str">
        <f aca="false">TRIM(IF(AND(Use_Library!$AN$6&gt;0,Parcel!$C$19&lt;Use_Library!$AN$6),"Traffic under "&amp;TEXT(Use_Library!$AN$6,"#,##0")&amp;" VPD. ","")&amp;IF(AND(Use_Library!$AO$6&gt;0,Parcel!$C$20&lt;Use_Library!$AO$6),"Under "&amp;TEXT(Use_Library!$AO$6,"#,##0")&amp;" households in 3 mi. ","")&amp;IF(AND(Use_Library!$AP$6&gt;0,Parcel!$C$21&gt;Use_Library!$AP$6),"Over "&amp;Use_Library!$AP$6&amp;" mi to highway. ","")&amp;IF(AND(Use_Library!$AQ$6="Y",Parcel!$C$22&lt;&gt;"Y"),"Needs a corner. ","")&amp;IF(AND(Use_Library!$AR$6&gt;0,Parcel!$C$23&gt;Use_Library!$AR$6),"Over "&amp;Use_Library!$AR$6&amp;" mi to substation. ",""))</f>
        <v/>
      </c>
      <c r="N7" s="15" t="n">
        <f aca="false">IF(M7="",1,0)</f>
        <v>1</v>
      </c>
      <c r="O7" s="15" t="n">
        <f aca="false">IF(D7&gt;=Use_Library!$L$6,1,0)</f>
        <v>1</v>
      </c>
      <c r="P7" s="14" t="n">
        <f aca="false">IF(Use_Library!$F$6&gt;0,G7*Use_Library!$F$6,1000000000)</f>
        <v>62.4</v>
      </c>
      <c r="Q7" s="14" t="n">
        <f aca="false">IF(Use_Library!$G$6&gt;0,E7*43560/Use_Library!$G$6,1000000000)</f>
        <v>1000000000</v>
      </c>
      <c r="R7" s="14" t="n">
        <f aca="false">IF(AND(Use_Library!$H$6="Y",Parcel!$C$28=0),E7*(1-Assumptions!$C$8)/IF(Parcel!$C$27=1,Assumptions!$C$9,Assumptions!$C$10),1000000000)</f>
        <v>24.1332</v>
      </c>
      <c r="S7" s="21" t="n">
        <f aca="false">IF(K7*L7*O7*N7=0,0,IF(MIN(P7,Q7,R7)&gt;=1000000000,E7,IF(Use_Library!$E$6="Y",INT(MIN(P7,Q7,R7)),MIN(P7,Q7,R7))))</f>
        <v>24</v>
      </c>
      <c r="T7" s="9" t="str">
        <f aca="false">IF(N7=0,"Location fails",IF(O7=0,"Too small - needs "&amp;Use_Library!$L$6&amp;" usable ac",IF(K7=0,"Needs public sewer",IF(L7=0,"Needs public water",IF(R7&lt;=MIN(P7,Q7),"Septic lot size",IF(Q7&lt;=P7,"Site area / parking","Density"))))))</f>
        <v>Septic lot size</v>
      </c>
      <c r="U7" s="15" t="n">
        <f aca="false">IF(S7&gt;0,1,0)</f>
        <v>1</v>
      </c>
      <c r="V7" s="15" t="n">
        <f aca="false">IF(Use_Library!$K$6="Y",1,0)*U7</f>
        <v>1</v>
      </c>
      <c r="W7" s="15" t="n">
        <f aca="false">S7*Use_Library!$O$6*V7</f>
        <v>1200</v>
      </c>
      <c r="X7" s="15" t="n">
        <f aca="false">S7*Use_Library!$P$6*V7</f>
        <v>0</v>
      </c>
      <c r="Y7" s="15" t="n">
        <f aca="false">IF(Parcel!$C$27=1,W7+Parcel!$C$29,0)*V7</f>
        <v>1200</v>
      </c>
      <c r="Z7" s="14" t="n">
        <f aca="false">S7*Use_Library!$Q$6*Parcel!$C$27*V7</f>
        <v>24</v>
      </c>
      <c r="AA7" s="15" t="n">
        <f aca="false">IF(Parcel!$C$28=1,W7+Parcel!$C$30,0)*V7</f>
        <v>0</v>
      </c>
      <c r="AB7" s="14" t="n">
        <f aca="false">S7*Use_Library!$Q$6*Parcel!$C$28*V7</f>
        <v>0</v>
      </c>
      <c r="AC7" s="14" t="n">
        <f aca="false">IF(Parcel!$C$28=0,S7*Use_Library!$R$6,0)*V7</f>
        <v>24</v>
      </c>
      <c r="AD7" s="14" t="n">
        <f aca="false">IF(Parcel!$C$27=0,S7*Use_Library!$R$6,0)*V7</f>
        <v>0</v>
      </c>
      <c r="AE7" s="14" t="n">
        <f aca="false">I7*Parcel!$C$11*V7</f>
        <v>5.187</v>
      </c>
      <c r="AF7" s="14" t="n">
        <f aca="false">I7*V7</f>
        <v>14.82</v>
      </c>
      <c r="AG7" s="15" t="n">
        <f aca="false">IF(Use_Library!$C$6="For-Sale",IF(Use_Library!$E$6="Y",S7,1),1)*U7</f>
        <v>24</v>
      </c>
      <c r="AH7" s="19" t="n">
        <f aca="false">Cost_Library!$G$5*Parcel!$C$32*U7</f>
        <v>6500</v>
      </c>
      <c r="AI7" s="19" t="n">
        <f aca="false">AG7*Cost_Library!$G$6*Parcel!$C$32</f>
        <v>21600</v>
      </c>
      <c r="AJ7" s="19" t="n">
        <f aca="false">I7*Cost_Library!$G$7*Parcel!$C$32*V7</f>
        <v>74100</v>
      </c>
      <c r="AK7" s="19" t="n">
        <f aca="false">Cost_Library!$G$8*Parcel!$C$32*V7</f>
        <v>5000</v>
      </c>
      <c r="AL7" s="19" t="n">
        <f aca="false">AC7*Cost_Library!$G$9*Parcel!$C$32</f>
        <v>12000</v>
      </c>
      <c r="AM7" s="19" t="n">
        <f aca="false">Cost_Library!$G$10*U7</f>
        <v>2800</v>
      </c>
      <c r="AN7" s="19" t="n">
        <f aca="false">Cost_Library!$G$11*Parcel!$C$32*V7</f>
        <v>7500</v>
      </c>
      <c r="AO7" s="19" t="n">
        <f aca="false">Use_Library!$S$6*U7</f>
        <v>25000</v>
      </c>
      <c r="AP7" s="19" t="n">
        <f aca="false">Cost_Library!$G$12*U7</f>
        <v>10000</v>
      </c>
      <c r="AQ7" s="19" t="n">
        <f aca="false">AE7*Cost_Library!$G$13*Parcel!$C$32</f>
        <v>20748</v>
      </c>
      <c r="AR7" s="19" t="n">
        <f aca="false">AF7*Cost_Library!$G$14*Parcel!$C$32*Parcel!$C$33</f>
        <v>74100</v>
      </c>
      <c r="AS7" s="19" t="n">
        <f aca="false">W7*Cost_Library!$G$15*Parcel!$C$32</f>
        <v>180000</v>
      </c>
      <c r="AT7" s="19" t="n">
        <f aca="false">X7*Cost_Library!$G$16*Parcel!$C$32</f>
        <v>0</v>
      </c>
      <c r="AU7" s="19" t="n">
        <f aca="false">H7*Cost_Library!$G$17*Parcel!$C$32*V7</f>
        <v>34320</v>
      </c>
      <c r="AV7" s="19" t="n">
        <f aca="false">G7*Cost_Library!$G$18*Parcel!$C$32*V7</f>
        <v>10920</v>
      </c>
      <c r="AW7" s="19" t="n">
        <f aca="false">Y7*Cost_Library!$G$19*Parcel!$C$32</f>
        <v>60000</v>
      </c>
      <c r="AX7" s="19" t="n">
        <f aca="false">Z7*Cost_Library!$G$20</f>
        <v>60000</v>
      </c>
      <c r="AY7" s="19" t="n">
        <f aca="false">AA7*Cost_Library!$G$21*Parcel!$C$32</f>
        <v>0</v>
      </c>
      <c r="AZ7" s="19" t="n">
        <f aca="false">AB7*Cost_Library!$G$22</f>
        <v>0</v>
      </c>
      <c r="BA7" s="19" t="n">
        <f aca="false">AC7*Cost_Library!$G$23*Parcel!$C$32*Parcel!$C$34</f>
        <v>316800</v>
      </c>
      <c r="BB7" s="19" t="n">
        <f aca="false">AD7*Cost_Library!$G$24*Parcel!$C$32</f>
        <v>0</v>
      </c>
      <c r="BC7" s="19" t="n">
        <f aca="false">W7*Cost_Library!$G$25*Parcel!$C$32</f>
        <v>30000</v>
      </c>
      <c r="BD7" s="19" t="n">
        <f aca="false">SUM(AH7:BC7)</f>
        <v>951388</v>
      </c>
      <c r="BE7" s="19" t="n">
        <f aca="false">BD7*Assumptions!$C$11</f>
        <v>95138.8</v>
      </c>
      <c r="BF7" s="19" t="n">
        <f aca="false">BD7+BE7</f>
        <v>1046526.8</v>
      </c>
      <c r="BG7" s="19" t="n">
        <f aca="false">S7*Use_Library!$T$6</f>
        <v>0</v>
      </c>
      <c r="BH7" s="19" t="n">
        <f aca="false">BG7*(Assumptions!$C$12+Assumptions!$C$13)</f>
        <v>0</v>
      </c>
      <c r="BI7" s="19" t="n">
        <f aca="false">S7*Use_Library!$AC$6</f>
        <v>0</v>
      </c>
      <c r="BJ7" s="23" t="n">
        <f aca="false">1+Assumptions!$C$14+Assumptions!$C$15*Use_Library!$AH$6/12</f>
        <v>1.045</v>
      </c>
      <c r="BK7" s="23" t="n">
        <f aca="false">1+Assumptions!$C$21*(Assumptions!$C$22*Use_Library!$AH$6/12*Assumptions!$C$24+Assumptions!$C$23)</f>
        <v>1.038675</v>
      </c>
      <c r="BL7" s="23" t="n">
        <f aca="false">1+Assumptions!$C$21*(Assumptions!$C$22*(Use_Library!$AH$6/12*Assumptions!$C$24+IF(Use_Library!$C$6="Income",Use_Library!$AD$6,0)/12*Assumptions!$C$25)+Assumptions!$C$23)</f>
        <v>1.038675</v>
      </c>
      <c r="BM7" s="19" t="n">
        <f aca="false">J7*Assumptions!$C$31*(1-Assumptions!$C$17)*U7</f>
        <v>0</v>
      </c>
      <c r="BN7" s="19" t="n">
        <f aca="false">IF(Use_Library!$AJ$6=1,IF(Use_Library!$C$6="For-Sale",S7*Use_Library!$U$6,E7*Use_Library!$AF$6)*(1-Assumptions!$C$17)+BM7,0)*U7</f>
        <v>1728000</v>
      </c>
      <c r="BO7" s="19" t="n">
        <f aca="false">(BD7-AT7)*(1+Assumptions!$C$11)</f>
        <v>1046526.8</v>
      </c>
      <c r="BP7" s="23" t="n">
        <f aca="false">BJ7*BK7</f>
        <v>1.085415375</v>
      </c>
      <c r="BQ7" s="19" t="n">
        <f aca="false">(Parcel!$C$18*BJ7+BO7)*BK7</f>
        <v>1412625.83649</v>
      </c>
      <c r="BR7" s="19" t="n">
        <f aca="false">BN7-BQ7</f>
        <v>315374.16351</v>
      </c>
      <c r="BS7" s="32" t="n">
        <f aca="false">IF(AND(Use_Library!$AJ$6=1,U7=1),MAX(0,((1-Use_Library!$AI$6)*BN7-BO7*BK7)/BP7),0)</f>
        <v>351753.609543259</v>
      </c>
      <c r="BT7" s="19" t="n">
        <f aca="false">BF7+BG7+BH7+BI7</f>
        <v>1046526.8</v>
      </c>
      <c r="BU7" s="23" t="n">
        <f aca="false">BJ7*BL7</f>
        <v>1.085415375</v>
      </c>
      <c r="BV7" s="19" t="n">
        <f aca="false">(Parcel!$C$18*BJ7+BT7)*BL7</f>
        <v>1412625.83649</v>
      </c>
      <c r="BW7" s="19" t="n">
        <f aca="false">IF(Use_Library!$C$6="Income",S7*Use_Library!$W$6,0)</f>
        <v>0</v>
      </c>
      <c r="BX7" s="19" t="n">
        <f aca="false">BW7*(1+Use_Library!$X$6)*(1-Use_Library!$Y$6)</f>
        <v>0</v>
      </c>
      <c r="BY7" s="19" t="n">
        <f aca="false">IF(Use_Library!$C$6="Income",S7*Use_Library!$Z$6,0)</f>
        <v>0</v>
      </c>
      <c r="BZ7" s="19" t="n">
        <f aca="false">IF(Use_Library!$C$6="Income",Assumptions!$C$19*Assumptions!$C$20*BV7,0)</f>
        <v>0</v>
      </c>
      <c r="CA7" s="19" t="n">
        <f aca="false">BX7*Use_Library!$AA$6</f>
        <v>0</v>
      </c>
      <c r="CB7" s="19" t="n">
        <f aca="false">(BY7+BZ7)*Use_Library!$AB$6</f>
        <v>0</v>
      </c>
      <c r="CC7" s="19" t="n">
        <f aca="false">BX7-BY7-BZ7-CA7+CB7</f>
        <v>0</v>
      </c>
      <c r="CD7" s="19" t="n">
        <f aca="false">IF(AND(Use_Library!$C$6="Income",Use_Library!$AE$6&gt;0),CC7/Use_Library!$AE$6,0)</f>
        <v>0</v>
      </c>
      <c r="CE7" s="24" t="n">
        <f aca="false">IF(Use_Library!$C$6="Income",-Assumptions!$C$19*Assumptions!$C$20*(1-Use_Library!$AB$6)*BU7,0)</f>
        <v>0</v>
      </c>
      <c r="CF7" s="20" t="n">
        <f aca="false">IF(BV7=0,0,CC7/BV7)</f>
        <v>0</v>
      </c>
      <c r="CG7" s="19" t="n">
        <f aca="false">IF(Use_Library!$AK$6=1,IF(Use_Library!$C$6="Income",CD7*(1-Assumptions!$C$18),S7*Use_Library!$V$6*(1-Assumptions!$C$16))+BM7,0)*U7</f>
        <v>0</v>
      </c>
      <c r="CH7" s="24" t="n">
        <f aca="false">IF(AND(Use_Library!$AK$6=1,Use_Library!$C$6="Income",Use_Library!$AE$6&gt;0),CE7/Use_Library!$AE$6*(1-Assumptions!$C$18),0)</f>
        <v>0</v>
      </c>
      <c r="CI7" s="19" t="n">
        <f aca="false">CG7-BV7</f>
        <v>-1412625.83649</v>
      </c>
      <c r="CJ7" s="32" t="n">
        <f aca="false">IF(AND(Use_Library!$AK$6=1,U7=1),MAX(0,Parcel!$C$18-((1-Use_Library!$AI$6)*CG7-BV7)/((1-Use_Library!$AI$6)*CH7-BU7)),0)</f>
        <v>0</v>
      </c>
      <c r="CK7" s="19" t="n">
        <f aca="false">IF(Use_Library!$AL$6=1,IF(Use_Library!$C$6="Income",CD7,IF(Use_Library!$AE$6&gt;0,E7*Use_Library!$AG$6/Use_Library!$AE$6,0))+BM7,0)*U7</f>
        <v>0</v>
      </c>
      <c r="CL7" s="19" t="n">
        <f aca="false">IF(Use_Library!$C$6="Income",BT7,BF7)</f>
        <v>1046526.8</v>
      </c>
      <c r="CM7" s="23" t="n">
        <f aca="false">IF(Use_Library!$C$6="Income",BU7,BJ7*BK7)</f>
        <v>1.085415375</v>
      </c>
      <c r="CN7" s="19" t="n">
        <f aca="false">IF(Use_Library!$C$6="Income",BV7,(Parcel!$C$18*BJ7+BF7)*BK7)</f>
        <v>1412625.83649</v>
      </c>
      <c r="CO7" s="24" t="n">
        <f aca="false">IF(AND(Use_Library!$AL$6=1,Use_Library!$C$6="Income",Use_Library!$AE$6&gt;0),CE7/Use_Library!$AE$6,0)</f>
        <v>0</v>
      </c>
      <c r="CP7" s="19" t="n">
        <f aca="false">CK7-CN7</f>
        <v>-1412625.83649</v>
      </c>
      <c r="CQ7" s="32" t="n">
        <f aca="false">IF(AND(Use_Library!$AL$6=1,U7=1),MAX(0,Parcel!$C$18-((1-Use_Library!$AI$6)*CK7-CN7)/((1-Use_Library!$AI$6)*CO7-CM7)),0)</f>
        <v>0</v>
      </c>
      <c r="CR7" s="19" t="n">
        <f aca="false">IF(Use_Library!$C$6="Income",Assumptions!$C$21*(Parcel!$C$18*BJ7+BT7),0)</f>
        <v>0</v>
      </c>
      <c r="CS7" s="19" t="n">
        <f aca="false">IF(AND(Use_Library!$C$6="Income",CC7&gt;0),MIN(Assumptions!$C$26*CD7,PV(Assumptions!$C$29/12,Assumptions!$C$30*12,-CC7/Assumptions!$C$27/12),CC7/Assumptions!$C$28),0)</f>
        <v>0</v>
      </c>
      <c r="CT7" s="25" t="n">
        <f aca="false">IF(CS7=0,0,CC7/(-PMT(Assumptions!$C$29/12,Assumptions!$C$30*12,CS7)*12))</f>
        <v>0</v>
      </c>
      <c r="CU7" s="19" t="n">
        <f aca="false">CS7-CR7</f>
        <v>0</v>
      </c>
      <c r="CV7" s="18" t="n">
        <f aca="false">MAX(BS7,CJ7,CQ7)</f>
        <v>351753.609543259</v>
      </c>
      <c r="CW7" s="9" t="str">
        <f aca="false">IF(CV7&lt;=0,"None works",IF(BS7=CV7,"Land / pad sale",IF(CJ7=CV7,"Build &amp; sell","Build &amp; hold / lease")))</f>
        <v>Land / pad sale</v>
      </c>
      <c r="CX7" s="19" t="n">
        <f aca="false">CV7*(1-Assumptions!$C$32)</f>
        <v>298990.56811177</v>
      </c>
      <c r="CY7" s="19" t="n">
        <f aca="false">CV7-Parcel!$C$18</f>
        <v>51753.6095432589</v>
      </c>
      <c r="CZ7" s="19" t="n">
        <f aca="false">IF(Parcel!$C$8=0,0,CV7/Parcel!$C$8)</f>
        <v>17587.6804771629</v>
      </c>
      <c r="DA7" s="33" t="n">
        <f aca="false">IF(S7=0,0,CV7/S7)</f>
        <v>14656.4003976358</v>
      </c>
      <c r="DB7" s="9" t="str">
        <f aca="false">TRIM(M7&amp;" "&amp;IF(AND(U7=0,N7=1),"Nothing fits. ","")&amp;IF(Parcel!$C$12&lt;Use_Library!$AM$6,"Frontage under "&amp;Use_Library!$AM$6&amp;" LF. ","")&amp;IF(Parcel!$C$10&gt;0.15,"Slope over 15%. ","")&amp;IF(AND(U7=1,Use_Library!$M$6&gt;0,D7&gt;Use_Library!$M$6),"Only "&amp;Use_Library!$M$6&amp;" ac used - rest resold. ",""))</f>
        <v/>
      </c>
      <c r="DC7" s="19" t="n">
        <f aca="false">CV7+ROW()/1000000</f>
        <v>351753.609550259</v>
      </c>
    </row>
    <row r="8" customFormat="false" ht="15" hidden="false" customHeight="false" outlineLevel="0" collapsed="false">
      <c r="A8" s="4" t="str">
        <f aca="false">Use_Library!$A$7</f>
        <v>Active-adult 55+ (for sale)</v>
      </c>
      <c r="B8" s="9" t="str">
        <f aca="false">Use_Library!$C$7</f>
        <v>For-Sale</v>
      </c>
      <c r="C8" s="9" t="str">
        <f aca="false">Use_Library!$D$7</f>
        <v>lot / home</v>
      </c>
      <c r="D8" s="14" t="n">
        <f aca="false">MAX(0,Parcel!$C$26*(1-Use_Library!$N$7-Assumptions!$C$7))</f>
        <v>14.196</v>
      </c>
      <c r="E8" s="14" t="n">
        <f aca="false">IF(Use_Library!$M$7&gt;0,MIN(D8,Use_Library!$M$7),D8)</f>
        <v>14.196</v>
      </c>
      <c r="F8" s="20" t="n">
        <f aca="false">IF(D8=0,0,E8/D8)</f>
        <v>1</v>
      </c>
      <c r="G8" s="14" t="n">
        <f aca="false">Parcel!$C$26*F8</f>
        <v>15.6</v>
      </c>
      <c r="H8" s="14" t="n">
        <f aca="false">G8*Assumptions!$C$7</f>
        <v>0.624</v>
      </c>
      <c r="I8" s="14" t="n">
        <f aca="false">G8*(1-Use_Library!$N$7)</f>
        <v>14.82</v>
      </c>
      <c r="J8" s="14" t="n">
        <f aca="false">Parcel!$C$8*(1-F8)</f>
        <v>0</v>
      </c>
      <c r="K8" s="15" t="n">
        <f aca="false">IF(AND(Use_Library!$I$7="Y",Parcel!$C$28=0),0,1)</f>
        <v>1</v>
      </c>
      <c r="L8" s="15" t="n">
        <f aca="false">IF(AND(Use_Library!$J$7="Y",Parcel!$C$27=0),0,1)</f>
        <v>1</v>
      </c>
      <c r="M8" s="9" t="str">
        <f aca="false">TRIM(IF(AND(Use_Library!$AN$7&gt;0,Parcel!$C$19&lt;Use_Library!$AN$7),"Traffic under "&amp;TEXT(Use_Library!$AN$7,"#,##0")&amp;" VPD. ","")&amp;IF(AND(Use_Library!$AO$7&gt;0,Parcel!$C$20&lt;Use_Library!$AO$7),"Under "&amp;TEXT(Use_Library!$AO$7,"#,##0")&amp;" households in 3 mi. ","")&amp;IF(AND(Use_Library!$AP$7&gt;0,Parcel!$C$21&gt;Use_Library!$AP$7),"Over "&amp;Use_Library!$AP$7&amp;" mi to highway. ","")&amp;IF(AND(Use_Library!$AQ$7="Y",Parcel!$C$22&lt;&gt;"Y"),"Needs a corner. ","")&amp;IF(AND(Use_Library!$AR$7&gt;0,Parcel!$C$23&gt;Use_Library!$AR$7),"Over "&amp;Use_Library!$AR$7&amp;" mi to substation. ",""))</f>
        <v/>
      </c>
      <c r="N8" s="15" t="n">
        <f aca="false">IF(M8="",1,0)</f>
        <v>1</v>
      </c>
      <c r="O8" s="15" t="n">
        <f aca="false">IF(D8&gt;=Use_Library!$L$7,1,0)</f>
        <v>1</v>
      </c>
      <c r="P8" s="14" t="n">
        <f aca="false">IF(Use_Library!$F$7&gt;0,G8*Use_Library!$F$7,1000000000)</f>
        <v>78</v>
      </c>
      <c r="Q8" s="14" t="n">
        <f aca="false">IF(Use_Library!$G$7&gt;0,E8*43560/Use_Library!$G$7,1000000000)</f>
        <v>1000000000</v>
      </c>
      <c r="R8" s="14" t="n">
        <f aca="false">IF(AND(Use_Library!$H$7="Y",Parcel!$C$28=0),E8*(1-Assumptions!$C$8)/IF(Parcel!$C$27=1,Assumptions!$C$9,Assumptions!$C$10),1000000000)</f>
        <v>24.1332</v>
      </c>
      <c r="S8" s="21" t="n">
        <f aca="false">IF(K8*L8*O8*N8=0,0,IF(MIN(P8,Q8,R8)&gt;=1000000000,E8,IF(Use_Library!$E$7="Y",INT(MIN(P8,Q8,R8)),MIN(P8,Q8,R8))))</f>
        <v>24</v>
      </c>
      <c r="T8" s="9" t="str">
        <f aca="false">IF(N8=0,"Location fails",IF(O8=0,"Too small - needs "&amp;Use_Library!$L$7&amp;" usable ac",IF(K8=0,"Needs public sewer",IF(L8=0,"Needs public water",IF(R8&lt;=MIN(P8,Q8),"Septic lot size",IF(Q8&lt;=P8,"Site area / parking","Density"))))))</f>
        <v>Septic lot size</v>
      </c>
      <c r="U8" s="15" t="n">
        <f aca="false">IF(S8&gt;0,1,0)</f>
        <v>1</v>
      </c>
      <c r="V8" s="15" t="n">
        <f aca="false">IF(Use_Library!$K$7="Y",1,0)*U8</f>
        <v>1</v>
      </c>
      <c r="W8" s="15" t="n">
        <f aca="false">S8*Use_Library!$O$7*V8</f>
        <v>1080</v>
      </c>
      <c r="X8" s="15" t="n">
        <f aca="false">S8*Use_Library!$P$7*V8</f>
        <v>0</v>
      </c>
      <c r="Y8" s="15" t="n">
        <f aca="false">IF(Parcel!$C$27=1,W8+Parcel!$C$29,0)*V8</f>
        <v>1080</v>
      </c>
      <c r="Z8" s="14" t="n">
        <f aca="false">S8*Use_Library!$Q$7*Parcel!$C$27*V8</f>
        <v>24</v>
      </c>
      <c r="AA8" s="15" t="n">
        <f aca="false">IF(Parcel!$C$28=1,W8+Parcel!$C$30,0)*V8</f>
        <v>0</v>
      </c>
      <c r="AB8" s="14" t="n">
        <f aca="false">S8*Use_Library!$Q$7*Parcel!$C$28*V8</f>
        <v>0</v>
      </c>
      <c r="AC8" s="14" t="n">
        <f aca="false">IF(Parcel!$C$28=0,S8*Use_Library!$R$7,0)*V8</f>
        <v>24</v>
      </c>
      <c r="AD8" s="14" t="n">
        <f aca="false">IF(Parcel!$C$27=0,S8*Use_Library!$R$7,0)*V8</f>
        <v>0</v>
      </c>
      <c r="AE8" s="14" t="n">
        <f aca="false">I8*Parcel!$C$11*V8</f>
        <v>5.187</v>
      </c>
      <c r="AF8" s="14" t="n">
        <f aca="false">I8*V8</f>
        <v>14.82</v>
      </c>
      <c r="AG8" s="15" t="n">
        <f aca="false">IF(Use_Library!$C$7="For-Sale",IF(Use_Library!$E$7="Y",S8,1),1)*U8</f>
        <v>24</v>
      </c>
      <c r="AH8" s="19" t="n">
        <f aca="false">Cost_Library!$G$5*Parcel!$C$32*U8</f>
        <v>6500</v>
      </c>
      <c r="AI8" s="19" t="n">
        <f aca="false">AG8*Cost_Library!$G$6*Parcel!$C$32</f>
        <v>21600</v>
      </c>
      <c r="AJ8" s="19" t="n">
        <f aca="false">I8*Cost_Library!$G$7*Parcel!$C$32*V8</f>
        <v>74100</v>
      </c>
      <c r="AK8" s="19" t="n">
        <f aca="false">Cost_Library!$G$8*Parcel!$C$32*V8</f>
        <v>5000</v>
      </c>
      <c r="AL8" s="19" t="n">
        <f aca="false">AC8*Cost_Library!$G$9*Parcel!$C$32</f>
        <v>12000</v>
      </c>
      <c r="AM8" s="19" t="n">
        <f aca="false">Cost_Library!$G$10*U8</f>
        <v>2800</v>
      </c>
      <c r="AN8" s="19" t="n">
        <f aca="false">Cost_Library!$G$11*Parcel!$C$32*V8</f>
        <v>7500</v>
      </c>
      <c r="AO8" s="19" t="n">
        <f aca="false">Use_Library!$S$7*U8</f>
        <v>25000</v>
      </c>
      <c r="AP8" s="19" t="n">
        <f aca="false">Cost_Library!$G$12*U8</f>
        <v>10000</v>
      </c>
      <c r="AQ8" s="19" t="n">
        <f aca="false">AE8*Cost_Library!$G$13*Parcel!$C$32</f>
        <v>20748</v>
      </c>
      <c r="AR8" s="19" t="n">
        <f aca="false">AF8*Cost_Library!$G$14*Parcel!$C$32*Parcel!$C$33</f>
        <v>74100</v>
      </c>
      <c r="AS8" s="19" t="n">
        <f aca="false">W8*Cost_Library!$G$15*Parcel!$C$32</f>
        <v>162000</v>
      </c>
      <c r="AT8" s="19" t="n">
        <f aca="false">X8*Cost_Library!$G$16*Parcel!$C$32</f>
        <v>0</v>
      </c>
      <c r="AU8" s="19" t="n">
        <f aca="false">H8*Cost_Library!$G$17*Parcel!$C$32*V8</f>
        <v>34320</v>
      </c>
      <c r="AV8" s="19" t="n">
        <f aca="false">G8*Cost_Library!$G$18*Parcel!$C$32*V8</f>
        <v>10920</v>
      </c>
      <c r="AW8" s="19" t="n">
        <f aca="false">Y8*Cost_Library!$G$19*Parcel!$C$32</f>
        <v>54000</v>
      </c>
      <c r="AX8" s="19" t="n">
        <f aca="false">Z8*Cost_Library!$G$20</f>
        <v>60000</v>
      </c>
      <c r="AY8" s="19" t="n">
        <f aca="false">AA8*Cost_Library!$G$21*Parcel!$C$32</f>
        <v>0</v>
      </c>
      <c r="AZ8" s="19" t="n">
        <f aca="false">AB8*Cost_Library!$G$22</f>
        <v>0</v>
      </c>
      <c r="BA8" s="19" t="n">
        <f aca="false">AC8*Cost_Library!$G$23*Parcel!$C$32*Parcel!$C$34</f>
        <v>316800</v>
      </c>
      <c r="BB8" s="19" t="n">
        <f aca="false">AD8*Cost_Library!$G$24*Parcel!$C$32</f>
        <v>0</v>
      </c>
      <c r="BC8" s="19" t="n">
        <f aca="false">W8*Cost_Library!$G$25*Parcel!$C$32</f>
        <v>27000</v>
      </c>
      <c r="BD8" s="19" t="n">
        <f aca="false">SUM(AH8:BC8)</f>
        <v>924388</v>
      </c>
      <c r="BE8" s="19" t="n">
        <f aca="false">BD8*Assumptions!$C$11</f>
        <v>92438.8</v>
      </c>
      <c r="BF8" s="19" t="n">
        <f aca="false">BD8+BE8</f>
        <v>1016826.8</v>
      </c>
      <c r="BG8" s="19" t="n">
        <f aca="false">S8*Use_Library!$T$7</f>
        <v>5520000</v>
      </c>
      <c r="BH8" s="19" t="n">
        <f aca="false">BG8*(Assumptions!$C$12+Assumptions!$C$13)</f>
        <v>717600</v>
      </c>
      <c r="BI8" s="19" t="n">
        <f aca="false">S8*Use_Library!$AC$7</f>
        <v>0</v>
      </c>
      <c r="BJ8" s="23" t="n">
        <f aca="false">1+Assumptions!$C$14+Assumptions!$C$15*Use_Library!$AH$7/12</f>
        <v>1.045</v>
      </c>
      <c r="BK8" s="23" t="n">
        <f aca="false">1+Assumptions!$C$21*(Assumptions!$C$22*Use_Library!$AH$7/12*Assumptions!$C$24+Assumptions!$C$23)</f>
        <v>1.038675</v>
      </c>
      <c r="BL8" s="23" t="n">
        <f aca="false">1+Assumptions!$C$21*(Assumptions!$C$22*(Use_Library!$AH$7/12*Assumptions!$C$24+IF(Use_Library!$C$7="Income",Use_Library!$AD$7,0)/12*Assumptions!$C$25)+Assumptions!$C$23)</f>
        <v>1.038675</v>
      </c>
      <c r="BM8" s="19" t="n">
        <f aca="false">J8*Assumptions!$C$31*(1-Assumptions!$C$17)*U8</f>
        <v>0</v>
      </c>
      <c r="BN8" s="19" t="n">
        <f aca="false">IF(Use_Library!$AJ$7=1,IF(Use_Library!$C$7="For-Sale",S8*Use_Library!$U$7,E8*Use_Library!$AF$7)*(1-Assumptions!$C$17)+BM8,0)*U8</f>
        <v>1612800</v>
      </c>
      <c r="BO8" s="19" t="n">
        <f aca="false">(BD8-AT8)*(1+Assumptions!$C$11)</f>
        <v>1016826.8</v>
      </c>
      <c r="BP8" s="23" t="n">
        <f aca="false">BJ8*BK8</f>
        <v>1.085415375</v>
      </c>
      <c r="BQ8" s="19" t="n">
        <f aca="false">(Parcel!$C$18*BJ8+BO8)*BK8</f>
        <v>1381777.18899</v>
      </c>
      <c r="BR8" s="19" t="n">
        <f aca="false">BN8-BQ8</f>
        <v>231022.81101</v>
      </c>
      <c r="BS8" s="32" t="n">
        <f aca="false">IF(AND(Use_Library!$AJ$7=1,U8=1),MAX(0,((1-Use_Library!$AI$7)*BN8-BO8*BK8)/BP8),0)</f>
        <v>289960.351363182</v>
      </c>
      <c r="BT8" s="19" t="n">
        <f aca="false">BF8+BG8+BH8+BI8</f>
        <v>7254426.8</v>
      </c>
      <c r="BU8" s="23" t="n">
        <f aca="false">BJ8*BL8</f>
        <v>1.085415375</v>
      </c>
      <c r="BV8" s="19" t="n">
        <f aca="false">(Parcel!$C$18*BJ8+BT8)*BL8</f>
        <v>7860616.36899</v>
      </c>
      <c r="BW8" s="19" t="n">
        <f aca="false">IF(Use_Library!$C$7="Income",S8*Use_Library!$W$7,0)</f>
        <v>0</v>
      </c>
      <c r="BX8" s="19" t="n">
        <f aca="false">BW8*(1+Use_Library!$X$7)*(1-Use_Library!$Y$7)</f>
        <v>0</v>
      </c>
      <c r="BY8" s="19" t="n">
        <f aca="false">IF(Use_Library!$C$7="Income",S8*Use_Library!$Z$7,0)</f>
        <v>0</v>
      </c>
      <c r="BZ8" s="19" t="n">
        <f aca="false">IF(Use_Library!$C$7="Income",Assumptions!$C$19*Assumptions!$C$20*BV8,0)</f>
        <v>0</v>
      </c>
      <c r="CA8" s="19" t="n">
        <f aca="false">BX8*Use_Library!$AA$7</f>
        <v>0</v>
      </c>
      <c r="CB8" s="19" t="n">
        <f aca="false">(BY8+BZ8)*Use_Library!$AB$7</f>
        <v>0</v>
      </c>
      <c r="CC8" s="19" t="n">
        <f aca="false">BX8-BY8-BZ8-CA8+CB8</f>
        <v>0</v>
      </c>
      <c r="CD8" s="19" t="n">
        <f aca="false">IF(AND(Use_Library!$C$7="Income",Use_Library!$AE$7&gt;0),CC8/Use_Library!$AE$7,0)</f>
        <v>0</v>
      </c>
      <c r="CE8" s="24" t="n">
        <f aca="false">IF(Use_Library!$C$7="Income",-Assumptions!$C$19*Assumptions!$C$20*(1-Use_Library!$AB$7)*BU8,0)</f>
        <v>0</v>
      </c>
      <c r="CF8" s="20" t="n">
        <f aca="false">IF(BV8=0,0,CC8/BV8)</f>
        <v>0</v>
      </c>
      <c r="CG8" s="19" t="n">
        <f aca="false">IF(Use_Library!$AK$7=1,IF(Use_Library!$C$7="Income",CD8*(1-Assumptions!$C$18),S8*Use_Library!$V$7*(1-Assumptions!$C$16))+BM8,0)*U8</f>
        <v>8121600</v>
      </c>
      <c r="CH8" s="24" t="n">
        <f aca="false">IF(AND(Use_Library!$AK$7=1,Use_Library!$C$7="Income",Use_Library!$AE$7&gt;0),CE8/Use_Library!$AE$7*(1-Assumptions!$C$18),0)</f>
        <v>0</v>
      </c>
      <c r="CI8" s="19" t="n">
        <f aca="false">CG8-BV8</f>
        <v>260983.63101</v>
      </c>
      <c r="CJ8" s="32" t="n">
        <f aca="false">IF(AND(Use_Library!$AK$7=1,U8=1),MAX(0,Parcel!$C$18-((1-Use_Library!$AI$7)*CG8-BV8)/((1-Use_Library!$AI$7)*CH8-BU8)),0)</f>
        <v>0</v>
      </c>
      <c r="CK8" s="19" t="n">
        <f aca="false">IF(Use_Library!$AL$7=1,IF(Use_Library!$C$7="Income",CD8,IF(Use_Library!$AE$7&gt;0,E8*Use_Library!$AG$7/Use_Library!$AE$7,0))+BM8,0)*U8</f>
        <v>0</v>
      </c>
      <c r="CL8" s="19" t="n">
        <f aca="false">IF(Use_Library!$C$7="Income",BT8,BF8)</f>
        <v>1016826.8</v>
      </c>
      <c r="CM8" s="23" t="n">
        <f aca="false">IF(Use_Library!$C$7="Income",BU8,BJ8*BK8)</f>
        <v>1.085415375</v>
      </c>
      <c r="CN8" s="19" t="n">
        <f aca="false">IF(Use_Library!$C$7="Income",BV8,(Parcel!$C$18*BJ8+BF8)*BK8)</f>
        <v>1381777.18899</v>
      </c>
      <c r="CO8" s="24" t="n">
        <f aca="false">IF(AND(Use_Library!$AL$7=1,Use_Library!$C$7="Income",Use_Library!$AE$7&gt;0),CE8/Use_Library!$AE$7,0)</f>
        <v>0</v>
      </c>
      <c r="CP8" s="19" t="n">
        <f aca="false">CK8-CN8</f>
        <v>-1381777.18899</v>
      </c>
      <c r="CQ8" s="32" t="n">
        <f aca="false">IF(AND(Use_Library!$AL$7=1,U8=1),MAX(0,Parcel!$C$18-((1-Use_Library!$AI$7)*CK8-CN8)/((1-Use_Library!$AI$7)*CO8-CM8)),0)</f>
        <v>0</v>
      </c>
      <c r="CR8" s="19" t="n">
        <f aca="false">IF(Use_Library!$C$7="Income",Assumptions!$C$21*(Parcel!$C$18*BJ8+BT8),0)</f>
        <v>0</v>
      </c>
      <c r="CS8" s="19" t="n">
        <f aca="false">IF(AND(Use_Library!$C$7="Income",CC8&gt;0),MIN(Assumptions!$C$26*CD8,PV(Assumptions!$C$29/12,Assumptions!$C$30*12,-CC8/Assumptions!$C$27/12),CC8/Assumptions!$C$28),0)</f>
        <v>0</v>
      </c>
      <c r="CT8" s="25" t="n">
        <f aca="false">IF(CS8=0,0,CC8/(-PMT(Assumptions!$C$29/12,Assumptions!$C$30*12,CS8)*12))</f>
        <v>0</v>
      </c>
      <c r="CU8" s="19" t="n">
        <f aca="false">CS8-CR8</f>
        <v>0</v>
      </c>
      <c r="CV8" s="18" t="n">
        <f aca="false">MAX(BS8,CJ8,CQ8)</f>
        <v>289960.351363182</v>
      </c>
      <c r="CW8" s="9" t="str">
        <f aca="false">IF(CV8&lt;=0,"None works",IF(BS8=CV8,"Land / pad sale",IF(CJ8=CV8,"Build &amp; sell","Build &amp; hold / lease")))</f>
        <v>Land / pad sale</v>
      </c>
      <c r="CX8" s="19" t="n">
        <f aca="false">CV8*(1-Assumptions!$C$32)</f>
        <v>246466.298658705</v>
      </c>
      <c r="CY8" s="19" t="n">
        <f aca="false">CV8-Parcel!$C$18</f>
        <v>-10039.648636818</v>
      </c>
      <c r="CZ8" s="19" t="n">
        <f aca="false">IF(Parcel!$C$8=0,0,CV8/Parcel!$C$8)</f>
        <v>14498.0175681591</v>
      </c>
      <c r="DA8" s="33" t="n">
        <f aca="false">IF(S8=0,0,CV8/S8)</f>
        <v>12081.6813067992</v>
      </c>
      <c r="DB8" s="9" t="str">
        <f aca="false">TRIM(M8&amp;" "&amp;IF(AND(U8=0,N8=1),"Nothing fits. ","")&amp;IF(Parcel!$C$12&lt;Use_Library!$AM$7,"Frontage under "&amp;Use_Library!$AM$7&amp;" LF. ","")&amp;IF(Parcel!$C$10&gt;0.15,"Slope over 15%. ","")&amp;IF(AND(U8=1,Use_Library!$M$7&gt;0,D8&gt;Use_Library!$M$7),"Only "&amp;Use_Library!$M$7&amp;" ac used - rest resold. ",""))</f>
        <v/>
      </c>
      <c r="DC8" s="19" t="n">
        <f aca="false">CV8+ROW()/1000000</f>
        <v>289960.351371182</v>
      </c>
    </row>
    <row r="9" customFormat="false" ht="15" hidden="false" customHeight="false" outlineLevel="0" collapsed="false">
      <c r="A9" s="4" t="str">
        <f aca="false">Use_Library!$A$8</f>
        <v>Entry-level for-sale homes</v>
      </c>
      <c r="B9" s="9" t="str">
        <f aca="false">Use_Library!$C$8</f>
        <v>For-Sale</v>
      </c>
      <c r="C9" s="9" t="str">
        <f aca="false">Use_Library!$D$8</f>
        <v>lot / home</v>
      </c>
      <c r="D9" s="14" t="n">
        <f aca="false">MAX(0,Parcel!$C$26*(1-Use_Library!$N$8-Assumptions!$C$7))</f>
        <v>14.196</v>
      </c>
      <c r="E9" s="14" t="n">
        <f aca="false">IF(Use_Library!$M$8&gt;0,MIN(D9,Use_Library!$M$8),D9)</f>
        <v>14.196</v>
      </c>
      <c r="F9" s="20" t="n">
        <f aca="false">IF(D9=0,0,E9/D9)</f>
        <v>1</v>
      </c>
      <c r="G9" s="14" t="n">
        <f aca="false">Parcel!$C$26*F9</f>
        <v>15.6</v>
      </c>
      <c r="H9" s="14" t="n">
        <f aca="false">G9*Assumptions!$C$7</f>
        <v>0.624</v>
      </c>
      <c r="I9" s="14" t="n">
        <f aca="false">G9*(1-Use_Library!$N$8)</f>
        <v>14.82</v>
      </c>
      <c r="J9" s="14" t="n">
        <f aca="false">Parcel!$C$8*(1-F9)</f>
        <v>0</v>
      </c>
      <c r="K9" s="15" t="n">
        <f aca="false">IF(AND(Use_Library!$I$8="Y",Parcel!$C$28=0),0,1)</f>
        <v>1</v>
      </c>
      <c r="L9" s="15" t="n">
        <f aca="false">IF(AND(Use_Library!$J$8="Y",Parcel!$C$27=0),0,1)</f>
        <v>1</v>
      </c>
      <c r="M9" s="9" t="str">
        <f aca="false">TRIM(IF(AND(Use_Library!$AN$8&gt;0,Parcel!$C$19&lt;Use_Library!$AN$8),"Traffic under "&amp;TEXT(Use_Library!$AN$8,"#,##0")&amp;" VPD. ","")&amp;IF(AND(Use_Library!$AO$8&gt;0,Parcel!$C$20&lt;Use_Library!$AO$8),"Under "&amp;TEXT(Use_Library!$AO$8,"#,##0")&amp;" households in 3 mi. ","")&amp;IF(AND(Use_Library!$AP$8&gt;0,Parcel!$C$21&gt;Use_Library!$AP$8),"Over "&amp;Use_Library!$AP$8&amp;" mi to highway. ","")&amp;IF(AND(Use_Library!$AQ$8="Y",Parcel!$C$22&lt;&gt;"Y"),"Needs a corner. ","")&amp;IF(AND(Use_Library!$AR$8&gt;0,Parcel!$C$23&gt;Use_Library!$AR$8),"Over "&amp;Use_Library!$AR$8&amp;" mi to substation. ",""))</f>
        <v/>
      </c>
      <c r="N9" s="15" t="n">
        <f aca="false">IF(M9="",1,0)</f>
        <v>1</v>
      </c>
      <c r="O9" s="15" t="n">
        <f aca="false">IF(D9&gt;=Use_Library!$L$8,1,0)</f>
        <v>1</v>
      </c>
      <c r="P9" s="14" t="n">
        <f aca="false">IF(Use_Library!$F$8&gt;0,G9*Use_Library!$F$8,1000000000)</f>
        <v>78</v>
      </c>
      <c r="Q9" s="14" t="n">
        <f aca="false">IF(Use_Library!$G$8&gt;0,E9*43560/Use_Library!$G$8,1000000000)</f>
        <v>1000000000</v>
      </c>
      <c r="R9" s="14" t="n">
        <f aca="false">IF(AND(Use_Library!$H$8="Y",Parcel!$C$28=0),E9*(1-Assumptions!$C$8)/IF(Parcel!$C$27=1,Assumptions!$C$9,Assumptions!$C$10),1000000000)</f>
        <v>24.1332</v>
      </c>
      <c r="S9" s="21" t="n">
        <f aca="false">IF(K9*L9*O9*N9=0,0,IF(MIN(P9,Q9,R9)&gt;=1000000000,E9,IF(Use_Library!$E$8="Y",INT(MIN(P9,Q9,R9)),MIN(P9,Q9,R9))))</f>
        <v>24</v>
      </c>
      <c r="T9" s="9" t="str">
        <f aca="false">IF(N9=0,"Location fails",IF(O9=0,"Too small - needs "&amp;Use_Library!$L$8&amp;" usable ac",IF(K9=0,"Needs public sewer",IF(L9=0,"Needs public water",IF(R9&lt;=MIN(P9,Q9),"Septic lot size",IF(Q9&lt;=P9,"Site area / parking","Density"))))))</f>
        <v>Septic lot size</v>
      </c>
      <c r="U9" s="15" t="n">
        <f aca="false">IF(S9&gt;0,1,0)</f>
        <v>1</v>
      </c>
      <c r="V9" s="15" t="n">
        <f aca="false">IF(Use_Library!$K$8="Y",1,0)*U9</f>
        <v>1</v>
      </c>
      <c r="W9" s="15" t="n">
        <f aca="false">S9*Use_Library!$O$8*V9</f>
        <v>1080</v>
      </c>
      <c r="X9" s="15" t="n">
        <f aca="false">S9*Use_Library!$P$8*V9</f>
        <v>0</v>
      </c>
      <c r="Y9" s="15" t="n">
        <f aca="false">IF(Parcel!$C$27=1,W9+Parcel!$C$29,0)*V9</f>
        <v>1080</v>
      </c>
      <c r="Z9" s="14" t="n">
        <f aca="false">S9*Use_Library!$Q$8*Parcel!$C$27*V9</f>
        <v>24</v>
      </c>
      <c r="AA9" s="15" t="n">
        <f aca="false">IF(Parcel!$C$28=1,W9+Parcel!$C$30,0)*V9</f>
        <v>0</v>
      </c>
      <c r="AB9" s="14" t="n">
        <f aca="false">S9*Use_Library!$Q$8*Parcel!$C$28*V9</f>
        <v>0</v>
      </c>
      <c r="AC9" s="14" t="n">
        <f aca="false">IF(Parcel!$C$28=0,S9*Use_Library!$R$8,0)*V9</f>
        <v>24</v>
      </c>
      <c r="AD9" s="14" t="n">
        <f aca="false">IF(Parcel!$C$27=0,S9*Use_Library!$R$8,0)*V9</f>
        <v>0</v>
      </c>
      <c r="AE9" s="14" t="n">
        <f aca="false">I9*Parcel!$C$11*V9</f>
        <v>5.187</v>
      </c>
      <c r="AF9" s="14" t="n">
        <f aca="false">I9*V9</f>
        <v>14.82</v>
      </c>
      <c r="AG9" s="15" t="n">
        <f aca="false">IF(Use_Library!$C$8="For-Sale",IF(Use_Library!$E$8="Y",S9,1),1)*U9</f>
        <v>24</v>
      </c>
      <c r="AH9" s="19" t="n">
        <f aca="false">Cost_Library!$G$5*Parcel!$C$32*U9</f>
        <v>6500</v>
      </c>
      <c r="AI9" s="19" t="n">
        <f aca="false">AG9*Cost_Library!$G$6*Parcel!$C$32</f>
        <v>21600</v>
      </c>
      <c r="AJ9" s="19" t="n">
        <f aca="false">I9*Cost_Library!$G$7*Parcel!$C$32*V9</f>
        <v>74100</v>
      </c>
      <c r="AK9" s="19" t="n">
        <f aca="false">Cost_Library!$G$8*Parcel!$C$32*V9</f>
        <v>5000</v>
      </c>
      <c r="AL9" s="19" t="n">
        <f aca="false">AC9*Cost_Library!$G$9*Parcel!$C$32</f>
        <v>12000</v>
      </c>
      <c r="AM9" s="19" t="n">
        <f aca="false">Cost_Library!$G$10*U9</f>
        <v>2800</v>
      </c>
      <c r="AN9" s="19" t="n">
        <f aca="false">Cost_Library!$G$11*Parcel!$C$32*V9</f>
        <v>7500</v>
      </c>
      <c r="AO9" s="19" t="n">
        <f aca="false">Use_Library!$S$8*U9</f>
        <v>25000</v>
      </c>
      <c r="AP9" s="19" t="n">
        <f aca="false">Cost_Library!$G$12*U9</f>
        <v>10000</v>
      </c>
      <c r="AQ9" s="19" t="n">
        <f aca="false">AE9*Cost_Library!$G$13*Parcel!$C$32</f>
        <v>20748</v>
      </c>
      <c r="AR9" s="19" t="n">
        <f aca="false">AF9*Cost_Library!$G$14*Parcel!$C$32*Parcel!$C$33</f>
        <v>74100</v>
      </c>
      <c r="AS9" s="19" t="n">
        <f aca="false">W9*Cost_Library!$G$15*Parcel!$C$32</f>
        <v>162000</v>
      </c>
      <c r="AT9" s="19" t="n">
        <f aca="false">X9*Cost_Library!$G$16*Parcel!$C$32</f>
        <v>0</v>
      </c>
      <c r="AU9" s="19" t="n">
        <f aca="false">H9*Cost_Library!$G$17*Parcel!$C$32*V9</f>
        <v>34320</v>
      </c>
      <c r="AV9" s="19" t="n">
        <f aca="false">G9*Cost_Library!$G$18*Parcel!$C$32*V9</f>
        <v>10920</v>
      </c>
      <c r="AW9" s="19" t="n">
        <f aca="false">Y9*Cost_Library!$G$19*Parcel!$C$32</f>
        <v>54000</v>
      </c>
      <c r="AX9" s="19" t="n">
        <f aca="false">Z9*Cost_Library!$G$20</f>
        <v>60000</v>
      </c>
      <c r="AY9" s="19" t="n">
        <f aca="false">AA9*Cost_Library!$G$21*Parcel!$C$32</f>
        <v>0</v>
      </c>
      <c r="AZ9" s="19" t="n">
        <f aca="false">AB9*Cost_Library!$G$22</f>
        <v>0</v>
      </c>
      <c r="BA9" s="19" t="n">
        <f aca="false">AC9*Cost_Library!$G$23*Parcel!$C$32*Parcel!$C$34</f>
        <v>316800</v>
      </c>
      <c r="BB9" s="19" t="n">
        <f aca="false">AD9*Cost_Library!$G$24*Parcel!$C$32</f>
        <v>0</v>
      </c>
      <c r="BC9" s="19" t="n">
        <f aca="false">W9*Cost_Library!$G$25*Parcel!$C$32</f>
        <v>27000</v>
      </c>
      <c r="BD9" s="19" t="n">
        <f aca="false">SUM(AH9:BC9)</f>
        <v>924388</v>
      </c>
      <c r="BE9" s="19" t="n">
        <f aca="false">BD9*Assumptions!$C$11</f>
        <v>92438.8</v>
      </c>
      <c r="BF9" s="19" t="n">
        <f aca="false">BD9+BE9</f>
        <v>1016826.8</v>
      </c>
      <c r="BG9" s="19" t="n">
        <f aca="false">S9*Use_Library!$T$8</f>
        <v>5040000</v>
      </c>
      <c r="BH9" s="19" t="n">
        <f aca="false">BG9*(Assumptions!$C$12+Assumptions!$C$13)</f>
        <v>655200</v>
      </c>
      <c r="BI9" s="19" t="n">
        <f aca="false">S9*Use_Library!$AC$8</f>
        <v>0</v>
      </c>
      <c r="BJ9" s="23" t="n">
        <f aca="false">1+Assumptions!$C$14+Assumptions!$C$15*Use_Library!$AH$8/12</f>
        <v>1.045</v>
      </c>
      <c r="BK9" s="23" t="n">
        <f aca="false">1+Assumptions!$C$21*(Assumptions!$C$22*Use_Library!$AH$8/12*Assumptions!$C$24+Assumptions!$C$23)</f>
        <v>1.038675</v>
      </c>
      <c r="BL9" s="23" t="n">
        <f aca="false">1+Assumptions!$C$21*(Assumptions!$C$22*(Use_Library!$AH$8/12*Assumptions!$C$24+IF(Use_Library!$C$8="Income",Use_Library!$AD$8,0)/12*Assumptions!$C$25)+Assumptions!$C$23)</f>
        <v>1.038675</v>
      </c>
      <c r="BM9" s="19" t="n">
        <f aca="false">J9*Assumptions!$C$31*(1-Assumptions!$C$17)*U9</f>
        <v>0</v>
      </c>
      <c r="BN9" s="19" t="n">
        <f aca="false">IF(Use_Library!$AJ$8=1,IF(Use_Library!$C$8="For-Sale",S9*Use_Library!$U$8,E9*Use_Library!$AF$8)*(1-Assumptions!$C$17)+BM9,0)*U9</f>
        <v>1497600</v>
      </c>
      <c r="BO9" s="19" t="n">
        <f aca="false">(BD9-AT9)*(1+Assumptions!$C$11)</f>
        <v>1016826.8</v>
      </c>
      <c r="BP9" s="23" t="n">
        <f aca="false">BJ9*BK9</f>
        <v>1.085415375</v>
      </c>
      <c r="BQ9" s="19" t="n">
        <f aca="false">(Parcel!$C$18*BJ9+BO9)*BK9</f>
        <v>1381777.18899</v>
      </c>
      <c r="BR9" s="19" t="n">
        <f aca="false">BN9-BQ9</f>
        <v>115822.81101</v>
      </c>
      <c r="BS9" s="32" t="n">
        <f aca="false">IF(AND(Use_Library!$AJ$8=1,U9=1),MAX(0,((1-Use_Library!$AI$8)*BN9-BO9*BK9)/BP9),0)</f>
        <v>199746.040551526</v>
      </c>
      <c r="BT9" s="19" t="n">
        <f aca="false">BF9+BG9+BH9+BI9</f>
        <v>6712026.8</v>
      </c>
      <c r="BU9" s="23" t="n">
        <f aca="false">BJ9*BL9</f>
        <v>1.085415375</v>
      </c>
      <c r="BV9" s="19" t="n">
        <f aca="false">(Parcel!$C$18*BJ9+BT9)*BL9</f>
        <v>7297239.04899</v>
      </c>
      <c r="BW9" s="19" t="n">
        <f aca="false">IF(Use_Library!$C$8="Income",S9*Use_Library!$W$8,0)</f>
        <v>0</v>
      </c>
      <c r="BX9" s="19" t="n">
        <f aca="false">BW9*(1+Use_Library!$X$8)*(1-Use_Library!$Y$8)</f>
        <v>0</v>
      </c>
      <c r="BY9" s="19" t="n">
        <f aca="false">IF(Use_Library!$C$8="Income",S9*Use_Library!$Z$8,0)</f>
        <v>0</v>
      </c>
      <c r="BZ9" s="19" t="n">
        <f aca="false">IF(Use_Library!$C$8="Income",Assumptions!$C$19*Assumptions!$C$20*BV9,0)</f>
        <v>0</v>
      </c>
      <c r="CA9" s="19" t="n">
        <f aca="false">BX9*Use_Library!$AA$8</f>
        <v>0</v>
      </c>
      <c r="CB9" s="19" t="n">
        <f aca="false">(BY9+BZ9)*Use_Library!$AB$8</f>
        <v>0</v>
      </c>
      <c r="CC9" s="19" t="n">
        <f aca="false">BX9-BY9-BZ9-CA9+CB9</f>
        <v>0</v>
      </c>
      <c r="CD9" s="19" t="n">
        <f aca="false">IF(AND(Use_Library!$C$8="Income",Use_Library!$AE$8&gt;0),CC9/Use_Library!$AE$8,0)</f>
        <v>0</v>
      </c>
      <c r="CE9" s="24" t="n">
        <f aca="false">IF(Use_Library!$C$8="Income",-Assumptions!$C$19*Assumptions!$C$20*(1-Use_Library!$AB$8)*BU9,0)</f>
        <v>0</v>
      </c>
      <c r="CF9" s="20" t="n">
        <f aca="false">IF(BV9=0,0,CC9/BV9)</f>
        <v>0</v>
      </c>
      <c r="CG9" s="19" t="n">
        <f aca="false">IF(Use_Library!$AK$8=1,IF(Use_Library!$C$8="Income",CD9*(1-Assumptions!$C$18),S9*Use_Library!$V$8*(1-Assumptions!$C$16))+BM9,0)*U9</f>
        <v>6993600</v>
      </c>
      <c r="CH9" s="24" t="n">
        <f aca="false">IF(AND(Use_Library!$AK$8=1,Use_Library!$C$8="Income",Use_Library!$AE$8&gt;0),CE9/Use_Library!$AE$8*(1-Assumptions!$C$18),0)</f>
        <v>0</v>
      </c>
      <c r="CI9" s="19" t="n">
        <f aca="false">CG9-BV9</f>
        <v>-303639.04899</v>
      </c>
      <c r="CJ9" s="32" t="n">
        <f aca="false">IF(AND(Use_Library!$AK$8=1,U9=1),MAX(0,Parcel!$C$18-((1-Use_Library!$AI$8)*CG9-BV9)/((1-Use_Library!$AI$8)*CH9-BU9)),0)</f>
        <v>0</v>
      </c>
      <c r="CK9" s="19" t="n">
        <f aca="false">IF(Use_Library!$AL$8=1,IF(Use_Library!$C$8="Income",CD9,IF(Use_Library!$AE$8&gt;0,E9*Use_Library!$AG$8/Use_Library!$AE$8,0))+BM9,0)*U9</f>
        <v>0</v>
      </c>
      <c r="CL9" s="19" t="n">
        <f aca="false">IF(Use_Library!$C$8="Income",BT9,BF9)</f>
        <v>1016826.8</v>
      </c>
      <c r="CM9" s="23" t="n">
        <f aca="false">IF(Use_Library!$C$8="Income",BU9,BJ9*BK9)</f>
        <v>1.085415375</v>
      </c>
      <c r="CN9" s="19" t="n">
        <f aca="false">IF(Use_Library!$C$8="Income",BV9,(Parcel!$C$18*BJ9+BF9)*BK9)</f>
        <v>1381777.18899</v>
      </c>
      <c r="CO9" s="24" t="n">
        <f aca="false">IF(AND(Use_Library!$AL$8=1,Use_Library!$C$8="Income",Use_Library!$AE$8&gt;0),CE9/Use_Library!$AE$8,0)</f>
        <v>0</v>
      </c>
      <c r="CP9" s="19" t="n">
        <f aca="false">CK9-CN9</f>
        <v>-1381777.18899</v>
      </c>
      <c r="CQ9" s="32" t="n">
        <f aca="false">IF(AND(Use_Library!$AL$8=1,U9=1),MAX(0,Parcel!$C$18-((1-Use_Library!$AI$8)*CK9-CN9)/((1-Use_Library!$AI$8)*CO9-CM9)),0)</f>
        <v>0</v>
      </c>
      <c r="CR9" s="19" t="n">
        <f aca="false">IF(Use_Library!$C$8="Income",Assumptions!$C$21*(Parcel!$C$18*BJ9+BT9),0)</f>
        <v>0</v>
      </c>
      <c r="CS9" s="19" t="n">
        <f aca="false">IF(AND(Use_Library!$C$8="Income",CC9&gt;0),MIN(Assumptions!$C$26*CD9,PV(Assumptions!$C$29/12,Assumptions!$C$30*12,-CC9/Assumptions!$C$27/12),CC9/Assumptions!$C$28),0)</f>
        <v>0</v>
      </c>
      <c r="CT9" s="25" t="n">
        <f aca="false">IF(CS9=0,0,CC9/(-PMT(Assumptions!$C$29/12,Assumptions!$C$30*12,CS9)*12))</f>
        <v>0</v>
      </c>
      <c r="CU9" s="19" t="n">
        <f aca="false">CS9-CR9</f>
        <v>0</v>
      </c>
      <c r="CV9" s="18" t="n">
        <f aca="false">MAX(BS9,CJ9,CQ9)</f>
        <v>199746.040551526</v>
      </c>
      <c r="CW9" s="9" t="str">
        <f aca="false">IF(CV9&lt;=0,"None works",IF(BS9=CV9,"Land / pad sale",IF(CJ9=CV9,"Build &amp; sell","Build &amp; hold / lease")))</f>
        <v>Land / pad sale</v>
      </c>
      <c r="CX9" s="19" t="n">
        <f aca="false">CV9*(1-Assumptions!$C$32)</f>
        <v>169784.134468797</v>
      </c>
      <c r="CY9" s="19" t="n">
        <f aca="false">CV9-Parcel!$C$18</f>
        <v>-100253.959448474</v>
      </c>
      <c r="CZ9" s="19" t="n">
        <f aca="false">IF(Parcel!$C$8=0,0,CV9/Parcel!$C$8)</f>
        <v>9987.3020275763</v>
      </c>
      <c r="DA9" s="33" t="n">
        <f aca="false">IF(S9=0,0,CV9/S9)</f>
        <v>8322.75168964692</v>
      </c>
      <c r="DB9" s="9" t="str">
        <f aca="false">TRIM(M9&amp;" "&amp;IF(AND(U9=0,N9=1),"Nothing fits. ","")&amp;IF(Parcel!$C$12&lt;Use_Library!$AM$8,"Frontage under "&amp;Use_Library!$AM$8&amp;" LF. ","")&amp;IF(Parcel!$C$10&gt;0.15,"Slope over 15%. ","")&amp;IF(AND(U9=1,Use_Library!$M$8&gt;0,D9&gt;Use_Library!$M$8),"Only "&amp;Use_Library!$M$8&amp;" ac used - rest resold. ",""))</f>
        <v/>
      </c>
      <c r="DC9" s="19" t="n">
        <f aca="false">CV9+ROW()/1000000</f>
        <v>199746.040560526</v>
      </c>
    </row>
    <row r="10" customFormat="false" ht="15" hidden="false" customHeight="false" outlineLevel="0" collapsed="false">
      <c r="A10" s="4" t="str">
        <f aca="false">Use_Library!$A$9</f>
        <v>Manufactured home subdivision</v>
      </c>
      <c r="B10" s="9" t="str">
        <f aca="false">Use_Library!$C$9</f>
        <v>For-Sale</v>
      </c>
      <c r="C10" s="9" t="str">
        <f aca="false">Use_Library!$D$9</f>
        <v>lot / home</v>
      </c>
      <c r="D10" s="14" t="n">
        <f aca="false">MAX(0,Parcel!$C$26*(1-Use_Library!$N$9-Assumptions!$C$7))</f>
        <v>14.196</v>
      </c>
      <c r="E10" s="14" t="n">
        <f aca="false">IF(Use_Library!$M$9&gt;0,MIN(D10,Use_Library!$M$9),D10)</f>
        <v>14.196</v>
      </c>
      <c r="F10" s="20" t="n">
        <f aca="false">IF(D10=0,0,E10/D10)</f>
        <v>1</v>
      </c>
      <c r="G10" s="14" t="n">
        <f aca="false">Parcel!$C$26*F10</f>
        <v>15.6</v>
      </c>
      <c r="H10" s="14" t="n">
        <f aca="false">G10*Assumptions!$C$7</f>
        <v>0.624</v>
      </c>
      <c r="I10" s="14" t="n">
        <f aca="false">G10*(1-Use_Library!$N$9)</f>
        <v>14.82</v>
      </c>
      <c r="J10" s="14" t="n">
        <f aca="false">Parcel!$C$8*(1-F10)</f>
        <v>0</v>
      </c>
      <c r="K10" s="15" t="n">
        <f aca="false">IF(AND(Use_Library!$I$9="Y",Parcel!$C$28=0),0,1)</f>
        <v>1</v>
      </c>
      <c r="L10" s="15" t="n">
        <f aca="false">IF(AND(Use_Library!$J$9="Y",Parcel!$C$27=0),0,1)</f>
        <v>1</v>
      </c>
      <c r="M10" s="9" t="str">
        <f aca="false">TRIM(IF(AND(Use_Library!$AN$9&gt;0,Parcel!$C$19&lt;Use_Library!$AN$9),"Traffic under "&amp;TEXT(Use_Library!$AN$9,"#,##0")&amp;" VPD. ","")&amp;IF(AND(Use_Library!$AO$9&gt;0,Parcel!$C$20&lt;Use_Library!$AO$9),"Under "&amp;TEXT(Use_Library!$AO$9,"#,##0")&amp;" households in 3 mi. ","")&amp;IF(AND(Use_Library!$AP$9&gt;0,Parcel!$C$21&gt;Use_Library!$AP$9),"Over "&amp;Use_Library!$AP$9&amp;" mi to highway. ","")&amp;IF(AND(Use_Library!$AQ$9="Y",Parcel!$C$22&lt;&gt;"Y"),"Needs a corner. ","")&amp;IF(AND(Use_Library!$AR$9&gt;0,Parcel!$C$23&gt;Use_Library!$AR$9),"Over "&amp;Use_Library!$AR$9&amp;" mi to substation. ",""))</f>
        <v/>
      </c>
      <c r="N10" s="15" t="n">
        <f aca="false">IF(M10="",1,0)</f>
        <v>1</v>
      </c>
      <c r="O10" s="15" t="n">
        <f aca="false">IF(D10&gt;=Use_Library!$L$9,1,0)</f>
        <v>1</v>
      </c>
      <c r="P10" s="14" t="n">
        <f aca="false">IF(Use_Library!$F$9&gt;0,G10*Use_Library!$F$9,1000000000)</f>
        <v>62.4</v>
      </c>
      <c r="Q10" s="14" t="n">
        <f aca="false">IF(Use_Library!$G$9&gt;0,E10*43560/Use_Library!$G$9,1000000000)</f>
        <v>1000000000</v>
      </c>
      <c r="R10" s="14" t="n">
        <f aca="false">IF(AND(Use_Library!$H$9="Y",Parcel!$C$28=0),E10*(1-Assumptions!$C$8)/IF(Parcel!$C$27=1,Assumptions!$C$9,Assumptions!$C$10),1000000000)</f>
        <v>24.1332</v>
      </c>
      <c r="S10" s="21" t="n">
        <f aca="false">IF(K10*L10*O10*N10=0,0,IF(MIN(P10,Q10,R10)&gt;=1000000000,E10,IF(Use_Library!$E$9="Y",INT(MIN(P10,Q10,R10)),MIN(P10,Q10,R10))))</f>
        <v>24</v>
      </c>
      <c r="T10" s="9" t="str">
        <f aca="false">IF(N10=0,"Location fails",IF(O10=0,"Too small - needs "&amp;Use_Library!$L$9&amp;" usable ac",IF(K10=0,"Needs public sewer",IF(L10=0,"Needs public water",IF(R10&lt;=MIN(P10,Q10),"Septic lot size",IF(Q10&lt;=P10,"Site area / parking","Density"))))))</f>
        <v>Septic lot size</v>
      </c>
      <c r="U10" s="15" t="n">
        <f aca="false">IF(S10&gt;0,1,0)</f>
        <v>1</v>
      </c>
      <c r="V10" s="15" t="n">
        <f aca="false">IF(Use_Library!$K$9="Y",1,0)*U10</f>
        <v>1</v>
      </c>
      <c r="W10" s="15" t="n">
        <f aca="false">S10*Use_Library!$O$9*V10</f>
        <v>1200</v>
      </c>
      <c r="X10" s="15" t="n">
        <f aca="false">S10*Use_Library!$P$9*V10</f>
        <v>0</v>
      </c>
      <c r="Y10" s="15" t="n">
        <f aca="false">IF(Parcel!$C$27=1,W10+Parcel!$C$29,0)*V10</f>
        <v>1200</v>
      </c>
      <c r="Z10" s="14" t="n">
        <f aca="false">S10*Use_Library!$Q$9*Parcel!$C$27*V10</f>
        <v>24</v>
      </c>
      <c r="AA10" s="15" t="n">
        <f aca="false">IF(Parcel!$C$28=1,W10+Parcel!$C$30,0)*V10</f>
        <v>0</v>
      </c>
      <c r="AB10" s="14" t="n">
        <f aca="false">S10*Use_Library!$Q$9*Parcel!$C$28*V10</f>
        <v>0</v>
      </c>
      <c r="AC10" s="14" t="n">
        <f aca="false">IF(Parcel!$C$28=0,S10*Use_Library!$R$9,0)*V10</f>
        <v>24</v>
      </c>
      <c r="AD10" s="14" t="n">
        <f aca="false">IF(Parcel!$C$27=0,S10*Use_Library!$R$9,0)*V10</f>
        <v>0</v>
      </c>
      <c r="AE10" s="14" t="n">
        <f aca="false">I10*Parcel!$C$11*V10</f>
        <v>5.187</v>
      </c>
      <c r="AF10" s="14" t="n">
        <f aca="false">I10*V10</f>
        <v>14.82</v>
      </c>
      <c r="AG10" s="15" t="n">
        <f aca="false">IF(Use_Library!$C$9="For-Sale",IF(Use_Library!$E$9="Y",S10,1),1)*U10</f>
        <v>24</v>
      </c>
      <c r="AH10" s="19" t="n">
        <f aca="false">Cost_Library!$G$5*Parcel!$C$32*U10</f>
        <v>6500</v>
      </c>
      <c r="AI10" s="19" t="n">
        <f aca="false">AG10*Cost_Library!$G$6*Parcel!$C$32</f>
        <v>21600</v>
      </c>
      <c r="AJ10" s="19" t="n">
        <f aca="false">I10*Cost_Library!$G$7*Parcel!$C$32*V10</f>
        <v>74100</v>
      </c>
      <c r="AK10" s="19" t="n">
        <f aca="false">Cost_Library!$G$8*Parcel!$C$32*V10</f>
        <v>5000</v>
      </c>
      <c r="AL10" s="19" t="n">
        <f aca="false">AC10*Cost_Library!$G$9*Parcel!$C$32</f>
        <v>12000</v>
      </c>
      <c r="AM10" s="19" t="n">
        <f aca="false">Cost_Library!$G$10*U10</f>
        <v>2800</v>
      </c>
      <c r="AN10" s="19" t="n">
        <f aca="false">Cost_Library!$G$11*Parcel!$C$32*V10</f>
        <v>7500</v>
      </c>
      <c r="AO10" s="19" t="n">
        <f aca="false">Use_Library!$S$9*U10</f>
        <v>25000</v>
      </c>
      <c r="AP10" s="19" t="n">
        <f aca="false">Cost_Library!$G$12*U10</f>
        <v>10000</v>
      </c>
      <c r="AQ10" s="19" t="n">
        <f aca="false">AE10*Cost_Library!$G$13*Parcel!$C$32</f>
        <v>20748</v>
      </c>
      <c r="AR10" s="19" t="n">
        <f aca="false">AF10*Cost_Library!$G$14*Parcel!$C$32*Parcel!$C$33</f>
        <v>74100</v>
      </c>
      <c r="AS10" s="19" t="n">
        <f aca="false">W10*Cost_Library!$G$15*Parcel!$C$32</f>
        <v>180000</v>
      </c>
      <c r="AT10" s="19" t="n">
        <f aca="false">X10*Cost_Library!$G$16*Parcel!$C$32</f>
        <v>0</v>
      </c>
      <c r="AU10" s="19" t="n">
        <f aca="false">H10*Cost_Library!$G$17*Parcel!$C$32*V10</f>
        <v>34320</v>
      </c>
      <c r="AV10" s="19" t="n">
        <f aca="false">G10*Cost_Library!$G$18*Parcel!$C$32*V10</f>
        <v>10920</v>
      </c>
      <c r="AW10" s="19" t="n">
        <f aca="false">Y10*Cost_Library!$G$19*Parcel!$C$32</f>
        <v>60000</v>
      </c>
      <c r="AX10" s="19" t="n">
        <f aca="false">Z10*Cost_Library!$G$20</f>
        <v>60000</v>
      </c>
      <c r="AY10" s="19" t="n">
        <f aca="false">AA10*Cost_Library!$G$21*Parcel!$C$32</f>
        <v>0</v>
      </c>
      <c r="AZ10" s="19" t="n">
        <f aca="false">AB10*Cost_Library!$G$22</f>
        <v>0</v>
      </c>
      <c r="BA10" s="19" t="n">
        <f aca="false">AC10*Cost_Library!$G$23*Parcel!$C$32*Parcel!$C$34</f>
        <v>316800</v>
      </c>
      <c r="BB10" s="19" t="n">
        <f aca="false">AD10*Cost_Library!$G$24*Parcel!$C$32</f>
        <v>0</v>
      </c>
      <c r="BC10" s="19" t="n">
        <f aca="false">W10*Cost_Library!$G$25*Parcel!$C$32</f>
        <v>30000</v>
      </c>
      <c r="BD10" s="19" t="n">
        <f aca="false">SUM(AH10:BC10)</f>
        <v>951388</v>
      </c>
      <c r="BE10" s="19" t="n">
        <f aca="false">BD10*Assumptions!$C$11</f>
        <v>95138.8</v>
      </c>
      <c r="BF10" s="19" t="n">
        <f aca="false">BD10+BE10</f>
        <v>1046526.8</v>
      </c>
      <c r="BG10" s="19" t="n">
        <f aca="false">S10*Use_Library!$T$9</f>
        <v>2796000</v>
      </c>
      <c r="BH10" s="19" t="n">
        <f aca="false">BG10*(Assumptions!$C$12+Assumptions!$C$13)</f>
        <v>363480</v>
      </c>
      <c r="BI10" s="19" t="n">
        <f aca="false">S10*Use_Library!$AC$9</f>
        <v>0</v>
      </c>
      <c r="BJ10" s="23" t="n">
        <f aca="false">1+Assumptions!$C$14+Assumptions!$C$15*Use_Library!$AH$9/12</f>
        <v>1.045</v>
      </c>
      <c r="BK10" s="23" t="n">
        <f aca="false">1+Assumptions!$C$21*(Assumptions!$C$22*Use_Library!$AH$9/12*Assumptions!$C$24+Assumptions!$C$23)</f>
        <v>1.038675</v>
      </c>
      <c r="BL10" s="23" t="n">
        <f aca="false">1+Assumptions!$C$21*(Assumptions!$C$22*(Use_Library!$AH$9/12*Assumptions!$C$24+IF(Use_Library!$C$9="Income",Use_Library!$AD$9,0)/12*Assumptions!$C$25)+Assumptions!$C$23)</f>
        <v>1.038675</v>
      </c>
      <c r="BM10" s="19" t="n">
        <f aca="false">J10*Assumptions!$C$31*(1-Assumptions!$C$17)*U10</f>
        <v>0</v>
      </c>
      <c r="BN10" s="19" t="n">
        <f aca="false">IF(Use_Library!$AJ$9=1,IF(Use_Library!$C$9="For-Sale",S10*Use_Library!$U$9,E10*Use_Library!$AF$9)*(1-Assumptions!$C$17)+BM10,0)*U10</f>
        <v>1267200</v>
      </c>
      <c r="BO10" s="19" t="n">
        <f aca="false">(BD10-AT10)*(1+Assumptions!$C$11)</f>
        <v>1046526.8</v>
      </c>
      <c r="BP10" s="23" t="n">
        <f aca="false">BJ10*BK10</f>
        <v>1.085415375</v>
      </c>
      <c r="BQ10" s="19" t="n">
        <f aca="false">(Parcel!$C$18*BJ10+BO10)*BK10</f>
        <v>1412625.83649</v>
      </c>
      <c r="BR10" s="19" t="n">
        <f aca="false">BN10-BQ10</f>
        <v>-145425.83649</v>
      </c>
      <c r="BS10" s="32" t="n">
        <f aca="false">IF(AND(Use_Library!$AJ$9=1,U10=1),MAX(0,((1-Use_Library!$AI$9)*BN10-BO10*BK10)/BP10),0)</f>
        <v>0</v>
      </c>
      <c r="BT10" s="19" t="n">
        <f aca="false">BF10+BG10+BH10+BI10</f>
        <v>4206006.8</v>
      </c>
      <c r="BU10" s="23" t="n">
        <f aca="false">BJ10*BL10</f>
        <v>1.085415375</v>
      </c>
      <c r="BV10" s="19" t="n">
        <f aca="false">(Parcel!$C$18*BJ10+BT10)*BL10</f>
        <v>4694298.72549</v>
      </c>
      <c r="BW10" s="19" t="n">
        <f aca="false">IF(Use_Library!$C$9="Income",S10*Use_Library!$W$9,0)</f>
        <v>0</v>
      </c>
      <c r="BX10" s="19" t="n">
        <f aca="false">BW10*(1+Use_Library!$X$9)*(1-Use_Library!$Y$9)</f>
        <v>0</v>
      </c>
      <c r="BY10" s="19" t="n">
        <f aca="false">IF(Use_Library!$C$9="Income",S10*Use_Library!$Z$9,0)</f>
        <v>0</v>
      </c>
      <c r="BZ10" s="19" t="n">
        <f aca="false">IF(Use_Library!$C$9="Income",Assumptions!$C$19*Assumptions!$C$20*BV10,0)</f>
        <v>0</v>
      </c>
      <c r="CA10" s="19" t="n">
        <f aca="false">BX10*Use_Library!$AA$9</f>
        <v>0</v>
      </c>
      <c r="CB10" s="19" t="n">
        <f aca="false">(BY10+BZ10)*Use_Library!$AB$9</f>
        <v>0</v>
      </c>
      <c r="CC10" s="19" t="n">
        <f aca="false">BX10-BY10-BZ10-CA10+CB10</f>
        <v>0</v>
      </c>
      <c r="CD10" s="19" t="n">
        <f aca="false">IF(AND(Use_Library!$C$9="Income",Use_Library!$AE$9&gt;0),CC10/Use_Library!$AE$9,0)</f>
        <v>0</v>
      </c>
      <c r="CE10" s="24" t="n">
        <f aca="false">IF(Use_Library!$C$9="Income",-Assumptions!$C$19*Assumptions!$C$20*(1-Use_Library!$AB$9)*BU10,0)</f>
        <v>0</v>
      </c>
      <c r="CF10" s="20" t="n">
        <f aca="false">IF(BV10=0,0,CC10/BV10)</f>
        <v>0</v>
      </c>
      <c r="CG10" s="19" t="n">
        <f aca="false">IF(Use_Library!$AK$9=1,IF(Use_Library!$C$9="Income",CD10*(1-Assumptions!$C$18),S10*Use_Library!$V$9*(1-Assumptions!$C$16))+BM10,0)*U10</f>
        <v>5527200</v>
      </c>
      <c r="CH10" s="24" t="n">
        <f aca="false">IF(AND(Use_Library!$AK$9=1,Use_Library!$C$9="Income",Use_Library!$AE$9&gt;0),CE10/Use_Library!$AE$9*(1-Assumptions!$C$18),0)</f>
        <v>0</v>
      </c>
      <c r="CI10" s="19" t="n">
        <f aca="false">CG10-BV10</f>
        <v>832901.27451</v>
      </c>
      <c r="CJ10" s="32" t="n">
        <f aca="false">IF(AND(Use_Library!$AK$9=1,U10=1),MAX(0,Parcel!$C$18-((1-Use_Library!$AI$9)*CG10-BV10)/((1-Use_Library!$AI$9)*CH10-BU10)),0)</f>
        <v>303520.564198752</v>
      </c>
      <c r="CK10" s="19" t="n">
        <f aca="false">IF(Use_Library!$AL$9=1,IF(Use_Library!$C$9="Income",CD10,IF(Use_Library!$AE$9&gt;0,E10*Use_Library!$AG$9/Use_Library!$AE$9,0))+BM10,0)*U10</f>
        <v>0</v>
      </c>
      <c r="CL10" s="19" t="n">
        <f aca="false">IF(Use_Library!$C$9="Income",BT10,BF10)</f>
        <v>1046526.8</v>
      </c>
      <c r="CM10" s="23" t="n">
        <f aca="false">IF(Use_Library!$C$9="Income",BU10,BJ10*BK10)</f>
        <v>1.085415375</v>
      </c>
      <c r="CN10" s="19" t="n">
        <f aca="false">IF(Use_Library!$C$9="Income",BV10,(Parcel!$C$18*BJ10+BF10)*BK10)</f>
        <v>1412625.83649</v>
      </c>
      <c r="CO10" s="24" t="n">
        <f aca="false">IF(AND(Use_Library!$AL$9=1,Use_Library!$C$9="Income",Use_Library!$AE$9&gt;0),CE10/Use_Library!$AE$9,0)</f>
        <v>0</v>
      </c>
      <c r="CP10" s="19" t="n">
        <f aca="false">CK10-CN10</f>
        <v>-1412625.83649</v>
      </c>
      <c r="CQ10" s="32" t="n">
        <f aca="false">IF(AND(Use_Library!$AL$9=1,U10=1),MAX(0,Parcel!$C$18-((1-Use_Library!$AI$9)*CK10-CN10)/((1-Use_Library!$AI$9)*CO10-CM10)),0)</f>
        <v>0</v>
      </c>
      <c r="CR10" s="19" t="n">
        <f aca="false">IF(Use_Library!$C$9="Income",Assumptions!$C$21*(Parcel!$C$18*BJ10+BT10),0)</f>
        <v>0</v>
      </c>
      <c r="CS10" s="19" t="n">
        <f aca="false">IF(AND(Use_Library!$C$9="Income",CC10&gt;0),MIN(Assumptions!$C$26*CD10,PV(Assumptions!$C$29/12,Assumptions!$C$30*12,-CC10/Assumptions!$C$27/12),CC10/Assumptions!$C$28),0)</f>
        <v>0</v>
      </c>
      <c r="CT10" s="25" t="n">
        <f aca="false">IF(CS10=0,0,CC10/(-PMT(Assumptions!$C$29/12,Assumptions!$C$30*12,CS10)*12))</f>
        <v>0</v>
      </c>
      <c r="CU10" s="19" t="n">
        <f aca="false">CS10-CR10</f>
        <v>0</v>
      </c>
      <c r="CV10" s="18" t="n">
        <f aca="false">MAX(BS10,CJ10,CQ10)</f>
        <v>303520.564198752</v>
      </c>
      <c r="CW10" s="9" t="str">
        <f aca="false">IF(CV10&lt;=0,"None works",IF(BS10=CV10,"Land / pad sale",IF(CJ10=CV10,"Build &amp; sell","Build &amp; hold / lease")))</f>
        <v>Build &amp; sell</v>
      </c>
      <c r="CX10" s="19" t="n">
        <f aca="false">CV10*(1-Assumptions!$C$32)</f>
        <v>257992.479568939</v>
      </c>
      <c r="CY10" s="19" t="n">
        <f aca="false">CV10-Parcel!$C$18</f>
        <v>3520.56419875193</v>
      </c>
      <c r="CZ10" s="19" t="n">
        <f aca="false">IF(Parcel!$C$8=0,0,CV10/Parcel!$C$8)</f>
        <v>15176.0282099376</v>
      </c>
      <c r="DA10" s="33" t="n">
        <f aca="false">IF(S10=0,0,CV10/S10)</f>
        <v>12646.690174948</v>
      </c>
      <c r="DB10" s="9" t="str">
        <f aca="false">TRIM(M10&amp;" "&amp;IF(AND(U10=0,N10=1),"Nothing fits. ","")&amp;IF(Parcel!$C$12&lt;Use_Library!$AM$9,"Frontage under "&amp;Use_Library!$AM$9&amp;" LF. ","")&amp;IF(Parcel!$C$10&gt;0.15,"Slope over 15%. ","")&amp;IF(AND(U10=1,Use_Library!$M$9&gt;0,D10&gt;Use_Library!$M$9),"Only "&amp;Use_Library!$M$9&amp;" ac used - rest resold. ",""))</f>
        <v/>
      </c>
      <c r="DC10" s="19" t="n">
        <f aca="false">CV10+ROW()/1000000</f>
        <v>303520.564208752</v>
      </c>
    </row>
    <row r="11" customFormat="false" ht="15" hidden="false" customHeight="false" outlineLevel="0" collapsed="false">
      <c r="A11" s="4" t="str">
        <f aca="false">Use_Library!$A$10</f>
        <v>Townhomes</v>
      </c>
      <c r="B11" s="9" t="str">
        <f aca="false">Use_Library!$C$10</f>
        <v>For-Sale</v>
      </c>
      <c r="C11" s="9" t="str">
        <f aca="false">Use_Library!$D$10</f>
        <v>unit</v>
      </c>
      <c r="D11" s="14" t="n">
        <f aca="false">MAX(0,Parcel!$C$26*(1-Use_Library!$N$10-Assumptions!$C$7))</f>
        <v>14.196</v>
      </c>
      <c r="E11" s="14" t="n">
        <f aca="false">IF(Use_Library!$M$10&gt;0,MIN(D11,Use_Library!$M$10),D11)</f>
        <v>14.196</v>
      </c>
      <c r="F11" s="20" t="n">
        <f aca="false">IF(D11=0,0,E11/D11)</f>
        <v>1</v>
      </c>
      <c r="G11" s="14" t="n">
        <f aca="false">Parcel!$C$26*F11</f>
        <v>15.6</v>
      </c>
      <c r="H11" s="14" t="n">
        <f aca="false">G11*Assumptions!$C$7</f>
        <v>0.624</v>
      </c>
      <c r="I11" s="14" t="n">
        <f aca="false">G11*(1-Use_Library!$N$10)</f>
        <v>14.82</v>
      </c>
      <c r="J11" s="14" t="n">
        <f aca="false">Parcel!$C$8*(1-F11)</f>
        <v>0</v>
      </c>
      <c r="K11" s="15" t="n">
        <f aca="false">IF(AND(Use_Library!$I$10="Y",Parcel!$C$28=0),0,1)</f>
        <v>0</v>
      </c>
      <c r="L11" s="15" t="n">
        <f aca="false">IF(AND(Use_Library!$J$10="Y",Parcel!$C$27=0),0,1)</f>
        <v>1</v>
      </c>
      <c r="M11" s="9" t="str">
        <f aca="false">TRIM(IF(AND(Use_Library!$AN$10&gt;0,Parcel!$C$19&lt;Use_Library!$AN$10),"Traffic under "&amp;TEXT(Use_Library!$AN$10,"#,##0")&amp;" VPD. ","")&amp;IF(AND(Use_Library!$AO$10&gt;0,Parcel!$C$20&lt;Use_Library!$AO$10),"Under "&amp;TEXT(Use_Library!$AO$10,"#,##0")&amp;" households in 3 mi. ","")&amp;IF(AND(Use_Library!$AP$10&gt;0,Parcel!$C$21&gt;Use_Library!$AP$10),"Over "&amp;Use_Library!$AP$10&amp;" mi to highway. ","")&amp;IF(AND(Use_Library!$AQ$10="Y",Parcel!$C$22&lt;&gt;"Y"),"Needs a corner. ","")&amp;IF(AND(Use_Library!$AR$10&gt;0,Parcel!$C$23&gt;Use_Library!$AR$10),"Over "&amp;Use_Library!$AR$10&amp;" mi to substation. ",""))</f>
        <v/>
      </c>
      <c r="N11" s="15" t="n">
        <f aca="false">IF(M11="",1,0)</f>
        <v>1</v>
      </c>
      <c r="O11" s="15" t="n">
        <f aca="false">IF(D11&gt;=Use_Library!$L$10,1,0)</f>
        <v>1</v>
      </c>
      <c r="P11" s="14" t="n">
        <f aca="false">IF(Use_Library!$F$10&gt;0,G11*Use_Library!$F$10,1000000000)</f>
        <v>156</v>
      </c>
      <c r="Q11" s="14" t="n">
        <f aca="false">IF(Use_Library!$G$10&gt;0,E11*43560/Use_Library!$G$10,1000000000)</f>
        <v>1000000000</v>
      </c>
      <c r="R11" s="14" t="n">
        <f aca="false">IF(AND(Use_Library!$H$10="Y",Parcel!$C$28=0),E11*(1-Assumptions!$C$8)/IF(Parcel!$C$27=1,Assumptions!$C$9,Assumptions!$C$10),1000000000)</f>
        <v>1000000000</v>
      </c>
      <c r="S11" s="21" t="n">
        <f aca="false">IF(K11*L11*O11*N11=0,0,IF(MIN(P11,Q11,R11)&gt;=1000000000,E11,IF(Use_Library!$E$10="Y",INT(MIN(P11,Q11,R11)),MIN(P11,Q11,R11))))</f>
        <v>0</v>
      </c>
      <c r="T11" s="9" t="str">
        <f aca="false">IF(N11=0,"Location fails",IF(O11=0,"Too small - needs "&amp;Use_Library!$L$10&amp;" usable ac",IF(K11=0,"Needs public sewer",IF(L11=0,"Needs public water",IF(R11&lt;=MIN(P11,Q11),"Septic lot size",IF(Q11&lt;=P11,"Site area / parking","Density"))))))</f>
        <v>Needs public sewer</v>
      </c>
      <c r="U11" s="15" t="n">
        <f aca="false">IF(S11&gt;0,1,0)</f>
        <v>0</v>
      </c>
      <c r="V11" s="15" t="n">
        <f aca="false">IF(Use_Library!$K$10="Y",1,0)*U11</f>
        <v>0</v>
      </c>
      <c r="W11" s="15" t="n">
        <f aca="false">S11*Use_Library!$O$10*V11</f>
        <v>0</v>
      </c>
      <c r="X11" s="15" t="n">
        <f aca="false">S11*Use_Library!$P$10*V11</f>
        <v>0</v>
      </c>
      <c r="Y11" s="15" t="n">
        <f aca="false">IF(Parcel!$C$27=1,W11+Parcel!$C$29,0)*V11</f>
        <v>0</v>
      </c>
      <c r="Z11" s="14" t="n">
        <f aca="false">S11*Use_Library!$Q$10*Parcel!$C$27*V11</f>
        <v>0</v>
      </c>
      <c r="AA11" s="15" t="n">
        <f aca="false">IF(Parcel!$C$28=1,W11+Parcel!$C$30,0)*V11</f>
        <v>0</v>
      </c>
      <c r="AB11" s="14" t="n">
        <f aca="false">S11*Use_Library!$Q$10*Parcel!$C$28*V11</f>
        <v>0</v>
      </c>
      <c r="AC11" s="14" t="n">
        <f aca="false">IF(Parcel!$C$28=0,S11*Use_Library!$R$10,0)*V11</f>
        <v>0</v>
      </c>
      <c r="AD11" s="14" t="n">
        <f aca="false">IF(Parcel!$C$27=0,S11*Use_Library!$R$10,0)*V11</f>
        <v>0</v>
      </c>
      <c r="AE11" s="14" t="n">
        <f aca="false">I11*Parcel!$C$11*V11</f>
        <v>0</v>
      </c>
      <c r="AF11" s="14" t="n">
        <f aca="false">I11*V11</f>
        <v>0</v>
      </c>
      <c r="AG11" s="15" t="n">
        <f aca="false">IF(Use_Library!$C$10="For-Sale",IF(Use_Library!$E$10="Y",S11,1),1)*U11</f>
        <v>0</v>
      </c>
      <c r="AH11" s="19" t="n">
        <f aca="false">Cost_Library!$G$5*Parcel!$C$32*U11</f>
        <v>0</v>
      </c>
      <c r="AI11" s="19" t="n">
        <f aca="false">AG11*Cost_Library!$G$6*Parcel!$C$32</f>
        <v>0</v>
      </c>
      <c r="AJ11" s="19" t="n">
        <f aca="false">I11*Cost_Library!$G$7*Parcel!$C$32*V11</f>
        <v>0</v>
      </c>
      <c r="AK11" s="19" t="n">
        <f aca="false">Cost_Library!$G$8*Parcel!$C$32*V11</f>
        <v>0</v>
      </c>
      <c r="AL11" s="19" t="n">
        <f aca="false">AC11*Cost_Library!$G$9*Parcel!$C$32</f>
        <v>0</v>
      </c>
      <c r="AM11" s="19" t="n">
        <f aca="false">Cost_Library!$G$10*U11</f>
        <v>0</v>
      </c>
      <c r="AN11" s="19" t="n">
        <f aca="false">Cost_Library!$G$11*Parcel!$C$32*V11</f>
        <v>0</v>
      </c>
      <c r="AO11" s="19" t="n">
        <f aca="false">Use_Library!$S$10*U11</f>
        <v>0</v>
      </c>
      <c r="AP11" s="19" t="n">
        <f aca="false">Cost_Library!$G$12*U11</f>
        <v>0</v>
      </c>
      <c r="AQ11" s="19" t="n">
        <f aca="false">AE11*Cost_Library!$G$13*Parcel!$C$32</f>
        <v>0</v>
      </c>
      <c r="AR11" s="19" t="n">
        <f aca="false">AF11*Cost_Library!$G$14*Parcel!$C$32*Parcel!$C$33</f>
        <v>0</v>
      </c>
      <c r="AS11" s="19" t="n">
        <f aca="false">W11*Cost_Library!$G$15*Parcel!$C$32</f>
        <v>0</v>
      </c>
      <c r="AT11" s="19" t="n">
        <f aca="false">X11*Cost_Library!$G$16*Parcel!$C$32</f>
        <v>0</v>
      </c>
      <c r="AU11" s="19" t="n">
        <f aca="false">H11*Cost_Library!$G$17*Parcel!$C$32*V11</f>
        <v>0</v>
      </c>
      <c r="AV11" s="19" t="n">
        <f aca="false">G11*Cost_Library!$G$18*Parcel!$C$32*V11</f>
        <v>0</v>
      </c>
      <c r="AW11" s="19" t="n">
        <f aca="false">Y11*Cost_Library!$G$19*Parcel!$C$32</f>
        <v>0</v>
      </c>
      <c r="AX11" s="19" t="n">
        <f aca="false">Z11*Cost_Library!$G$20</f>
        <v>0</v>
      </c>
      <c r="AY11" s="19" t="n">
        <f aca="false">AA11*Cost_Library!$G$21*Parcel!$C$32</f>
        <v>0</v>
      </c>
      <c r="AZ11" s="19" t="n">
        <f aca="false">AB11*Cost_Library!$G$22</f>
        <v>0</v>
      </c>
      <c r="BA11" s="19" t="n">
        <f aca="false">AC11*Cost_Library!$G$23*Parcel!$C$32*Parcel!$C$34</f>
        <v>0</v>
      </c>
      <c r="BB11" s="19" t="n">
        <f aca="false">AD11*Cost_Library!$G$24*Parcel!$C$32</f>
        <v>0</v>
      </c>
      <c r="BC11" s="19" t="n">
        <f aca="false">W11*Cost_Library!$G$25*Parcel!$C$32</f>
        <v>0</v>
      </c>
      <c r="BD11" s="19" t="n">
        <f aca="false">SUM(AH11:BC11)</f>
        <v>0</v>
      </c>
      <c r="BE11" s="19" t="n">
        <f aca="false">BD11*Assumptions!$C$11</f>
        <v>0</v>
      </c>
      <c r="BF11" s="19" t="n">
        <f aca="false">BD11+BE11</f>
        <v>0</v>
      </c>
      <c r="BG11" s="19" t="n">
        <f aca="false">S11*Use_Library!$T$10</f>
        <v>0</v>
      </c>
      <c r="BH11" s="19" t="n">
        <f aca="false">BG11*(Assumptions!$C$12+Assumptions!$C$13)</f>
        <v>0</v>
      </c>
      <c r="BI11" s="19" t="n">
        <f aca="false">S11*Use_Library!$AC$10</f>
        <v>0</v>
      </c>
      <c r="BJ11" s="23" t="n">
        <f aca="false">1+Assumptions!$C$14+Assumptions!$C$15*Use_Library!$AH$10/12</f>
        <v>1.045</v>
      </c>
      <c r="BK11" s="23" t="n">
        <f aca="false">1+Assumptions!$C$21*(Assumptions!$C$22*Use_Library!$AH$10/12*Assumptions!$C$24+Assumptions!$C$23)</f>
        <v>1.038675</v>
      </c>
      <c r="BL11" s="23" t="n">
        <f aca="false">1+Assumptions!$C$21*(Assumptions!$C$22*(Use_Library!$AH$10/12*Assumptions!$C$24+IF(Use_Library!$C$10="Income",Use_Library!$AD$10,0)/12*Assumptions!$C$25)+Assumptions!$C$23)</f>
        <v>1.038675</v>
      </c>
      <c r="BM11" s="19" t="n">
        <f aca="false">J11*Assumptions!$C$31*(1-Assumptions!$C$17)*U11</f>
        <v>0</v>
      </c>
      <c r="BN11" s="19" t="n">
        <f aca="false">IF(Use_Library!$AJ$10=1,IF(Use_Library!$C$10="For-Sale",S11*Use_Library!$U$10,E11*Use_Library!$AF$10)*(1-Assumptions!$C$17)+BM11,0)*U11</f>
        <v>0</v>
      </c>
      <c r="BO11" s="19" t="n">
        <f aca="false">(BD11-AT11)*(1+Assumptions!$C$11)</f>
        <v>0</v>
      </c>
      <c r="BP11" s="23" t="n">
        <f aca="false">BJ11*BK11</f>
        <v>1.085415375</v>
      </c>
      <c r="BQ11" s="19" t="n">
        <f aca="false">(Parcel!$C$18*BJ11+BO11)*BK11</f>
        <v>325624.6125</v>
      </c>
      <c r="BR11" s="19" t="n">
        <f aca="false">BN11-BQ11</f>
        <v>-325624.6125</v>
      </c>
      <c r="BS11" s="32" t="n">
        <f aca="false">IF(AND(Use_Library!$AJ$10=1,U11=1),MAX(0,((1-Use_Library!$AI$10)*BN11-BO11*BK11)/BP11),0)</f>
        <v>0</v>
      </c>
      <c r="BT11" s="19" t="n">
        <f aca="false">BF11+BG11+BH11+BI11</f>
        <v>0</v>
      </c>
      <c r="BU11" s="23" t="n">
        <f aca="false">BJ11*BL11</f>
        <v>1.085415375</v>
      </c>
      <c r="BV11" s="19" t="n">
        <f aca="false">(Parcel!$C$18*BJ11+BT11)*BL11</f>
        <v>325624.6125</v>
      </c>
      <c r="BW11" s="19" t="n">
        <f aca="false">IF(Use_Library!$C$10="Income",S11*Use_Library!$W$10,0)</f>
        <v>0</v>
      </c>
      <c r="BX11" s="19" t="n">
        <f aca="false">BW11*(1+Use_Library!$X$10)*(1-Use_Library!$Y$10)</f>
        <v>0</v>
      </c>
      <c r="BY11" s="19" t="n">
        <f aca="false">IF(Use_Library!$C$10="Income",S11*Use_Library!$Z$10,0)</f>
        <v>0</v>
      </c>
      <c r="BZ11" s="19" t="n">
        <f aca="false">IF(Use_Library!$C$10="Income",Assumptions!$C$19*Assumptions!$C$20*BV11,0)</f>
        <v>0</v>
      </c>
      <c r="CA11" s="19" t="n">
        <f aca="false">BX11*Use_Library!$AA$10</f>
        <v>0</v>
      </c>
      <c r="CB11" s="19" t="n">
        <f aca="false">(BY11+BZ11)*Use_Library!$AB$10</f>
        <v>0</v>
      </c>
      <c r="CC11" s="19" t="n">
        <f aca="false">BX11-BY11-BZ11-CA11+CB11</f>
        <v>0</v>
      </c>
      <c r="CD11" s="19" t="n">
        <f aca="false">IF(AND(Use_Library!$C$10="Income",Use_Library!$AE$10&gt;0),CC11/Use_Library!$AE$10,0)</f>
        <v>0</v>
      </c>
      <c r="CE11" s="24" t="n">
        <f aca="false">IF(Use_Library!$C$10="Income",-Assumptions!$C$19*Assumptions!$C$20*(1-Use_Library!$AB$10)*BU11,0)</f>
        <v>0</v>
      </c>
      <c r="CF11" s="20" t="n">
        <f aca="false">IF(BV11=0,0,CC11/BV11)</f>
        <v>0</v>
      </c>
      <c r="CG11" s="19" t="n">
        <f aca="false">IF(Use_Library!$AK$10=1,IF(Use_Library!$C$10="Income",CD11*(1-Assumptions!$C$18),S11*Use_Library!$V$10*(1-Assumptions!$C$16))+BM11,0)*U11</f>
        <v>0</v>
      </c>
      <c r="CH11" s="24" t="n">
        <f aca="false">IF(AND(Use_Library!$AK$10=1,Use_Library!$C$10="Income",Use_Library!$AE$10&gt;0),CE11/Use_Library!$AE$10*(1-Assumptions!$C$18),0)</f>
        <v>0</v>
      </c>
      <c r="CI11" s="19" t="n">
        <f aca="false">CG11-BV11</f>
        <v>-325624.6125</v>
      </c>
      <c r="CJ11" s="32" t="n">
        <f aca="false">IF(AND(Use_Library!$AK$10=1,U11=1),MAX(0,Parcel!$C$18-((1-Use_Library!$AI$10)*CG11-BV11)/((1-Use_Library!$AI$10)*CH11-BU11)),0)</f>
        <v>0</v>
      </c>
      <c r="CK11" s="19" t="n">
        <f aca="false">IF(Use_Library!$AL$10=1,IF(Use_Library!$C$10="Income",CD11,IF(Use_Library!$AE$10&gt;0,E11*Use_Library!$AG$10/Use_Library!$AE$10,0))+BM11,0)*U11</f>
        <v>0</v>
      </c>
      <c r="CL11" s="19" t="n">
        <f aca="false">IF(Use_Library!$C$10="Income",BT11,BF11)</f>
        <v>0</v>
      </c>
      <c r="CM11" s="23" t="n">
        <f aca="false">IF(Use_Library!$C$10="Income",BU11,BJ11*BK11)</f>
        <v>1.085415375</v>
      </c>
      <c r="CN11" s="19" t="n">
        <f aca="false">IF(Use_Library!$C$10="Income",BV11,(Parcel!$C$18*BJ11+BF11)*BK11)</f>
        <v>325624.6125</v>
      </c>
      <c r="CO11" s="24" t="n">
        <f aca="false">IF(AND(Use_Library!$AL$10=1,Use_Library!$C$10="Income",Use_Library!$AE$10&gt;0),CE11/Use_Library!$AE$10,0)</f>
        <v>0</v>
      </c>
      <c r="CP11" s="19" t="n">
        <f aca="false">CK11-CN11</f>
        <v>-325624.6125</v>
      </c>
      <c r="CQ11" s="32" t="n">
        <f aca="false">IF(AND(Use_Library!$AL$10=1,U11=1),MAX(0,Parcel!$C$18-((1-Use_Library!$AI$10)*CK11-CN11)/((1-Use_Library!$AI$10)*CO11-CM11)),0)</f>
        <v>0</v>
      </c>
      <c r="CR11" s="19" t="n">
        <f aca="false">IF(Use_Library!$C$10="Income",Assumptions!$C$21*(Parcel!$C$18*BJ11+BT11),0)</f>
        <v>0</v>
      </c>
      <c r="CS11" s="19" t="n">
        <f aca="false">IF(AND(Use_Library!$C$10="Income",CC11&gt;0),MIN(Assumptions!$C$26*CD11,PV(Assumptions!$C$29/12,Assumptions!$C$30*12,-CC11/Assumptions!$C$27/12),CC11/Assumptions!$C$28),0)</f>
        <v>0</v>
      </c>
      <c r="CT11" s="25" t="n">
        <f aca="false">IF(CS11=0,0,CC11/(-PMT(Assumptions!$C$29/12,Assumptions!$C$30*12,CS11)*12))</f>
        <v>0</v>
      </c>
      <c r="CU11" s="19" t="n">
        <f aca="false">CS11-CR11</f>
        <v>0</v>
      </c>
      <c r="CV11" s="18" t="n">
        <f aca="false">MAX(BS11,CJ11,CQ11)</f>
        <v>0</v>
      </c>
      <c r="CW11" s="9" t="str">
        <f aca="false">IF(CV11&lt;=0,"None works",IF(BS11=CV11,"Land / pad sale",IF(CJ11=CV11,"Build &amp; sell","Build &amp; hold / lease")))</f>
        <v>None works</v>
      </c>
      <c r="CX11" s="19" t="n">
        <f aca="false">CV11*(1-Assumptions!$C$32)</f>
        <v>0</v>
      </c>
      <c r="CY11" s="19" t="n">
        <f aca="false">CV11-Parcel!$C$18</f>
        <v>-300000</v>
      </c>
      <c r="CZ11" s="19" t="n">
        <f aca="false">IF(Parcel!$C$8=0,0,CV11/Parcel!$C$8)</f>
        <v>0</v>
      </c>
      <c r="DA11" s="33" t="n">
        <f aca="false">IF(S11=0,0,CV11/S11)</f>
        <v>0</v>
      </c>
      <c r="DB11" s="9" t="str">
        <f aca="false">TRIM(M11&amp;" "&amp;IF(AND(U11=0,N11=1),"Nothing fits. ","")&amp;IF(Parcel!$C$12&lt;Use_Library!$AM$10,"Frontage under "&amp;Use_Library!$AM$10&amp;" LF. ","")&amp;IF(Parcel!$C$10&gt;0.15,"Slope over 15%. ","")&amp;IF(AND(U11=1,Use_Library!$M$10&gt;0,D11&gt;Use_Library!$M$10),"Only "&amp;Use_Library!$M$10&amp;" ac used - rest resold. ",""))</f>
        <v>Nothing fits.</v>
      </c>
      <c r="DC11" s="19" t="n">
        <f aca="false">CV11+ROW()/1000000</f>
        <v>1.1E-005</v>
      </c>
    </row>
    <row r="12" customFormat="false" ht="15" hidden="false" customHeight="false" outlineLevel="0" collapsed="false">
      <c r="A12" s="4" t="str">
        <f aca="false">Use_Library!$A$11</f>
        <v>Ranchette / acreage lots</v>
      </c>
      <c r="B12" s="9" t="str">
        <f aca="false">Use_Library!$C$11</f>
        <v>For-Sale</v>
      </c>
      <c r="C12" s="9" t="str">
        <f aca="false">Use_Library!$D$11</f>
        <v>lot</v>
      </c>
      <c r="D12" s="14" t="n">
        <f aca="false">MAX(0,Parcel!$C$26*(1-Use_Library!$N$11-Assumptions!$C$7))</f>
        <v>14.196</v>
      </c>
      <c r="E12" s="14" t="n">
        <f aca="false">IF(Use_Library!$M$11&gt;0,MIN(D12,Use_Library!$M$11),D12)</f>
        <v>14.196</v>
      </c>
      <c r="F12" s="20" t="n">
        <f aca="false">IF(D12=0,0,E12/D12)</f>
        <v>1</v>
      </c>
      <c r="G12" s="14" t="n">
        <f aca="false">Parcel!$C$26*F12</f>
        <v>15.6</v>
      </c>
      <c r="H12" s="14" t="n">
        <f aca="false">G12*Assumptions!$C$7</f>
        <v>0.624</v>
      </c>
      <c r="I12" s="14" t="n">
        <f aca="false">G12*(1-Use_Library!$N$11)</f>
        <v>14.82</v>
      </c>
      <c r="J12" s="14" t="n">
        <f aca="false">Parcel!$C$8*(1-F12)</f>
        <v>0</v>
      </c>
      <c r="K12" s="15" t="n">
        <f aca="false">IF(AND(Use_Library!$I$11="Y",Parcel!$C$28=0),0,1)</f>
        <v>1</v>
      </c>
      <c r="L12" s="15" t="n">
        <f aca="false">IF(AND(Use_Library!$J$11="Y",Parcel!$C$27=0),0,1)</f>
        <v>1</v>
      </c>
      <c r="M12" s="9" t="str">
        <f aca="false">TRIM(IF(AND(Use_Library!$AN$11&gt;0,Parcel!$C$19&lt;Use_Library!$AN$11),"Traffic under "&amp;TEXT(Use_Library!$AN$11,"#,##0")&amp;" VPD. ","")&amp;IF(AND(Use_Library!$AO$11&gt;0,Parcel!$C$20&lt;Use_Library!$AO$11),"Under "&amp;TEXT(Use_Library!$AO$11,"#,##0")&amp;" households in 3 mi. ","")&amp;IF(AND(Use_Library!$AP$11&gt;0,Parcel!$C$21&gt;Use_Library!$AP$11),"Over "&amp;Use_Library!$AP$11&amp;" mi to highway. ","")&amp;IF(AND(Use_Library!$AQ$11="Y",Parcel!$C$22&lt;&gt;"Y"),"Needs a corner. ","")&amp;IF(AND(Use_Library!$AR$11&gt;0,Parcel!$C$23&gt;Use_Library!$AR$11),"Over "&amp;Use_Library!$AR$11&amp;" mi to substation. ",""))</f>
        <v/>
      </c>
      <c r="N12" s="15" t="n">
        <f aca="false">IF(M12="",1,0)</f>
        <v>1</v>
      </c>
      <c r="O12" s="15" t="n">
        <f aca="false">IF(D12&gt;=Use_Library!$L$11,1,0)</f>
        <v>1</v>
      </c>
      <c r="P12" s="14" t="n">
        <f aca="false">IF(Use_Library!$F$11&gt;0,G12*Use_Library!$F$11,1000000000)</f>
        <v>3.12</v>
      </c>
      <c r="Q12" s="14" t="n">
        <f aca="false">IF(Use_Library!$G$11&gt;0,E12*43560/Use_Library!$G$11,1000000000)</f>
        <v>1000000000</v>
      </c>
      <c r="R12" s="14" t="n">
        <f aca="false">IF(AND(Use_Library!$H$11="Y",Parcel!$C$28=0),E12*(1-Assumptions!$C$8)/IF(Parcel!$C$27=1,Assumptions!$C$9,Assumptions!$C$10),1000000000)</f>
        <v>24.1332</v>
      </c>
      <c r="S12" s="21" t="n">
        <f aca="false">IF(K12*L12*O12*N12=0,0,IF(MIN(P12,Q12,R12)&gt;=1000000000,E12,IF(Use_Library!$E$11="Y",INT(MIN(P12,Q12,R12)),MIN(P12,Q12,R12))))</f>
        <v>3</v>
      </c>
      <c r="T12" s="9" t="str">
        <f aca="false">IF(N12=0,"Location fails",IF(O12=0,"Too small - needs "&amp;Use_Library!$L$11&amp;" usable ac",IF(K12=0,"Needs public sewer",IF(L12=0,"Needs public water",IF(R12&lt;=MIN(P12,Q12),"Septic lot size",IF(Q12&lt;=P12,"Site area / parking","Density"))))))</f>
        <v>Density</v>
      </c>
      <c r="U12" s="15" t="n">
        <f aca="false">IF(S12&gt;0,1,0)</f>
        <v>1</v>
      </c>
      <c r="V12" s="15" t="n">
        <f aca="false">IF(Use_Library!$K$11="Y",1,0)*U12</f>
        <v>1</v>
      </c>
      <c r="W12" s="15" t="n">
        <f aca="false">S12*Use_Library!$O$11*V12</f>
        <v>450</v>
      </c>
      <c r="X12" s="15" t="n">
        <f aca="false">S12*Use_Library!$P$11*V12</f>
        <v>0</v>
      </c>
      <c r="Y12" s="15" t="n">
        <f aca="false">IF(Parcel!$C$27=1,W12+Parcel!$C$29,0)*V12</f>
        <v>450</v>
      </c>
      <c r="Z12" s="14" t="n">
        <f aca="false">S12*Use_Library!$Q$11*Parcel!$C$27*V12</f>
        <v>3</v>
      </c>
      <c r="AA12" s="15" t="n">
        <f aca="false">IF(Parcel!$C$28=1,W12+Parcel!$C$30,0)*V12</f>
        <v>0</v>
      </c>
      <c r="AB12" s="14" t="n">
        <f aca="false">S12*Use_Library!$Q$11*Parcel!$C$28*V12</f>
        <v>0</v>
      </c>
      <c r="AC12" s="14" t="n">
        <f aca="false">IF(Parcel!$C$28=0,S12*Use_Library!$R$11,0)*V12</f>
        <v>3</v>
      </c>
      <c r="AD12" s="14" t="n">
        <f aca="false">IF(Parcel!$C$27=0,S12*Use_Library!$R$11,0)*V12</f>
        <v>0</v>
      </c>
      <c r="AE12" s="14" t="n">
        <f aca="false">I12*Parcel!$C$11*V12</f>
        <v>5.187</v>
      </c>
      <c r="AF12" s="14" t="n">
        <f aca="false">I12*V12</f>
        <v>14.82</v>
      </c>
      <c r="AG12" s="15" t="n">
        <f aca="false">IF(Use_Library!$C$11="For-Sale",IF(Use_Library!$E$11="Y",S12,1),1)*U12</f>
        <v>3</v>
      </c>
      <c r="AH12" s="19" t="n">
        <f aca="false">Cost_Library!$G$5*Parcel!$C$32*U12</f>
        <v>6500</v>
      </c>
      <c r="AI12" s="19" t="n">
        <f aca="false">AG12*Cost_Library!$G$6*Parcel!$C$32</f>
        <v>2700</v>
      </c>
      <c r="AJ12" s="19" t="n">
        <f aca="false">I12*Cost_Library!$G$7*Parcel!$C$32*V12</f>
        <v>74100</v>
      </c>
      <c r="AK12" s="19" t="n">
        <f aca="false">Cost_Library!$G$8*Parcel!$C$32*V12</f>
        <v>5000</v>
      </c>
      <c r="AL12" s="19" t="n">
        <f aca="false">AC12*Cost_Library!$G$9*Parcel!$C$32</f>
        <v>1500</v>
      </c>
      <c r="AM12" s="19" t="n">
        <f aca="false">Cost_Library!$G$10*U12</f>
        <v>2800</v>
      </c>
      <c r="AN12" s="19" t="n">
        <f aca="false">Cost_Library!$G$11*Parcel!$C$32*V12</f>
        <v>7500</v>
      </c>
      <c r="AO12" s="19" t="n">
        <f aca="false">Use_Library!$S$11*U12</f>
        <v>10000</v>
      </c>
      <c r="AP12" s="19" t="n">
        <f aca="false">Cost_Library!$G$12*U12</f>
        <v>10000</v>
      </c>
      <c r="AQ12" s="19" t="n">
        <f aca="false">AE12*Cost_Library!$G$13*Parcel!$C$32</f>
        <v>20748</v>
      </c>
      <c r="AR12" s="19" t="n">
        <f aca="false">AF12*Cost_Library!$G$14*Parcel!$C$32*Parcel!$C$33</f>
        <v>74100</v>
      </c>
      <c r="AS12" s="19" t="n">
        <f aca="false">W12*Cost_Library!$G$15*Parcel!$C$32</f>
        <v>67500</v>
      </c>
      <c r="AT12" s="19" t="n">
        <f aca="false">X12*Cost_Library!$G$16*Parcel!$C$32</f>
        <v>0</v>
      </c>
      <c r="AU12" s="19" t="n">
        <f aca="false">H12*Cost_Library!$G$17*Parcel!$C$32*V12</f>
        <v>34320</v>
      </c>
      <c r="AV12" s="19" t="n">
        <f aca="false">G12*Cost_Library!$G$18*Parcel!$C$32*V12</f>
        <v>10920</v>
      </c>
      <c r="AW12" s="19" t="n">
        <f aca="false">Y12*Cost_Library!$G$19*Parcel!$C$32</f>
        <v>22500</v>
      </c>
      <c r="AX12" s="19" t="n">
        <f aca="false">Z12*Cost_Library!$G$20</f>
        <v>7500</v>
      </c>
      <c r="AY12" s="19" t="n">
        <f aca="false">AA12*Cost_Library!$G$21*Parcel!$C$32</f>
        <v>0</v>
      </c>
      <c r="AZ12" s="19" t="n">
        <f aca="false">AB12*Cost_Library!$G$22</f>
        <v>0</v>
      </c>
      <c r="BA12" s="19" t="n">
        <f aca="false">AC12*Cost_Library!$G$23*Parcel!$C$32*Parcel!$C$34</f>
        <v>39600</v>
      </c>
      <c r="BB12" s="19" t="n">
        <f aca="false">AD12*Cost_Library!$G$24*Parcel!$C$32</f>
        <v>0</v>
      </c>
      <c r="BC12" s="19" t="n">
        <f aca="false">W12*Cost_Library!$G$25*Parcel!$C$32</f>
        <v>11250</v>
      </c>
      <c r="BD12" s="19" t="n">
        <f aca="false">SUM(AH12:BC12)</f>
        <v>408538</v>
      </c>
      <c r="BE12" s="19" t="n">
        <f aca="false">BD12*Assumptions!$C$11</f>
        <v>40853.8</v>
      </c>
      <c r="BF12" s="19" t="n">
        <f aca="false">BD12+BE12</f>
        <v>449391.8</v>
      </c>
      <c r="BG12" s="19" t="n">
        <f aca="false">S12*Use_Library!$T$11</f>
        <v>0</v>
      </c>
      <c r="BH12" s="19" t="n">
        <f aca="false">BG12*(Assumptions!$C$12+Assumptions!$C$13)</f>
        <v>0</v>
      </c>
      <c r="BI12" s="19" t="n">
        <f aca="false">S12*Use_Library!$AC$11</f>
        <v>0</v>
      </c>
      <c r="BJ12" s="23" t="n">
        <f aca="false">1+Assumptions!$C$14+Assumptions!$C$15*Use_Library!$AH$11/12</f>
        <v>1.045</v>
      </c>
      <c r="BK12" s="23" t="n">
        <f aca="false">1+Assumptions!$C$21*(Assumptions!$C$22*Use_Library!$AH$11/12*Assumptions!$C$24+Assumptions!$C$23)</f>
        <v>1.038675</v>
      </c>
      <c r="BL12" s="23" t="n">
        <f aca="false">1+Assumptions!$C$21*(Assumptions!$C$22*(Use_Library!$AH$11/12*Assumptions!$C$24+IF(Use_Library!$C$11="Income",Use_Library!$AD$11,0)/12*Assumptions!$C$25)+Assumptions!$C$23)</f>
        <v>1.038675</v>
      </c>
      <c r="BM12" s="19" t="n">
        <f aca="false">J12*Assumptions!$C$31*(1-Assumptions!$C$17)*U12</f>
        <v>0</v>
      </c>
      <c r="BN12" s="19" t="n">
        <f aca="false">IF(Use_Library!$AJ$11=1,IF(Use_Library!$C$11="For-Sale",S12*Use_Library!$U$11,E12*Use_Library!$AF$11)*(1-Assumptions!$C$17)+BM12,0)*U12</f>
        <v>259200</v>
      </c>
      <c r="BO12" s="19" t="n">
        <f aca="false">(BD12-AT12)*(1+Assumptions!$C$11)</f>
        <v>449391.8</v>
      </c>
      <c r="BP12" s="23" t="n">
        <f aca="false">BJ12*BK12</f>
        <v>1.085415375</v>
      </c>
      <c r="BQ12" s="19" t="n">
        <f aca="false">(Parcel!$C$18*BJ12+BO12)*BK12</f>
        <v>792396.640365</v>
      </c>
      <c r="BR12" s="19" t="n">
        <f aca="false">BN12-BQ12</f>
        <v>-533196.640365</v>
      </c>
      <c r="BS12" s="32" t="n">
        <f aca="false">IF(AND(Use_Library!$AJ$11=1,U12=1),MAX(0,((1-Use_Library!$AI$11)*BN12-BO12*BK12)/BP12),0)</f>
        <v>0</v>
      </c>
      <c r="BT12" s="19" t="n">
        <f aca="false">BF12+BG12+BH12+BI12</f>
        <v>449391.8</v>
      </c>
      <c r="BU12" s="23" t="n">
        <f aca="false">BJ12*BL12</f>
        <v>1.085415375</v>
      </c>
      <c r="BV12" s="19" t="n">
        <f aca="false">(Parcel!$C$18*BJ12+BT12)*BL12</f>
        <v>792396.640365</v>
      </c>
      <c r="BW12" s="19" t="n">
        <f aca="false">IF(Use_Library!$C$11="Income",S12*Use_Library!$W$11,0)</f>
        <v>0</v>
      </c>
      <c r="BX12" s="19" t="n">
        <f aca="false">BW12*(1+Use_Library!$X$11)*(1-Use_Library!$Y$11)</f>
        <v>0</v>
      </c>
      <c r="BY12" s="19" t="n">
        <f aca="false">IF(Use_Library!$C$11="Income",S12*Use_Library!$Z$11,0)</f>
        <v>0</v>
      </c>
      <c r="BZ12" s="19" t="n">
        <f aca="false">IF(Use_Library!$C$11="Income",Assumptions!$C$19*Assumptions!$C$20*BV12,0)</f>
        <v>0</v>
      </c>
      <c r="CA12" s="19" t="n">
        <f aca="false">BX12*Use_Library!$AA$11</f>
        <v>0</v>
      </c>
      <c r="CB12" s="19" t="n">
        <f aca="false">(BY12+BZ12)*Use_Library!$AB$11</f>
        <v>0</v>
      </c>
      <c r="CC12" s="19" t="n">
        <f aca="false">BX12-BY12-BZ12-CA12+CB12</f>
        <v>0</v>
      </c>
      <c r="CD12" s="19" t="n">
        <f aca="false">IF(AND(Use_Library!$C$11="Income",Use_Library!$AE$11&gt;0),CC12/Use_Library!$AE$11,0)</f>
        <v>0</v>
      </c>
      <c r="CE12" s="24" t="n">
        <f aca="false">IF(Use_Library!$C$11="Income",-Assumptions!$C$19*Assumptions!$C$20*(1-Use_Library!$AB$11)*BU12,0)</f>
        <v>0</v>
      </c>
      <c r="CF12" s="20" t="n">
        <f aca="false">IF(BV12=0,0,CC12/BV12)</f>
        <v>0</v>
      </c>
      <c r="CG12" s="19" t="n">
        <f aca="false">IF(Use_Library!$AK$11=1,IF(Use_Library!$C$11="Income",CD12*(1-Assumptions!$C$18),S12*Use_Library!$V$11*(1-Assumptions!$C$16))+BM12,0)*U12</f>
        <v>0</v>
      </c>
      <c r="CH12" s="24" t="n">
        <f aca="false">IF(AND(Use_Library!$AK$11=1,Use_Library!$C$11="Income",Use_Library!$AE$11&gt;0),CE12/Use_Library!$AE$11*(1-Assumptions!$C$18),0)</f>
        <v>0</v>
      </c>
      <c r="CI12" s="19" t="n">
        <f aca="false">CG12-BV12</f>
        <v>-792396.640365</v>
      </c>
      <c r="CJ12" s="32" t="n">
        <f aca="false">IF(AND(Use_Library!$AK$11=1,U12=1),MAX(0,Parcel!$C$18-((1-Use_Library!$AI$11)*CG12-BV12)/((1-Use_Library!$AI$11)*CH12-BU12)),0)</f>
        <v>0</v>
      </c>
      <c r="CK12" s="19" t="n">
        <f aca="false">IF(Use_Library!$AL$11=1,IF(Use_Library!$C$11="Income",CD12,IF(Use_Library!$AE$11&gt;0,E12*Use_Library!$AG$11/Use_Library!$AE$11,0))+BM12,0)*U12</f>
        <v>0</v>
      </c>
      <c r="CL12" s="19" t="n">
        <f aca="false">IF(Use_Library!$C$11="Income",BT12,BF12)</f>
        <v>449391.8</v>
      </c>
      <c r="CM12" s="23" t="n">
        <f aca="false">IF(Use_Library!$C$11="Income",BU12,BJ12*BK12)</f>
        <v>1.085415375</v>
      </c>
      <c r="CN12" s="19" t="n">
        <f aca="false">IF(Use_Library!$C$11="Income",BV12,(Parcel!$C$18*BJ12+BF12)*BK12)</f>
        <v>792396.640365</v>
      </c>
      <c r="CO12" s="24" t="n">
        <f aca="false">IF(AND(Use_Library!$AL$11=1,Use_Library!$C$11="Income",Use_Library!$AE$11&gt;0),CE12/Use_Library!$AE$11,0)</f>
        <v>0</v>
      </c>
      <c r="CP12" s="19" t="n">
        <f aca="false">CK12-CN12</f>
        <v>-792396.640365</v>
      </c>
      <c r="CQ12" s="32" t="n">
        <f aca="false">IF(AND(Use_Library!$AL$11=1,U12=1),MAX(0,Parcel!$C$18-((1-Use_Library!$AI$11)*CK12-CN12)/((1-Use_Library!$AI$11)*CO12-CM12)),0)</f>
        <v>0</v>
      </c>
      <c r="CR12" s="19" t="n">
        <f aca="false">IF(Use_Library!$C$11="Income",Assumptions!$C$21*(Parcel!$C$18*BJ12+BT12),0)</f>
        <v>0</v>
      </c>
      <c r="CS12" s="19" t="n">
        <f aca="false">IF(AND(Use_Library!$C$11="Income",CC12&gt;0),MIN(Assumptions!$C$26*CD12,PV(Assumptions!$C$29/12,Assumptions!$C$30*12,-CC12/Assumptions!$C$27/12),CC12/Assumptions!$C$28),0)</f>
        <v>0</v>
      </c>
      <c r="CT12" s="25" t="n">
        <f aca="false">IF(CS12=0,0,CC12/(-PMT(Assumptions!$C$29/12,Assumptions!$C$30*12,CS12)*12))</f>
        <v>0</v>
      </c>
      <c r="CU12" s="19" t="n">
        <f aca="false">CS12-CR12</f>
        <v>0</v>
      </c>
      <c r="CV12" s="18" t="n">
        <f aca="false">MAX(BS12,CJ12,CQ12)</f>
        <v>0</v>
      </c>
      <c r="CW12" s="9" t="str">
        <f aca="false">IF(CV12&lt;=0,"None works",IF(BS12=CV12,"Land / pad sale",IF(CJ12=CV12,"Build &amp; sell","Build &amp; hold / lease")))</f>
        <v>None works</v>
      </c>
      <c r="CX12" s="19" t="n">
        <f aca="false">CV12*(1-Assumptions!$C$32)</f>
        <v>0</v>
      </c>
      <c r="CY12" s="19" t="n">
        <f aca="false">CV12-Parcel!$C$18</f>
        <v>-300000</v>
      </c>
      <c r="CZ12" s="19" t="n">
        <f aca="false">IF(Parcel!$C$8=0,0,CV12/Parcel!$C$8)</f>
        <v>0</v>
      </c>
      <c r="DA12" s="33" t="n">
        <f aca="false">IF(S12=0,0,CV12/S12)</f>
        <v>0</v>
      </c>
      <c r="DB12" s="9" t="str">
        <f aca="false">TRIM(M12&amp;" "&amp;IF(AND(U12=0,N12=1),"Nothing fits. ","")&amp;IF(Parcel!$C$12&lt;Use_Library!$AM$11,"Frontage under "&amp;Use_Library!$AM$11&amp;" LF. ","")&amp;IF(Parcel!$C$10&gt;0.15,"Slope over 15%. ","")&amp;IF(AND(U12=1,Use_Library!$M$11&gt;0,D12&gt;Use_Library!$M$11),"Only "&amp;Use_Library!$M$11&amp;" ac used - rest resold. ",""))</f>
        <v/>
      </c>
      <c r="DC12" s="19" t="n">
        <f aca="false">CV12+ROW()/1000000</f>
        <v>1.2E-005</v>
      </c>
    </row>
    <row r="13" customFormat="false" ht="15" hidden="false" customHeight="false" outlineLevel="0" collapsed="false">
      <c r="A13" s="4" t="str">
        <f aca="false">Use_Library!$A$12</f>
        <v>Garage / car condos</v>
      </c>
      <c r="B13" s="9" t="str">
        <f aca="false">Use_Library!$C$12</f>
        <v>For-Sale</v>
      </c>
      <c r="C13" s="9" t="str">
        <f aca="false">Use_Library!$D$12</f>
        <v>condo</v>
      </c>
      <c r="D13" s="14" t="n">
        <f aca="false">MAX(0,Parcel!$C$26*(1-Use_Library!$N$12-Assumptions!$C$7))</f>
        <v>14.196</v>
      </c>
      <c r="E13" s="14" t="n">
        <f aca="false">IF(Use_Library!$M$12&gt;0,MIN(D13,Use_Library!$M$12),D13)</f>
        <v>14.196</v>
      </c>
      <c r="F13" s="20" t="n">
        <f aca="false">IF(D13=0,0,E13/D13)</f>
        <v>1</v>
      </c>
      <c r="G13" s="14" t="n">
        <f aca="false">Parcel!$C$26*F13</f>
        <v>15.6</v>
      </c>
      <c r="H13" s="14" t="n">
        <f aca="false">G13*Assumptions!$C$7</f>
        <v>0.624</v>
      </c>
      <c r="I13" s="14" t="n">
        <f aca="false">G13*(1-Use_Library!$N$12)</f>
        <v>14.82</v>
      </c>
      <c r="J13" s="14" t="n">
        <f aca="false">Parcel!$C$8*(1-F13)</f>
        <v>0</v>
      </c>
      <c r="K13" s="15" t="n">
        <f aca="false">IF(AND(Use_Library!$I$12="Y",Parcel!$C$28=0),0,1)</f>
        <v>1</v>
      </c>
      <c r="L13" s="15" t="n">
        <f aca="false">IF(AND(Use_Library!$J$12="Y",Parcel!$C$27=0),0,1)</f>
        <v>1</v>
      </c>
      <c r="M13" s="9" t="str">
        <f aca="false">TRIM(IF(AND(Use_Library!$AN$12&gt;0,Parcel!$C$19&lt;Use_Library!$AN$12),"Traffic under "&amp;TEXT(Use_Library!$AN$12,"#,##0")&amp;" VPD. ","")&amp;IF(AND(Use_Library!$AO$12&gt;0,Parcel!$C$20&lt;Use_Library!$AO$12),"Under "&amp;TEXT(Use_Library!$AO$12,"#,##0")&amp;" households in 3 mi. ","")&amp;IF(AND(Use_Library!$AP$12&gt;0,Parcel!$C$21&gt;Use_Library!$AP$12),"Over "&amp;Use_Library!$AP$12&amp;" mi to highway. ","")&amp;IF(AND(Use_Library!$AQ$12="Y",Parcel!$C$22&lt;&gt;"Y"),"Needs a corner. ","")&amp;IF(AND(Use_Library!$AR$12&gt;0,Parcel!$C$23&gt;Use_Library!$AR$12),"Over "&amp;Use_Library!$AR$12&amp;" mi to substation. ",""))</f>
        <v/>
      </c>
      <c r="N13" s="15" t="n">
        <f aca="false">IF(M13="",1,0)</f>
        <v>1</v>
      </c>
      <c r="O13" s="15" t="n">
        <f aca="false">IF(D13&gt;=Use_Library!$L$12,1,0)</f>
        <v>1</v>
      </c>
      <c r="P13" s="14" t="n">
        <f aca="false">IF(Use_Library!$F$12&gt;0,G13*Use_Library!$F$12,1000000000)</f>
        <v>1000000000</v>
      </c>
      <c r="Q13" s="14" t="n">
        <f aca="false">IF(Use_Library!$G$12&gt;0,E13*43560/Use_Library!$G$12,1000000000)</f>
        <v>213.233710344828</v>
      </c>
      <c r="R13" s="14" t="n">
        <f aca="false">IF(AND(Use_Library!$H$12="Y",Parcel!$C$28=0),E13*(1-Assumptions!$C$8)/IF(Parcel!$C$27=1,Assumptions!$C$9,Assumptions!$C$10),1000000000)</f>
        <v>1000000000</v>
      </c>
      <c r="S13" s="21" t="n">
        <f aca="false">IF(K13*L13*O13*N13=0,0,IF(MIN(P13,Q13,R13)&gt;=1000000000,E13,IF(Use_Library!$E$12="Y",INT(MIN(P13,Q13,R13)),MIN(P13,Q13,R13))))</f>
        <v>213</v>
      </c>
      <c r="T13" s="9" t="str">
        <f aca="false">IF(N13=0,"Location fails",IF(O13=0,"Too small - needs "&amp;Use_Library!$L$12&amp;" usable ac",IF(K13=0,"Needs public sewer",IF(L13=0,"Needs public water",IF(R13&lt;=MIN(P13,Q13),"Septic lot size",IF(Q13&lt;=P13,"Site area / parking","Density"))))))</f>
        <v>Site area / parking</v>
      </c>
      <c r="U13" s="15" t="n">
        <f aca="false">IF(S13&gt;0,1,0)</f>
        <v>1</v>
      </c>
      <c r="V13" s="15" t="n">
        <f aca="false">IF(Use_Library!$K$12="Y",1,0)*U13</f>
        <v>1</v>
      </c>
      <c r="W13" s="15" t="n">
        <f aca="false">S13*Use_Library!$O$12*V13</f>
        <v>1704</v>
      </c>
      <c r="X13" s="15" t="n">
        <f aca="false">S13*Use_Library!$P$12*V13</f>
        <v>191700</v>
      </c>
      <c r="Y13" s="15" t="n">
        <f aca="false">IF(Parcel!$C$27=1,W13+Parcel!$C$29,0)*V13</f>
        <v>1704</v>
      </c>
      <c r="Z13" s="14" t="n">
        <f aca="false">S13*Use_Library!$Q$12*Parcel!$C$27*V13</f>
        <v>21.3</v>
      </c>
      <c r="AA13" s="15" t="n">
        <f aca="false">IF(Parcel!$C$28=1,W13+Parcel!$C$30,0)*V13</f>
        <v>0</v>
      </c>
      <c r="AB13" s="14" t="n">
        <f aca="false">S13*Use_Library!$Q$12*Parcel!$C$28*V13</f>
        <v>0</v>
      </c>
      <c r="AC13" s="14" t="n">
        <f aca="false">IF(Parcel!$C$28=0,S13*Use_Library!$R$12,0)*V13</f>
        <v>21.3</v>
      </c>
      <c r="AD13" s="14" t="n">
        <f aca="false">IF(Parcel!$C$27=0,S13*Use_Library!$R$12,0)*V13</f>
        <v>0</v>
      </c>
      <c r="AE13" s="14" t="n">
        <f aca="false">I13*Parcel!$C$11*V13</f>
        <v>5.187</v>
      </c>
      <c r="AF13" s="14" t="n">
        <f aca="false">I13*V13</f>
        <v>14.82</v>
      </c>
      <c r="AG13" s="15" t="n">
        <f aca="false">IF(Use_Library!$C$12="For-Sale",IF(Use_Library!$E$12="Y",S13,1),1)*U13</f>
        <v>213</v>
      </c>
      <c r="AH13" s="19" t="n">
        <f aca="false">Cost_Library!$G$5*Parcel!$C$32*U13</f>
        <v>6500</v>
      </c>
      <c r="AI13" s="19" t="n">
        <f aca="false">AG13*Cost_Library!$G$6*Parcel!$C$32</f>
        <v>191700</v>
      </c>
      <c r="AJ13" s="19" t="n">
        <f aca="false">I13*Cost_Library!$G$7*Parcel!$C$32*V13</f>
        <v>74100</v>
      </c>
      <c r="AK13" s="19" t="n">
        <f aca="false">Cost_Library!$G$8*Parcel!$C$32*V13</f>
        <v>5000</v>
      </c>
      <c r="AL13" s="19" t="n">
        <f aca="false">AC13*Cost_Library!$G$9*Parcel!$C$32</f>
        <v>10650</v>
      </c>
      <c r="AM13" s="19" t="n">
        <f aca="false">Cost_Library!$G$10*U13</f>
        <v>2800</v>
      </c>
      <c r="AN13" s="19" t="n">
        <f aca="false">Cost_Library!$G$11*Parcel!$C$32*V13</f>
        <v>7500</v>
      </c>
      <c r="AO13" s="19" t="n">
        <f aca="false">Use_Library!$S$12*U13</f>
        <v>25000</v>
      </c>
      <c r="AP13" s="19" t="n">
        <f aca="false">Cost_Library!$G$12*U13</f>
        <v>10000</v>
      </c>
      <c r="AQ13" s="19" t="n">
        <f aca="false">AE13*Cost_Library!$G$13*Parcel!$C$32</f>
        <v>20748</v>
      </c>
      <c r="AR13" s="19" t="n">
        <f aca="false">AF13*Cost_Library!$G$14*Parcel!$C$32*Parcel!$C$33</f>
        <v>74100</v>
      </c>
      <c r="AS13" s="19" t="n">
        <f aca="false">W13*Cost_Library!$G$15*Parcel!$C$32</f>
        <v>255600</v>
      </c>
      <c r="AT13" s="19" t="n">
        <f aca="false">X13*Cost_Library!$G$16*Parcel!$C$32</f>
        <v>1150200</v>
      </c>
      <c r="AU13" s="19" t="n">
        <f aca="false">H13*Cost_Library!$G$17*Parcel!$C$32*V13</f>
        <v>34320</v>
      </c>
      <c r="AV13" s="19" t="n">
        <f aca="false">G13*Cost_Library!$G$18*Parcel!$C$32*V13</f>
        <v>10920</v>
      </c>
      <c r="AW13" s="19" t="n">
        <f aca="false">Y13*Cost_Library!$G$19*Parcel!$C$32</f>
        <v>85200</v>
      </c>
      <c r="AX13" s="19" t="n">
        <f aca="false">Z13*Cost_Library!$G$20</f>
        <v>53250</v>
      </c>
      <c r="AY13" s="19" t="n">
        <f aca="false">AA13*Cost_Library!$G$21*Parcel!$C$32</f>
        <v>0</v>
      </c>
      <c r="AZ13" s="19" t="n">
        <f aca="false">AB13*Cost_Library!$G$22</f>
        <v>0</v>
      </c>
      <c r="BA13" s="19" t="n">
        <f aca="false">AC13*Cost_Library!$G$23*Parcel!$C$32*Parcel!$C$34</f>
        <v>281160</v>
      </c>
      <c r="BB13" s="19" t="n">
        <f aca="false">AD13*Cost_Library!$G$24*Parcel!$C$32</f>
        <v>0</v>
      </c>
      <c r="BC13" s="19" t="n">
        <f aca="false">W13*Cost_Library!$G$25*Parcel!$C$32</f>
        <v>42600</v>
      </c>
      <c r="BD13" s="19" t="n">
        <f aca="false">SUM(AH13:BC13)</f>
        <v>2341348</v>
      </c>
      <c r="BE13" s="19" t="n">
        <f aca="false">BD13*Assumptions!$C$11</f>
        <v>234134.8</v>
      </c>
      <c r="BF13" s="19" t="n">
        <f aca="false">BD13+BE13</f>
        <v>2575482.8</v>
      </c>
      <c r="BG13" s="19" t="n">
        <f aca="false">S13*Use_Library!$T$12</f>
        <v>18105000</v>
      </c>
      <c r="BH13" s="19" t="n">
        <f aca="false">BG13*(Assumptions!$C$12+Assumptions!$C$13)</f>
        <v>2353650</v>
      </c>
      <c r="BI13" s="19" t="n">
        <f aca="false">S13*Use_Library!$AC$12</f>
        <v>0</v>
      </c>
      <c r="BJ13" s="23" t="n">
        <f aca="false">1+Assumptions!$C$14+Assumptions!$C$15*Use_Library!$AH$12/12</f>
        <v>1.045</v>
      </c>
      <c r="BK13" s="23" t="n">
        <f aca="false">1+Assumptions!$C$21*(Assumptions!$C$22*Use_Library!$AH$12/12*Assumptions!$C$24+Assumptions!$C$23)</f>
        <v>1.038675</v>
      </c>
      <c r="BL13" s="23" t="n">
        <f aca="false">1+Assumptions!$C$21*(Assumptions!$C$22*(Use_Library!$AH$12/12*Assumptions!$C$24+IF(Use_Library!$C$12="Income",Use_Library!$AD$12,0)/12*Assumptions!$C$25)+Assumptions!$C$23)</f>
        <v>1.038675</v>
      </c>
      <c r="BM13" s="19" t="n">
        <f aca="false">J13*Assumptions!$C$31*(1-Assumptions!$C$17)*U13</f>
        <v>0</v>
      </c>
      <c r="BN13" s="19" t="n">
        <f aca="false">IF(Use_Library!$AJ$12=1,IF(Use_Library!$C$12="For-Sale",S13*Use_Library!$U$12,E13*Use_Library!$AF$12)*(1-Assumptions!$C$17)+BM13,0)*U13</f>
        <v>0</v>
      </c>
      <c r="BO13" s="19" t="n">
        <f aca="false">(BD13-AT13)*(1+Assumptions!$C$11)</f>
        <v>1310262.8</v>
      </c>
      <c r="BP13" s="23" t="n">
        <f aca="false">BJ13*BK13</f>
        <v>1.085415375</v>
      </c>
      <c r="BQ13" s="19" t="n">
        <f aca="false">(Parcel!$C$18*BJ13+BO13)*BK13</f>
        <v>1686561.82629</v>
      </c>
      <c r="BR13" s="19" t="n">
        <f aca="false">BN13-BQ13</f>
        <v>-1686561.82629</v>
      </c>
      <c r="BS13" s="32" t="n">
        <f aca="false">IF(AND(Use_Library!$AJ$12=1,U13=1),MAX(0,((1-Use_Library!$AI$12)*BN13-BO13*BK13)/BP13),0)</f>
        <v>0</v>
      </c>
      <c r="BT13" s="19" t="n">
        <f aca="false">BF13+BG13+BH13+BI13</f>
        <v>23034132.8</v>
      </c>
      <c r="BU13" s="23" t="n">
        <f aca="false">BJ13*BL13</f>
        <v>1.085415375</v>
      </c>
      <c r="BV13" s="19" t="n">
        <f aca="false">(Parcel!$C$18*BJ13+BT13)*BL13</f>
        <v>24250602.49854</v>
      </c>
      <c r="BW13" s="19" t="n">
        <f aca="false">IF(Use_Library!$C$12="Income",S13*Use_Library!$W$12,0)</f>
        <v>0</v>
      </c>
      <c r="BX13" s="19" t="n">
        <f aca="false">BW13*(1+Use_Library!$X$12)*(1-Use_Library!$Y$12)</f>
        <v>0</v>
      </c>
      <c r="BY13" s="19" t="n">
        <f aca="false">IF(Use_Library!$C$12="Income",S13*Use_Library!$Z$12,0)</f>
        <v>0</v>
      </c>
      <c r="BZ13" s="19" t="n">
        <f aca="false">IF(Use_Library!$C$12="Income",Assumptions!$C$19*Assumptions!$C$20*BV13,0)</f>
        <v>0</v>
      </c>
      <c r="CA13" s="19" t="n">
        <f aca="false">BX13*Use_Library!$AA$12</f>
        <v>0</v>
      </c>
      <c r="CB13" s="19" t="n">
        <f aca="false">(BY13+BZ13)*Use_Library!$AB$12</f>
        <v>0</v>
      </c>
      <c r="CC13" s="19" t="n">
        <f aca="false">BX13-BY13-BZ13-CA13+CB13</f>
        <v>0</v>
      </c>
      <c r="CD13" s="19" t="n">
        <f aca="false">IF(AND(Use_Library!$C$12="Income",Use_Library!$AE$12&gt;0),CC13/Use_Library!$AE$12,0)</f>
        <v>0</v>
      </c>
      <c r="CE13" s="24" t="n">
        <f aca="false">IF(Use_Library!$C$12="Income",-Assumptions!$C$19*Assumptions!$C$20*(1-Use_Library!$AB$12)*BU13,0)</f>
        <v>0</v>
      </c>
      <c r="CF13" s="20" t="n">
        <f aca="false">IF(BV13=0,0,CC13/BV13)</f>
        <v>0</v>
      </c>
      <c r="CG13" s="19" t="n">
        <f aca="false">IF(Use_Library!$AK$12=1,IF(Use_Library!$C$12="Income",CD13*(1-Assumptions!$C$18),S13*Use_Library!$V$12*(1-Assumptions!$C$16))+BM13,0)*U13</f>
        <v>27029700</v>
      </c>
      <c r="CH13" s="24" t="n">
        <f aca="false">IF(AND(Use_Library!$AK$12=1,Use_Library!$C$12="Income",Use_Library!$AE$12&gt;0),CE13/Use_Library!$AE$12*(1-Assumptions!$C$18),0)</f>
        <v>0</v>
      </c>
      <c r="CI13" s="19" t="n">
        <f aca="false">CG13-BV13</f>
        <v>2779097.50146</v>
      </c>
      <c r="CJ13" s="32" t="n">
        <f aca="false">IF(AND(Use_Library!$AK$12=1,U13=1),MAX(0,Parcel!$C$18-((1-Use_Library!$AI$12)*CG13-BV13)/((1-Use_Library!$AI$12)*CH13-BU13)),0)</f>
        <v>0</v>
      </c>
      <c r="CK13" s="19" t="n">
        <f aca="false">IF(Use_Library!$AL$12=1,IF(Use_Library!$C$12="Income",CD13,IF(Use_Library!$AE$12&gt;0,E13*Use_Library!$AG$12/Use_Library!$AE$12,0))+BM13,0)*U13</f>
        <v>0</v>
      </c>
      <c r="CL13" s="19" t="n">
        <f aca="false">IF(Use_Library!$C$12="Income",BT13,BF13)</f>
        <v>2575482.8</v>
      </c>
      <c r="CM13" s="23" t="n">
        <f aca="false">IF(Use_Library!$C$12="Income",BU13,BJ13*BK13)</f>
        <v>1.085415375</v>
      </c>
      <c r="CN13" s="19" t="n">
        <f aca="false">IF(Use_Library!$C$12="Income",BV13,(Parcel!$C$18*BJ13+BF13)*BK13)</f>
        <v>3000714.20979</v>
      </c>
      <c r="CO13" s="24" t="n">
        <f aca="false">IF(AND(Use_Library!$AL$12=1,Use_Library!$C$12="Income",Use_Library!$AE$12&gt;0),CE13/Use_Library!$AE$12,0)</f>
        <v>0</v>
      </c>
      <c r="CP13" s="19" t="n">
        <f aca="false">CK13-CN13</f>
        <v>-3000714.20979</v>
      </c>
      <c r="CQ13" s="32" t="n">
        <f aca="false">IF(AND(Use_Library!$AL$12=1,U13=1),MAX(0,Parcel!$C$18-((1-Use_Library!$AI$12)*CK13-CN13)/((1-Use_Library!$AI$12)*CO13-CM13)),0)</f>
        <v>0</v>
      </c>
      <c r="CR13" s="19" t="n">
        <f aca="false">IF(Use_Library!$C$12="Income",Assumptions!$C$21*(Parcel!$C$18*BJ13+BT13),0)</f>
        <v>0</v>
      </c>
      <c r="CS13" s="19" t="n">
        <f aca="false">IF(AND(Use_Library!$C$12="Income",CC13&gt;0),MIN(Assumptions!$C$26*CD13,PV(Assumptions!$C$29/12,Assumptions!$C$30*12,-CC13/Assumptions!$C$27/12),CC13/Assumptions!$C$28),0)</f>
        <v>0</v>
      </c>
      <c r="CT13" s="25" t="n">
        <f aca="false">IF(CS13=0,0,CC13/(-PMT(Assumptions!$C$29/12,Assumptions!$C$30*12,CS13)*12))</f>
        <v>0</v>
      </c>
      <c r="CU13" s="19" t="n">
        <f aca="false">CS13-CR13</f>
        <v>0</v>
      </c>
      <c r="CV13" s="18" t="n">
        <f aca="false">MAX(BS13,CJ13,CQ13)</f>
        <v>0</v>
      </c>
      <c r="CW13" s="9" t="str">
        <f aca="false">IF(CV13&lt;=0,"None works",IF(BS13=CV13,"Land / pad sale",IF(CJ13=CV13,"Build &amp; sell","Build &amp; hold / lease")))</f>
        <v>None works</v>
      </c>
      <c r="CX13" s="19" t="n">
        <f aca="false">CV13*(1-Assumptions!$C$32)</f>
        <v>0</v>
      </c>
      <c r="CY13" s="19" t="n">
        <f aca="false">CV13-Parcel!$C$18</f>
        <v>-300000</v>
      </c>
      <c r="CZ13" s="19" t="n">
        <f aca="false">IF(Parcel!$C$8=0,0,CV13/Parcel!$C$8)</f>
        <v>0</v>
      </c>
      <c r="DA13" s="33" t="n">
        <f aca="false">IF(S13=0,0,CV13/S13)</f>
        <v>0</v>
      </c>
      <c r="DB13" s="9" t="str">
        <f aca="false">TRIM(M13&amp;" "&amp;IF(AND(U13=0,N13=1),"Nothing fits. ","")&amp;IF(Parcel!$C$12&lt;Use_Library!$AM$12,"Frontage under "&amp;Use_Library!$AM$12&amp;" LF. ","")&amp;IF(Parcel!$C$10&gt;0.15,"Slope over 15%. ","")&amp;IF(AND(U13=1,Use_Library!$M$12&gt;0,D13&gt;Use_Library!$M$12),"Only "&amp;Use_Library!$M$12&amp;" ac used - rest resold. ",""))</f>
        <v/>
      </c>
      <c r="DC13" s="19" t="n">
        <f aca="false">CV13+ROW()/1000000</f>
        <v>1.3E-005</v>
      </c>
    </row>
    <row r="14" customFormat="false" ht="15" hidden="false" customHeight="false" outlineLevel="0" collapsed="false">
      <c r="A14" s="4" t="str">
        <f aca="false">Use_Library!$A$13</f>
        <v>Contractor shop condos</v>
      </c>
      <c r="B14" s="9" t="str">
        <f aca="false">Use_Library!$C$13</f>
        <v>For-Sale</v>
      </c>
      <c r="C14" s="9" t="str">
        <f aca="false">Use_Library!$D$13</f>
        <v>condo (2,000 SF)</v>
      </c>
      <c r="D14" s="14" t="n">
        <f aca="false">MAX(0,Parcel!$C$26*(1-Use_Library!$N$13-Assumptions!$C$7))</f>
        <v>14.196</v>
      </c>
      <c r="E14" s="14" t="n">
        <f aca="false">IF(Use_Library!$M$13&gt;0,MIN(D14,Use_Library!$M$13),D14)</f>
        <v>6</v>
      </c>
      <c r="F14" s="20" t="n">
        <f aca="false">IF(D14=0,0,E14/D14)</f>
        <v>0.422654268808115</v>
      </c>
      <c r="G14" s="14" t="n">
        <f aca="false">Parcel!$C$26*F14</f>
        <v>6.59340659340659</v>
      </c>
      <c r="H14" s="14" t="n">
        <f aca="false">G14*Assumptions!$C$7</f>
        <v>0.263736263736264</v>
      </c>
      <c r="I14" s="14" t="n">
        <f aca="false">G14*(1-Use_Library!$N$13)</f>
        <v>6.26373626373626</v>
      </c>
      <c r="J14" s="14" t="n">
        <f aca="false">Parcel!$C$8*(1-F14)</f>
        <v>11.5469146238377</v>
      </c>
      <c r="K14" s="15" t="n">
        <f aca="false">IF(AND(Use_Library!$I$13="Y",Parcel!$C$28=0),0,1)</f>
        <v>1</v>
      </c>
      <c r="L14" s="15" t="n">
        <f aca="false">IF(AND(Use_Library!$J$13="Y",Parcel!$C$27=0),0,1)</f>
        <v>1</v>
      </c>
      <c r="M14" s="9" t="str">
        <f aca="false">TRIM(IF(AND(Use_Library!$AN$13&gt;0,Parcel!$C$19&lt;Use_Library!$AN$13),"Traffic under "&amp;TEXT(Use_Library!$AN$13,"#,##0")&amp;" VPD. ","")&amp;IF(AND(Use_Library!$AO$13&gt;0,Parcel!$C$20&lt;Use_Library!$AO$13),"Under "&amp;TEXT(Use_Library!$AO$13,"#,##0")&amp;" households in 3 mi. ","")&amp;IF(AND(Use_Library!$AP$13&gt;0,Parcel!$C$21&gt;Use_Library!$AP$13),"Over "&amp;Use_Library!$AP$13&amp;" mi to highway. ","")&amp;IF(AND(Use_Library!$AQ$13="Y",Parcel!$C$22&lt;&gt;"Y"),"Needs a corner. ","")&amp;IF(AND(Use_Library!$AR$13&gt;0,Parcel!$C$23&gt;Use_Library!$AR$13),"Over "&amp;Use_Library!$AR$13&amp;" mi to substation. ",""))</f>
        <v/>
      </c>
      <c r="N14" s="15" t="n">
        <f aca="false">IF(M14="",1,0)</f>
        <v>1</v>
      </c>
      <c r="O14" s="15" t="n">
        <f aca="false">IF(D14&gt;=Use_Library!$L$13,1,0)</f>
        <v>1</v>
      </c>
      <c r="P14" s="14" t="n">
        <f aca="false">IF(Use_Library!$F$13&gt;0,G14*Use_Library!$F$13,1000000000)</f>
        <v>1000000000</v>
      </c>
      <c r="Q14" s="14" t="n">
        <f aca="false">IF(Use_Library!$G$13&gt;0,E14*43560/Use_Library!$G$13,1000000000)</f>
        <v>45.8526315789474</v>
      </c>
      <c r="R14" s="14" t="n">
        <f aca="false">IF(AND(Use_Library!$H$13="Y",Parcel!$C$28=0),E14*(1-Assumptions!$C$8)/IF(Parcel!$C$27=1,Assumptions!$C$9,Assumptions!$C$10),1000000000)</f>
        <v>1000000000</v>
      </c>
      <c r="S14" s="21" t="n">
        <f aca="false">IF(K14*L14*O14*N14=0,0,IF(MIN(P14,Q14,R14)&gt;=1000000000,E14,IF(Use_Library!$E$13="Y",INT(MIN(P14,Q14,R14)),MIN(P14,Q14,R14))))</f>
        <v>45</v>
      </c>
      <c r="T14" s="9" t="str">
        <f aca="false">IF(N14=0,"Location fails",IF(O14=0,"Too small - needs "&amp;Use_Library!$L$13&amp;" usable ac",IF(K14=0,"Needs public sewer",IF(L14=0,"Needs public water",IF(R14&lt;=MIN(P14,Q14),"Septic lot size",IF(Q14&lt;=P14,"Site area / parking","Density"))))))</f>
        <v>Site area / parking</v>
      </c>
      <c r="U14" s="15" t="n">
        <f aca="false">IF(S14&gt;0,1,0)</f>
        <v>1</v>
      </c>
      <c r="V14" s="15" t="n">
        <f aca="false">IF(Use_Library!$K$13="Y",1,0)*U14</f>
        <v>1</v>
      </c>
      <c r="W14" s="15" t="n">
        <f aca="false">S14*Use_Library!$O$13*V14</f>
        <v>450</v>
      </c>
      <c r="X14" s="15" t="n">
        <f aca="false">S14*Use_Library!$P$13*V14</f>
        <v>112500</v>
      </c>
      <c r="Y14" s="15" t="n">
        <f aca="false">IF(Parcel!$C$27=1,W14+Parcel!$C$29,0)*V14</f>
        <v>450</v>
      </c>
      <c r="Z14" s="14" t="n">
        <f aca="false">S14*Use_Library!$Q$13*Parcel!$C$27*V14</f>
        <v>9</v>
      </c>
      <c r="AA14" s="15" t="n">
        <f aca="false">IF(Parcel!$C$28=1,W14+Parcel!$C$30,0)*V14</f>
        <v>0</v>
      </c>
      <c r="AB14" s="14" t="n">
        <f aca="false">S14*Use_Library!$Q$13*Parcel!$C$28*V14</f>
        <v>0</v>
      </c>
      <c r="AC14" s="14" t="n">
        <f aca="false">IF(Parcel!$C$28=0,S14*Use_Library!$R$13,0)*V14</f>
        <v>9</v>
      </c>
      <c r="AD14" s="14" t="n">
        <f aca="false">IF(Parcel!$C$27=0,S14*Use_Library!$R$13,0)*V14</f>
        <v>0</v>
      </c>
      <c r="AE14" s="14" t="n">
        <f aca="false">I14*Parcel!$C$11*V14</f>
        <v>2.19230769230769</v>
      </c>
      <c r="AF14" s="14" t="n">
        <f aca="false">I14*V14</f>
        <v>6.26373626373626</v>
      </c>
      <c r="AG14" s="15" t="n">
        <f aca="false">IF(Use_Library!$C$13="For-Sale",IF(Use_Library!$E$13="Y",S14,1),1)*U14</f>
        <v>45</v>
      </c>
      <c r="AH14" s="19" t="n">
        <f aca="false">Cost_Library!$G$5*Parcel!$C$32*U14</f>
        <v>6500</v>
      </c>
      <c r="AI14" s="19" t="n">
        <f aca="false">AG14*Cost_Library!$G$6*Parcel!$C$32</f>
        <v>40500</v>
      </c>
      <c r="AJ14" s="19" t="n">
        <f aca="false">I14*Cost_Library!$G$7*Parcel!$C$32*V14</f>
        <v>31318.6813186813</v>
      </c>
      <c r="AK14" s="19" t="n">
        <f aca="false">Cost_Library!$G$8*Parcel!$C$32*V14</f>
        <v>5000</v>
      </c>
      <c r="AL14" s="19" t="n">
        <f aca="false">AC14*Cost_Library!$G$9*Parcel!$C$32</f>
        <v>4500</v>
      </c>
      <c r="AM14" s="19" t="n">
        <f aca="false">Cost_Library!$G$10*U14</f>
        <v>2800</v>
      </c>
      <c r="AN14" s="19" t="n">
        <f aca="false">Cost_Library!$G$11*Parcel!$C$32*V14</f>
        <v>7500</v>
      </c>
      <c r="AO14" s="19" t="n">
        <f aca="false">Use_Library!$S$13*U14</f>
        <v>25000</v>
      </c>
      <c r="AP14" s="19" t="n">
        <f aca="false">Cost_Library!$G$12*U14</f>
        <v>10000</v>
      </c>
      <c r="AQ14" s="19" t="n">
        <f aca="false">AE14*Cost_Library!$G$13*Parcel!$C$32</f>
        <v>8769.23076923077</v>
      </c>
      <c r="AR14" s="19" t="n">
        <f aca="false">AF14*Cost_Library!$G$14*Parcel!$C$32*Parcel!$C$33</f>
        <v>31318.6813186813</v>
      </c>
      <c r="AS14" s="19" t="n">
        <f aca="false">W14*Cost_Library!$G$15*Parcel!$C$32</f>
        <v>67500</v>
      </c>
      <c r="AT14" s="19" t="n">
        <f aca="false">X14*Cost_Library!$G$16*Parcel!$C$32</f>
        <v>675000</v>
      </c>
      <c r="AU14" s="19" t="n">
        <f aca="false">H14*Cost_Library!$G$17*Parcel!$C$32*V14</f>
        <v>14505.4945054945</v>
      </c>
      <c r="AV14" s="19" t="n">
        <f aca="false">G14*Cost_Library!$G$18*Parcel!$C$32*V14</f>
        <v>4615.38461538462</v>
      </c>
      <c r="AW14" s="19" t="n">
        <f aca="false">Y14*Cost_Library!$G$19*Parcel!$C$32</f>
        <v>22500</v>
      </c>
      <c r="AX14" s="19" t="n">
        <f aca="false">Z14*Cost_Library!$G$20</f>
        <v>22500</v>
      </c>
      <c r="AY14" s="19" t="n">
        <f aca="false">AA14*Cost_Library!$G$21*Parcel!$C$32</f>
        <v>0</v>
      </c>
      <c r="AZ14" s="19" t="n">
        <f aca="false">AB14*Cost_Library!$G$22</f>
        <v>0</v>
      </c>
      <c r="BA14" s="19" t="n">
        <f aca="false">AC14*Cost_Library!$G$23*Parcel!$C$32*Parcel!$C$34</f>
        <v>118800</v>
      </c>
      <c r="BB14" s="19" t="n">
        <f aca="false">AD14*Cost_Library!$G$24*Parcel!$C$32</f>
        <v>0</v>
      </c>
      <c r="BC14" s="19" t="n">
        <f aca="false">W14*Cost_Library!$G$25*Parcel!$C$32</f>
        <v>11250</v>
      </c>
      <c r="BD14" s="19" t="n">
        <f aca="false">SUM(AH14:BC14)</f>
        <v>1109877.47252747</v>
      </c>
      <c r="BE14" s="19" t="n">
        <f aca="false">BD14*Assumptions!$C$11</f>
        <v>110987.747252747</v>
      </c>
      <c r="BF14" s="19" t="n">
        <f aca="false">BD14+BE14</f>
        <v>1220865.21978022</v>
      </c>
      <c r="BG14" s="19" t="n">
        <f aca="false">S14*Use_Library!$T$13</f>
        <v>8550000</v>
      </c>
      <c r="BH14" s="19" t="n">
        <f aca="false">BG14*(Assumptions!$C$12+Assumptions!$C$13)</f>
        <v>1111500</v>
      </c>
      <c r="BI14" s="19" t="n">
        <f aca="false">S14*Use_Library!$AC$13</f>
        <v>0</v>
      </c>
      <c r="BJ14" s="23" t="n">
        <f aca="false">1+Assumptions!$C$14+Assumptions!$C$15*Use_Library!$AH$13/12</f>
        <v>1.045</v>
      </c>
      <c r="BK14" s="23" t="n">
        <f aca="false">1+Assumptions!$C$21*(Assumptions!$C$22*Use_Library!$AH$13/12*Assumptions!$C$24+Assumptions!$C$23)</f>
        <v>1.038675</v>
      </c>
      <c r="BL14" s="23" t="n">
        <f aca="false">1+Assumptions!$C$21*(Assumptions!$C$22*(Use_Library!$AH$13/12*Assumptions!$C$24+IF(Use_Library!$C$13="Income",Use_Library!$AD$13,0)/12*Assumptions!$C$25)+Assumptions!$C$23)</f>
        <v>1.038675</v>
      </c>
      <c r="BM14" s="19" t="n">
        <f aca="false">J14*Assumptions!$C$31*(1-Assumptions!$C$17)*U14</f>
        <v>133020.45646661</v>
      </c>
      <c r="BN14" s="19" t="n">
        <f aca="false">IF(Use_Library!$AJ$13=1,IF(Use_Library!$C$13="For-Sale",S14*Use_Library!$U$13,E14*Use_Library!$AF$13)*(1-Assumptions!$C$17)+BM14,0)*U14</f>
        <v>0</v>
      </c>
      <c r="BO14" s="19" t="n">
        <f aca="false">(BD14-AT14)*(1+Assumptions!$C$11)</f>
        <v>478365.21978022</v>
      </c>
      <c r="BP14" s="23" t="n">
        <f aca="false">BJ14*BK14</f>
        <v>1.085415375</v>
      </c>
      <c r="BQ14" s="19" t="n">
        <f aca="false">(Parcel!$C$18*BJ14+BO14)*BK14</f>
        <v>822490.60715522</v>
      </c>
      <c r="BR14" s="19" t="n">
        <f aca="false">BN14-BQ14</f>
        <v>-822490.60715522</v>
      </c>
      <c r="BS14" s="32" t="n">
        <f aca="false">IF(AND(Use_Library!$AJ$13=1,U14=1),MAX(0,((1-Use_Library!$AI$13)*BN14-BO14*BK14)/BP14),0)</f>
        <v>0</v>
      </c>
      <c r="BT14" s="19" t="n">
        <f aca="false">BF14+BG14+BH14+BI14</f>
        <v>10882365.2197802</v>
      </c>
      <c r="BU14" s="23" t="n">
        <f aca="false">BJ14*BL14</f>
        <v>1.085415375</v>
      </c>
      <c r="BV14" s="19" t="n">
        <f aca="false">(Parcel!$C$18*BJ14+BT14)*BL14</f>
        <v>11628865.3071552</v>
      </c>
      <c r="BW14" s="19" t="n">
        <f aca="false">IF(Use_Library!$C$13="Income",S14*Use_Library!$W$13,0)</f>
        <v>0</v>
      </c>
      <c r="BX14" s="19" t="n">
        <f aca="false">BW14*(1+Use_Library!$X$13)*(1-Use_Library!$Y$13)</f>
        <v>0</v>
      </c>
      <c r="BY14" s="19" t="n">
        <f aca="false">IF(Use_Library!$C$13="Income",S14*Use_Library!$Z$13,0)</f>
        <v>0</v>
      </c>
      <c r="BZ14" s="19" t="n">
        <f aca="false">IF(Use_Library!$C$13="Income",Assumptions!$C$19*Assumptions!$C$20*BV14,0)</f>
        <v>0</v>
      </c>
      <c r="CA14" s="19" t="n">
        <f aca="false">BX14*Use_Library!$AA$13</f>
        <v>0</v>
      </c>
      <c r="CB14" s="19" t="n">
        <f aca="false">(BY14+BZ14)*Use_Library!$AB$13</f>
        <v>0</v>
      </c>
      <c r="CC14" s="19" t="n">
        <f aca="false">BX14-BY14-BZ14-CA14+CB14</f>
        <v>0</v>
      </c>
      <c r="CD14" s="19" t="n">
        <f aca="false">IF(AND(Use_Library!$C$13="Income",Use_Library!$AE$13&gt;0),CC14/Use_Library!$AE$13,0)</f>
        <v>0</v>
      </c>
      <c r="CE14" s="24" t="n">
        <f aca="false">IF(Use_Library!$C$13="Income",-Assumptions!$C$19*Assumptions!$C$20*(1-Use_Library!$AB$13)*BU14,0)</f>
        <v>0</v>
      </c>
      <c r="CF14" s="20" t="n">
        <f aca="false">IF(BV14=0,0,CC14/BV14)</f>
        <v>0</v>
      </c>
      <c r="CG14" s="19" t="n">
        <f aca="false">IF(Use_Library!$AK$13=1,IF(Use_Library!$C$13="Income",CD14*(1-Assumptions!$C$18),S14*Use_Library!$V$13*(1-Assumptions!$C$16))+BM14,0)*U14</f>
        <v>11977020.4564666</v>
      </c>
      <c r="CH14" s="24" t="n">
        <f aca="false">IF(AND(Use_Library!$AK$13=1,Use_Library!$C$13="Income",Use_Library!$AE$13&gt;0),CE14/Use_Library!$AE$13*(1-Assumptions!$C$18),0)</f>
        <v>0</v>
      </c>
      <c r="CI14" s="19" t="n">
        <f aca="false">CG14-BV14</f>
        <v>348155.14931139</v>
      </c>
      <c r="CJ14" s="32" t="n">
        <f aca="false">IF(AND(Use_Library!$AK$13=1,U14=1),MAX(0,Parcel!$C$18-((1-Use_Library!$AI$13)*CG14-BV14)/((1-Use_Library!$AI$13)*CH14-BU14)),0)</f>
        <v>0</v>
      </c>
      <c r="CK14" s="19" t="n">
        <f aca="false">IF(Use_Library!$AL$13=1,IF(Use_Library!$C$13="Income",CD14,IF(Use_Library!$AE$13&gt;0,E14*Use_Library!$AG$13/Use_Library!$AE$13,0))+BM14,0)*U14</f>
        <v>0</v>
      </c>
      <c r="CL14" s="19" t="n">
        <f aca="false">IF(Use_Library!$C$13="Income",BT14,BF14)</f>
        <v>1220865.21978022</v>
      </c>
      <c r="CM14" s="23" t="n">
        <f aca="false">IF(Use_Library!$C$13="Income",BU14,BJ14*BK14)</f>
        <v>1.085415375</v>
      </c>
      <c r="CN14" s="19" t="n">
        <f aca="false">IF(Use_Library!$C$13="Income",BV14,(Parcel!$C$18*BJ14+BF14)*BK14)</f>
        <v>1593706.79465522</v>
      </c>
      <c r="CO14" s="24" t="n">
        <f aca="false">IF(AND(Use_Library!$AL$13=1,Use_Library!$C$13="Income",Use_Library!$AE$13&gt;0),CE14/Use_Library!$AE$13,0)</f>
        <v>0</v>
      </c>
      <c r="CP14" s="19" t="n">
        <f aca="false">CK14-CN14</f>
        <v>-1593706.79465522</v>
      </c>
      <c r="CQ14" s="32" t="n">
        <f aca="false">IF(AND(Use_Library!$AL$13=1,U14=1),MAX(0,Parcel!$C$18-((1-Use_Library!$AI$13)*CK14-CN14)/((1-Use_Library!$AI$13)*CO14-CM14)),0)</f>
        <v>0</v>
      </c>
      <c r="CR14" s="19" t="n">
        <f aca="false">IF(Use_Library!$C$13="Income",Assumptions!$C$21*(Parcel!$C$18*BJ14+BT14),0)</f>
        <v>0</v>
      </c>
      <c r="CS14" s="19" t="n">
        <f aca="false">IF(AND(Use_Library!$C$13="Income",CC14&gt;0),MIN(Assumptions!$C$26*CD14,PV(Assumptions!$C$29/12,Assumptions!$C$30*12,-CC14/Assumptions!$C$27/12),CC14/Assumptions!$C$28),0)</f>
        <v>0</v>
      </c>
      <c r="CT14" s="25" t="n">
        <f aca="false">IF(CS14=0,0,CC14/(-PMT(Assumptions!$C$29/12,Assumptions!$C$30*12,CS14)*12))</f>
        <v>0</v>
      </c>
      <c r="CU14" s="19" t="n">
        <f aca="false">CS14-CR14</f>
        <v>0</v>
      </c>
      <c r="CV14" s="18" t="n">
        <f aca="false">MAX(BS14,CJ14,CQ14)</f>
        <v>0</v>
      </c>
      <c r="CW14" s="9" t="str">
        <f aca="false">IF(CV14&lt;=0,"None works",IF(BS14=CV14,"Land / pad sale",IF(CJ14=CV14,"Build &amp; sell","Build &amp; hold / lease")))</f>
        <v>None works</v>
      </c>
      <c r="CX14" s="19" t="n">
        <f aca="false">CV14*(1-Assumptions!$C$32)</f>
        <v>0</v>
      </c>
      <c r="CY14" s="19" t="n">
        <f aca="false">CV14-Parcel!$C$18</f>
        <v>-300000</v>
      </c>
      <c r="CZ14" s="19" t="n">
        <f aca="false">IF(Parcel!$C$8=0,0,CV14/Parcel!$C$8)</f>
        <v>0</v>
      </c>
      <c r="DA14" s="33" t="n">
        <f aca="false">IF(S14=0,0,CV14/S14)</f>
        <v>0</v>
      </c>
      <c r="DB14" s="9" t="str">
        <f aca="false">TRIM(M14&amp;" "&amp;IF(AND(U14=0,N14=1),"Nothing fits. ","")&amp;IF(Parcel!$C$12&lt;Use_Library!$AM$13,"Frontage under "&amp;Use_Library!$AM$13&amp;" LF. ","")&amp;IF(Parcel!$C$10&gt;0.15,"Slope over 15%. ","")&amp;IF(AND(U14=1,Use_Library!$M$13&gt;0,D14&gt;Use_Library!$M$13),"Only "&amp;Use_Library!$M$13&amp;" ac used - rest resold. ",""))</f>
        <v>Only 6 ac used - rest resold.</v>
      </c>
      <c r="DC14" s="19" t="n">
        <f aca="false">CV14+ROW()/1000000</f>
        <v>1.4E-005</v>
      </c>
    </row>
    <row r="15" customFormat="false" ht="15" hidden="false" customHeight="false" outlineLevel="0" collapsed="false">
      <c r="A15" s="4" t="str">
        <f aca="false">Use_Library!$A$14</f>
        <v>Professional office condos</v>
      </c>
      <c r="B15" s="9" t="str">
        <f aca="false">Use_Library!$C$14</f>
        <v>For-Sale</v>
      </c>
      <c r="C15" s="9" t="str">
        <f aca="false">Use_Library!$D$14</f>
        <v>condo (1,500 SF)</v>
      </c>
      <c r="D15" s="14" t="n">
        <f aca="false">MAX(0,Parcel!$C$26*(1-Use_Library!$N$14-Assumptions!$C$7))</f>
        <v>14.196</v>
      </c>
      <c r="E15" s="14" t="n">
        <f aca="false">IF(Use_Library!$M$14&gt;0,MIN(D15,Use_Library!$M$14),D15)</f>
        <v>4</v>
      </c>
      <c r="F15" s="20" t="n">
        <f aca="false">IF(D15=0,0,E15/D15)</f>
        <v>0.281769512538743</v>
      </c>
      <c r="G15" s="14" t="n">
        <f aca="false">Parcel!$C$26*F15</f>
        <v>4.3956043956044</v>
      </c>
      <c r="H15" s="14" t="n">
        <f aca="false">G15*Assumptions!$C$7</f>
        <v>0.175824175824176</v>
      </c>
      <c r="I15" s="14" t="n">
        <f aca="false">G15*(1-Use_Library!$N$14)</f>
        <v>4.17582417582418</v>
      </c>
      <c r="J15" s="14" t="n">
        <f aca="false">Parcel!$C$8*(1-F15)</f>
        <v>14.3646097492251</v>
      </c>
      <c r="K15" s="15" t="n">
        <f aca="false">IF(AND(Use_Library!$I$14="Y",Parcel!$C$28=0),0,1)</f>
        <v>1</v>
      </c>
      <c r="L15" s="15" t="n">
        <f aca="false">IF(AND(Use_Library!$J$14="Y",Parcel!$C$27=0),0,1)</f>
        <v>1</v>
      </c>
      <c r="M15" s="9" t="str">
        <f aca="false">TRIM(IF(AND(Use_Library!$AN$14&gt;0,Parcel!$C$19&lt;Use_Library!$AN$14),"Traffic under "&amp;TEXT(Use_Library!$AN$14,"#,##0")&amp;" VPD. ","")&amp;IF(AND(Use_Library!$AO$14&gt;0,Parcel!$C$20&lt;Use_Library!$AO$14),"Under "&amp;TEXT(Use_Library!$AO$14,"#,##0")&amp;" households in 3 mi. ","")&amp;IF(AND(Use_Library!$AP$14&gt;0,Parcel!$C$21&gt;Use_Library!$AP$14),"Over "&amp;Use_Library!$AP$14&amp;" mi to highway. ","")&amp;IF(AND(Use_Library!$AQ$14="Y",Parcel!$C$22&lt;&gt;"Y"),"Needs a corner. ","")&amp;IF(AND(Use_Library!$AR$14&gt;0,Parcel!$C$23&gt;Use_Library!$AR$14),"Over "&amp;Use_Library!$AR$14&amp;" mi to substation. ",""))</f>
        <v/>
      </c>
      <c r="N15" s="15" t="n">
        <f aca="false">IF(M15="",1,0)</f>
        <v>1</v>
      </c>
      <c r="O15" s="15" t="n">
        <f aca="false">IF(D15&gt;=Use_Library!$L$14,1,0)</f>
        <v>1</v>
      </c>
      <c r="P15" s="14" t="n">
        <f aca="false">IF(Use_Library!$F$14&gt;0,G15*Use_Library!$F$14,1000000000)</f>
        <v>1000000000</v>
      </c>
      <c r="Q15" s="14" t="n">
        <f aca="false">IF(Use_Library!$G$14&gt;0,E15*43560/Use_Library!$G$14,1000000000)</f>
        <v>29.04</v>
      </c>
      <c r="R15" s="14" t="n">
        <f aca="false">IF(AND(Use_Library!$H$14="Y",Parcel!$C$28=0),E15*(1-Assumptions!$C$8)/IF(Parcel!$C$27=1,Assumptions!$C$9,Assumptions!$C$10),1000000000)</f>
        <v>1000000000</v>
      </c>
      <c r="S15" s="21" t="n">
        <f aca="false">IF(K15*L15*O15*N15=0,0,IF(MIN(P15,Q15,R15)&gt;=1000000000,E15,IF(Use_Library!$E$14="Y",INT(MIN(P15,Q15,R15)),MIN(P15,Q15,R15))))</f>
        <v>29</v>
      </c>
      <c r="T15" s="9" t="str">
        <f aca="false">IF(N15=0,"Location fails",IF(O15=0,"Too small - needs "&amp;Use_Library!$L$14&amp;" usable ac",IF(K15=0,"Needs public sewer",IF(L15=0,"Needs public water",IF(R15&lt;=MIN(P15,Q15),"Septic lot size",IF(Q15&lt;=P15,"Site area / parking","Density"))))))</f>
        <v>Site area / parking</v>
      </c>
      <c r="U15" s="15" t="n">
        <f aca="false">IF(S15&gt;0,1,0)</f>
        <v>1</v>
      </c>
      <c r="V15" s="15" t="n">
        <f aca="false">IF(Use_Library!$K$14="Y",1,0)*U15</f>
        <v>1</v>
      </c>
      <c r="W15" s="15" t="n">
        <f aca="false">S15*Use_Library!$O$14*V15</f>
        <v>232</v>
      </c>
      <c r="X15" s="15" t="n">
        <f aca="false">S15*Use_Library!$P$14*V15</f>
        <v>87000</v>
      </c>
      <c r="Y15" s="15" t="n">
        <f aca="false">IF(Parcel!$C$27=1,W15+Parcel!$C$29,0)*V15</f>
        <v>232</v>
      </c>
      <c r="Z15" s="14" t="n">
        <f aca="false">S15*Use_Library!$Q$14*Parcel!$C$27*V15</f>
        <v>7.25</v>
      </c>
      <c r="AA15" s="15" t="n">
        <f aca="false">IF(Parcel!$C$28=1,W15+Parcel!$C$30,0)*V15</f>
        <v>0</v>
      </c>
      <c r="AB15" s="14" t="n">
        <f aca="false">S15*Use_Library!$Q$14*Parcel!$C$28*V15</f>
        <v>0</v>
      </c>
      <c r="AC15" s="14" t="n">
        <f aca="false">IF(Parcel!$C$28=0,S15*Use_Library!$R$14,0)*V15</f>
        <v>7.25</v>
      </c>
      <c r="AD15" s="14" t="n">
        <f aca="false">IF(Parcel!$C$27=0,S15*Use_Library!$R$14,0)*V15</f>
        <v>0</v>
      </c>
      <c r="AE15" s="14" t="n">
        <f aca="false">I15*Parcel!$C$11*V15</f>
        <v>1.46153846153846</v>
      </c>
      <c r="AF15" s="14" t="n">
        <f aca="false">I15*V15</f>
        <v>4.17582417582418</v>
      </c>
      <c r="AG15" s="15" t="n">
        <f aca="false">IF(Use_Library!$C$14="For-Sale",IF(Use_Library!$E$14="Y",S15,1),1)*U15</f>
        <v>29</v>
      </c>
      <c r="AH15" s="19" t="n">
        <f aca="false">Cost_Library!$G$5*Parcel!$C$32*U15</f>
        <v>6500</v>
      </c>
      <c r="AI15" s="19" t="n">
        <f aca="false">AG15*Cost_Library!$G$6*Parcel!$C$32</f>
        <v>26100</v>
      </c>
      <c r="AJ15" s="19" t="n">
        <f aca="false">I15*Cost_Library!$G$7*Parcel!$C$32*V15</f>
        <v>20879.1208791209</v>
      </c>
      <c r="AK15" s="19" t="n">
        <f aca="false">Cost_Library!$G$8*Parcel!$C$32*V15</f>
        <v>5000</v>
      </c>
      <c r="AL15" s="19" t="n">
        <f aca="false">AC15*Cost_Library!$G$9*Parcel!$C$32</f>
        <v>3625</v>
      </c>
      <c r="AM15" s="19" t="n">
        <f aca="false">Cost_Library!$G$10*U15</f>
        <v>2800</v>
      </c>
      <c r="AN15" s="19" t="n">
        <f aca="false">Cost_Library!$G$11*Parcel!$C$32*V15</f>
        <v>7500</v>
      </c>
      <c r="AO15" s="19" t="n">
        <f aca="false">Use_Library!$S$14*U15</f>
        <v>25000</v>
      </c>
      <c r="AP15" s="19" t="n">
        <f aca="false">Cost_Library!$G$12*U15</f>
        <v>10000</v>
      </c>
      <c r="AQ15" s="19" t="n">
        <f aca="false">AE15*Cost_Library!$G$13*Parcel!$C$32</f>
        <v>5846.15384615385</v>
      </c>
      <c r="AR15" s="19" t="n">
        <f aca="false">AF15*Cost_Library!$G$14*Parcel!$C$32*Parcel!$C$33</f>
        <v>20879.1208791209</v>
      </c>
      <c r="AS15" s="19" t="n">
        <f aca="false">W15*Cost_Library!$G$15*Parcel!$C$32</f>
        <v>34800</v>
      </c>
      <c r="AT15" s="19" t="n">
        <f aca="false">X15*Cost_Library!$G$16*Parcel!$C$32</f>
        <v>522000</v>
      </c>
      <c r="AU15" s="19" t="n">
        <f aca="false">H15*Cost_Library!$G$17*Parcel!$C$32*V15</f>
        <v>9670.32967032967</v>
      </c>
      <c r="AV15" s="19" t="n">
        <f aca="false">G15*Cost_Library!$G$18*Parcel!$C$32*V15</f>
        <v>3076.92307692308</v>
      </c>
      <c r="AW15" s="19" t="n">
        <f aca="false">Y15*Cost_Library!$G$19*Parcel!$C$32</f>
        <v>11600</v>
      </c>
      <c r="AX15" s="19" t="n">
        <f aca="false">Z15*Cost_Library!$G$20</f>
        <v>18125</v>
      </c>
      <c r="AY15" s="19" t="n">
        <f aca="false">AA15*Cost_Library!$G$21*Parcel!$C$32</f>
        <v>0</v>
      </c>
      <c r="AZ15" s="19" t="n">
        <f aca="false">AB15*Cost_Library!$G$22</f>
        <v>0</v>
      </c>
      <c r="BA15" s="19" t="n">
        <f aca="false">AC15*Cost_Library!$G$23*Parcel!$C$32*Parcel!$C$34</f>
        <v>95700</v>
      </c>
      <c r="BB15" s="19" t="n">
        <f aca="false">AD15*Cost_Library!$G$24*Parcel!$C$32</f>
        <v>0</v>
      </c>
      <c r="BC15" s="19" t="n">
        <f aca="false">W15*Cost_Library!$G$25*Parcel!$C$32</f>
        <v>5800</v>
      </c>
      <c r="BD15" s="19" t="n">
        <f aca="false">SUM(AH15:BC15)</f>
        <v>834901.648351648</v>
      </c>
      <c r="BE15" s="19" t="n">
        <f aca="false">BD15*Assumptions!$C$11</f>
        <v>83490.1648351649</v>
      </c>
      <c r="BF15" s="19" t="n">
        <f aca="false">BD15+BE15</f>
        <v>918391.813186813</v>
      </c>
      <c r="BG15" s="19" t="n">
        <f aca="false">S15*Use_Library!$T$14</f>
        <v>8700000</v>
      </c>
      <c r="BH15" s="19" t="n">
        <f aca="false">BG15*(Assumptions!$C$12+Assumptions!$C$13)</f>
        <v>1131000</v>
      </c>
      <c r="BI15" s="19" t="n">
        <f aca="false">S15*Use_Library!$AC$14</f>
        <v>0</v>
      </c>
      <c r="BJ15" s="23" t="n">
        <f aca="false">1+Assumptions!$C$14+Assumptions!$C$15*Use_Library!$AH$14/12</f>
        <v>1.045</v>
      </c>
      <c r="BK15" s="23" t="n">
        <f aca="false">1+Assumptions!$C$21*(Assumptions!$C$22*Use_Library!$AH$14/12*Assumptions!$C$24+Assumptions!$C$23)</f>
        <v>1.038675</v>
      </c>
      <c r="BL15" s="23" t="n">
        <f aca="false">1+Assumptions!$C$21*(Assumptions!$C$22*(Use_Library!$AH$14/12*Assumptions!$C$24+IF(Use_Library!$C$14="Income",Use_Library!$AD$14,0)/12*Assumptions!$C$25)+Assumptions!$C$23)</f>
        <v>1.038675</v>
      </c>
      <c r="BM15" s="19" t="n">
        <f aca="false">J15*Assumptions!$C$31*(1-Assumptions!$C$17)*U15</f>
        <v>165480.304311074</v>
      </c>
      <c r="BN15" s="19" t="n">
        <f aca="false">IF(Use_Library!$AJ$14=1,IF(Use_Library!$C$14="For-Sale",S15*Use_Library!$U$14,E15*Use_Library!$AF$14)*(1-Assumptions!$C$17)+BM15,0)*U15</f>
        <v>0</v>
      </c>
      <c r="BO15" s="19" t="n">
        <f aca="false">(BD15-AT15)*(1+Assumptions!$C$11)</f>
        <v>344191.813186813</v>
      </c>
      <c r="BP15" s="23" t="n">
        <f aca="false">BJ15*BK15</f>
        <v>1.085415375</v>
      </c>
      <c r="BQ15" s="19" t="n">
        <f aca="false">(Parcel!$C$18*BJ15+BO15)*BK15</f>
        <v>683128.044061813</v>
      </c>
      <c r="BR15" s="19" t="n">
        <f aca="false">BN15-BQ15</f>
        <v>-683128.044061813</v>
      </c>
      <c r="BS15" s="32" t="n">
        <f aca="false">IF(AND(Use_Library!$AJ$14=1,U15=1),MAX(0,((1-Use_Library!$AI$14)*BN15-BO15*BK15)/BP15),0)</f>
        <v>0</v>
      </c>
      <c r="BT15" s="19" t="n">
        <f aca="false">BF15+BG15+BH15+BI15</f>
        <v>10749391.8131868</v>
      </c>
      <c r="BU15" s="23" t="n">
        <f aca="false">BJ15*BL15</f>
        <v>1.085415375</v>
      </c>
      <c r="BV15" s="19" t="n">
        <f aca="false">(Parcel!$C$18*BJ15+BT15)*BL15</f>
        <v>11490749.1540618</v>
      </c>
      <c r="BW15" s="19" t="n">
        <f aca="false">IF(Use_Library!$C$14="Income",S15*Use_Library!$W$14,0)</f>
        <v>0</v>
      </c>
      <c r="BX15" s="19" t="n">
        <f aca="false">BW15*(1+Use_Library!$X$14)*(1-Use_Library!$Y$14)</f>
        <v>0</v>
      </c>
      <c r="BY15" s="19" t="n">
        <f aca="false">IF(Use_Library!$C$14="Income",S15*Use_Library!$Z$14,0)</f>
        <v>0</v>
      </c>
      <c r="BZ15" s="19" t="n">
        <f aca="false">IF(Use_Library!$C$14="Income",Assumptions!$C$19*Assumptions!$C$20*BV15,0)</f>
        <v>0</v>
      </c>
      <c r="CA15" s="19" t="n">
        <f aca="false">BX15*Use_Library!$AA$14</f>
        <v>0</v>
      </c>
      <c r="CB15" s="19" t="n">
        <f aca="false">(BY15+BZ15)*Use_Library!$AB$14</f>
        <v>0</v>
      </c>
      <c r="CC15" s="19" t="n">
        <f aca="false">BX15-BY15-BZ15-CA15+CB15</f>
        <v>0</v>
      </c>
      <c r="CD15" s="19" t="n">
        <f aca="false">IF(AND(Use_Library!$C$14="Income",Use_Library!$AE$14&gt;0),CC15/Use_Library!$AE$14,0)</f>
        <v>0</v>
      </c>
      <c r="CE15" s="24" t="n">
        <f aca="false">IF(Use_Library!$C$14="Income",-Assumptions!$C$19*Assumptions!$C$20*(1-Use_Library!$AB$14)*BU15,0)</f>
        <v>0</v>
      </c>
      <c r="CF15" s="20" t="n">
        <f aca="false">IF(BV15=0,0,CC15/BV15)</f>
        <v>0</v>
      </c>
      <c r="CG15" s="19" t="n">
        <f aca="false">IF(Use_Library!$AK$14=1,IF(Use_Library!$C$14="Income",CD15*(1-Assumptions!$C$18),S15*Use_Library!$V$14*(1-Assumptions!$C$16))+BM15,0)*U15</f>
        <v>12432480.3043111</v>
      </c>
      <c r="CH15" s="24" t="n">
        <f aca="false">IF(AND(Use_Library!$AK$14=1,Use_Library!$C$14="Income",Use_Library!$AE$14&gt;0),CE15/Use_Library!$AE$14*(1-Assumptions!$C$18),0)</f>
        <v>0</v>
      </c>
      <c r="CI15" s="19" t="n">
        <f aca="false">CG15-BV15</f>
        <v>941731.150249261</v>
      </c>
      <c r="CJ15" s="32" t="n">
        <f aca="false">IF(AND(Use_Library!$AK$14=1,U15=1),MAX(0,Parcel!$C$18-((1-Use_Library!$AI$14)*CG15-BV15)/((1-Use_Library!$AI$14)*CH15-BU15)),0)</f>
        <v>0</v>
      </c>
      <c r="CK15" s="19" t="n">
        <f aca="false">IF(Use_Library!$AL$14=1,IF(Use_Library!$C$14="Income",CD15,IF(Use_Library!$AE$14&gt;0,E15*Use_Library!$AG$14/Use_Library!$AE$14,0))+BM15,0)*U15</f>
        <v>0</v>
      </c>
      <c r="CL15" s="19" t="n">
        <f aca="false">IF(Use_Library!$C$14="Income",BT15,BF15)</f>
        <v>918391.813186813</v>
      </c>
      <c r="CM15" s="23" t="n">
        <f aca="false">IF(Use_Library!$C$14="Income",BU15,BJ15*BK15)</f>
        <v>1.085415375</v>
      </c>
      <c r="CN15" s="19" t="n">
        <f aca="false">IF(Use_Library!$C$14="Income",BV15,(Parcel!$C$18*BJ15+BF15)*BK15)</f>
        <v>1279535.22906181</v>
      </c>
      <c r="CO15" s="24" t="n">
        <f aca="false">IF(AND(Use_Library!$AL$14=1,Use_Library!$C$14="Income",Use_Library!$AE$14&gt;0),CE15/Use_Library!$AE$14,0)</f>
        <v>0</v>
      </c>
      <c r="CP15" s="19" t="n">
        <f aca="false">CK15-CN15</f>
        <v>-1279535.22906181</v>
      </c>
      <c r="CQ15" s="32" t="n">
        <f aca="false">IF(AND(Use_Library!$AL$14=1,U15=1),MAX(0,Parcel!$C$18-((1-Use_Library!$AI$14)*CK15-CN15)/((1-Use_Library!$AI$14)*CO15-CM15)),0)</f>
        <v>0</v>
      </c>
      <c r="CR15" s="19" t="n">
        <f aca="false">IF(Use_Library!$C$14="Income",Assumptions!$C$21*(Parcel!$C$18*BJ15+BT15),0)</f>
        <v>0</v>
      </c>
      <c r="CS15" s="19" t="n">
        <f aca="false">IF(AND(Use_Library!$C$14="Income",CC15&gt;0),MIN(Assumptions!$C$26*CD15,PV(Assumptions!$C$29/12,Assumptions!$C$30*12,-CC15/Assumptions!$C$27/12),CC15/Assumptions!$C$28),0)</f>
        <v>0</v>
      </c>
      <c r="CT15" s="25" t="n">
        <f aca="false">IF(CS15=0,0,CC15/(-PMT(Assumptions!$C$29/12,Assumptions!$C$30*12,CS15)*12))</f>
        <v>0</v>
      </c>
      <c r="CU15" s="19" t="n">
        <f aca="false">CS15-CR15</f>
        <v>0</v>
      </c>
      <c r="CV15" s="18" t="n">
        <f aca="false">MAX(BS15,CJ15,CQ15)</f>
        <v>0</v>
      </c>
      <c r="CW15" s="9" t="str">
        <f aca="false">IF(CV15&lt;=0,"None works",IF(BS15=CV15,"Land / pad sale",IF(CJ15=CV15,"Build &amp; sell","Build &amp; hold / lease")))</f>
        <v>None works</v>
      </c>
      <c r="CX15" s="19" t="n">
        <f aca="false">CV15*(1-Assumptions!$C$32)</f>
        <v>0</v>
      </c>
      <c r="CY15" s="19" t="n">
        <f aca="false">CV15-Parcel!$C$18</f>
        <v>-300000</v>
      </c>
      <c r="CZ15" s="19" t="n">
        <f aca="false">IF(Parcel!$C$8=0,0,CV15/Parcel!$C$8)</f>
        <v>0</v>
      </c>
      <c r="DA15" s="33" t="n">
        <f aca="false">IF(S15=0,0,CV15/S15)</f>
        <v>0</v>
      </c>
      <c r="DB15" s="9" t="str">
        <f aca="false">TRIM(M15&amp;" "&amp;IF(AND(U15=0,N15=1),"Nothing fits. ","")&amp;IF(Parcel!$C$12&lt;Use_Library!$AM$14,"Frontage under "&amp;Use_Library!$AM$14&amp;" LF. ","")&amp;IF(Parcel!$C$10&gt;0.15,"Slope over 15%. ","")&amp;IF(AND(U15=1,Use_Library!$M$14&gt;0,D15&gt;Use_Library!$M$14),"Only "&amp;Use_Library!$M$14&amp;" ac used - rest resold. ",""))</f>
        <v>Only 4 ac used - rest resold.</v>
      </c>
      <c r="DC15" s="19" t="n">
        <f aca="false">CV15+ROW()/1000000</f>
        <v>1.5E-005</v>
      </c>
    </row>
    <row r="16" customFormat="false" ht="15" hidden="false" customHeight="false" outlineLevel="0" collapsed="false">
      <c r="A16" s="4" t="str">
        <f aca="false">Use_Library!$A$15</f>
        <v>Manufactured home community (MHC)</v>
      </c>
      <c r="B16" s="9" t="str">
        <f aca="false">Use_Library!$C$15</f>
        <v>Income</v>
      </c>
      <c r="C16" s="9" t="str">
        <f aca="false">Use_Library!$D$15</f>
        <v>pad</v>
      </c>
      <c r="D16" s="14" t="n">
        <f aca="false">MAX(0,Parcel!$C$26*(1-Use_Library!$N$15-Assumptions!$C$7))</f>
        <v>14.196</v>
      </c>
      <c r="E16" s="14" t="n">
        <f aca="false">IF(Use_Library!$M$15&gt;0,MIN(D16,Use_Library!$M$15),D16)</f>
        <v>14.196</v>
      </c>
      <c r="F16" s="20" t="n">
        <f aca="false">IF(D16=0,0,E16/D16)</f>
        <v>1</v>
      </c>
      <c r="G16" s="14" t="n">
        <f aca="false">Parcel!$C$26*F16</f>
        <v>15.6</v>
      </c>
      <c r="H16" s="14" t="n">
        <f aca="false">G16*Assumptions!$C$7</f>
        <v>0.624</v>
      </c>
      <c r="I16" s="14" t="n">
        <f aca="false">G16*(1-Use_Library!$N$15)</f>
        <v>14.82</v>
      </c>
      <c r="J16" s="14" t="n">
        <f aca="false">Parcel!$C$8*(1-F16)</f>
        <v>0</v>
      </c>
      <c r="K16" s="15" t="n">
        <f aca="false">IF(AND(Use_Library!$I$15="Y",Parcel!$C$28=0),0,1)</f>
        <v>1</v>
      </c>
      <c r="L16" s="15" t="n">
        <f aca="false">IF(AND(Use_Library!$J$15="Y",Parcel!$C$27=0),0,1)</f>
        <v>1</v>
      </c>
      <c r="M16" s="9" t="str">
        <f aca="false">TRIM(IF(AND(Use_Library!$AN$15&gt;0,Parcel!$C$19&lt;Use_Library!$AN$15),"Traffic under "&amp;TEXT(Use_Library!$AN$15,"#,##0")&amp;" VPD. ","")&amp;IF(AND(Use_Library!$AO$15&gt;0,Parcel!$C$20&lt;Use_Library!$AO$15),"Under "&amp;TEXT(Use_Library!$AO$15,"#,##0")&amp;" households in 3 mi. ","")&amp;IF(AND(Use_Library!$AP$15&gt;0,Parcel!$C$21&gt;Use_Library!$AP$15),"Over "&amp;Use_Library!$AP$15&amp;" mi to highway. ","")&amp;IF(AND(Use_Library!$AQ$15="Y",Parcel!$C$22&lt;&gt;"Y"),"Needs a corner. ","")&amp;IF(AND(Use_Library!$AR$15&gt;0,Parcel!$C$23&gt;Use_Library!$AR$15),"Over "&amp;Use_Library!$AR$15&amp;" mi to substation. ",""))</f>
        <v/>
      </c>
      <c r="N16" s="15" t="n">
        <f aca="false">IF(M16="",1,0)</f>
        <v>1</v>
      </c>
      <c r="O16" s="15" t="n">
        <f aca="false">IF(D16&gt;=Use_Library!$L$15,1,0)</f>
        <v>1</v>
      </c>
      <c r="P16" s="14" t="n">
        <f aca="false">IF(Use_Library!$F$15&gt;0,G16*Use_Library!$F$15,1000000000)</f>
        <v>109.2</v>
      </c>
      <c r="Q16" s="14" t="n">
        <f aca="false">IF(Use_Library!$G$15&gt;0,E16*43560/Use_Library!$G$15,1000000000)</f>
        <v>1000000000</v>
      </c>
      <c r="R16" s="14" t="n">
        <f aca="false">IF(AND(Use_Library!$H$15="Y",Parcel!$C$28=0),E16*(1-Assumptions!$C$8)/IF(Parcel!$C$27=1,Assumptions!$C$9,Assumptions!$C$10),1000000000)</f>
        <v>24.1332</v>
      </c>
      <c r="S16" s="21" t="n">
        <f aca="false">IF(K16*L16*O16*N16=0,0,IF(MIN(P16,Q16,R16)&gt;=1000000000,E16,IF(Use_Library!$E$15="Y",INT(MIN(P16,Q16,R16)),MIN(P16,Q16,R16))))</f>
        <v>24</v>
      </c>
      <c r="T16" s="9" t="str">
        <f aca="false">IF(N16=0,"Location fails",IF(O16=0,"Too small - needs "&amp;Use_Library!$L$15&amp;" usable ac",IF(K16=0,"Needs public sewer",IF(L16=0,"Needs public water",IF(R16&lt;=MIN(P16,Q16),"Septic lot size",IF(Q16&lt;=P16,"Site area / parking","Density"))))))</f>
        <v>Septic lot size</v>
      </c>
      <c r="U16" s="15" t="n">
        <f aca="false">IF(S16&gt;0,1,0)</f>
        <v>1</v>
      </c>
      <c r="V16" s="15" t="n">
        <f aca="false">IF(Use_Library!$K$15="Y",1,0)*U16</f>
        <v>1</v>
      </c>
      <c r="W16" s="15" t="n">
        <f aca="false">S16*Use_Library!$O$15*V16</f>
        <v>960</v>
      </c>
      <c r="X16" s="15" t="n">
        <f aca="false">S16*Use_Library!$P$15*V16</f>
        <v>0</v>
      </c>
      <c r="Y16" s="15" t="n">
        <f aca="false">IF(Parcel!$C$27=1,W16+Parcel!$C$29,0)*V16</f>
        <v>960</v>
      </c>
      <c r="Z16" s="14" t="n">
        <f aca="false">S16*Use_Library!$Q$15*Parcel!$C$27*V16</f>
        <v>24</v>
      </c>
      <c r="AA16" s="15" t="n">
        <f aca="false">IF(Parcel!$C$28=1,W16+Parcel!$C$30,0)*V16</f>
        <v>0</v>
      </c>
      <c r="AB16" s="14" t="n">
        <f aca="false">S16*Use_Library!$Q$15*Parcel!$C$28*V16</f>
        <v>0</v>
      </c>
      <c r="AC16" s="14" t="n">
        <f aca="false">IF(Parcel!$C$28=0,S16*Use_Library!$R$15,0)*V16</f>
        <v>24</v>
      </c>
      <c r="AD16" s="14" t="n">
        <f aca="false">IF(Parcel!$C$27=0,S16*Use_Library!$R$15,0)*V16</f>
        <v>0</v>
      </c>
      <c r="AE16" s="14" t="n">
        <f aca="false">I16*Parcel!$C$11*V16</f>
        <v>5.187</v>
      </c>
      <c r="AF16" s="14" t="n">
        <f aca="false">I16*V16</f>
        <v>14.82</v>
      </c>
      <c r="AG16" s="15" t="n">
        <f aca="false">IF(Use_Library!$C$15="For-Sale",IF(Use_Library!$E$15="Y",S16,1),1)*U16</f>
        <v>1</v>
      </c>
      <c r="AH16" s="19" t="n">
        <f aca="false">Cost_Library!$G$5*Parcel!$C$32*U16</f>
        <v>6500</v>
      </c>
      <c r="AI16" s="19" t="n">
        <f aca="false">AG16*Cost_Library!$G$6*Parcel!$C$32</f>
        <v>900</v>
      </c>
      <c r="AJ16" s="19" t="n">
        <f aca="false">I16*Cost_Library!$G$7*Parcel!$C$32*V16</f>
        <v>74100</v>
      </c>
      <c r="AK16" s="19" t="n">
        <f aca="false">Cost_Library!$G$8*Parcel!$C$32*V16</f>
        <v>5000</v>
      </c>
      <c r="AL16" s="19" t="n">
        <f aca="false">AC16*Cost_Library!$G$9*Parcel!$C$32</f>
        <v>12000</v>
      </c>
      <c r="AM16" s="19" t="n">
        <f aca="false">Cost_Library!$G$10*U16</f>
        <v>2800</v>
      </c>
      <c r="AN16" s="19" t="n">
        <f aca="false">Cost_Library!$G$11*Parcel!$C$32*V16</f>
        <v>7500</v>
      </c>
      <c r="AO16" s="19" t="n">
        <f aca="false">Use_Library!$S$15*U16</f>
        <v>40000</v>
      </c>
      <c r="AP16" s="19" t="n">
        <f aca="false">Cost_Library!$G$12*U16</f>
        <v>10000</v>
      </c>
      <c r="AQ16" s="19" t="n">
        <f aca="false">AE16*Cost_Library!$G$13*Parcel!$C$32</f>
        <v>20748</v>
      </c>
      <c r="AR16" s="19" t="n">
        <f aca="false">AF16*Cost_Library!$G$14*Parcel!$C$32*Parcel!$C$33</f>
        <v>74100</v>
      </c>
      <c r="AS16" s="19" t="n">
        <f aca="false">W16*Cost_Library!$G$15*Parcel!$C$32</f>
        <v>144000</v>
      </c>
      <c r="AT16" s="19" t="n">
        <f aca="false">X16*Cost_Library!$G$16*Parcel!$C$32</f>
        <v>0</v>
      </c>
      <c r="AU16" s="19" t="n">
        <f aca="false">H16*Cost_Library!$G$17*Parcel!$C$32*V16</f>
        <v>34320</v>
      </c>
      <c r="AV16" s="19" t="n">
        <f aca="false">G16*Cost_Library!$G$18*Parcel!$C$32*V16</f>
        <v>10920</v>
      </c>
      <c r="AW16" s="19" t="n">
        <f aca="false">Y16*Cost_Library!$G$19*Parcel!$C$32</f>
        <v>48000</v>
      </c>
      <c r="AX16" s="19" t="n">
        <f aca="false">Z16*Cost_Library!$G$20</f>
        <v>60000</v>
      </c>
      <c r="AY16" s="19" t="n">
        <f aca="false">AA16*Cost_Library!$G$21*Parcel!$C$32</f>
        <v>0</v>
      </c>
      <c r="AZ16" s="19" t="n">
        <f aca="false">AB16*Cost_Library!$G$22</f>
        <v>0</v>
      </c>
      <c r="BA16" s="19" t="n">
        <f aca="false">AC16*Cost_Library!$G$23*Parcel!$C$32*Parcel!$C$34</f>
        <v>316800</v>
      </c>
      <c r="BB16" s="19" t="n">
        <f aca="false">AD16*Cost_Library!$G$24*Parcel!$C$32</f>
        <v>0</v>
      </c>
      <c r="BC16" s="19" t="n">
        <f aca="false">W16*Cost_Library!$G$25*Parcel!$C$32</f>
        <v>24000</v>
      </c>
      <c r="BD16" s="19" t="n">
        <f aca="false">SUM(AH16:BC16)</f>
        <v>891688</v>
      </c>
      <c r="BE16" s="19" t="n">
        <f aca="false">BD16*Assumptions!$C$11</f>
        <v>89168.8</v>
      </c>
      <c r="BF16" s="19" t="n">
        <f aca="false">BD16+BE16</f>
        <v>980856.8</v>
      </c>
      <c r="BG16" s="19" t="n">
        <f aca="false">S16*Use_Library!$T$15</f>
        <v>288000</v>
      </c>
      <c r="BH16" s="19" t="n">
        <f aca="false">BG16*(Assumptions!$C$12+Assumptions!$C$13)</f>
        <v>37440</v>
      </c>
      <c r="BI16" s="19" t="n">
        <f aca="false">S16*Use_Library!$AC$15</f>
        <v>0</v>
      </c>
      <c r="BJ16" s="23" t="n">
        <f aca="false">1+Assumptions!$C$14+Assumptions!$C$15*Use_Library!$AH$15/12</f>
        <v>1.045</v>
      </c>
      <c r="BK16" s="23" t="n">
        <f aca="false">1+Assumptions!$C$21*(Assumptions!$C$22*Use_Library!$AH$15/12*Assumptions!$C$24+Assumptions!$C$23)</f>
        <v>1.038675</v>
      </c>
      <c r="BL16" s="23" t="n">
        <f aca="false">1+Assumptions!$C$21*(Assumptions!$C$22*(Use_Library!$AH$15/12*Assumptions!$C$24+IF(Use_Library!$C$15="Income",Use_Library!$AD$15,0)/12*Assumptions!$C$25)+Assumptions!$C$23)</f>
        <v>1.097175</v>
      </c>
      <c r="BM16" s="19" t="n">
        <f aca="false">J16*Assumptions!$C$31*(1-Assumptions!$C$17)*U16</f>
        <v>0</v>
      </c>
      <c r="BN16" s="19" t="n">
        <f aca="false">IF(Use_Library!$AJ$15=1,IF(Use_Library!$C$15="For-Sale",S16*Use_Library!$U$15,E16*Use_Library!$AF$15)*(1-Assumptions!$C$17)+BM16,0)*U16</f>
        <v>545126.4</v>
      </c>
      <c r="BO16" s="19" t="n">
        <f aca="false">(BD16-AT16)*(1+Assumptions!$C$11)</f>
        <v>980856.8</v>
      </c>
      <c r="BP16" s="23" t="n">
        <f aca="false">BJ16*BK16</f>
        <v>1.085415375</v>
      </c>
      <c r="BQ16" s="19" t="n">
        <f aca="false">(Parcel!$C$18*BJ16+BO16)*BK16</f>
        <v>1344416.04924</v>
      </c>
      <c r="BR16" s="19" t="n">
        <f aca="false">BN16-BQ16</f>
        <v>-799289.64924</v>
      </c>
      <c r="BS16" s="32" t="n">
        <f aca="false">IF(AND(Use_Library!$AJ$15=1,U16=1),MAX(0,((1-Use_Library!$AI$15)*BN16-BO16*BK16)/BP16),0)</f>
        <v>0</v>
      </c>
      <c r="BT16" s="19" t="n">
        <f aca="false">BF16+BG16+BH16+BI16</f>
        <v>1306296.8</v>
      </c>
      <c r="BU16" s="23" t="n">
        <f aca="false">BJ16*BL16</f>
        <v>1.146547875</v>
      </c>
      <c r="BV16" s="19" t="n">
        <f aca="false">(Parcel!$C$18*BJ16+BT16)*BL16</f>
        <v>1777200.55404</v>
      </c>
      <c r="BW16" s="19" t="n">
        <f aca="false">IF(Use_Library!$C$15="Income",S16*Use_Library!$W$15,0)</f>
        <v>158400</v>
      </c>
      <c r="BX16" s="19" t="n">
        <f aca="false">BW16*(1+Use_Library!$X$15)*(1-Use_Library!$Y$15)</f>
        <v>154677.6</v>
      </c>
      <c r="BY16" s="19" t="n">
        <f aca="false">IF(Use_Library!$C$15="Income",S16*Use_Library!$Z$15,0)</f>
        <v>28800</v>
      </c>
      <c r="BZ16" s="19" t="n">
        <f aca="false">IF(Use_Library!$C$15="Income",Assumptions!$C$19*Assumptions!$C$20*BV16,0)</f>
        <v>33233.650360548</v>
      </c>
      <c r="CA16" s="19" t="n">
        <f aca="false">BX16*Use_Library!$AA$15</f>
        <v>7733.88</v>
      </c>
      <c r="CB16" s="19" t="n">
        <f aca="false">(BY16+BZ16)*Use_Library!$AB$15</f>
        <v>9305.0475540822</v>
      </c>
      <c r="CC16" s="19" t="n">
        <f aca="false">BX16-BY16-BZ16-CA16+CB16</f>
        <v>94215.1171935342</v>
      </c>
      <c r="CD16" s="19" t="n">
        <f aca="false">IF(AND(Use_Library!$C$15="Income",Use_Library!$AE$15&gt;0),CC16/Use_Library!$AE$15,0)</f>
        <v>1449463.34143899</v>
      </c>
      <c r="CE16" s="24" t="n">
        <f aca="false">IF(Use_Library!$C$15="Income",-Assumptions!$C$19*Assumptions!$C$20*(1-Use_Library!$AB$15)*BU16,0)</f>
        <v>-0.018224378473125</v>
      </c>
      <c r="CF16" s="20" t="n">
        <f aca="false">IF(BV16=0,0,CC16/BV16)</f>
        <v>0.0530132161951901</v>
      </c>
      <c r="CG16" s="19" t="n">
        <f aca="false">IF(Use_Library!$AK$15=1,IF(Use_Library!$C$15="Income",CD16*(1-Assumptions!$C$18),S16*Use_Library!$V$15*(1-Assumptions!$C$16))+BM16,0)*U16</f>
        <v>1420474.07461021</v>
      </c>
      <c r="CH16" s="24" t="n">
        <f aca="false">IF(AND(Use_Library!$AK$15=1,Use_Library!$C$15="Income",Use_Library!$AE$15&gt;0),CE16/Use_Library!$AE$15*(1-Assumptions!$C$18),0)</f>
        <v>-0.274767552364038</v>
      </c>
      <c r="CI16" s="19" t="n">
        <f aca="false">CG16-BV16</f>
        <v>-356726.479429793</v>
      </c>
      <c r="CJ16" s="32" t="n">
        <f aca="false">IF(AND(Use_Library!$AK$15=1,U16=1),MAX(0,Parcel!$C$18-((1-Use_Library!$AI$15)*CG16-BV16)/((1-Use_Library!$AI$15)*CH16-BU16)),0)</f>
        <v>0</v>
      </c>
      <c r="CK16" s="19" t="n">
        <f aca="false">IF(Use_Library!$AL$15=1,IF(Use_Library!$C$15="Income",CD16,IF(Use_Library!$AE$15&gt;0,E16*Use_Library!$AG$15/Use_Library!$AE$15,0))+BM16,0)*U16</f>
        <v>1449463.34143899</v>
      </c>
      <c r="CL16" s="19" t="n">
        <f aca="false">IF(Use_Library!$C$15="Income",BT16,BF16)</f>
        <v>1306296.8</v>
      </c>
      <c r="CM16" s="23" t="n">
        <f aca="false">IF(Use_Library!$C$15="Income",BU16,BJ16*BK16)</f>
        <v>1.146547875</v>
      </c>
      <c r="CN16" s="19" t="n">
        <f aca="false">IF(Use_Library!$C$15="Income",BV16,(Parcel!$C$18*BJ16+BF16)*BK16)</f>
        <v>1777200.55404</v>
      </c>
      <c r="CO16" s="24" t="n">
        <f aca="false">IF(AND(Use_Library!$AL$15=1,Use_Library!$C$15="Income",Use_Library!$AE$15&gt;0),CE16/Use_Library!$AE$15,0)</f>
        <v>-0.280375053432692</v>
      </c>
      <c r="CP16" s="19" t="n">
        <f aca="false">CK16-CN16</f>
        <v>-327737.212601013</v>
      </c>
      <c r="CQ16" s="32" t="n">
        <f aca="false">IF(AND(Use_Library!$AL$15=1,U16=1),MAX(0,Parcel!$C$18-((1-Use_Library!$AI$15)*CK16-CN16)/((1-Use_Library!$AI$15)*CO16-CM16)),0)</f>
        <v>0</v>
      </c>
      <c r="CR16" s="19" t="n">
        <f aca="false">IF(Use_Library!$C$15="Income",Assumptions!$C$21*(Parcel!$C$18*BJ16+BT16),0)</f>
        <v>1052867.92</v>
      </c>
      <c r="CS16" s="19" t="n">
        <f aca="false">IF(AND(Use_Library!$C$15="Income",CC16&gt;0),MIN(Assumptions!$C$26*CD16,PV(Assumptions!$C$29/12,Assumptions!$C$30*12,-CC16/Assumptions!$C$27/12),CC16/Assumptions!$C$28),0)</f>
        <v>963455.305444257</v>
      </c>
      <c r="CT16" s="25" t="n">
        <f aca="false">IF(CS16=0,0,CC16/(-PMT(Assumptions!$C$29/12,Assumptions!$C$30*12,CS16)*12))</f>
        <v>1.25</v>
      </c>
      <c r="CU16" s="19" t="n">
        <f aca="false">CS16-CR16</f>
        <v>-89412.6145557432</v>
      </c>
      <c r="CV16" s="18" t="n">
        <f aca="false">MAX(BS16,CJ16,CQ16)</f>
        <v>0</v>
      </c>
      <c r="CW16" s="9" t="str">
        <f aca="false">IF(CV16&lt;=0,"None works",IF(BS16=CV16,"Land / pad sale",IF(CJ16=CV16,"Build &amp; sell","Build &amp; hold / lease")))</f>
        <v>None works</v>
      </c>
      <c r="CX16" s="19" t="n">
        <f aca="false">CV16*(1-Assumptions!$C$32)</f>
        <v>0</v>
      </c>
      <c r="CY16" s="19" t="n">
        <f aca="false">CV16-Parcel!$C$18</f>
        <v>-300000</v>
      </c>
      <c r="CZ16" s="19" t="n">
        <f aca="false">IF(Parcel!$C$8=0,0,CV16/Parcel!$C$8)</f>
        <v>0</v>
      </c>
      <c r="DA16" s="33" t="n">
        <f aca="false">IF(S16=0,0,CV16/S16)</f>
        <v>0</v>
      </c>
      <c r="DB16" s="9" t="str">
        <f aca="false">TRIM(M16&amp;" "&amp;IF(AND(U16=0,N16=1),"Nothing fits. ","")&amp;IF(Parcel!$C$12&lt;Use_Library!$AM$15,"Frontage under "&amp;Use_Library!$AM$15&amp;" LF. ","")&amp;IF(Parcel!$C$10&gt;0.15,"Slope over 15%. ","")&amp;IF(AND(U16=1,Use_Library!$M$15&gt;0,D16&gt;Use_Library!$M$15),"Only "&amp;Use_Library!$M$15&amp;" ac used - rest resold. ",""))</f>
        <v/>
      </c>
      <c r="DC16" s="19" t="n">
        <f aca="false">CV16+ROW()/1000000</f>
        <v>1.6E-005</v>
      </c>
    </row>
    <row r="17" customFormat="false" ht="15" hidden="false" customHeight="false" outlineLevel="0" collapsed="false">
      <c r="A17" s="4" t="str">
        <f aca="false">Use_Library!$A$16</f>
        <v>Workforce / extended-stay RV park</v>
      </c>
      <c r="B17" s="9" t="str">
        <f aca="false">Use_Library!$C$16</f>
        <v>Income</v>
      </c>
      <c r="C17" s="9" t="str">
        <f aca="false">Use_Library!$D$16</f>
        <v>site</v>
      </c>
      <c r="D17" s="14" t="n">
        <f aca="false">MAX(0,Parcel!$C$26*(1-Use_Library!$N$16-Assumptions!$C$7))</f>
        <v>14.196</v>
      </c>
      <c r="E17" s="14" t="n">
        <f aca="false">IF(Use_Library!$M$16&gt;0,MIN(D17,Use_Library!$M$16),D17)</f>
        <v>14.196</v>
      </c>
      <c r="F17" s="20" t="n">
        <f aca="false">IF(D17=0,0,E17/D17)</f>
        <v>1</v>
      </c>
      <c r="G17" s="14" t="n">
        <f aca="false">Parcel!$C$26*F17</f>
        <v>15.6</v>
      </c>
      <c r="H17" s="14" t="n">
        <f aca="false">G17*Assumptions!$C$7</f>
        <v>0.624</v>
      </c>
      <c r="I17" s="14" t="n">
        <f aca="false">G17*(1-Use_Library!$N$16)</f>
        <v>14.82</v>
      </c>
      <c r="J17" s="14" t="n">
        <f aca="false">Parcel!$C$8*(1-F17)</f>
        <v>0</v>
      </c>
      <c r="K17" s="15" t="n">
        <f aca="false">IF(AND(Use_Library!$I$16="Y",Parcel!$C$28=0),0,1)</f>
        <v>1</v>
      </c>
      <c r="L17" s="15" t="n">
        <f aca="false">IF(AND(Use_Library!$J$16="Y",Parcel!$C$27=0),0,1)</f>
        <v>1</v>
      </c>
      <c r="M17" s="9" t="str">
        <f aca="false">TRIM(IF(AND(Use_Library!$AN$16&gt;0,Parcel!$C$19&lt;Use_Library!$AN$16),"Traffic under "&amp;TEXT(Use_Library!$AN$16,"#,##0")&amp;" VPD. ","")&amp;IF(AND(Use_Library!$AO$16&gt;0,Parcel!$C$20&lt;Use_Library!$AO$16),"Under "&amp;TEXT(Use_Library!$AO$16,"#,##0")&amp;" households in 3 mi. ","")&amp;IF(AND(Use_Library!$AP$16&gt;0,Parcel!$C$21&gt;Use_Library!$AP$16),"Over "&amp;Use_Library!$AP$16&amp;" mi to highway. ","")&amp;IF(AND(Use_Library!$AQ$16="Y",Parcel!$C$22&lt;&gt;"Y"),"Needs a corner. ","")&amp;IF(AND(Use_Library!$AR$16&gt;0,Parcel!$C$23&gt;Use_Library!$AR$16),"Over "&amp;Use_Library!$AR$16&amp;" mi to substation. ",""))</f>
        <v/>
      </c>
      <c r="N17" s="15" t="n">
        <f aca="false">IF(M17="",1,0)</f>
        <v>1</v>
      </c>
      <c r="O17" s="15" t="n">
        <f aca="false">IF(D17&gt;=Use_Library!$L$16,1,0)</f>
        <v>1</v>
      </c>
      <c r="P17" s="14" t="n">
        <f aca="false">IF(Use_Library!$F$16&gt;0,G17*Use_Library!$F$16,1000000000)</f>
        <v>234</v>
      </c>
      <c r="Q17" s="14" t="n">
        <f aca="false">IF(Use_Library!$G$16&gt;0,E17*43560/Use_Library!$G$16,1000000000)</f>
        <v>1000000000</v>
      </c>
      <c r="R17" s="14" t="n">
        <f aca="false">IF(AND(Use_Library!$H$16="Y",Parcel!$C$28=0),E17*(1-Assumptions!$C$8)/IF(Parcel!$C$27=1,Assumptions!$C$9,Assumptions!$C$10),1000000000)</f>
        <v>1000000000</v>
      </c>
      <c r="S17" s="21" t="n">
        <f aca="false">IF(K17*L17*O17*N17=0,0,IF(MIN(P17,Q17,R17)&gt;=1000000000,E17,IF(Use_Library!$E$16="Y",INT(MIN(P17,Q17,R17)),MIN(P17,Q17,R17))))</f>
        <v>234</v>
      </c>
      <c r="T17" s="9" t="str">
        <f aca="false">IF(N17=0,"Location fails",IF(O17=0,"Too small - needs "&amp;Use_Library!$L$16&amp;" usable ac",IF(K17=0,"Needs public sewer",IF(L17=0,"Needs public water",IF(R17&lt;=MIN(P17,Q17),"Septic lot size",IF(Q17&lt;=P17,"Site area / parking","Density"))))))</f>
        <v>Density</v>
      </c>
      <c r="U17" s="15" t="n">
        <f aca="false">IF(S17&gt;0,1,0)</f>
        <v>1</v>
      </c>
      <c r="V17" s="15" t="n">
        <f aca="false">IF(Use_Library!$K$16="Y",1,0)*U17</f>
        <v>1</v>
      </c>
      <c r="W17" s="15" t="n">
        <f aca="false">S17*Use_Library!$O$16*V17</f>
        <v>7020</v>
      </c>
      <c r="X17" s="15" t="n">
        <f aca="false">S17*Use_Library!$P$16*V17</f>
        <v>0</v>
      </c>
      <c r="Y17" s="15" t="n">
        <f aca="false">IF(Parcel!$C$27=1,W17+Parcel!$C$29,0)*V17</f>
        <v>7020</v>
      </c>
      <c r="Z17" s="14" t="n">
        <f aca="false">S17*Use_Library!$Q$16*Parcel!$C$27*V17</f>
        <v>58.5</v>
      </c>
      <c r="AA17" s="15" t="n">
        <f aca="false">IF(Parcel!$C$28=1,W17+Parcel!$C$30,0)*V17</f>
        <v>0</v>
      </c>
      <c r="AB17" s="14" t="n">
        <f aca="false">S17*Use_Library!$Q$16*Parcel!$C$28*V17</f>
        <v>0</v>
      </c>
      <c r="AC17" s="14" t="n">
        <f aca="false">IF(Parcel!$C$28=0,S17*Use_Library!$R$16,0)*V17</f>
        <v>58.5</v>
      </c>
      <c r="AD17" s="14" t="n">
        <f aca="false">IF(Parcel!$C$27=0,S17*Use_Library!$R$16,0)*V17</f>
        <v>0</v>
      </c>
      <c r="AE17" s="14" t="n">
        <f aca="false">I17*Parcel!$C$11*V17</f>
        <v>5.187</v>
      </c>
      <c r="AF17" s="14" t="n">
        <f aca="false">I17*V17</f>
        <v>14.82</v>
      </c>
      <c r="AG17" s="15" t="n">
        <f aca="false">IF(Use_Library!$C$16="For-Sale",IF(Use_Library!$E$16="Y",S17,1),1)*U17</f>
        <v>1</v>
      </c>
      <c r="AH17" s="19" t="n">
        <f aca="false">Cost_Library!$G$5*Parcel!$C$32*U17</f>
        <v>6500</v>
      </c>
      <c r="AI17" s="19" t="n">
        <f aca="false">AG17*Cost_Library!$G$6*Parcel!$C$32</f>
        <v>900</v>
      </c>
      <c r="AJ17" s="19" t="n">
        <f aca="false">I17*Cost_Library!$G$7*Parcel!$C$32*V17</f>
        <v>74100</v>
      </c>
      <c r="AK17" s="19" t="n">
        <f aca="false">Cost_Library!$G$8*Parcel!$C$32*V17</f>
        <v>5000</v>
      </c>
      <c r="AL17" s="19" t="n">
        <f aca="false">AC17*Cost_Library!$G$9*Parcel!$C$32</f>
        <v>29250</v>
      </c>
      <c r="AM17" s="19" t="n">
        <f aca="false">Cost_Library!$G$10*U17</f>
        <v>2800</v>
      </c>
      <c r="AN17" s="19" t="n">
        <f aca="false">Cost_Library!$G$11*Parcel!$C$32*V17</f>
        <v>7500</v>
      </c>
      <c r="AO17" s="19" t="n">
        <f aca="false">Use_Library!$S$16*U17</f>
        <v>40000</v>
      </c>
      <c r="AP17" s="19" t="n">
        <f aca="false">Cost_Library!$G$12*U17</f>
        <v>10000</v>
      </c>
      <c r="AQ17" s="19" t="n">
        <f aca="false">AE17*Cost_Library!$G$13*Parcel!$C$32</f>
        <v>20748</v>
      </c>
      <c r="AR17" s="19" t="n">
        <f aca="false">AF17*Cost_Library!$G$14*Parcel!$C$32*Parcel!$C$33</f>
        <v>74100</v>
      </c>
      <c r="AS17" s="19" t="n">
        <f aca="false">W17*Cost_Library!$G$15*Parcel!$C$32</f>
        <v>1053000</v>
      </c>
      <c r="AT17" s="19" t="n">
        <f aca="false">X17*Cost_Library!$G$16*Parcel!$C$32</f>
        <v>0</v>
      </c>
      <c r="AU17" s="19" t="n">
        <f aca="false">H17*Cost_Library!$G$17*Parcel!$C$32*V17</f>
        <v>34320</v>
      </c>
      <c r="AV17" s="19" t="n">
        <f aca="false">G17*Cost_Library!$G$18*Parcel!$C$32*V17</f>
        <v>10920</v>
      </c>
      <c r="AW17" s="19" t="n">
        <f aca="false">Y17*Cost_Library!$G$19*Parcel!$C$32</f>
        <v>351000</v>
      </c>
      <c r="AX17" s="19" t="n">
        <f aca="false">Z17*Cost_Library!$G$20</f>
        <v>146250</v>
      </c>
      <c r="AY17" s="19" t="n">
        <f aca="false">AA17*Cost_Library!$G$21*Parcel!$C$32</f>
        <v>0</v>
      </c>
      <c r="AZ17" s="19" t="n">
        <f aca="false">AB17*Cost_Library!$G$22</f>
        <v>0</v>
      </c>
      <c r="BA17" s="19" t="n">
        <f aca="false">AC17*Cost_Library!$G$23*Parcel!$C$32*Parcel!$C$34</f>
        <v>772200</v>
      </c>
      <c r="BB17" s="19" t="n">
        <f aca="false">AD17*Cost_Library!$G$24*Parcel!$C$32</f>
        <v>0</v>
      </c>
      <c r="BC17" s="19" t="n">
        <f aca="false">W17*Cost_Library!$G$25*Parcel!$C$32</f>
        <v>175500</v>
      </c>
      <c r="BD17" s="19" t="n">
        <f aca="false">SUM(AH17:BC17)</f>
        <v>2814088</v>
      </c>
      <c r="BE17" s="19" t="n">
        <f aca="false">BD17*Assumptions!$C$11</f>
        <v>281408.8</v>
      </c>
      <c r="BF17" s="19" t="n">
        <f aca="false">BD17+BE17</f>
        <v>3095496.8</v>
      </c>
      <c r="BG17" s="19" t="n">
        <f aca="false">S17*Use_Library!$T$16</f>
        <v>4212000</v>
      </c>
      <c r="BH17" s="19" t="n">
        <f aca="false">BG17*(Assumptions!$C$12+Assumptions!$C$13)</f>
        <v>547560</v>
      </c>
      <c r="BI17" s="19" t="n">
        <f aca="false">S17*Use_Library!$AC$16</f>
        <v>0</v>
      </c>
      <c r="BJ17" s="23" t="n">
        <f aca="false">1+Assumptions!$C$14+Assumptions!$C$15*Use_Library!$AH$16/12</f>
        <v>1.04083333333333</v>
      </c>
      <c r="BK17" s="23" t="n">
        <f aca="false">1+Assumptions!$C$21*(Assumptions!$C$22*Use_Library!$AH$16/12*Assumptions!$C$24+Assumptions!$C$23)</f>
        <v>1.0333125</v>
      </c>
      <c r="BL17" s="23" t="n">
        <f aca="false">1+Assumptions!$C$21*(Assumptions!$C$22*(Use_Library!$AH$16/12*Assumptions!$C$24+IF(Use_Library!$C$16="Income",Use_Library!$AD$16,0)/12*Assumptions!$C$25)+Assumptions!$C$23)</f>
        <v>1.0625625</v>
      </c>
      <c r="BM17" s="19" t="n">
        <f aca="false">J17*Assumptions!$C$31*(1-Assumptions!$C$17)*U17</f>
        <v>0</v>
      </c>
      <c r="BN17" s="19" t="n">
        <f aca="false">IF(Use_Library!$AJ$16=1,IF(Use_Library!$C$16="For-Sale",S17*Use_Library!$U$16,E17*Use_Library!$AF$16)*(1-Assumptions!$C$17)+BM17,0)*U17</f>
        <v>545126.4</v>
      </c>
      <c r="BO17" s="19" t="n">
        <f aca="false">(BD17-AT17)*(1+Assumptions!$C$11)</f>
        <v>3095496.8</v>
      </c>
      <c r="BP17" s="23" t="n">
        <f aca="false">BJ17*BK17</f>
        <v>1.07550609375</v>
      </c>
      <c r="BQ17" s="19" t="n">
        <f aca="false">(Parcel!$C$18*BJ17+BO17)*BK17</f>
        <v>3521267.365275</v>
      </c>
      <c r="BR17" s="19" t="n">
        <f aca="false">BN17-BQ17</f>
        <v>-2976140.965275</v>
      </c>
      <c r="BS17" s="32" t="n">
        <f aca="false">IF(AND(Use_Library!$AJ$16=1,U17=1),MAX(0,((1-Use_Library!$AI$16)*BN17-BO17*BK17)/BP17),0)</f>
        <v>0</v>
      </c>
      <c r="BT17" s="19" t="n">
        <f aca="false">BF17+BG17+BH17+BI17</f>
        <v>7855056.8</v>
      </c>
      <c r="BU17" s="23" t="n">
        <f aca="false">BJ17*BL17</f>
        <v>1.10595046875</v>
      </c>
      <c r="BV17" s="19" t="n">
        <f aca="false">(Parcel!$C$18*BJ17+BT17)*BL17</f>
        <v>8678273.931675</v>
      </c>
      <c r="BW17" s="19" t="n">
        <f aca="false">IF(Use_Library!$C$16="Income",S17*Use_Library!$W$16,0)</f>
        <v>1825200</v>
      </c>
      <c r="BX17" s="19" t="n">
        <f aca="false">BW17*(1+Use_Library!$X$16)*(1-Use_Library!$Y$16)</f>
        <v>1628991</v>
      </c>
      <c r="BY17" s="19" t="n">
        <f aca="false">IF(Use_Library!$C$16="Income",S17*Use_Library!$Z$16,0)</f>
        <v>421200</v>
      </c>
      <c r="BZ17" s="19" t="n">
        <f aca="false">IF(Use_Library!$C$16="Income",Assumptions!$C$19*Assumptions!$C$20*BV17,0)</f>
        <v>162283.722522323</v>
      </c>
      <c r="CA17" s="19" t="n">
        <f aca="false">BX17*Use_Library!$AA$16</f>
        <v>130319.28</v>
      </c>
      <c r="CB17" s="19" t="n">
        <f aca="false">(BY17+BZ17)*Use_Library!$AB$16</f>
        <v>0</v>
      </c>
      <c r="CC17" s="19" t="n">
        <f aca="false">BX17-BY17-BZ17-CA17+CB17</f>
        <v>915187.997477677</v>
      </c>
      <c r="CD17" s="19" t="n">
        <f aca="false">IF(AND(Use_Library!$C$16="Income",Use_Library!$AE$16&gt;0),CC17/Use_Library!$AE$16,0)</f>
        <v>10766917.6173844</v>
      </c>
      <c r="CE17" s="24" t="n">
        <f aca="false">IF(Use_Library!$C$16="Income",-Assumptions!$C$19*Assumptions!$C$20*(1-Use_Library!$AB$16)*BU17,0)</f>
        <v>-0.020681273765625</v>
      </c>
      <c r="CF17" s="20" t="n">
        <f aca="false">IF(BV17=0,0,CC17/BV17)</f>
        <v>0.105457376050013</v>
      </c>
      <c r="CG17" s="19" t="n">
        <f aca="false">IF(Use_Library!$AK$16=1,IF(Use_Library!$C$16="Income",CD17*(1-Assumptions!$C$18),S17*Use_Library!$V$16*(1-Assumptions!$C$16))+BM17,0)*U17</f>
        <v>10551579.2650368</v>
      </c>
      <c r="CH17" s="24" t="n">
        <f aca="false">IF(AND(Use_Library!$AK$16=1,Use_Library!$C$16="Income",Use_Library!$AE$16&gt;0),CE17/Use_Library!$AE$16*(1-Assumptions!$C$18),0)</f>
        <v>-0.2384429210625</v>
      </c>
      <c r="CI17" s="19" t="n">
        <f aca="false">CG17-BV17</f>
        <v>1873305.33336175</v>
      </c>
      <c r="CJ17" s="32" t="n">
        <f aca="false">IF(AND(Use_Library!$AK$16=1,U17=1),MAX(0,Parcel!$C$18-((1-Use_Library!$AI$16)*CG17-BV17)/((1-Use_Library!$AI$16)*CH17-BU17)),0)</f>
        <v>522040.699405721</v>
      </c>
      <c r="CK17" s="19" t="n">
        <f aca="false">IF(Use_Library!$AL$16=1,IF(Use_Library!$C$16="Income",CD17,IF(Use_Library!$AE$16&gt;0,E17*Use_Library!$AG$16/Use_Library!$AE$16,0))+BM17,0)*U17</f>
        <v>10766917.6173844</v>
      </c>
      <c r="CL17" s="19" t="n">
        <f aca="false">IF(Use_Library!$C$16="Income",BT17,BF17)</f>
        <v>7855056.8</v>
      </c>
      <c r="CM17" s="23" t="n">
        <f aca="false">IF(Use_Library!$C$16="Income",BU17,BJ17*BK17)</f>
        <v>1.10595046875</v>
      </c>
      <c r="CN17" s="19" t="n">
        <f aca="false">IF(Use_Library!$C$16="Income",BV17,(Parcel!$C$18*BJ17+BF17)*BK17)</f>
        <v>8678273.931675</v>
      </c>
      <c r="CO17" s="24" t="n">
        <f aca="false">IF(AND(Use_Library!$AL$16=1,Use_Library!$C$16="Income",Use_Library!$AE$16&gt;0),CE17/Use_Library!$AE$16,0)</f>
        <v>-0.243309103125</v>
      </c>
      <c r="CP17" s="19" t="n">
        <f aca="false">CK17-CN17</f>
        <v>2088643.68570944</v>
      </c>
      <c r="CQ17" s="32" t="n">
        <f aca="false">IF(AND(Use_Library!$AL$16=1,U17=1),MAX(0,Parcel!$C$18-((1-Use_Library!$AI$16)*CK17-CN17)/((1-Use_Library!$AI$16)*CO17-CM17)),0)</f>
        <v>660770.351264103</v>
      </c>
      <c r="CR17" s="19" t="n">
        <f aca="false">IF(Use_Library!$C$16="Income",Assumptions!$C$21*(Parcel!$C$18*BJ17+BT17),0)</f>
        <v>5308749.42</v>
      </c>
      <c r="CS17" s="19" t="n">
        <f aca="false">IF(AND(Use_Library!$C$16="Income",CC17&gt;0),MIN(Assumptions!$C$26*CD17,PV(Assumptions!$C$29/12,Assumptions!$C$30*12,-CC17/Assumptions!$C$27/12),CC17/Assumptions!$C$28),0)</f>
        <v>7536842.33216911</v>
      </c>
      <c r="CT17" s="25" t="n">
        <f aca="false">IF(CS17=0,0,CC17/(-PMT(Assumptions!$C$29/12,Assumptions!$C$30*12,CS17)*12))</f>
        <v>1.55217926884088</v>
      </c>
      <c r="CU17" s="19" t="n">
        <f aca="false">CS17-CR17</f>
        <v>2228092.91216911</v>
      </c>
      <c r="CV17" s="18" t="n">
        <f aca="false">MAX(BS17,CJ17,CQ17)</f>
        <v>660770.351264103</v>
      </c>
      <c r="CW17" s="9" t="str">
        <f aca="false">IF(CV17&lt;=0,"None works",IF(BS17=CV17,"Land / pad sale",IF(CJ17=CV17,"Build &amp; sell","Build &amp; hold / lease")))</f>
        <v>Build &amp; hold / lease</v>
      </c>
      <c r="CX17" s="19" t="n">
        <f aca="false">CV17*(1-Assumptions!$C$32)</f>
        <v>561654.798574487</v>
      </c>
      <c r="CY17" s="19" t="n">
        <f aca="false">CV17-Parcel!$C$18</f>
        <v>360770.351264103</v>
      </c>
      <c r="CZ17" s="19" t="n">
        <f aca="false">IF(Parcel!$C$8=0,0,CV17/Parcel!$C$8)</f>
        <v>33038.5175632051</v>
      </c>
      <c r="DA17" s="33" t="n">
        <f aca="false">IF(S17=0,0,CV17/S17)</f>
        <v>2823.80491993206</v>
      </c>
      <c r="DB17" s="9" t="str">
        <f aca="false">TRIM(M17&amp;" "&amp;IF(AND(U17=0,N17=1),"Nothing fits. ","")&amp;IF(Parcel!$C$12&lt;Use_Library!$AM$16,"Frontage under "&amp;Use_Library!$AM$16&amp;" LF. ","")&amp;IF(Parcel!$C$10&gt;0.15,"Slope over 15%. ","")&amp;IF(AND(U17=1,Use_Library!$M$16&gt;0,D17&gt;Use_Library!$M$16),"Only "&amp;Use_Library!$M$16&amp;" ac used - rest resold. ",""))</f>
        <v/>
      </c>
      <c r="DC17" s="19" t="n">
        <f aca="false">CV17+ROW()/1000000</f>
        <v>660770.351281103</v>
      </c>
    </row>
    <row r="18" customFormat="false" ht="15" hidden="false" customHeight="false" outlineLevel="0" collapsed="false">
      <c r="A18" s="4" t="str">
        <f aca="false">Use_Library!$A$17</f>
        <v>Workforce rental housing (garden)</v>
      </c>
      <c r="B18" s="9" t="str">
        <f aca="false">Use_Library!$C$17</f>
        <v>Income</v>
      </c>
      <c r="C18" s="9" t="str">
        <f aca="false">Use_Library!$D$17</f>
        <v>unit</v>
      </c>
      <c r="D18" s="14" t="n">
        <f aca="false">MAX(0,Parcel!$C$26*(1-Use_Library!$N$17-Assumptions!$C$7))</f>
        <v>14.196</v>
      </c>
      <c r="E18" s="14" t="n">
        <f aca="false">IF(Use_Library!$M$17&gt;0,MIN(D18,Use_Library!$M$17),D18)</f>
        <v>14.196</v>
      </c>
      <c r="F18" s="20" t="n">
        <f aca="false">IF(D18=0,0,E18/D18)</f>
        <v>1</v>
      </c>
      <c r="G18" s="14" t="n">
        <f aca="false">Parcel!$C$26*F18</f>
        <v>15.6</v>
      </c>
      <c r="H18" s="14" t="n">
        <f aca="false">G18*Assumptions!$C$7</f>
        <v>0.624</v>
      </c>
      <c r="I18" s="14" t="n">
        <f aca="false">G18*(1-Use_Library!$N$17)</f>
        <v>14.82</v>
      </c>
      <c r="J18" s="14" t="n">
        <f aca="false">Parcel!$C$8*(1-F18)</f>
        <v>0</v>
      </c>
      <c r="K18" s="15" t="n">
        <f aca="false">IF(AND(Use_Library!$I$17="Y",Parcel!$C$28=0),0,1)</f>
        <v>0</v>
      </c>
      <c r="L18" s="15" t="n">
        <f aca="false">IF(AND(Use_Library!$J$17="Y",Parcel!$C$27=0),0,1)</f>
        <v>1</v>
      </c>
      <c r="M18" s="9" t="str">
        <f aca="false">TRIM(IF(AND(Use_Library!$AN$17&gt;0,Parcel!$C$19&lt;Use_Library!$AN$17),"Traffic under "&amp;TEXT(Use_Library!$AN$17,"#,##0")&amp;" VPD. ","")&amp;IF(AND(Use_Library!$AO$17&gt;0,Parcel!$C$20&lt;Use_Library!$AO$17),"Under "&amp;TEXT(Use_Library!$AO$17,"#,##0")&amp;" households in 3 mi. ","")&amp;IF(AND(Use_Library!$AP$17&gt;0,Parcel!$C$21&gt;Use_Library!$AP$17),"Over "&amp;Use_Library!$AP$17&amp;" mi to highway. ","")&amp;IF(AND(Use_Library!$AQ$17="Y",Parcel!$C$22&lt;&gt;"Y"),"Needs a corner. ","")&amp;IF(AND(Use_Library!$AR$17&gt;0,Parcel!$C$23&gt;Use_Library!$AR$17),"Over "&amp;Use_Library!$AR$17&amp;" mi to substation. ",""))</f>
        <v>Under 4,000 households in 3 mi.</v>
      </c>
      <c r="N18" s="15" t="n">
        <f aca="false">IF(M18="",1,0)</f>
        <v>0</v>
      </c>
      <c r="O18" s="15" t="n">
        <f aca="false">IF(D18&gt;=Use_Library!$L$17,1,0)</f>
        <v>1</v>
      </c>
      <c r="P18" s="14" t="n">
        <f aca="false">IF(Use_Library!$F$17&gt;0,G18*Use_Library!$F$17,1000000000)</f>
        <v>312</v>
      </c>
      <c r="Q18" s="14" t="n">
        <f aca="false">IF(Use_Library!$G$17&gt;0,E18*43560/Use_Library!$G$17,1000000000)</f>
        <v>475.6752</v>
      </c>
      <c r="R18" s="14" t="n">
        <f aca="false">IF(AND(Use_Library!$H$17="Y",Parcel!$C$28=0),E18*(1-Assumptions!$C$8)/IF(Parcel!$C$27=1,Assumptions!$C$9,Assumptions!$C$10),1000000000)</f>
        <v>1000000000</v>
      </c>
      <c r="S18" s="21" t="n">
        <f aca="false">IF(K18*L18*O18*N18=0,0,IF(MIN(P18,Q18,R18)&gt;=1000000000,E18,IF(Use_Library!$E$17="Y",INT(MIN(P18,Q18,R18)),MIN(P18,Q18,R18))))</f>
        <v>0</v>
      </c>
      <c r="T18" s="9" t="str">
        <f aca="false">IF(N18=0,"Location fails",IF(O18=0,"Too small - needs "&amp;Use_Library!$L$17&amp;" usable ac",IF(K18=0,"Needs public sewer",IF(L18=0,"Needs public water",IF(R18&lt;=MIN(P18,Q18),"Septic lot size",IF(Q18&lt;=P18,"Site area / parking","Density"))))))</f>
        <v>Location fails</v>
      </c>
      <c r="U18" s="15" t="n">
        <f aca="false">IF(S18&gt;0,1,0)</f>
        <v>0</v>
      </c>
      <c r="V18" s="15" t="n">
        <f aca="false">IF(Use_Library!$K$17="Y",1,0)*U18</f>
        <v>0</v>
      </c>
      <c r="W18" s="15" t="n">
        <f aca="false">S18*Use_Library!$O$17*V18</f>
        <v>0</v>
      </c>
      <c r="X18" s="15" t="n">
        <f aca="false">S18*Use_Library!$P$17*V18</f>
        <v>0</v>
      </c>
      <c r="Y18" s="15" t="n">
        <f aca="false">IF(Parcel!$C$27=1,W18+Parcel!$C$29,0)*V18</f>
        <v>0</v>
      </c>
      <c r="Z18" s="14" t="n">
        <f aca="false">S18*Use_Library!$Q$17*Parcel!$C$27*V18</f>
        <v>0</v>
      </c>
      <c r="AA18" s="15" t="n">
        <f aca="false">IF(Parcel!$C$28=1,W18+Parcel!$C$30,0)*V18</f>
        <v>0</v>
      </c>
      <c r="AB18" s="14" t="n">
        <f aca="false">S18*Use_Library!$Q$17*Parcel!$C$28*V18</f>
        <v>0</v>
      </c>
      <c r="AC18" s="14" t="n">
        <f aca="false">IF(Parcel!$C$28=0,S18*Use_Library!$R$17,0)*V18</f>
        <v>0</v>
      </c>
      <c r="AD18" s="14" t="n">
        <f aca="false">IF(Parcel!$C$27=0,S18*Use_Library!$R$17,0)*V18</f>
        <v>0</v>
      </c>
      <c r="AE18" s="14" t="n">
        <f aca="false">I18*Parcel!$C$11*V18</f>
        <v>0</v>
      </c>
      <c r="AF18" s="14" t="n">
        <f aca="false">I18*V18</f>
        <v>0</v>
      </c>
      <c r="AG18" s="15" t="n">
        <f aca="false">IF(Use_Library!$C$17="For-Sale",IF(Use_Library!$E$17="Y",S18,1),1)*U18</f>
        <v>0</v>
      </c>
      <c r="AH18" s="19" t="n">
        <f aca="false">Cost_Library!$G$5*Parcel!$C$32*U18</f>
        <v>0</v>
      </c>
      <c r="AI18" s="19" t="n">
        <f aca="false">AG18*Cost_Library!$G$6*Parcel!$C$32</f>
        <v>0</v>
      </c>
      <c r="AJ18" s="19" t="n">
        <f aca="false">I18*Cost_Library!$G$7*Parcel!$C$32*V18</f>
        <v>0</v>
      </c>
      <c r="AK18" s="19" t="n">
        <f aca="false">Cost_Library!$G$8*Parcel!$C$32*V18</f>
        <v>0</v>
      </c>
      <c r="AL18" s="19" t="n">
        <f aca="false">AC18*Cost_Library!$G$9*Parcel!$C$32</f>
        <v>0</v>
      </c>
      <c r="AM18" s="19" t="n">
        <f aca="false">Cost_Library!$G$10*U18</f>
        <v>0</v>
      </c>
      <c r="AN18" s="19" t="n">
        <f aca="false">Cost_Library!$G$11*Parcel!$C$32*V18</f>
        <v>0</v>
      </c>
      <c r="AO18" s="19" t="n">
        <f aca="false">Use_Library!$S$17*U18</f>
        <v>0</v>
      </c>
      <c r="AP18" s="19" t="n">
        <f aca="false">Cost_Library!$G$12*U18</f>
        <v>0</v>
      </c>
      <c r="AQ18" s="19" t="n">
        <f aca="false">AE18*Cost_Library!$G$13*Parcel!$C$32</f>
        <v>0</v>
      </c>
      <c r="AR18" s="19" t="n">
        <f aca="false">AF18*Cost_Library!$G$14*Parcel!$C$32*Parcel!$C$33</f>
        <v>0</v>
      </c>
      <c r="AS18" s="19" t="n">
        <f aca="false">W18*Cost_Library!$G$15*Parcel!$C$32</f>
        <v>0</v>
      </c>
      <c r="AT18" s="19" t="n">
        <f aca="false">X18*Cost_Library!$G$16*Parcel!$C$32</f>
        <v>0</v>
      </c>
      <c r="AU18" s="19" t="n">
        <f aca="false">H18*Cost_Library!$G$17*Parcel!$C$32*V18</f>
        <v>0</v>
      </c>
      <c r="AV18" s="19" t="n">
        <f aca="false">G18*Cost_Library!$G$18*Parcel!$C$32*V18</f>
        <v>0</v>
      </c>
      <c r="AW18" s="19" t="n">
        <f aca="false">Y18*Cost_Library!$G$19*Parcel!$C$32</f>
        <v>0</v>
      </c>
      <c r="AX18" s="19" t="n">
        <f aca="false">Z18*Cost_Library!$G$20</f>
        <v>0</v>
      </c>
      <c r="AY18" s="19" t="n">
        <f aca="false">AA18*Cost_Library!$G$21*Parcel!$C$32</f>
        <v>0</v>
      </c>
      <c r="AZ18" s="19" t="n">
        <f aca="false">AB18*Cost_Library!$G$22</f>
        <v>0</v>
      </c>
      <c r="BA18" s="19" t="n">
        <f aca="false">AC18*Cost_Library!$G$23*Parcel!$C$32*Parcel!$C$34</f>
        <v>0</v>
      </c>
      <c r="BB18" s="19" t="n">
        <f aca="false">AD18*Cost_Library!$G$24*Parcel!$C$32</f>
        <v>0</v>
      </c>
      <c r="BC18" s="19" t="n">
        <f aca="false">W18*Cost_Library!$G$25*Parcel!$C$32</f>
        <v>0</v>
      </c>
      <c r="BD18" s="19" t="n">
        <f aca="false">SUM(AH18:BC18)</f>
        <v>0</v>
      </c>
      <c r="BE18" s="19" t="n">
        <f aca="false">BD18*Assumptions!$C$11</f>
        <v>0</v>
      </c>
      <c r="BF18" s="19" t="n">
        <f aca="false">BD18+BE18</f>
        <v>0</v>
      </c>
      <c r="BG18" s="19" t="n">
        <f aca="false">S18*Use_Library!$T$17</f>
        <v>0</v>
      </c>
      <c r="BH18" s="19" t="n">
        <f aca="false">BG18*(Assumptions!$C$12+Assumptions!$C$13)</f>
        <v>0</v>
      </c>
      <c r="BI18" s="19" t="n">
        <f aca="false">S18*Use_Library!$AC$17</f>
        <v>0</v>
      </c>
      <c r="BJ18" s="23" t="n">
        <f aca="false">1+Assumptions!$C$14+Assumptions!$C$15*Use_Library!$AH$17/12</f>
        <v>1.0575</v>
      </c>
      <c r="BK18" s="23" t="n">
        <f aca="false">1+Assumptions!$C$21*(Assumptions!$C$22*Use_Library!$AH$17/12*Assumptions!$C$24+Assumptions!$C$23)</f>
        <v>1.0547625</v>
      </c>
      <c r="BL18" s="23" t="n">
        <f aca="false">1+Assumptions!$C$21*(Assumptions!$C$22*(Use_Library!$AH$17/12*Assumptions!$C$24+IF(Use_Library!$C$17="Income",Use_Library!$AD$17,0)/12*Assumptions!$C$25)+Assumptions!$C$23)</f>
        <v>1.091325</v>
      </c>
      <c r="BM18" s="19" t="n">
        <f aca="false">J18*Assumptions!$C$31*(1-Assumptions!$C$17)*U18</f>
        <v>0</v>
      </c>
      <c r="BN18" s="19" t="n">
        <f aca="false">IF(Use_Library!$AJ$17=1,IF(Use_Library!$C$17="For-Sale",S18*Use_Library!$U$17,E18*Use_Library!$AF$17)*(1-Assumptions!$C$17)+BM18,0)*U18</f>
        <v>0</v>
      </c>
      <c r="BO18" s="19" t="n">
        <f aca="false">(BD18-AT18)*(1+Assumptions!$C$11)</f>
        <v>0</v>
      </c>
      <c r="BP18" s="23" t="n">
        <f aca="false">BJ18*BK18</f>
        <v>1.11541134375</v>
      </c>
      <c r="BQ18" s="19" t="n">
        <f aca="false">(Parcel!$C$18*BJ18+BO18)*BK18</f>
        <v>334623.403125</v>
      </c>
      <c r="BR18" s="19" t="n">
        <f aca="false">BN18-BQ18</f>
        <v>-334623.403125</v>
      </c>
      <c r="BS18" s="32" t="n">
        <f aca="false">IF(AND(Use_Library!$AJ$17=1,U18=1),MAX(0,((1-Use_Library!$AI$17)*BN18-BO18*BK18)/BP18),0)</f>
        <v>0</v>
      </c>
      <c r="BT18" s="19" t="n">
        <f aca="false">BF18+BG18+BH18+BI18</f>
        <v>0</v>
      </c>
      <c r="BU18" s="23" t="n">
        <f aca="false">BJ18*BL18</f>
        <v>1.1540761875</v>
      </c>
      <c r="BV18" s="19" t="n">
        <f aca="false">(Parcel!$C$18*BJ18+BT18)*BL18</f>
        <v>346222.85625</v>
      </c>
      <c r="BW18" s="19" t="n">
        <f aca="false">IF(Use_Library!$C$17="Income",S18*Use_Library!$W$17,0)</f>
        <v>0</v>
      </c>
      <c r="BX18" s="19" t="n">
        <f aca="false">BW18*(1+Use_Library!$X$17)*(1-Use_Library!$Y$17)</f>
        <v>0</v>
      </c>
      <c r="BY18" s="19" t="n">
        <f aca="false">IF(Use_Library!$C$17="Income",S18*Use_Library!$Z$17,0)</f>
        <v>0</v>
      </c>
      <c r="BZ18" s="19" t="n">
        <f aca="false">IF(Use_Library!$C$17="Income",Assumptions!$C$19*Assumptions!$C$20*BV18,0)</f>
        <v>6474.367411875</v>
      </c>
      <c r="CA18" s="19" t="n">
        <f aca="false">BX18*Use_Library!$AA$17</f>
        <v>0</v>
      </c>
      <c r="CB18" s="19" t="n">
        <f aca="false">(BY18+BZ18)*Use_Library!$AB$17</f>
        <v>323.71837059375</v>
      </c>
      <c r="CC18" s="19" t="n">
        <f aca="false">BX18-BY18-BZ18-CA18+CB18</f>
        <v>-6150.64904128125</v>
      </c>
      <c r="CD18" s="19" t="n">
        <f aca="false">IF(AND(Use_Library!$C$17="Income",Use_Library!$AE$17&gt;0),CC18/Use_Library!$AE$17,0)</f>
        <v>-106967.809413587</v>
      </c>
      <c r="CE18" s="24" t="n">
        <f aca="false">IF(Use_Library!$C$17="Income",-Assumptions!$C$19*Assumptions!$C$20*(1-Use_Library!$AB$17)*BU18,0)</f>
        <v>-0.0205021634709375</v>
      </c>
      <c r="CF18" s="20" t="n">
        <f aca="false">IF(BV18=0,0,CC18/BV18)</f>
        <v>-0.017765</v>
      </c>
      <c r="CG18" s="19" t="n">
        <f aca="false">IF(Use_Library!$AK$17=1,IF(Use_Library!$C$17="Income",CD18*(1-Assumptions!$C$18),S18*Use_Library!$V$17*(1-Assumptions!$C$16))+BM18,0)*U18</f>
        <v>-0</v>
      </c>
      <c r="CH18" s="24" t="n">
        <f aca="false">IF(AND(Use_Library!$AK$17=1,Use_Library!$C$17="Income",Use_Library!$AE$17&gt;0),CE18/Use_Library!$AE$17*(1-Assumptions!$C$18),0)</f>
        <v>-0.349428177417717</v>
      </c>
      <c r="CI18" s="19" t="n">
        <f aca="false">CG18-BV18</f>
        <v>-346222.85625</v>
      </c>
      <c r="CJ18" s="32" t="n">
        <f aca="false">IF(AND(Use_Library!$AK$17=1,U18=1),MAX(0,Parcel!$C$18-((1-Use_Library!$AI$17)*CG18-BV18)/((1-Use_Library!$AI$17)*CH18-BU18)),0)</f>
        <v>0</v>
      </c>
      <c r="CK18" s="19" t="n">
        <f aca="false">IF(Use_Library!$AL$17=1,IF(Use_Library!$C$17="Income",CD18,IF(Use_Library!$AE$17&gt;0,E18*Use_Library!$AG$17/Use_Library!$AE$17,0))+BM18,0)*U18</f>
        <v>-0</v>
      </c>
      <c r="CL18" s="19" t="n">
        <f aca="false">IF(Use_Library!$C$17="Income",BT18,BF18)</f>
        <v>0</v>
      </c>
      <c r="CM18" s="23" t="n">
        <f aca="false">IF(Use_Library!$C$17="Income",BU18,BJ18*BK18)</f>
        <v>1.1540761875</v>
      </c>
      <c r="CN18" s="19" t="n">
        <f aca="false">IF(Use_Library!$C$17="Income",BV18,(Parcel!$C$18*BJ18+BF18)*BK18)</f>
        <v>346222.85625</v>
      </c>
      <c r="CO18" s="24" t="n">
        <f aca="false">IF(AND(Use_Library!$AL$17=1,Use_Library!$C$17="Income",Use_Library!$AE$17&gt;0),CE18/Use_Library!$AE$17,0)</f>
        <v>-0.356559364711957</v>
      </c>
      <c r="CP18" s="19" t="n">
        <f aca="false">CK18-CN18</f>
        <v>-346222.85625</v>
      </c>
      <c r="CQ18" s="32" t="n">
        <f aca="false">IF(AND(Use_Library!$AL$17=1,U18=1),MAX(0,Parcel!$C$18-((1-Use_Library!$AI$17)*CK18-CN18)/((1-Use_Library!$AI$17)*CO18-CM18)),0)</f>
        <v>0</v>
      </c>
      <c r="CR18" s="19" t="n">
        <f aca="false">IF(Use_Library!$C$17="Income",Assumptions!$C$21*(Parcel!$C$18*BJ18+BT18),0)</f>
        <v>206212.5</v>
      </c>
      <c r="CS18" s="19" t="n">
        <f aca="false">IF(AND(Use_Library!$C$17="Income",CC18&gt;0),MIN(Assumptions!$C$26*CD18,PV(Assumptions!$C$29/12,Assumptions!$C$30*12,-CC18/Assumptions!$C$27/12),CC18/Assumptions!$C$28),0)</f>
        <v>0</v>
      </c>
      <c r="CT18" s="25" t="n">
        <f aca="false">IF(CS18=0,0,CC18/(-PMT(Assumptions!$C$29/12,Assumptions!$C$30*12,CS18)*12))</f>
        <v>0</v>
      </c>
      <c r="CU18" s="19" t="n">
        <f aca="false">CS18-CR18</f>
        <v>-206212.5</v>
      </c>
      <c r="CV18" s="18" t="n">
        <f aca="false">MAX(BS18,CJ18,CQ18)</f>
        <v>0</v>
      </c>
      <c r="CW18" s="9" t="str">
        <f aca="false">IF(CV18&lt;=0,"None works",IF(BS18=CV18,"Land / pad sale",IF(CJ18=CV18,"Build &amp; sell","Build &amp; hold / lease")))</f>
        <v>None works</v>
      </c>
      <c r="CX18" s="19" t="n">
        <f aca="false">CV18*(1-Assumptions!$C$32)</f>
        <v>0</v>
      </c>
      <c r="CY18" s="19" t="n">
        <f aca="false">CV18-Parcel!$C$18</f>
        <v>-300000</v>
      </c>
      <c r="CZ18" s="19" t="n">
        <f aca="false">IF(Parcel!$C$8=0,0,CV18/Parcel!$C$8)</f>
        <v>0</v>
      </c>
      <c r="DA18" s="33" t="n">
        <f aca="false">IF(S18=0,0,CV18/S18)</f>
        <v>0</v>
      </c>
      <c r="DB18" s="9" t="str">
        <f aca="false">TRIM(M18&amp;" "&amp;IF(AND(U18=0,N18=1),"Nothing fits. ","")&amp;IF(Parcel!$C$12&lt;Use_Library!$AM$17,"Frontage under "&amp;Use_Library!$AM$17&amp;" LF. ","")&amp;IF(Parcel!$C$10&gt;0.15,"Slope over 15%. ","")&amp;IF(AND(U18=1,Use_Library!$M$17&gt;0,D18&gt;Use_Library!$M$17),"Only "&amp;Use_Library!$M$17&amp;" ac used - rest resold. ",""))</f>
        <v>Under 4,000 households in 3 mi.</v>
      </c>
      <c r="DC18" s="19" t="n">
        <f aca="false">CV18+ROW()/1000000</f>
        <v>1.8E-005</v>
      </c>
    </row>
    <row r="19" customFormat="false" ht="15" hidden="false" customHeight="false" outlineLevel="0" collapsed="false">
      <c r="A19" s="4" t="str">
        <f aca="false">Use_Library!$A$18</f>
        <v>Multifamily - large garden (150+ units)</v>
      </c>
      <c r="B19" s="9" t="str">
        <f aca="false">Use_Library!$C$18</f>
        <v>Income</v>
      </c>
      <c r="C19" s="9" t="str">
        <f aca="false">Use_Library!$D$18</f>
        <v>unit</v>
      </c>
      <c r="D19" s="14" t="n">
        <f aca="false">MAX(0,Parcel!$C$26*(1-Use_Library!$N$18-Assumptions!$C$7))</f>
        <v>14.196</v>
      </c>
      <c r="E19" s="14" t="n">
        <f aca="false">IF(Use_Library!$M$18&gt;0,MIN(D19,Use_Library!$M$18),D19)</f>
        <v>14.196</v>
      </c>
      <c r="F19" s="20" t="n">
        <f aca="false">IF(D19=0,0,E19/D19)</f>
        <v>1</v>
      </c>
      <c r="G19" s="14" t="n">
        <f aca="false">Parcel!$C$26*F19</f>
        <v>15.6</v>
      </c>
      <c r="H19" s="14" t="n">
        <f aca="false">G19*Assumptions!$C$7</f>
        <v>0.624</v>
      </c>
      <c r="I19" s="14" t="n">
        <f aca="false">G19*(1-Use_Library!$N$18)</f>
        <v>14.82</v>
      </c>
      <c r="J19" s="14" t="n">
        <f aca="false">Parcel!$C$8*(1-F19)</f>
        <v>0</v>
      </c>
      <c r="K19" s="15" t="n">
        <f aca="false">IF(AND(Use_Library!$I$18="Y",Parcel!$C$28=0),0,1)</f>
        <v>0</v>
      </c>
      <c r="L19" s="15" t="n">
        <f aca="false">IF(AND(Use_Library!$J$18="Y",Parcel!$C$27=0),0,1)</f>
        <v>1</v>
      </c>
      <c r="M19" s="9" t="str">
        <f aca="false">TRIM(IF(AND(Use_Library!$AN$18&gt;0,Parcel!$C$19&lt;Use_Library!$AN$18),"Traffic under "&amp;TEXT(Use_Library!$AN$18,"#,##0")&amp;" VPD. ","")&amp;IF(AND(Use_Library!$AO$18&gt;0,Parcel!$C$20&lt;Use_Library!$AO$18),"Under "&amp;TEXT(Use_Library!$AO$18,"#,##0")&amp;" households in 3 mi. ","")&amp;IF(AND(Use_Library!$AP$18&gt;0,Parcel!$C$21&gt;Use_Library!$AP$18),"Over "&amp;Use_Library!$AP$18&amp;" mi to highway. ","")&amp;IF(AND(Use_Library!$AQ$18="Y",Parcel!$C$22&lt;&gt;"Y"),"Needs a corner. ","")&amp;IF(AND(Use_Library!$AR$18&gt;0,Parcel!$C$23&gt;Use_Library!$AR$18),"Over "&amp;Use_Library!$AR$18&amp;" mi to substation. ",""))</f>
        <v>Under 8,000 households in 3 mi.</v>
      </c>
      <c r="N19" s="15" t="n">
        <f aca="false">IF(M19="",1,0)</f>
        <v>0</v>
      </c>
      <c r="O19" s="15" t="n">
        <f aca="false">IF(D19&gt;=Use_Library!$L$18,1,0)</f>
        <v>1</v>
      </c>
      <c r="P19" s="14" t="n">
        <f aca="false">IF(Use_Library!$F$18&gt;0,G19*Use_Library!$F$18,1000000000)</f>
        <v>374.4</v>
      </c>
      <c r="Q19" s="14" t="n">
        <f aca="false">IF(Use_Library!$G$18&gt;0,E19*43560/Use_Library!$G$18,1000000000)</f>
        <v>515.3148</v>
      </c>
      <c r="R19" s="14" t="n">
        <f aca="false">IF(AND(Use_Library!$H$18="Y",Parcel!$C$28=0),E19*(1-Assumptions!$C$8)/IF(Parcel!$C$27=1,Assumptions!$C$9,Assumptions!$C$10),1000000000)</f>
        <v>1000000000</v>
      </c>
      <c r="S19" s="21" t="n">
        <f aca="false">IF(K19*L19*O19*N19=0,0,IF(MIN(P19,Q19,R19)&gt;=1000000000,E19,IF(Use_Library!$E$18="Y",INT(MIN(P19,Q19,R19)),MIN(P19,Q19,R19))))</f>
        <v>0</v>
      </c>
      <c r="T19" s="9" t="str">
        <f aca="false">IF(N19=0,"Location fails",IF(O19=0,"Too small - needs "&amp;Use_Library!$L$18&amp;" usable ac",IF(K19=0,"Needs public sewer",IF(L19=0,"Needs public water",IF(R19&lt;=MIN(P19,Q19),"Septic lot size",IF(Q19&lt;=P19,"Site area / parking","Density"))))))</f>
        <v>Location fails</v>
      </c>
      <c r="U19" s="15" t="n">
        <f aca="false">IF(S19&gt;0,1,0)</f>
        <v>0</v>
      </c>
      <c r="V19" s="15" t="n">
        <f aca="false">IF(Use_Library!$K$18="Y",1,0)*U19</f>
        <v>0</v>
      </c>
      <c r="W19" s="15" t="n">
        <f aca="false">S19*Use_Library!$O$18*V19</f>
        <v>0</v>
      </c>
      <c r="X19" s="15" t="n">
        <f aca="false">S19*Use_Library!$P$18*V19</f>
        <v>0</v>
      </c>
      <c r="Y19" s="15" t="n">
        <f aca="false">IF(Parcel!$C$27=1,W19+Parcel!$C$29,0)*V19</f>
        <v>0</v>
      </c>
      <c r="Z19" s="14" t="n">
        <f aca="false">S19*Use_Library!$Q$18*Parcel!$C$27*V19</f>
        <v>0</v>
      </c>
      <c r="AA19" s="15" t="n">
        <f aca="false">IF(Parcel!$C$28=1,W19+Parcel!$C$30,0)*V19</f>
        <v>0</v>
      </c>
      <c r="AB19" s="14" t="n">
        <f aca="false">S19*Use_Library!$Q$18*Parcel!$C$28*V19</f>
        <v>0</v>
      </c>
      <c r="AC19" s="14" t="n">
        <f aca="false">IF(Parcel!$C$28=0,S19*Use_Library!$R$18,0)*V19</f>
        <v>0</v>
      </c>
      <c r="AD19" s="14" t="n">
        <f aca="false">IF(Parcel!$C$27=0,S19*Use_Library!$R$18,0)*V19</f>
        <v>0</v>
      </c>
      <c r="AE19" s="14" t="n">
        <f aca="false">I19*Parcel!$C$11*V19</f>
        <v>0</v>
      </c>
      <c r="AF19" s="14" t="n">
        <f aca="false">I19*V19</f>
        <v>0</v>
      </c>
      <c r="AG19" s="15" t="n">
        <f aca="false">IF(Use_Library!$C$18="For-Sale",IF(Use_Library!$E$18="Y",S19,1),1)*U19</f>
        <v>0</v>
      </c>
      <c r="AH19" s="19" t="n">
        <f aca="false">Cost_Library!$G$5*Parcel!$C$32*U19</f>
        <v>0</v>
      </c>
      <c r="AI19" s="19" t="n">
        <f aca="false">AG19*Cost_Library!$G$6*Parcel!$C$32</f>
        <v>0</v>
      </c>
      <c r="AJ19" s="19" t="n">
        <f aca="false">I19*Cost_Library!$G$7*Parcel!$C$32*V19</f>
        <v>0</v>
      </c>
      <c r="AK19" s="19" t="n">
        <f aca="false">Cost_Library!$G$8*Parcel!$C$32*V19</f>
        <v>0</v>
      </c>
      <c r="AL19" s="19" t="n">
        <f aca="false">AC19*Cost_Library!$G$9*Parcel!$C$32</f>
        <v>0</v>
      </c>
      <c r="AM19" s="19" t="n">
        <f aca="false">Cost_Library!$G$10*U19</f>
        <v>0</v>
      </c>
      <c r="AN19" s="19" t="n">
        <f aca="false">Cost_Library!$G$11*Parcel!$C$32*V19</f>
        <v>0</v>
      </c>
      <c r="AO19" s="19" t="n">
        <f aca="false">Use_Library!$S$18*U19</f>
        <v>0</v>
      </c>
      <c r="AP19" s="19" t="n">
        <f aca="false">Cost_Library!$G$12*U19</f>
        <v>0</v>
      </c>
      <c r="AQ19" s="19" t="n">
        <f aca="false">AE19*Cost_Library!$G$13*Parcel!$C$32</f>
        <v>0</v>
      </c>
      <c r="AR19" s="19" t="n">
        <f aca="false">AF19*Cost_Library!$G$14*Parcel!$C$32*Parcel!$C$33</f>
        <v>0</v>
      </c>
      <c r="AS19" s="19" t="n">
        <f aca="false">W19*Cost_Library!$G$15*Parcel!$C$32</f>
        <v>0</v>
      </c>
      <c r="AT19" s="19" t="n">
        <f aca="false">X19*Cost_Library!$G$16*Parcel!$C$32</f>
        <v>0</v>
      </c>
      <c r="AU19" s="19" t="n">
        <f aca="false">H19*Cost_Library!$G$17*Parcel!$C$32*V19</f>
        <v>0</v>
      </c>
      <c r="AV19" s="19" t="n">
        <f aca="false">G19*Cost_Library!$G$18*Parcel!$C$32*V19</f>
        <v>0</v>
      </c>
      <c r="AW19" s="19" t="n">
        <f aca="false">Y19*Cost_Library!$G$19*Parcel!$C$32</f>
        <v>0</v>
      </c>
      <c r="AX19" s="19" t="n">
        <f aca="false">Z19*Cost_Library!$G$20</f>
        <v>0</v>
      </c>
      <c r="AY19" s="19" t="n">
        <f aca="false">AA19*Cost_Library!$G$21*Parcel!$C$32</f>
        <v>0</v>
      </c>
      <c r="AZ19" s="19" t="n">
        <f aca="false">AB19*Cost_Library!$G$22</f>
        <v>0</v>
      </c>
      <c r="BA19" s="19" t="n">
        <f aca="false">AC19*Cost_Library!$G$23*Parcel!$C$32*Parcel!$C$34</f>
        <v>0</v>
      </c>
      <c r="BB19" s="19" t="n">
        <f aca="false">AD19*Cost_Library!$G$24*Parcel!$C$32</f>
        <v>0</v>
      </c>
      <c r="BC19" s="19" t="n">
        <f aca="false">W19*Cost_Library!$G$25*Parcel!$C$32</f>
        <v>0</v>
      </c>
      <c r="BD19" s="19" t="n">
        <f aca="false">SUM(AH19:BC19)</f>
        <v>0</v>
      </c>
      <c r="BE19" s="19" t="n">
        <f aca="false">BD19*Assumptions!$C$11</f>
        <v>0</v>
      </c>
      <c r="BF19" s="19" t="n">
        <f aca="false">BD19+BE19</f>
        <v>0</v>
      </c>
      <c r="BG19" s="19" t="n">
        <f aca="false">S19*Use_Library!$T$18</f>
        <v>0</v>
      </c>
      <c r="BH19" s="19" t="n">
        <f aca="false">BG19*(Assumptions!$C$12+Assumptions!$C$13)</f>
        <v>0</v>
      </c>
      <c r="BI19" s="19" t="n">
        <f aca="false">S19*Use_Library!$AC$18</f>
        <v>0</v>
      </c>
      <c r="BJ19" s="23" t="n">
        <f aca="false">1+Assumptions!$C$14+Assumptions!$C$15*Use_Library!$AH$18/12</f>
        <v>1.06166666666667</v>
      </c>
      <c r="BK19" s="23" t="n">
        <f aca="false">1+Assumptions!$C$21*(Assumptions!$C$22*Use_Library!$AH$18/12*Assumptions!$C$24+Assumptions!$C$23)</f>
        <v>1.060125</v>
      </c>
      <c r="BL19" s="23" t="n">
        <f aca="false">1+Assumptions!$C$21*(Assumptions!$C$22*(Use_Library!$AH$18/12*Assumptions!$C$24+IF(Use_Library!$C$18="Income",Use_Library!$AD$18,0)/12*Assumptions!$C$25)+Assumptions!$C$23)</f>
        <v>1.104</v>
      </c>
      <c r="BM19" s="19" t="n">
        <f aca="false">J19*Assumptions!$C$31*(1-Assumptions!$C$17)*U19</f>
        <v>0</v>
      </c>
      <c r="BN19" s="19" t="n">
        <f aca="false">IF(Use_Library!$AJ$18=1,IF(Use_Library!$C$18="For-Sale",S19*Use_Library!$U$18,E19*Use_Library!$AF$18)*(1-Assumptions!$C$17)+BM19,0)*U19</f>
        <v>0</v>
      </c>
      <c r="BO19" s="19" t="n">
        <f aca="false">(BD19-AT19)*(1+Assumptions!$C$11)</f>
        <v>0</v>
      </c>
      <c r="BP19" s="23" t="n">
        <f aca="false">BJ19*BK19</f>
        <v>1.125499375</v>
      </c>
      <c r="BQ19" s="19" t="n">
        <f aca="false">(Parcel!$C$18*BJ19+BO19)*BK19</f>
        <v>337649.8125</v>
      </c>
      <c r="BR19" s="19" t="n">
        <f aca="false">BN19-BQ19</f>
        <v>-337649.8125</v>
      </c>
      <c r="BS19" s="32" t="n">
        <f aca="false">IF(AND(Use_Library!$AJ$18=1,U19=1),MAX(0,((1-Use_Library!$AI$18)*BN19-BO19*BK19)/BP19),0)</f>
        <v>0</v>
      </c>
      <c r="BT19" s="19" t="n">
        <f aca="false">BF19+BG19+BH19+BI19</f>
        <v>0</v>
      </c>
      <c r="BU19" s="23" t="n">
        <f aca="false">BJ19*BL19</f>
        <v>1.17208</v>
      </c>
      <c r="BV19" s="19" t="n">
        <f aca="false">(Parcel!$C$18*BJ19+BT19)*BL19</f>
        <v>351624</v>
      </c>
      <c r="BW19" s="19" t="n">
        <f aca="false">IF(Use_Library!$C$18="Income",S19*Use_Library!$W$18,0)</f>
        <v>0</v>
      </c>
      <c r="BX19" s="19" t="n">
        <f aca="false">BW19*(1+Use_Library!$X$18)*(1-Use_Library!$Y$18)</f>
        <v>0</v>
      </c>
      <c r="BY19" s="19" t="n">
        <f aca="false">IF(Use_Library!$C$18="Income",S19*Use_Library!$Z$18,0)</f>
        <v>0</v>
      </c>
      <c r="BZ19" s="19" t="n">
        <f aca="false">IF(Use_Library!$C$18="Income",Assumptions!$C$19*Assumptions!$C$20*BV19,0)</f>
        <v>6575.3688</v>
      </c>
      <c r="CA19" s="19" t="n">
        <f aca="false">BX19*Use_Library!$AA$18</f>
        <v>0</v>
      </c>
      <c r="CB19" s="19" t="n">
        <f aca="false">(BY19+BZ19)*Use_Library!$AB$18</f>
        <v>328.76844</v>
      </c>
      <c r="CC19" s="19" t="n">
        <f aca="false">BX19-BY19-BZ19-CA19+CB19</f>
        <v>-6246.60036</v>
      </c>
      <c r="CD19" s="19" t="n">
        <f aca="false">IF(AND(Use_Library!$C$18="Income",Use_Library!$AE$18&gt;0),CC19/Use_Library!$AE$18,0)</f>
        <v>-113574.552</v>
      </c>
      <c r="CE19" s="24" t="n">
        <f aca="false">IF(Use_Library!$C$18="Income",-Assumptions!$C$19*Assumptions!$C$20*(1-Use_Library!$AB$18)*BU19,0)</f>
        <v>-0.0208220012</v>
      </c>
      <c r="CF19" s="20" t="n">
        <f aca="false">IF(BV19=0,0,CC19/BV19)</f>
        <v>-0.017765</v>
      </c>
      <c r="CG19" s="19" t="n">
        <f aca="false">IF(Use_Library!$AK$18=1,IF(Use_Library!$C$18="Income",CD19*(1-Assumptions!$C$18),S19*Use_Library!$V$18*(1-Assumptions!$C$16))+BM19,0)*U19</f>
        <v>-0</v>
      </c>
      <c r="CH19" s="24" t="n">
        <f aca="false">IF(AND(Use_Library!$AK$18=1,Use_Library!$C$18="Income",Use_Library!$AE$18&gt;0),CE19/Use_Library!$AE$18*(1-Assumptions!$C$18),0)</f>
        <v>-0.3710102032</v>
      </c>
      <c r="CI19" s="19" t="n">
        <f aca="false">CG19-BV19</f>
        <v>-351624</v>
      </c>
      <c r="CJ19" s="32" t="n">
        <f aca="false">IF(AND(Use_Library!$AK$18=1,U19=1),MAX(0,Parcel!$C$18-((1-Use_Library!$AI$18)*CG19-BV19)/((1-Use_Library!$AI$18)*CH19-BU19)),0)</f>
        <v>0</v>
      </c>
      <c r="CK19" s="19" t="n">
        <f aca="false">IF(Use_Library!$AL$18=1,IF(Use_Library!$C$18="Income",CD19,IF(Use_Library!$AE$18&gt;0,E19*Use_Library!$AG$18/Use_Library!$AE$18,0))+BM19,0)*U19</f>
        <v>-0</v>
      </c>
      <c r="CL19" s="19" t="n">
        <f aca="false">IF(Use_Library!$C$18="Income",BT19,BF19)</f>
        <v>0</v>
      </c>
      <c r="CM19" s="23" t="n">
        <f aca="false">IF(Use_Library!$C$18="Income",BU19,BJ19*BK19)</f>
        <v>1.17208</v>
      </c>
      <c r="CN19" s="19" t="n">
        <f aca="false">IF(Use_Library!$C$18="Income",BV19,(Parcel!$C$18*BJ19+BF19)*BK19)</f>
        <v>351624</v>
      </c>
      <c r="CO19" s="24" t="n">
        <f aca="false">IF(AND(Use_Library!$AL$18=1,Use_Library!$C$18="Income",Use_Library!$AE$18&gt;0),CE19/Use_Library!$AE$18,0)</f>
        <v>-0.37858184</v>
      </c>
      <c r="CP19" s="19" t="n">
        <f aca="false">CK19-CN19</f>
        <v>-351624</v>
      </c>
      <c r="CQ19" s="32" t="n">
        <f aca="false">IF(AND(Use_Library!$AL$18=1,U19=1),MAX(0,Parcel!$C$18-((1-Use_Library!$AI$18)*CK19-CN19)/((1-Use_Library!$AI$18)*CO19-CM19)),0)</f>
        <v>0</v>
      </c>
      <c r="CR19" s="19" t="n">
        <f aca="false">IF(Use_Library!$C$18="Income",Assumptions!$C$21*(Parcel!$C$18*BJ19+BT19),0)</f>
        <v>207025</v>
      </c>
      <c r="CS19" s="19" t="n">
        <f aca="false">IF(AND(Use_Library!$C$18="Income",CC19&gt;0),MIN(Assumptions!$C$26*CD19,PV(Assumptions!$C$29/12,Assumptions!$C$30*12,-CC19/Assumptions!$C$27/12),CC19/Assumptions!$C$28),0)</f>
        <v>0</v>
      </c>
      <c r="CT19" s="25" t="n">
        <f aca="false">IF(CS19=0,0,CC19/(-PMT(Assumptions!$C$29/12,Assumptions!$C$30*12,CS19)*12))</f>
        <v>0</v>
      </c>
      <c r="CU19" s="19" t="n">
        <f aca="false">CS19-CR19</f>
        <v>-207025</v>
      </c>
      <c r="CV19" s="18" t="n">
        <f aca="false">MAX(BS19,CJ19,CQ19)</f>
        <v>0</v>
      </c>
      <c r="CW19" s="9" t="str">
        <f aca="false">IF(CV19&lt;=0,"None works",IF(BS19=CV19,"Land / pad sale",IF(CJ19=CV19,"Build &amp; sell","Build &amp; hold / lease")))</f>
        <v>None works</v>
      </c>
      <c r="CX19" s="19" t="n">
        <f aca="false">CV19*(1-Assumptions!$C$32)</f>
        <v>0</v>
      </c>
      <c r="CY19" s="19" t="n">
        <f aca="false">CV19-Parcel!$C$18</f>
        <v>-300000</v>
      </c>
      <c r="CZ19" s="19" t="n">
        <f aca="false">IF(Parcel!$C$8=0,0,CV19/Parcel!$C$8)</f>
        <v>0</v>
      </c>
      <c r="DA19" s="33" t="n">
        <f aca="false">IF(S19=0,0,CV19/S19)</f>
        <v>0</v>
      </c>
      <c r="DB19" s="9" t="str">
        <f aca="false">TRIM(M19&amp;" "&amp;IF(AND(U19=0,N19=1),"Nothing fits. ","")&amp;IF(Parcel!$C$12&lt;Use_Library!$AM$18,"Frontage under "&amp;Use_Library!$AM$18&amp;" LF. ","")&amp;IF(Parcel!$C$10&gt;0.15,"Slope over 15%. ","")&amp;IF(AND(U19=1,Use_Library!$M$18&gt;0,D19&gt;Use_Library!$M$18),"Only "&amp;Use_Library!$M$18&amp;" ac used - rest resold. ",""))</f>
        <v>Under 8,000 households in 3 mi.</v>
      </c>
      <c r="DC19" s="19" t="n">
        <f aca="false">CV19+ROW()/1000000</f>
        <v>1.9E-005</v>
      </c>
    </row>
    <row r="20" customFormat="false" ht="15" hidden="false" customHeight="false" outlineLevel="0" collapsed="false">
      <c r="A20" s="4" t="str">
        <f aca="false">Use_Library!$A$19</f>
        <v>Multifamily - mid-rise / wrap</v>
      </c>
      <c r="B20" s="9" t="str">
        <f aca="false">Use_Library!$C$19</f>
        <v>Income</v>
      </c>
      <c r="C20" s="9" t="str">
        <f aca="false">Use_Library!$D$19</f>
        <v>unit</v>
      </c>
      <c r="D20" s="14" t="n">
        <f aca="false">MAX(0,Parcel!$C$26*(1-Use_Library!$N$19-Assumptions!$C$7))</f>
        <v>14.196</v>
      </c>
      <c r="E20" s="14" t="n">
        <f aca="false">IF(Use_Library!$M$19&gt;0,MIN(D20,Use_Library!$M$19),D20)</f>
        <v>6</v>
      </c>
      <c r="F20" s="20" t="n">
        <f aca="false">IF(D20=0,0,E20/D20)</f>
        <v>0.422654268808115</v>
      </c>
      <c r="G20" s="14" t="n">
        <f aca="false">Parcel!$C$26*F20</f>
        <v>6.59340659340659</v>
      </c>
      <c r="H20" s="14" t="n">
        <f aca="false">G20*Assumptions!$C$7</f>
        <v>0.263736263736264</v>
      </c>
      <c r="I20" s="14" t="n">
        <f aca="false">G20*(1-Use_Library!$N$19)</f>
        <v>6.26373626373626</v>
      </c>
      <c r="J20" s="14" t="n">
        <f aca="false">Parcel!$C$8*(1-F20)</f>
        <v>11.5469146238377</v>
      </c>
      <c r="K20" s="15" t="n">
        <f aca="false">IF(AND(Use_Library!$I$19="Y",Parcel!$C$28=0),0,1)</f>
        <v>0</v>
      </c>
      <c r="L20" s="15" t="n">
        <f aca="false">IF(AND(Use_Library!$J$19="Y",Parcel!$C$27=0),0,1)</f>
        <v>1</v>
      </c>
      <c r="M20" s="9" t="str">
        <f aca="false">TRIM(IF(AND(Use_Library!$AN$19&gt;0,Parcel!$C$19&lt;Use_Library!$AN$19),"Traffic under "&amp;TEXT(Use_Library!$AN$19,"#,##0")&amp;" VPD. ","")&amp;IF(AND(Use_Library!$AO$19&gt;0,Parcel!$C$20&lt;Use_Library!$AO$19),"Under "&amp;TEXT(Use_Library!$AO$19,"#,##0")&amp;" households in 3 mi. ","")&amp;IF(AND(Use_Library!$AP$19&gt;0,Parcel!$C$21&gt;Use_Library!$AP$19),"Over "&amp;Use_Library!$AP$19&amp;" mi to highway. ","")&amp;IF(AND(Use_Library!$AQ$19="Y",Parcel!$C$22&lt;&gt;"Y"),"Needs a corner. ","")&amp;IF(AND(Use_Library!$AR$19&gt;0,Parcel!$C$23&gt;Use_Library!$AR$19),"Over "&amp;Use_Library!$AR$19&amp;" mi to substation. ",""))</f>
        <v>Under 15,000 households in 3 mi.</v>
      </c>
      <c r="N20" s="15" t="n">
        <f aca="false">IF(M20="",1,0)</f>
        <v>0</v>
      </c>
      <c r="O20" s="15" t="n">
        <f aca="false">IF(D20&gt;=Use_Library!$L$19,1,0)</f>
        <v>1</v>
      </c>
      <c r="P20" s="14" t="n">
        <f aca="false">IF(Use_Library!$F$19&gt;0,G20*Use_Library!$F$19,1000000000)</f>
        <v>395.604395604396</v>
      </c>
      <c r="Q20" s="14" t="n">
        <f aca="false">IF(Use_Library!$G$19&gt;0,E20*43560/Use_Library!$G$19,1000000000)</f>
        <v>522.72</v>
      </c>
      <c r="R20" s="14" t="n">
        <f aca="false">IF(AND(Use_Library!$H$19="Y",Parcel!$C$28=0),E20*(1-Assumptions!$C$8)/IF(Parcel!$C$27=1,Assumptions!$C$9,Assumptions!$C$10),1000000000)</f>
        <v>1000000000</v>
      </c>
      <c r="S20" s="21" t="n">
        <f aca="false">IF(K20*L20*O20*N20=0,0,IF(MIN(P20,Q20,R20)&gt;=1000000000,E20,IF(Use_Library!$E$19="Y",INT(MIN(P20,Q20,R20)),MIN(P20,Q20,R20))))</f>
        <v>0</v>
      </c>
      <c r="T20" s="9" t="str">
        <f aca="false">IF(N20=0,"Location fails",IF(O20=0,"Too small - needs "&amp;Use_Library!$L$19&amp;" usable ac",IF(K20=0,"Needs public sewer",IF(L20=0,"Needs public water",IF(R20&lt;=MIN(P20,Q20),"Septic lot size",IF(Q20&lt;=P20,"Site area / parking","Density"))))))</f>
        <v>Location fails</v>
      </c>
      <c r="U20" s="15" t="n">
        <f aca="false">IF(S20&gt;0,1,0)</f>
        <v>0</v>
      </c>
      <c r="V20" s="15" t="n">
        <f aca="false">IF(Use_Library!$K$19="Y",1,0)*U20</f>
        <v>0</v>
      </c>
      <c r="W20" s="15" t="n">
        <f aca="false">S20*Use_Library!$O$19*V20</f>
        <v>0</v>
      </c>
      <c r="X20" s="15" t="n">
        <f aca="false">S20*Use_Library!$P$19*V20</f>
        <v>0</v>
      </c>
      <c r="Y20" s="15" t="n">
        <f aca="false">IF(Parcel!$C$27=1,W20+Parcel!$C$29,0)*V20</f>
        <v>0</v>
      </c>
      <c r="Z20" s="14" t="n">
        <f aca="false">S20*Use_Library!$Q$19*Parcel!$C$27*V20</f>
        <v>0</v>
      </c>
      <c r="AA20" s="15" t="n">
        <f aca="false">IF(Parcel!$C$28=1,W20+Parcel!$C$30,0)*V20</f>
        <v>0</v>
      </c>
      <c r="AB20" s="14" t="n">
        <f aca="false">S20*Use_Library!$Q$19*Parcel!$C$28*V20</f>
        <v>0</v>
      </c>
      <c r="AC20" s="14" t="n">
        <f aca="false">IF(Parcel!$C$28=0,S20*Use_Library!$R$19,0)*V20</f>
        <v>0</v>
      </c>
      <c r="AD20" s="14" t="n">
        <f aca="false">IF(Parcel!$C$27=0,S20*Use_Library!$R$19,0)*V20</f>
        <v>0</v>
      </c>
      <c r="AE20" s="14" t="n">
        <f aca="false">I20*Parcel!$C$11*V20</f>
        <v>0</v>
      </c>
      <c r="AF20" s="14" t="n">
        <f aca="false">I20*V20</f>
        <v>0</v>
      </c>
      <c r="AG20" s="15" t="n">
        <f aca="false">IF(Use_Library!$C$19="For-Sale",IF(Use_Library!$E$19="Y",S20,1),1)*U20</f>
        <v>0</v>
      </c>
      <c r="AH20" s="19" t="n">
        <f aca="false">Cost_Library!$G$5*Parcel!$C$32*U20</f>
        <v>0</v>
      </c>
      <c r="AI20" s="19" t="n">
        <f aca="false">AG20*Cost_Library!$G$6*Parcel!$C$32</f>
        <v>0</v>
      </c>
      <c r="AJ20" s="19" t="n">
        <f aca="false">I20*Cost_Library!$G$7*Parcel!$C$32*V20</f>
        <v>0</v>
      </c>
      <c r="AK20" s="19" t="n">
        <f aca="false">Cost_Library!$G$8*Parcel!$C$32*V20</f>
        <v>0</v>
      </c>
      <c r="AL20" s="19" t="n">
        <f aca="false">AC20*Cost_Library!$G$9*Parcel!$C$32</f>
        <v>0</v>
      </c>
      <c r="AM20" s="19" t="n">
        <f aca="false">Cost_Library!$G$10*U20</f>
        <v>0</v>
      </c>
      <c r="AN20" s="19" t="n">
        <f aca="false">Cost_Library!$G$11*Parcel!$C$32*V20</f>
        <v>0</v>
      </c>
      <c r="AO20" s="19" t="n">
        <f aca="false">Use_Library!$S$19*U20</f>
        <v>0</v>
      </c>
      <c r="AP20" s="19" t="n">
        <f aca="false">Cost_Library!$G$12*U20</f>
        <v>0</v>
      </c>
      <c r="AQ20" s="19" t="n">
        <f aca="false">AE20*Cost_Library!$G$13*Parcel!$C$32</f>
        <v>0</v>
      </c>
      <c r="AR20" s="19" t="n">
        <f aca="false">AF20*Cost_Library!$G$14*Parcel!$C$32*Parcel!$C$33</f>
        <v>0</v>
      </c>
      <c r="AS20" s="19" t="n">
        <f aca="false">W20*Cost_Library!$G$15*Parcel!$C$32</f>
        <v>0</v>
      </c>
      <c r="AT20" s="19" t="n">
        <f aca="false">X20*Cost_Library!$G$16*Parcel!$C$32</f>
        <v>0</v>
      </c>
      <c r="AU20" s="19" t="n">
        <f aca="false">H20*Cost_Library!$G$17*Parcel!$C$32*V20</f>
        <v>0</v>
      </c>
      <c r="AV20" s="19" t="n">
        <f aca="false">G20*Cost_Library!$G$18*Parcel!$C$32*V20</f>
        <v>0</v>
      </c>
      <c r="AW20" s="19" t="n">
        <f aca="false">Y20*Cost_Library!$G$19*Parcel!$C$32</f>
        <v>0</v>
      </c>
      <c r="AX20" s="19" t="n">
        <f aca="false">Z20*Cost_Library!$G$20</f>
        <v>0</v>
      </c>
      <c r="AY20" s="19" t="n">
        <f aca="false">AA20*Cost_Library!$G$21*Parcel!$C$32</f>
        <v>0</v>
      </c>
      <c r="AZ20" s="19" t="n">
        <f aca="false">AB20*Cost_Library!$G$22</f>
        <v>0</v>
      </c>
      <c r="BA20" s="19" t="n">
        <f aca="false">AC20*Cost_Library!$G$23*Parcel!$C$32*Parcel!$C$34</f>
        <v>0</v>
      </c>
      <c r="BB20" s="19" t="n">
        <f aca="false">AD20*Cost_Library!$G$24*Parcel!$C$32</f>
        <v>0</v>
      </c>
      <c r="BC20" s="19" t="n">
        <f aca="false">W20*Cost_Library!$G$25*Parcel!$C$32</f>
        <v>0</v>
      </c>
      <c r="BD20" s="19" t="n">
        <f aca="false">SUM(AH20:BC20)</f>
        <v>0</v>
      </c>
      <c r="BE20" s="19" t="n">
        <f aca="false">BD20*Assumptions!$C$11</f>
        <v>0</v>
      </c>
      <c r="BF20" s="19" t="n">
        <f aca="false">BD20+BE20</f>
        <v>0</v>
      </c>
      <c r="BG20" s="19" t="n">
        <f aca="false">S20*Use_Library!$T$19</f>
        <v>0</v>
      </c>
      <c r="BH20" s="19" t="n">
        <f aca="false">BG20*(Assumptions!$C$12+Assumptions!$C$13)</f>
        <v>0</v>
      </c>
      <c r="BI20" s="19" t="n">
        <f aca="false">S20*Use_Library!$AC$19</f>
        <v>0</v>
      </c>
      <c r="BJ20" s="23" t="n">
        <f aca="false">1+Assumptions!$C$14+Assumptions!$C$15*Use_Library!$AH$19/12</f>
        <v>1.07416666666667</v>
      </c>
      <c r="BK20" s="23" t="n">
        <f aca="false">1+Assumptions!$C$21*(Assumptions!$C$22*Use_Library!$AH$19/12*Assumptions!$C$24+Assumptions!$C$23)</f>
        <v>1.0762125</v>
      </c>
      <c r="BL20" s="23" t="n">
        <f aca="false">1+Assumptions!$C$21*(Assumptions!$C$22*(Use_Library!$AH$19/12*Assumptions!$C$24+IF(Use_Library!$C$19="Income",Use_Library!$AD$19,0)/12*Assumptions!$C$25)+Assumptions!$C$23)</f>
        <v>1.1249625</v>
      </c>
      <c r="BM20" s="19" t="n">
        <f aca="false">J20*Assumptions!$C$31*(1-Assumptions!$C$17)*U20</f>
        <v>0</v>
      </c>
      <c r="BN20" s="19" t="n">
        <f aca="false">IF(Use_Library!$AJ$19=1,IF(Use_Library!$C$19="For-Sale",S20*Use_Library!$U$19,E20*Use_Library!$AF$19)*(1-Assumptions!$C$17)+BM20,0)*U20</f>
        <v>0</v>
      </c>
      <c r="BO20" s="19" t="n">
        <f aca="false">(BD20-AT20)*(1+Assumptions!$C$11)</f>
        <v>0</v>
      </c>
      <c r="BP20" s="23" t="n">
        <f aca="false">BJ20*BK20</f>
        <v>1.15603159375</v>
      </c>
      <c r="BQ20" s="19" t="n">
        <f aca="false">(Parcel!$C$18*BJ20+BO20)*BK20</f>
        <v>346809.478125</v>
      </c>
      <c r="BR20" s="19" t="n">
        <f aca="false">BN20-BQ20</f>
        <v>-346809.478125</v>
      </c>
      <c r="BS20" s="32" t="n">
        <f aca="false">IF(AND(Use_Library!$AJ$19=1,U20=1),MAX(0,((1-Use_Library!$AI$19)*BN20-BO20*BK20)/BP20),0)</f>
        <v>0</v>
      </c>
      <c r="BT20" s="19" t="n">
        <f aca="false">BF20+BG20+BH20+BI20</f>
        <v>0</v>
      </c>
      <c r="BU20" s="23" t="n">
        <f aca="false">BJ20*BL20</f>
        <v>1.20839721875</v>
      </c>
      <c r="BV20" s="19" t="n">
        <f aca="false">(Parcel!$C$18*BJ20+BT20)*BL20</f>
        <v>362519.165625</v>
      </c>
      <c r="BW20" s="19" t="n">
        <f aca="false">IF(Use_Library!$C$19="Income",S20*Use_Library!$W$19,0)</f>
        <v>0</v>
      </c>
      <c r="BX20" s="19" t="n">
        <f aca="false">BW20*(1+Use_Library!$X$19)*(1-Use_Library!$Y$19)</f>
        <v>0</v>
      </c>
      <c r="BY20" s="19" t="n">
        <f aca="false">IF(Use_Library!$C$19="Income",S20*Use_Library!$Z$19,0)</f>
        <v>0</v>
      </c>
      <c r="BZ20" s="19" t="n">
        <f aca="false">IF(Use_Library!$C$19="Income",Assumptions!$C$19*Assumptions!$C$20*BV20,0)</f>
        <v>6779.1083971875</v>
      </c>
      <c r="CA20" s="19" t="n">
        <f aca="false">BX20*Use_Library!$AA$19</f>
        <v>0</v>
      </c>
      <c r="CB20" s="19" t="n">
        <f aca="false">(BY20+BZ20)*Use_Library!$AB$19</f>
        <v>338.955419859375</v>
      </c>
      <c r="CC20" s="19" t="n">
        <f aca="false">BX20-BY20-BZ20-CA20+CB20</f>
        <v>-6440.15297732812</v>
      </c>
      <c r="CD20" s="19" t="n">
        <f aca="false">IF(AND(Use_Library!$C$19="Income",Use_Library!$AE$19&gt;0),CC20/Use_Library!$AE$19,0)</f>
        <v>-122669.580520536</v>
      </c>
      <c r="CE20" s="24" t="n">
        <f aca="false">IF(Use_Library!$C$19="Income",-Assumptions!$C$19*Assumptions!$C$20*(1-Use_Library!$AB$19)*BU20,0)</f>
        <v>-0.0214671765910937</v>
      </c>
      <c r="CF20" s="20" t="n">
        <f aca="false">IF(BV20=0,0,CC20/BV20)</f>
        <v>-0.017765</v>
      </c>
      <c r="CG20" s="19" t="n">
        <f aca="false">IF(Use_Library!$AK$19=1,IF(Use_Library!$C$19="Income",CD20*(1-Assumptions!$C$18),S20*Use_Library!$V$19*(1-Assumptions!$C$16))+BM20,0)*U20</f>
        <v>-0</v>
      </c>
      <c r="CH20" s="24" t="n">
        <f aca="false">IF(AND(Use_Library!$AK$19=1,Use_Library!$C$19="Income",Use_Library!$AE$19&gt;0),CE20/Use_Library!$AE$19*(1-Assumptions!$C$18),0)</f>
        <v>-0.400720629700417</v>
      </c>
      <c r="CI20" s="19" t="n">
        <f aca="false">CG20-BV20</f>
        <v>-362519.165625</v>
      </c>
      <c r="CJ20" s="32" t="n">
        <f aca="false">IF(AND(Use_Library!$AK$19=1,U20=1),MAX(0,Parcel!$C$18-((1-Use_Library!$AI$19)*CG20-BV20)/((1-Use_Library!$AI$19)*CH20-BU20)),0)</f>
        <v>0</v>
      </c>
      <c r="CK20" s="19" t="n">
        <f aca="false">IF(Use_Library!$AL$19=1,IF(Use_Library!$C$19="Income",CD20,IF(Use_Library!$AE$19&gt;0,E20*Use_Library!$AG$19/Use_Library!$AE$19,0))+BM20,0)*U20</f>
        <v>-0</v>
      </c>
      <c r="CL20" s="19" t="n">
        <f aca="false">IF(Use_Library!$C$19="Income",BT20,BF20)</f>
        <v>0</v>
      </c>
      <c r="CM20" s="23" t="n">
        <f aca="false">IF(Use_Library!$C$19="Income",BU20,BJ20*BK20)</f>
        <v>1.20839721875</v>
      </c>
      <c r="CN20" s="19" t="n">
        <f aca="false">IF(Use_Library!$C$19="Income",BV20,(Parcel!$C$18*BJ20+BF20)*BK20)</f>
        <v>362519.165625</v>
      </c>
      <c r="CO20" s="24" t="n">
        <f aca="false">IF(AND(Use_Library!$AL$19=1,Use_Library!$C$19="Income",Use_Library!$AE$19&gt;0),CE20/Use_Library!$AE$19,0)</f>
        <v>-0.408898601735119</v>
      </c>
      <c r="CP20" s="19" t="n">
        <f aca="false">CK20-CN20</f>
        <v>-362519.165625</v>
      </c>
      <c r="CQ20" s="32" t="n">
        <f aca="false">IF(AND(Use_Library!$AL$19=1,U20=1),MAX(0,Parcel!$C$18-((1-Use_Library!$AI$19)*CK20-CN20)/((1-Use_Library!$AI$19)*CO20-CM20)),0)</f>
        <v>0</v>
      </c>
      <c r="CR20" s="19" t="n">
        <f aca="false">IF(Use_Library!$C$19="Income",Assumptions!$C$21*(Parcel!$C$18*BJ20+BT20),0)</f>
        <v>209462.5</v>
      </c>
      <c r="CS20" s="19" t="n">
        <f aca="false">IF(AND(Use_Library!$C$19="Income",CC20&gt;0),MIN(Assumptions!$C$26*CD20,PV(Assumptions!$C$29/12,Assumptions!$C$30*12,-CC20/Assumptions!$C$27/12),CC20/Assumptions!$C$28),0)</f>
        <v>0</v>
      </c>
      <c r="CT20" s="25" t="n">
        <f aca="false">IF(CS20=0,0,CC20/(-PMT(Assumptions!$C$29/12,Assumptions!$C$30*12,CS20)*12))</f>
        <v>0</v>
      </c>
      <c r="CU20" s="19" t="n">
        <f aca="false">CS20-CR20</f>
        <v>-209462.5</v>
      </c>
      <c r="CV20" s="18" t="n">
        <f aca="false">MAX(BS20,CJ20,CQ20)</f>
        <v>0</v>
      </c>
      <c r="CW20" s="9" t="str">
        <f aca="false">IF(CV20&lt;=0,"None works",IF(BS20=CV20,"Land / pad sale",IF(CJ20=CV20,"Build &amp; sell","Build &amp; hold / lease")))</f>
        <v>None works</v>
      </c>
      <c r="CX20" s="19" t="n">
        <f aca="false">CV20*(1-Assumptions!$C$32)</f>
        <v>0</v>
      </c>
      <c r="CY20" s="19" t="n">
        <f aca="false">CV20-Parcel!$C$18</f>
        <v>-300000</v>
      </c>
      <c r="CZ20" s="19" t="n">
        <f aca="false">IF(Parcel!$C$8=0,0,CV20/Parcel!$C$8)</f>
        <v>0</v>
      </c>
      <c r="DA20" s="33" t="n">
        <f aca="false">IF(S20=0,0,CV20/S20)</f>
        <v>0</v>
      </c>
      <c r="DB20" s="9" t="str">
        <f aca="false">TRIM(M20&amp;" "&amp;IF(AND(U20=0,N20=1),"Nothing fits. ","")&amp;IF(Parcel!$C$12&lt;Use_Library!$AM$19,"Frontage under "&amp;Use_Library!$AM$19&amp;" LF. ","")&amp;IF(Parcel!$C$10&gt;0.15,"Slope over 15%. ","")&amp;IF(AND(U20=1,Use_Library!$M$19&gt;0,D20&gt;Use_Library!$M$19),"Only "&amp;Use_Library!$M$19&amp;" ac used - rest resold. ",""))</f>
        <v>Under 15,000 households in 3 mi.</v>
      </c>
      <c r="DC20" s="19" t="n">
        <f aca="false">CV20+ROW()/1000000</f>
        <v>2E-005</v>
      </c>
    </row>
    <row r="21" customFormat="false" ht="15" hidden="false" customHeight="false" outlineLevel="0" collapsed="false">
      <c r="A21" s="4" t="str">
        <f aca="false">Use_Library!$A$20</f>
        <v>Duplex / fourplex rental</v>
      </c>
      <c r="B21" s="9" t="str">
        <f aca="false">Use_Library!$C$20</f>
        <v>Income</v>
      </c>
      <c r="C21" s="9" t="str">
        <f aca="false">Use_Library!$D$20</f>
        <v>unit</v>
      </c>
      <c r="D21" s="14" t="n">
        <f aca="false">MAX(0,Parcel!$C$26*(1-Use_Library!$N$20-Assumptions!$C$7))</f>
        <v>14.196</v>
      </c>
      <c r="E21" s="14" t="n">
        <f aca="false">IF(Use_Library!$M$20&gt;0,MIN(D21,Use_Library!$M$20),D21)</f>
        <v>14.196</v>
      </c>
      <c r="F21" s="20" t="n">
        <f aca="false">IF(D21=0,0,E21/D21)</f>
        <v>1</v>
      </c>
      <c r="G21" s="14" t="n">
        <f aca="false">Parcel!$C$26*F21</f>
        <v>15.6</v>
      </c>
      <c r="H21" s="14" t="n">
        <f aca="false">G21*Assumptions!$C$7</f>
        <v>0.624</v>
      </c>
      <c r="I21" s="14" t="n">
        <f aca="false">G21*(1-Use_Library!$N$20)</f>
        <v>14.82</v>
      </c>
      <c r="J21" s="14" t="n">
        <f aca="false">Parcel!$C$8*(1-F21)</f>
        <v>0</v>
      </c>
      <c r="K21" s="15" t="n">
        <f aca="false">IF(AND(Use_Library!$I$20="Y",Parcel!$C$28=0),0,1)</f>
        <v>0</v>
      </c>
      <c r="L21" s="15" t="n">
        <f aca="false">IF(AND(Use_Library!$J$20="Y",Parcel!$C$27=0),0,1)</f>
        <v>1</v>
      </c>
      <c r="M21" s="9" t="str">
        <f aca="false">TRIM(IF(AND(Use_Library!$AN$20&gt;0,Parcel!$C$19&lt;Use_Library!$AN$20),"Traffic under "&amp;TEXT(Use_Library!$AN$20,"#,##0")&amp;" VPD. ","")&amp;IF(AND(Use_Library!$AO$20&gt;0,Parcel!$C$20&lt;Use_Library!$AO$20),"Under "&amp;TEXT(Use_Library!$AO$20,"#,##0")&amp;" households in 3 mi. ","")&amp;IF(AND(Use_Library!$AP$20&gt;0,Parcel!$C$21&gt;Use_Library!$AP$20),"Over "&amp;Use_Library!$AP$20&amp;" mi to highway. ","")&amp;IF(AND(Use_Library!$AQ$20="Y",Parcel!$C$22&lt;&gt;"Y"),"Needs a corner. ","")&amp;IF(AND(Use_Library!$AR$20&gt;0,Parcel!$C$23&gt;Use_Library!$AR$20),"Over "&amp;Use_Library!$AR$20&amp;" mi to substation. ",""))</f>
        <v/>
      </c>
      <c r="N21" s="15" t="n">
        <f aca="false">IF(M21="",1,0)</f>
        <v>1</v>
      </c>
      <c r="O21" s="15" t="n">
        <f aca="false">IF(D21&gt;=Use_Library!$L$20,1,0)</f>
        <v>1</v>
      </c>
      <c r="P21" s="14" t="n">
        <f aca="false">IF(Use_Library!$F$20&gt;0,G21*Use_Library!$F$20,1000000000)</f>
        <v>124.8</v>
      </c>
      <c r="Q21" s="14" t="n">
        <f aca="false">IF(Use_Library!$G$20&gt;0,E21*43560/Use_Library!$G$20,1000000000)</f>
        <v>1000000000</v>
      </c>
      <c r="R21" s="14" t="n">
        <f aca="false">IF(AND(Use_Library!$H$20="Y",Parcel!$C$28=0),E21*(1-Assumptions!$C$8)/IF(Parcel!$C$27=1,Assumptions!$C$9,Assumptions!$C$10),1000000000)</f>
        <v>1000000000</v>
      </c>
      <c r="S21" s="21" t="n">
        <f aca="false">IF(K21*L21*O21*N21=0,0,IF(MIN(P21,Q21,R21)&gt;=1000000000,E21,IF(Use_Library!$E$20="Y",INT(MIN(P21,Q21,R21)),MIN(P21,Q21,R21))))</f>
        <v>0</v>
      </c>
      <c r="T21" s="9" t="str">
        <f aca="false">IF(N21=0,"Location fails",IF(O21=0,"Too small - needs "&amp;Use_Library!$L$20&amp;" usable ac",IF(K21=0,"Needs public sewer",IF(L21=0,"Needs public water",IF(R21&lt;=MIN(P21,Q21),"Septic lot size",IF(Q21&lt;=P21,"Site area / parking","Density"))))))</f>
        <v>Needs public sewer</v>
      </c>
      <c r="U21" s="15" t="n">
        <f aca="false">IF(S21&gt;0,1,0)</f>
        <v>0</v>
      </c>
      <c r="V21" s="15" t="n">
        <f aca="false">IF(Use_Library!$K$20="Y",1,0)*U21</f>
        <v>0</v>
      </c>
      <c r="W21" s="15" t="n">
        <f aca="false">S21*Use_Library!$O$20*V21</f>
        <v>0</v>
      </c>
      <c r="X21" s="15" t="n">
        <f aca="false">S21*Use_Library!$P$20*V21</f>
        <v>0</v>
      </c>
      <c r="Y21" s="15" t="n">
        <f aca="false">IF(Parcel!$C$27=1,W21+Parcel!$C$29,0)*V21</f>
        <v>0</v>
      </c>
      <c r="Z21" s="14" t="n">
        <f aca="false">S21*Use_Library!$Q$20*Parcel!$C$27*V21</f>
        <v>0</v>
      </c>
      <c r="AA21" s="15" t="n">
        <f aca="false">IF(Parcel!$C$28=1,W21+Parcel!$C$30,0)*V21</f>
        <v>0</v>
      </c>
      <c r="AB21" s="14" t="n">
        <f aca="false">S21*Use_Library!$Q$20*Parcel!$C$28*V21</f>
        <v>0</v>
      </c>
      <c r="AC21" s="14" t="n">
        <f aca="false">IF(Parcel!$C$28=0,S21*Use_Library!$R$20,0)*V21</f>
        <v>0</v>
      </c>
      <c r="AD21" s="14" t="n">
        <f aca="false">IF(Parcel!$C$27=0,S21*Use_Library!$R$20,0)*V21</f>
        <v>0</v>
      </c>
      <c r="AE21" s="14" t="n">
        <f aca="false">I21*Parcel!$C$11*V21</f>
        <v>0</v>
      </c>
      <c r="AF21" s="14" t="n">
        <f aca="false">I21*V21</f>
        <v>0</v>
      </c>
      <c r="AG21" s="15" t="n">
        <f aca="false">IF(Use_Library!$C$20="For-Sale",IF(Use_Library!$E$20="Y",S21,1),1)*U21</f>
        <v>0</v>
      </c>
      <c r="AH21" s="19" t="n">
        <f aca="false">Cost_Library!$G$5*Parcel!$C$32*U21</f>
        <v>0</v>
      </c>
      <c r="AI21" s="19" t="n">
        <f aca="false">AG21*Cost_Library!$G$6*Parcel!$C$32</f>
        <v>0</v>
      </c>
      <c r="AJ21" s="19" t="n">
        <f aca="false">I21*Cost_Library!$G$7*Parcel!$C$32*V21</f>
        <v>0</v>
      </c>
      <c r="AK21" s="19" t="n">
        <f aca="false">Cost_Library!$G$8*Parcel!$C$32*V21</f>
        <v>0</v>
      </c>
      <c r="AL21" s="19" t="n">
        <f aca="false">AC21*Cost_Library!$G$9*Parcel!$C$32</f>
        <v>0</v>
      </c>
      <c r="AM21" s="19" t="n">
        <f aca="false">Cost_Library!$G$10*U21</f>
        <v>0</v>
      </c>
      <c r="AN21" s="19" t="n">
        <f aca="false">Cost_Library!$G$11*Parcel!$C$32*V21</f>
        <v>0</v>
      </c>
      <c r="AO21" s="19" t="n">
        <f aca="false">Use_Library!$S$20*U21</f>
        <v>0</v>
      </c>
      <c r="AP21" s="19" t="n">
        <f aca="false">Cost_Library!$G$12*U21</f>
        <v>0</v>
      </c>
      <c r="AQ21" s="19" t="n">
        <f aca="false">AE21*Cost_Library!$G$13*Parcel!$C$32</f>
        <v>0</v>
      </c>
      <c r="AR21" s="19" t="n">
        <f aca="false">AF21*Cost_Library!$G$14*Parcel!$C$32*Parcel!$C$33</f>
        <v>0</v>
      </c>
      <c r="AS21" s="19" t="n">
        <f aca="false">W21*Cost_Library!$G$15*Parcel!$C$32</f>
        <v>0</v>
      </c>
      <c r="AT21" s="19" t="n">
        <f aca="false">X21*Cost_Library!$G$16*Parcel!$C$32</f>
        <v>0</v>
      </c>
      <c r="AU21" s="19" t="n">
        <f aca="false">H21*Cost_Library!$G$17*Parcel!$C$32*V21</f>
        <v>0</v>
      </c>
      <c r="AV21" s="19" t="n">
        <f aca="false">G21*Cost_Library!$G$18*Parcel!$C$32*V21</f>
        <v>0</v>
      </c>
      <c r="AW21" s="19" t="n">
        <f aca="false">Y21*Cost_Library!$G$19*Parcel!$C$32</f>
        <v>0</v>
      </c>
      <c r="AX21" s="19" t="n">
        <f aca="false">Z21*Cost_Library!$G$20</f>
        <v>0</v>
      </c>
      <c r="AY21" s="19" t="n">
        <f aca="false">AA21*Cost_Library!$G$21*Parcel!$C$32</f>
        <v>0</v>
      </c>
      <c r="AZ21" s="19" t="n">
        <f aca="false">AB21*Cost_Library!$G$22</f>
        <v>0</v>
      </c>
      <c r="BA21" s="19" t="n">
        <f aca="false">AC21*Cost_Library!$G$23*Parcel!$C$32*Parcel!$C$34</f>
        <v>0</v>
      </c>
      <c r="BB21" s="19" t="n">
        <f aca="false">AD21*Cost_Library!$G$24*Parcel!$C$32</f>
        <v>0</v>
      </c>
      <c r="BC21" s="19" t="n">
        <f aca="false">W21*Cost_Library!$G$25*Parcel!$C$32</f>
        <v>0</v>
      </c>
      <c r="BD21" s="19" t="n">
        <f aca="false">SUM(AH21:BC21)</f>
        <v>0</v>
      </c>
      <c r="BE21" s="19" t="n">
        <f aca="false">BD21*Assumptions!$C$11</f>
        <v>0</v>
      </c>
      <c r="BF21" s="19" t="n">
        <f aca="false">BD21+BE21</f>
        <v>0</v>
      </c>
      <c r="BG21" s="19" t="n">
        <f aca="false">S21*Use_Library!$T$20</f>
        <v>0</v>
      </c>
      <c r="BH21" s="19" t="n">
        <f aca="false">BG21*(Assumptions!$C$12+Assumptions!$C$13)</f>
        <v>0</v>
      </c>
      <c r="BI21" s="19" t="n">
        <f aca="false">S21*Use_Library!$AC$20</f>
        <v>0</v>
      </c>
      <c r="BJ21" s="23" t="n">
        <f aca="false">1+Assumptions!$C$14+Assumptions!$C$15*Use_Library!$AH$20/12</f>
        <v>1.045</v>
      </c>
      <c r="BK21" s="23" t="n">
        <f aca="false">1+Assumptions!$C$21*(Assumptions!$C$22*Use_Library!$AH$20/12*Assumptions!$C$24+Assumptions!$C$23)</f>
        <v>1.038675</v>
      </c>
      <c r="BL21" s="23" t="n">
        <f aca="false">1+Assumptions!$C$21*(Assumptions!$C$22*(Use_Library!$AH$20/12*Assumptions!$C$24+IF(Use_Library!$C$20="Income",Use_Library!$AD$20,0)/12*Assumptions!$C$25)+Assumptions!$C$23)</f>
        <v>1.0533</v>
      </c>
      <c r="BM21" s="19" t="n">
        <f aca="false">J21*Assumptions!$C$31*(1-Assumptions!$C$17)*U21</f>
        <v>0</v>
      </c>
      <c r="BN21" s="19" t="n">
        <f aca="false">IF(Use_Library!$AJ$20=1,IF(Use_Library!$C$20="For-Sale",S21*Use_Library!$U$20,E21*Use_Library!$AF$20)*(1-Assumptions!$C$17)+BM21,0)*U21</f>
        <v>0</v>
      </c>
      <c r="BO21" s="19" t="n">
        <f aca="false">(BD21-AT21)*(1+Assumptions!$C$11)</f>
        <v>0</v>
      </c>
      <c r="BP21" s="23" t="n">
        <f aca="false">BJ21*BK21</f>
        <v>1.085415375</v>
      </c>
      <c r="BQ21" s="19" t="n">
        <f aca="false">(Parcel!$C$18*BJ21+BO21)*BK21</f>
        <v>325624.6125</v>
      </c>
      <c r="BR21" s="19" t="n">
        <f aca="false">BN21-BQ21</f>
        <v>-325624.6125</v>
      </c>
      <c r="BS21" s="32" t="n">
        <f aca="false">IF(AND(Use_Library!$AJ$20=1,U21=1),MAX(0,((1-Use_Library!$AI$20)*BN21-BO21*BK21)/BP21),0)</f>
        <v>0</v>
      </c>
      <c r="BT21" s="19" t="n">
        <f aca="false">BF21+BG21+BH21+BI21</f>
        <v>0</v>
      </c>
      <c r="BU21" s="23" t="n">
        <f aca="false">BJ21*BL21</f>
        <v>1.1006985</v>
      </c>
      <c r="BV21" s="19" t="n">
        <f aca="false">(Parcel!$C$18*BJ21+BT21)*BL21</f>
        <v>330209.55</v>
      </c>
      <c r="BW21" s="19" t="n">
        <f aca="false">IF(Use_Library!$C$20="Income",S21*Use_Library!$W$20,0)</f>
        <v>0</v>
      </c>
      <c r="BX21" s="19" t="n">
        <f aca="false">BW21*(1+Use_Library!$X$20)*(1-Use_Library!$Y$20)</f>
        <v>0</v>
      </c>
      <c r="BY21" s="19" t="n">
        <f aca="false">IF(Use_Library!$C$20="Income",S21*Use_Library!$Z$20,0)</f>
        <v>0</v>
      </c>
      <c r="BZ21" s="19" t="n">
        <f aca="false">IF(Use_Library!$C$20="Income",Assumptions!$C$19*Assumptions!$C$20*BV21,0)</f>
        <v>6174.918585</v>
      </c>
      <c r="CA21" s="19" t="n">
        <f aca="false">BX21*Use_Library!$AA$20</f>
        <v>0</v>
      </c>
      <c r="CB21" s="19" t="n">
        <f aca="false">(BY21+BZ21)*Use_Library!$AB$20</f>
        <v>308.74592925</v>
      </c>
      <c r="CC21" s="19" t="n">
        <f aca="false">BX21-BY21-BZ21-CA21+CB21</f>
        <v>-5866.17265575</v>
      </c>
      <c r="CD21" s="19" t="n">
        <f aca="false">IF(AND(Use_Library!$C$20="Income",Use_Library!$AE$20&gt;0),CC21/Use_Library!$AE$20,0)</f>
        <v>-93858.762492</v>
      </c>
      <c r="CE21" s="24" t="n">
        <f aca="false">IF(Use_Library!$C$20="Income",-Assumptions!$C$19*Assumptions!$C$20*(1-Use_Library!$AB$20)*BU21,0)</f>
        <v>-0.0195539088525</v>
      </c>
      <c r="CF21" s="20" t="n">
        <f aca="false">IF(BV21=0,0,CC21/BV21)</f>
        <v>-0.017765</v>
      </c>
      <c r="CG21" s="19" t="n">
        <f aca="false">IF(Use_Library!$AK$20=1,IF(Use_Library!$C$20="Income",CD21*(1-Assumptions!$C$18),S21*Use_Library!$V$20*(1-Assumptions!$C$16))+BM21,0)*U21</f>
        <v>-0</v>
      </c>
      <c r="CH21" s="24" t="n">
        <f aca="false">IF(AND(Use_Library!$AK$20=1,Use_Library!$C$20="Income",Use_Library!$AE$20&gt;0),CE21/Use_Library!$AE$20*(1-Assumptions!$C$18),0)</f>
        <v>-0.3066052908072</v>
      </c>
      <c r="CI21" s="19" t="n">
        <f aca="false">CG21-BV21</f>
        <v>-330209.55</v>
      </c>
      <c r="CJ21" s="32" t="n">
        <f aca="false">IF(AND(Use_Library!$AK$20=1,U21=1),MAX(0,Parcel!$C$18-((1-Use_Library!$AI$20)*CG21-BV21)/((1-Use_Library!$AI$20)*CH21-BU21)),0)</f>
        <v>0</v>
      </c>
      <c r="CK21" s="19" t="n">
        <f aca="false">IF(Use_Library!$AL$20=1,IF(Use_Library!$C$20="Income",CD21,IF(Use_Library!$AE$20&gt;0,E21*Use_Library!$AG$20/Use_Library!$AE$20,0))+BM21,0)*U21</f>
        <v>-0</v>
      </c>
      <c r="CL21" s="19" t="n">
        <f aca="false">IF(Use_Library!$C$20="Income",BT21,BF21)</f>
        <v>0</v>
      </c>
      <c r="CM21" s="23" t="n">
        <f aca="false">IF(Use_Library!$C$20="Income",BU21,BJ21*BK21)</f>
        <v>1.1006985</v>
      </c>
      <c r="CN21" s="19" t="n">
        <f aca="false">IF(Use_Library!$C$20="Income",BV21,(Parcel!$C$18*BJ21+BF21)*BK21)</f>
        <v>330209.55</v>
      </c>
      <c r="CO21" s="24" t="n">
        <f aca="false">IF(AND(Use_Library!$AL$20=1,Use_Library!$C$20="Income",Use_Library!$AE$20&gt;0),CE21/Use_Library!$AE$20,0)</f>
        <v>-0.31286254164</v>
      </c>
      <c r="CP21" s="19" t="n">
        <f aca="false">CK21-CN21</f>
        <v>-330209.55</v>
      </c>
      <c r="CQ21" s="32" t="n">
        <f aca="false">IF(AND(Use_Library!$AL$20=1,U21=1),MAX(0,Parcel!$C$18-((1-Use_Library!$AI$20)*CK21-CN21)/((1-Use_Library!$AI$20)*CO21-CM21)),0)</f>
        <v>0</v>
      </c>
      <c r="CR21" s="19" t="n">
        <f aca="false">IF(Use_Library!$C$20="Income",Assumptions!$C$21*(Parcel!$C$18*BJ21+BT21),0)</f>
        <v>203775</v>
      </c>
      <c r="CS21" s="19" t="n">
        <f aca="false">IF(AND(Use_Library!$C$20="Income",CC21&gt;0),MIN(Assumptions!$C$26*CD21,PV(Assumptions!$C$29/12,Assumptions!$C$30*12,-CC21/Assumptions!$C$27/12),CC21/Assumptions!$C$28),0)</f>
        <v>0</v>
      </c>
      <c r="CT21" s="25" t="n">
        <f aca="false">IF(CS21=0,0,CC21/(-PMT(Assumptions!$C$29/12,Assumptions!$C$30*12,CS21)*12))</f>
        <v>0</v>
      </c>
      <c r="CU21" s="19" t="n">
        <f aca="false">CS21-CR21</f>
        <v>-203775</v>
      </c>
      <c r="CV21" s="18" t="n">
        <f aca="false">MAX(BS21,CJ21,CQ21)</f>
        <v>0</v>
      </c>
      <c r="CW21" s="9" t="str">
        <f aca="false">IF(CV21&lt;=0,"None works",IF(BS21=CV21,"Land / pad sale",IF(CJ21=CV21,"Build &amp; sell","Build &amp; hold / lease")))</f>
        <v>None works</v>
      </c>
      <c r="CX21" s="19" t="n">
        <f aca="false">CV21*(1-Assumptions!$C$32)</f>
        <v>0</v>
      </c>
      <c r="CY21" s="19" t="n">
        <f aca="false">CV21-Parcel!$C$18</f>
        <v>-300000</v>
      </c>
      <c r="CZ21" s="19" t="n">
        <f aca="false">IF(Parcel!$C$8=0,0,CV21/Parcel!$C$8)</f>
        <v>0</v>
      </c>
      <c r="DA21" s="33" t="n">
        <f aca="false">IF(S21=0,0,CV21/S21)</f>
        <v>0</v>
      </c>
      <c r="DB21" s="9" t="str">
        <f aca="false">TRIM(M21&amp;" "&amp;IF(AND(U21=0,N21=1),"Nothing fits. ","")&amp;IF(Parcel!$C$12&lt;Use_Library!$AM$20,"Frontage under "&amp;Use_Library!$AM$20&amp;" LF. ","")&amp;IF(Parcel!$C$10&gt;0.15,"Slope over 15%. ","")&amp;IF(AND(U21=1,Use_Library!$M$20&gt;0,D21&gt;Use_Library!$M$20),"Only "&amp;Use_Library!$M$20&amp;" ac used - rest resold. ",""))</f>
        <v>Nothing fits.</v>
      </c>
      <c r="DC21" s="19" t="n">
        <f aca="false">CV21+ROW()/1000000</f>
        <v>2.1E-005</v>
      </c>
    </row>
    <row r="22" customFormat="false" ht="15" hidden="false" customHeight="false" outlineLevel="0" collapsed="false">
      <c r="A22" s="4" t="str">
        <f aca="false">Use_Library!$A$21</f>
        <v>Tiny-home long-term rental community</v>
      </c>
      <c r="B22" s="9" t="str">
        <f aca="false">Use_Library!$C$21</f>
        <v>Income</v>
      </c>
      <c r="C22" s="9" t="str">
        <f aca="false">Use_Library!$D$21</f>
        <v>home</v>
      </c>
      <c r="D22" s="14" t="n">
        <f aca="false">MAX(0,Parcel!$C$26*(1-Use_Library!$N$21-Assumptions!$C$7))</f>
        <v>14.196</v>
      </c>
      <c r="E22" s="14" t="n">
        <f aca="false">IF(Use_Library!$M$21&gt;0,MIN(D22,Use_Library!$M$21),D22)</f>
        <v>14.196</v>
      </c>
      <c r="F22" s="20" t="n">
        <f aca="false">IF(D22=0,0,E22/D22)</f>
        <v>1</v>
      </c>
      <c r="G22" s="14" t="n">
        <f aca="false">Parcel!$C$26*F22</f>
        <v>15.6</v>
      </c>
      <c r="H22" s="14" t="n">
        <f aca="false">G22*Assumptions!$C$7</f>
        <v>0.624</v>
      </c>
      <c r="I22" s="14" t="n">
        <f aca="false">G22*(1-Use_Library!$N$21)</f>
        <v>14.82</v>
      </c>
      <c r="J22" s="14" t="n">
        <f aca="false">Parcel!$C$8*(1-F22)</f>
        <v>0</v>
      </c>
      <c r="K22" s="15" t="n">
        <f aca="false">IF(AND(Use_Library!$I$21="Y",Parcel!$C$28=0),0,1)</f>
        <v>1</v>
      </c>
      <c r="L22" s="15" t="n">
        <f aca="false">IF(AND(Use_Library!$J$21="Y",Parcel!$C$27=0),0,1)</f>
        <v>1</v>
      </c>
      <c r="M22" s="9" t="str">
        <f aca="false">TRIM(IF(AND(Use_Library!$AN$21&gt;0,Parcel!$C$19&lt;Use_Library!$AN$21),"Traffic under "&amp;TEXT(Use_Library!$AN$21,"#,##0")&amp;" VPD. ","")&amp;IF(AND(Use_Library!$AO$21&gt;0,Parcel!$C$20&lt;Use_Library!$AO$21),"Under "&amp;TEXT(Use_Library!$AO$21,"#,##0")&amp;" households in 3 mi. ","")&amp;IF(AND(Use_Library!$AP$21&gt;0,Parcel!$C$21&gt;Use_Library!$AP$21),"Over "&amp;Use_Library!$AP$21&amp;" mi to highway. ","")&amp;IF(AND(Use_Library!$AQ$21="Y",Parcel!$C$22&lt;&gt;"Y"),"Needs a corner. ","")&amp;IF(AND(Use_Library!$AR$21&gt;0,Parcel!$C$23&gt;Use_Library!$AR$21),"Over "&amp;Use_Library!$AR$21&amp;" mi to substation. ",""))</f>
        <v/>
      </c>
      <c r="N22" s="15" t="n">
        <f aca="false">IF(M22="",1,0)</f>
        <v>1</v>
      </c>
      <c r="O22" s="15" t="n">
        <f aca="false">IF(D22&gt;=Use_Library!$L$21,1,0)</f>
        <v>1</v>
      </c>
      <c r="P22" s="14" t="n">
        <f aca="false">IF(Use_Library!$F$21&gt;0,G22*Use_Library!$F$21,1000000000)</f>
        <v>156</v>
      </c>
      <c r="Q22" s="14" t="n">
        <f aca="false">IF(Use_Library!$G$21&gt;0,E22*43560/Use_Library!$G$21,1000000000)</f>
        <v>1000000000</v>
      </c>
      <c r="R22" s="14" t="n">
        <f aca="false">IF(AND(Use_Library!$H$21="Y",Parcel!$C$28=0),E22*(1-Assumptions!$C$8)/IF(Parcel!$C$27=1,Assumptions!$C$9,Assumptions!$C$10),1000000000)</f>
        <v>1000000000</v>
      </c>
      <c r="S22" s="21" t="n">
        <f aca="false">IF(K22*L22*O22*N22=0,0,IF(MIN(P22,Q22,R22)&gt;=1000000000,E22,IF(Use_Library!$E$21="Y",INT(MIN(P22,Q22,R22)),MIN(P22,Q22,R22))))</f>
        <v>156</v>
      </c>
      <c r="T22" s="9" t="str">
        <f aca="false">IF(N22=0,"Location fails",IF(O22=0,"Too small - needs "&amp;Use_Library!$L$21&amp;" usable ac",IF(K22=0,"Needs public sewer",IF(L22=0,"Needs public water",IF(R22&lt;=MIN(P22,Q22),"Septic lot size",IF(Q22&lt;=P22,"Site area / parking","Density"))))))</f>
        <v>Density</v>
      </c>
      <c r="U22" s="15" t="n">
        <f aca="false">IF(S22&gt;0,1,0)</f>
        <v>1</v>
      </c>
      <c r="V22" s="15" t="n">
        <f aca="false">IF(Use_Library!$K$21="Y",1,0)*U22</f>
        <v>1</v>
      </c>
      <c r="W22" s="15" t="n">
        <f aca="false">S22*Use_Library!$O$21*V22</f>
        <v>3900</v>
      </c>
      <c r="X22" s="15" t="n">
        <f aca="false">S22*Use_Library!$P$21*V22</f>
        <v>0</v>
      </c>
      <c r="Y22" s="15" t="n">
        <f aca="false">IF(Parcel!$C$27=1,W22+Parcel!$C$29,0)*V22</f>
        <v>3900</v>
      </c>
      <c r="Z22" s="14" t="n">
        <f aca="false">S22*Use_Library!$Q$21*Parcel!$C$27*V22</f>
        <v>156</v>
      </c>
      <c r="AA22" s="15" t="n">
        <f aca="false">IF(Parcel!$C$28=1,W22+Parcel!$C$30,0)*V22</f>
        <v>0</v>
      </c>
      <c r="AB22" s="14" t="n">
        <f aca="false">S22*Use_Library!$Q$21*Parcel!$C$28*V22</f>
        <v>0</v>
      </c>
      <c r="AC22" s="14" t="n">
        <f aca="false">IF(Parcel!$C$28=0,S22*Use_Library!$R$21,0)*V22</f>
        <v>39</v>
      </c>
      <c r="AD22" s="14" t="n">
        <f aca="false">IF(Parcel!$C$27=0,S22*Use_Library!$R$21,0)*V22</f>
        <v>0</v>
      </c>
      <c r="AE22" s="14" t="n">
        <f aca="false">I22*Parcel!$C$11*V22</f>
        <v>5.187</v>
      </c>
      <c r="AF22" s="14" t="n">
        <f aca="false">I22*V22</f>
        <v>14.82</v>
      </c>
      <c r="AG22" s="15" t="n">
        <f aca="false">IF(Use_Library!$C$21="For-Sale",IF(Use_Library!$E$21="Y",S22,1),1)*U22</f>
        <v>1</v>
      </c>
      <c r="AH22" s="19" t="n">
        <f aca="false">Cost_Library!$G$5*Parcel!$C$32*U22</f>
        <v>6500</v>
      </c>
      <c r="AI22" s="19" t="n">
        <f aca="false">AG22*Cost_Library!$G$6*Parcel!$C$32</f>
        <v>900</v>
      </c>
      <c r="AJ22" s="19" t="n">
        <f aca="false">I22*Cost_Library!$G$7*Parcel!$C$32*V22</f>
        <v>74100</v>
      </c>
      <c r="AK22" s="19" t="n">
        <f aca="false">Cost_Library!$G$8*Parcel!$C$32*V22</f>
        <v>5000</v>
      </c>
      <c r="AL22" s="19" t="n">
        <f aca="false">AC22*Cost_Library!$G$9*Parcel!$C$32</f>
        <v>19500</v>
      </c>
      <c r="AM22" s="19" t="n">
        <f aca="false">Cost_Library!$G$10*U22</f>
        <v>2800</v>
      </c>
      <c r="AN22" s="19" t="n">
        <f aca="false">Cost_Library!$G$11*Parcel!$C$32*V22</f>
        <v>7500</v>
      </c>
      <c r="AO22" s="19" t="n">
        <f aca="false">Use_Library!$S$21*U22</f>
        <v>25000</v>
      </c>
      <c r="AP22" s="19" t="n">
        <f aca="false">Cost_Library!$G$12*U22</f>
        <v>10000</v>
      </c>
      <c r="AQ22" s="19" t="n">
        <f aca="false">AE22*Cost_Library!$G$13*Parcel!$C$32</f>
        <v>20748</v>
      </c>
      <c r="AR22" s="19" t="n">
        <f aca="false">AF22*Cost_Library!$G$14*Parcel!$C$32*Parcel!$C$33</f>
        <v>74100</v>
      </c>
      <c r="AS22" s="19" t="n">
        <f aca="false">W22*Cost_Library!$G$15*Parcel!$C$32</f>
        <v>585000</v>
      </c>
      <c r="AT22" s="19" t="n">
        <f aca="false">X22*Cost_Library!$G$16*Parcel!$C$32</f>
        <v>0</v>
      </c>
      <c r="AU22" s="19" t="n">
        <f aca="false">H22*Cost_Library!$G$17*Parcel!$C$32*V22</f>
        <v>34320</v>
      </c>
      <c r="AV22" s="19" t="n">
        <f aca="false">G22*Cost_Library!$G$18*Parcel!$C$32*V22</f>
        <v>10920</v>
      </c>
      <c r="AW22" s="19" t="n">
        <f aca="false">Y22*Cost_Library!$G$19*Parcel!$C$32</f>
        <v>195000</v>
      </c>
      <c r="AX22" s="19" t="n">
        <f aca="false">Z22*Cost_Library!$G$20</f>
        <v>390000</v>
      </c>
      <c r="AY22" s="19" t="n">
        <f aca="false">AA22*Cost_Library!$G$21*Parcel!$C$32</f>
        <v>0</v>
      </c>
      <c r="AZ22" s="19" t="n">
        <f aca="false">AB22*Cost_Library!$G$22</f>
        <v>0</v>
      </c>
      <c r="BA22" s="19" t="n">
        <f aca="false">AC22*Cost_Library!$G$23*Parcel!$C$32*Parcel!$C$34</f>
        <v>514800</v>
      </c>
      <c r="BB22" s="19" t="n">
        <f aca="false">AD22*Cost_Library!$G$24*Parcel!$C$32</f>
        <v>0</v>
      </c>
      <c r="BC22" s="19" t="n">
        <f aca="false">W22*Cost_Library!$G$25*Parcel!$C$32</f>
        <v>97500</v>
      </c>
      <c r="BD22" s="19" t="n">
        <f aca="false">SUM(AH22:BC22)</f>
        <v>2073688</v>
      </c>
      <c r="BE22" s="19" t="n">
        <f aca="false">BD22*Assumptions!$C$11</f>
        <v>207368.8</v>
      </c>
      <c r="BF22" s="19" t="n">
        <f aca="false">BD22+BE22</f>
        <v>2281056.8</v>
      </c>
      <c r="BG22" s="19" t="n">
        <f aca="false">S22*Use_Library!$T$21</f>
        <v>13260000</v>
      </c>
      <c r="BH22" s="19" t="n">
        <f aca="false">BG22*(Assumptions!$C$12+Assumptions!$C$13)</f>
        <v>1723800</v>
      </c>
      <c r="BI22" s="19" t="n">
        <f aca="false">S22*Use_Library!$AC$21</f>
        <v>0</v>
      </c>
      <c r="BJ22" s="23" t="n">
        <f aca="false">1+Assumptions!$C$14+Assumptions!$C$15*Use_Library!$AH$21/12</f>
        <v>1.045</v>
      </c>
      <c r="BK22" s="23" t="n">
        <f aca="false">1+Assumptions!$C$21*(Assumptions!$C$22*Use_Library!$AH$21/12*Assumptions!$C$24+Assumptions!$C$23)</f>
        <v>1.038675</v>
      </c>
      <c r="BL22" s="23" t="n">
        <f aca="false">1+Assumptions!$C$21*(Assumptions!$C$22*(Use_Library!$AH$21/12*Assumptions!$C$24+IF(Use_Library!$C$21="Income",Use_Library!$AD$21,0)/12*Assumptions!$C$25)+Assumptions!$C$23)</f>
        <v>1.0606125</v>
      </c>
      <c r="BM22" s="19" t="n">
        <f aca="false">J22*Assumptions!$C$31*(1-Assumptions!$C$17)*U22</f>
        <v>0</v>
      </c>
      <c r="BN22" s="19" t="n">
        <f aca="false">IF(Use_Library!$AJ$21=1,IF(Use_Library!$C$21="For-Sale",S22*Use_Library!$U$21,E22*Use_Library!$AF$21)*(1-Assumptions!$C$17)+BM22,0)*U22</f>
        <v>545126.4</v>
      </c>
      <c r="BO22" s="19" t="n">
        <f aca="false">(BD22-AT22)*(1+Assumptions!$C$11)</f>
        <v>2281056.8</v>
      </c>
      <c r="BP22" s="23" t="n">
        <f aca="false">BJ22*BK22</f>
        <v>1.085415375</v>
      </c>
      <c r="BQ22" s="19" t="n">
        <f aca="false">(Parcel!$C$18*BJ22+BO22)*BK22</f>
        <v>2694901.28424</v>
      </c>
      <c r="BR22" s="19" t="n">
        <f aca="false">BN22-BQ22</f>
        <v>-2149774.88424</v>
      </c>
      <c r="BS22" s="32" t="n">
        <f aca="false">IF(AND(Use_Library!$AJ$21=1,U22=1),MAX(0,((1-Use_Library!$AI$21)*BN22-BO22*BK22)/BP22),0)</f>
        <v>0</v>
      </c>
      <c r="BT22" s="19" t="n">
        <f aca="false">BF22+BG22+BH22+BI22</f>
        <v>17264856.8</v>
      </c>
      <c r="BU22" s="23" t="n">
        <f aca="false">BJ22*BL22</f>
        <v>1.1083400625</v>
      </c>
      <c r="BV22" s="19" t="n">
        <f aca="false">(Parcel!$C$18*BJ22+BT22)*BL22</f>
        <v>18643824.95154</v>
      </c>
      <c r="BW22" s="19" t="n">
        <f aca="false">IF(Use_Library!$C$21="Income",S22*Use_Library!$W$21,0)</f>
        <v>2059200</v>
      </c>
      <c r="BX22" s="19" t="n">
        <f aca="false">BW22*(1+Use_Library!$X$21)*(1-Use_Library!$Y$21)</f>
        <v>1972507.68</v>
      </c>
      <c r="BY22" s="19" t="n">
        <f aca="false">IF(Use_Library!$C$21="Income",S22*Use_Library!$Z$21,0)</f>
        <v>390000</v>
      </c>
      <c r="BZ22" s="19" t="n">
        <f aca="false">IF(Use_Library!$C$21="Income",Assumptions!$C$19*Assumptions!$C$20*BV22,0)</f>
        <v>348639.526593798</v>
      </c>
      <c r="CA22" s="19" t="n">
        <f aca="false">BX22*Use_Library!$AA$21</f>
        <v>157800.6144</v>
      </c>
      <c r="CB22" s="19" t="n">
        <f aca="false">(BY22+BZ22)*Use_Library!$AB$21</f>
        <v>36931.9763296899</v>
      </c>
      <c r="CC22" s="19" t="n">
        <f aca="false">BX22-BY22-BZ22-CA22+CB22</f>
        <v>1112999.51533589</v>
      </c>
      <c r="CD22" s="19" t="n">
        <f aca="false">IF(AND(Use_Library!$C$21="Income",Use_Library!$AE$21&gt;0),CC22/Use_Library!$AE$21,0)</f>
        <v>16488881.7086799</v>
      </c>
      <c r="CE22" s="24" t="n">
        <f aca="false">IF(Use_Library!$C$21="Income",-Assumptions!$C$19*Assumptions!$C$20*(1-Use_Library!$AB$21)*BU22,0)</f>
        <v>-0.0196896612103125</v>
      </c>
      <c r="CF22" s="20" t="n">
        <f aca="false">IF(BV22=0,0,CC22/BV22)</f>
        <v>0.05969802431791</v>
      </c>
      <c r="CG22" s="19" t="n">
        <f aca="false">IF(Use_Library!$AK$21=1,IF(Use_Library!$C$21="Income",CD22*(1-Assumptions!$C$18),S22*Use_Library!$V$21*(1-Assumptions!$C$16))+BM22,0)*U22</f>
        <v>16159104.0745063</v>
      </c>
      <c r="CH22" s="24" t="n">
        <f aca="false">IF(AND(Use_Library!$AK$21=1,Use_Library!$C$21="Income",Use_Library!$AE$21&gt;0),CE22/Use_Library!$AE$21*(1-Assumptions!$C$18),0)</f>
        <v>-0.285864710905278</v>
      </c>
      <c r="CI22" s="19" t="n">
        <f aca="false">CG22-BV22</f>
        <v>-2484720.87703372</v>
      </c>
      <c r="CJ22" s="32" t="n">
        <f aca="false">IF(AND(Use_Library!$AK$21=1,U22=1),MAX(0,Parcel!$C$18-((1-Use_Library!$AI$21)*CG22-BV22)/((1-Use_Library!$AI$21)*CH22-BU22)),0)</f>
        <v>0</v>
      </c>
      <c r="CK22" s="19" t="n">
        <f aca="false">IF(Use_Library!$AL$21=1,IF(Use_Library!$C$21="Income",CD22,IF(Use_Library!$AE$21&gt;0,E22*Use_Library!$AG$21/Use_Library!$AE$21,0))+BM22,0)*U22</f>
        <v>16488881.7086799</v>
      </c>
      <c r="CL22" s="19" t="n">
        <f aca="false">IF(Use_Library!$C$21="Income",BT22,BF22)</f>
        <v>17264856.8</v>
      </c>
      <c r="CM22" s="23" t="n">
        <f aca="false">IF(Use_Library!$C$21="Income",BU22,BJ22*BK22)</f>
        <v>1.1083400625</v>
      </c>
      <c r="CN22" s="19" t="n">
        <f aca="false">IF(Use_Library!$C$21="Income",BV22,(Parcel!$C$18*BJ22+BF22)*BK22)</f>
        <v>18643824.95154</v>
      </c>
      <c r="CO22" s="24" t="n">
        <f aca="false">IF(AND(Use_Library!$AL$21=1,Use_Library!$C$21="Income",Use_Library!$AE$21&gt;0),CE22/Use_Library!$AE$21,0)</f>
        <v>-0.291698684597222</v>
      </c>
      <c r="CP22" s="19" t="n">
        <f aca="false">CK22-CN22</f>
        <v>-2154943.24286013</v>
      </c>
      <c r="CQ22" s="32" t="n">
        <f aca="false">IF(AND(Use_Library!$AL$21=1,U22=1),MAX(0,Parcel!$C$18-((1-Use_Library!$AI$21)*CK22-CN22)/((1-Use_Library!$AI$21)*CO22-CM22)),0)</f>
        <v>0</v>
      </c>
      <c r="CR22" s="19" t="n">
        <f aca="false">IF(Use_Library!$C$21="Income",Assumptions!$C$21*(Parcel!$C$18*BJ22+BT22),0)</f>
        <v>11425931.92</v>
      </c>
      <c r="CS22" s="19" t="n">
        <f aca="false">IF(AND(Use_Library!$C$21="Income",CC22&gt;0),MIN(Assumptions!$C$26*CD22,PV(Assumptions!$C$29/12,Assumptions!$C$30*12,-CC22/Assumptions!$C$27/12),CC22/Assumptions!$C$28),0)</f>
        <v>11381669.0988614</v>
      </c>
      <c r="CT22" s="25" t="n">
        <f aca="false">IF(CS22=0,0,CC22/(-PMT(Assumptions!$C$29/12,Assumptions!$C$30*12,CS22)*12))</f>
        <v>1.25</v>
      </c>
      <c r="CU22" s="19" t="n">
        <f aca="false">CS22-CR22</f>
        <v>-44262.8211386204</v>
      </c>
      <c r="CV22" s="18" t="n">
        <f aca="false">MAX(BS22,CJ22,CQ22)</f>
        <v>0</v>
      </c>
      <c r="CW22" s="9" t="str">
        <f aca="false">IF(CV22&lt;=0,"None works",IF(BS22=CV22,"Land / pad sale",IF(CJ22=CV22,"Build &amp; sell","Build &amp; hold / lease")))</f>
        <v>None works</v>
      </c>
      <c r="CX22" s="19" t="n">
        <f aca="false">CV22*(1-Assumptions!$C$32)</f>
        <v>0</v>
      </c>
      <c r="CY22" s="19" t="n">
        <f aca="false">CV22-Parcel!$C$18</f>
        <v>-300000</v>
      </c>
      <c r="CZ22" s="19" t="n">
        <f aca="false">IF(Parcel!$C$8=0,0,CV22/Parcel!$C$8)</f>
        <v>0</v>
      </c>
      <c r="DA22" s="33" t="n">
        <f aca="false">IF(S22=0,0,CV22/S22)</f>
        <v>0</v>
      </c>
      <c r="DB22" s="9" t="str">
        <f aca="false">TRIM(M22&amp;" "&amp;IF(AND(U22=0,N22=1),"Nothing fits. ","")&amp;IF(Parcel!$C$12&lt;Use_Library!$AM$21,"Frontage under "&amp;Use_Library!$AM$21&amp;" LF. ","")&amp;IF(Parcel!$C$10&gt;0.15,"Slope over 15%. ","")&amp;IF(AND(U22=1,Use_Library!$M$21&gt;0,D22&gt;Use_Library!$M$21),"Only "&amp;Use_Library!$M$21&amp;" ac used - rest resold. ",""))</f>
        <v/>
      </c>
      <c r="DC22" s="19" t="n">
        <f aca="false">CV22+ROW()/1000000</f>
        <v>2.2E-005</v>
      </c>
    </row>
    <row r="23" customFormat="false" ht="15" hidden="false" customHeight="false" outlineLevel="0" collapsed="false">
      <c r="A23" s="4" t="str">
        <f aca="false">Use_Library!$A$22</f>
        <v>Build-to-rent cottages</v>
      </c>
      <c r="B23" s="9" t="str">
        <f aca="false">Use_Library!$C$22</f>
        <v>Income</v>
      </c>
      <c r="C23" s="9" t="str">
        <f aca="false">Use_Library!$D$22</f>
        <v>home</v>
      </c>
      <c r="D23" s="14" t="n">
        <f aca="false">MAX(0,Parcel!$C$26*(1-Use_Library!$N$22-Assumptions!$C$7))</f>
        <v>14.196</v>
      </c>
      <c r="E23" s="14" t="n">
        <f aca="false">IF(Use_Library!$M$22&gt;0,MIN(D23,Use_Library!$M$22),D23)</f>
        <v>14.196</v>
      </c>
      <c r="F23" s="20" t="n">
        <f aca="false">IF(D23=0,0,E23/D23)</f>
        <v>1</v>
      </c>
      <c r="G23" s="14" t="n">
        <f aca="false">Parcel!$C$26*F23</f>
        <v>15.6</v>
      </c>
      <c r="H23" s="14" t="n">
        <f aca="false">G23*Assumptions!$C$7</f>
        <v>0.624</v>
      </c>
      <c r="I23" s="14" t="n">
        <f aca="false">G23*(1-Use_Library!$N$22)</f>
        <v>14.82</v>
      </c>
      <c r="J23" s="14" t="n">
        <f aca="false">Parcel!$C$8*(1-F23)</f>
        <v>0</v>
      </c>
      <c r="K23" s="15" t="n">
        <f aca="false">IF(AND(Use_Library!$I$22="Y",Parcel!$C$28=0),0,1)</f>
        <v>0</v>
      </c>
      <c r="L23" s="15" t="n">
        <f aca="false">IF(AND(Use_Library!$J$22="Y",Parcel!$C$27=0),0,1)</f>
        <v>1</v>
      </c>
      <c r="M23" s="9" t="str">
        <f aca="false">TRIM(IF(AND(Use_Library!$AN$22&gt;0,Parcel!$C$19&lt;Use_Library!$AN$22),"Traffic under "&amp;TEXT(Use_Library!$AN$22,"#,##0")&amp;" VPD. ","")&amp;IF(AND(Use_Library!$AO$22&gt;0,Parcel!$C$20&lt;Use_Library!$AO$22),"Under "&amp;TEXT(Use_Library!$AO$22,"#,##0")&amp;" households in 3 mi. ","")&amp;IF(AND(Use_Library!$AP$22&gt;0,Parcel!$C$21&gt;Use_Library!$AP$22),"Over "&amp;Use_Library!$AP$22&amp;" mi to highway. ","")&amp;IF(AND(Use_Library!$AQ$22="Y",Parcel!$C$22&lt;&gt;"Y"),"Needs a corner. ","")&amp;IF(AND(Use_Library!$AR$22&gt;0,Parcel!$C$23&gt;Use_Library!$AR$22),"Over "&amp;Use_Library!$AR$22&amp;" mi to substation. ",""))</f>
        <v/>
      </c>
      <c r="N23" s="15" t="n">
        <f aca="false">IF(M23="",1,0)</f>
        <v>1</v>
      </c>
      <c r="O23" s="15" t="n">
        <f aca="false">IF(D23&gt;=Use_Library!$L$22,1,0)</f>
        <v>1</v>
      </c>
      <c r="P23" s="14" t="n">
        <f aca="false">IF(Use_Library!$F$22&gt;0,G23*Use_Library!$F$22,1000000000)</f>
        <v>124.8</v>
      </c>
      <c r="Q23" s="14" t="n">
        <f aca="false">IF(Use_Library!$G$22&gt;0,E23*43560/Use_Library!$G$22,1000000000)</f>
        <v>1000000000</v>
      </c>
      <c r="R23" s="14" t="n">
        <f aca="false">IF(AND(Use_Library!$H$22="Y",Parcel!$C$28=0),E23*(1-Assumptions!$C$8)/IF(Parcel!$C$27=1,Assumptions!$C$9,Assumptions!$C$10),1000000000)</f>
        <v>1000000000</v>
      </c>
      <c r="S23" s="21" t="n">
        <f aca="false">IF(K23*L23*O23*N23=0,0,IF(MIN(P23,Q23,R23)&gt;=1000000000,E23,IF(Use_Library!$E$22="Y",INT(MIN(P23,Q23,R23)),MIN(P23,Q23,R23))))</f>
        <v>0</v>
      </c>
      <c r="T23" s="9" t="str">
        <f aca="false">IF(N23=0,"Location fails",IF(O23=0,"Too small - needs "&amp;Use_Library!$L$22&amp;" usable ac",IF(K23=0,"Needs public sewer",IF(L23=0,"Needs public water",IF(R23&lt;=MIN(P23,Q23),"Septic lot size",IF(Q23&lt;=P23,"Site area / parking","Density"))))))</f>
        <v>Needs public sewer</v>
      </c>
      <c r="U23" s="15" t="n">
        <f aca="false">IF(S23&gt;0,1,0)</f>
        <v>0</v>
      </c>
      <c r="V23" s="15" t="n">
        <f aca="false">IF(Use_Library!$K$22="Y",1,0)*U23</f>
        <v>0</v>
      </c>
      <c r="W23" s="15" t="n">
        <f aca="false">S23*Use_Library!$O$22*V23</f>
        <v>0</v>
      </c>
      <c r="X23" s="15" t="n">
        <f aca="false">S23*Use_Library!$P$22*V23</f>
        <v>0</v>
      </c>
      <c r="Y23" s="15" t="n">
        <f aca="false">IF(Parcel!$C$27=1,W23+Parcel!$C$29,0)*V23</f>
        <v>0</v>
      </c>
      <c r="Z23" s="14" t="n">
        <f aca="false">S23*Use_Library!$Q$22*Parcel!$C$27*V23</f>
        <v>0</v>
      </c>
      <c r="AA23" s="15" t="n">
        <f aca="false">IF(Parcel!$C$28=1,W23+Parcel!$C$30,0)*V23</f>
        <v>0</v>
      </c>
      <c r="AB23" s="14" t="n">
        <f aca="false">S23*Use_Library!$Q$22*Parcel!$C$28*V23</f>
        <v>0</v>
      </c>
      <c r="AC23" s="14" t="n">
        <f aca="false">IF(Parcel!$C$28=0,S23*Use_Library!$R$22,0)*V23</f>
        <v>0</v>
      </c>
      <c r="AD23" s="14" t="n">
        <f aca="false">IF(Parcel!$C$27=0,S23*Use_Library!$R$22,0)*V23</f>
        <v>0</v>
      </c>
      <c r="AE23" s="14" t="n">
        <f aca="false">I23*Parcel!$C$11*V23</f>
        <v>0</v>
      </c>
      <c r="AF23" s="14" t="n">
        <f aca="false">I23*V23</f>
        <v>0</v>
      </c>
      <c r="AG23" s="15" t="n">
        <f aca="false">IF(Use_Library!$C$22="For-Sale",IF(Use_Library!$E$22="Y",S23,1),1)*U23</f>
        <v>0</v>
      </c>
      <c r="AH23" s="19" t="n">
        <f aca="false">Cost_Library!$G$5*Parcel!$C$32*U23</f>
        <v>0</v>
      </c>
      <c r="AI23" s="19" t="n">
        <f aca="false">AG23*Cost_Library!$G$6*Parcel!$C$32</f>
        <v>0</v>
      </c>
      <c r="AJ23" s="19" t="n">
        <f aca="false">I23*Cost_Library!$G$7*Parcel!$C$32*V23</f>
        <v>0</v>
      </c>
      <c r="AK23" s="19" t="n">
        <f aca="false">Cost_Library!$G$8*Parcel!$C$32*V23</f>
        <v>0</v>
      </c>
      <c r="AL23" s="19" t="n">
        <f aca="false">AC23*Cost_Library!$G$9*Parcel!$C$32</f>
        <v>0</v>
      </c>
      <c r="AM23" s="19" t="n">
        <f aca="false">Cost_Library!$G$10*U23</f>
        <v>0</v>
      </c>
      <c r="AN23" s="19" t="n">
        <f aca="false">Cost_Library!$G$11*Parcel!$C$32*V23</f>
        <v>0</v>
      </c>
      <c r="AO23" s="19" t="n">
        <f aca="false">Use_Library!$S$22*U23</f>
        <v>0</v>
      </c>
      <c r="AP23" s="19" t="n">
        <f aca="false">Cost_Library!$G$12*U23</f>
        <v>0</v>
      </c>
      <c r="AQ23" s="19" t="n">
        <f aca="false">AE23*Cost_Library!$G$13*Parcel!$C$32</f>
        <v>0</v>
      </c>
      <c r="AR23" s="19" t="n">
        <f aca="false">AF23*Cost_Library!$G$14*Parcel!$C$32*Parcel!$C$33</f>
        <v>0</v>
      </c>
      <c r="AS23" s="19" t="n">
        <f aca="false">W23*Cost_Library!$G$15*Parcel!$C$32</f>
        <v>0</v>
      </c>
      <c r="AT23" s="19" t="n">
        <f aca="false">X23*Cost_Library!$G$16*Parcel!$C$32</f>
        <v>0</v>
      </c>
      <c r="AU23" s="19" t="n">
        <f aca="false">H23*Cost_Library!$G$17*Parcel!$C$32*V23</f>
        <v>0</v>
      </c>
      <c r="AV23" s="19" t="n">
        <f aca="false">G23*Cost_Library!$G$18*Parcel!$C$32*V23</f>
        <v>0</v>
      </c>
      <c r="AW23" s="19" t="n">
        <f aca="false">Y23*Cost_Library!$G$19*Parcel!$C$32</f>
        <v>0</v>
      </c>
      <c r="AX23" s="19" t="n">
        <f aca="false">Z23*Cost_Library!$G$20</f>
        <v>0</v>
      </c>
      <c r="AY23" s="19" t="n">
        <f aca="false">AA23*Cost_Library!$G$21*Parcel!$C$32</f>
        <v>0</v>
      </c>
      <c r="AZ23" s="19" t="n">
        <f aca="false">AB23*Cost_Library!$G$22</f>
        <v>0</v>
      </c>
      <c r="BA23" s="19" t="n">
        <f aca="false">AC23*Cost_Library!$G$23*Parcel!$C$32*Parcel!$C$34</f>
        <v>0</v>
      </c>
      <c r="BB23" s="19" t="n">
        <f aca="false">AD23*Cost_Library!$G$24*Parcel!$C$32</f>
        <v>0</v>
      </c>
      <c r="BC23" s="19" t="n">
        <f aca="false">W23*Cost_Library!$G$25*Parcel!$C$32</f>
        <v>0</v>
      </c>
      <c r="BD23" s="19" t="n">
        <f aca="false">SUM(AH23:BC23)</f>
        <v>0</v>
      </c>
      <c r="BE23" s="19" t="n">
        <f aca="false">BD23*Assumptions!$C$11</f>
        <v>0</v>
      </c>
      <c r="BF23" s="19" t="n">
        <f aca="false">BD23+BE23</f>
        <v>0</v>
      </c>
      <c r="BG23" s="19" t="n">
        <f aca="false">S23*Use_Library!$T$22</f>
        <v>0</v>
      </c>
      <c r="BH23" s="19" t="n">
        <f aca="false">BG23*(Assumptions!$C$12+Assumptions!$C$13)</f>
        <v>0</v>
      </c>
      <c r="BI23" s="19" t="n">
        <f aca="false">S23*Use_Library!$AC$22</f>
        <v>0</v>
      </c>
      <c r="BJ23" s="23" t="n">
        <f aca="false">1+Assumptions!$C$14+Assumptions!$C$15*Use_Library!$AH$22/12</f>
        <v>1.05333333333333</v>
      </c>
      <c r="BK23" s="23" t="n">
        <f aca="false">1+Assumptions!$C$21*(Assumptions!$C$22*Use_Library!$AH$22/12*Assumptions!$C$24+Assumptions!$C$23)</f>
        <v>1.0494</v>
      </c>
      <c r="BL23" s="23" t="n">
        <f aca="false">1+Assumptions!$C$21*(Assumptions!$C$22*(Use_Library!$AH$22/12*Assumptions!$C$24+IF(Use_Library!$C$22="Income",Use_Library!$AD$22,0)/12*Assumptions!$C$25)+Assumptions!$C$23)</f>
        <v>1.07865</v>
      </c>
      <c r="BM23" s="19" t="n">
        <f aca="false">J23*Assumptions!$C$31*(1-Assumptions!$C$17)*U23</f>
        <v>0</v>
      </c>
      <c r="BN23" s="19" t="n">
        <f aca="false">IF(Use_Library!$AJ$22=1,IF(Use_Library!$C$22="For-Sale",S23*Use_Library!$U$22,E23*Use_Library!$AF$22)*(1-Assumptions!$C$17)+BM23,0)*U23</f>
        <v>0</v>
      </c>
      <c r="BO23" s="19" t="n">
        <f aca="false">(BD23-AT23)*(1+Assumptions!$C$11)</f>
        <v>0</v>
      </c>
      <c r="BP23" s="23" t="n">
        <f aca="false">BJ23*BK23</f>
        <v>1.105368</v>
      </c>
      <c r="BQ23" s="19" t="n">
        <f aca="false">(Parcel!$C$18*BJ23+BO23)*BK23</f>
        <v>331610.4</v>
      </c>
      <c r="BR23" s="19" t="n">
        <f aca="false">BN23-BQ23</f>
        <v>-331610.4</v>
      </c>
      <c r="BS23" s="32" t="n">
        <f aca="false">IF(AND(Use_Library!$AJ$22=1,U23=1),MAX(0,((1-Use_Library!$AI$22)*BN23-BO23*BK23)/BP23),0)</f>
        <v>0</v>
      </c>
      <c r="BT23" s="19" t="n">
        <f aca="false">BF23+BG23+BH23+BI23</f>
        <v>0</v>
      </c>
      <c r="BU23" s="23" t="n">
        <f aca="false">BJ23*BL23</f>
        <v>1.136178</v>
      </c>
      <c r="BV23" s="19" t="n">
        <f aca="false">(Parcel!$C$18*BJ23+BT23)*BL23</f>
        <v>340853.4</v>
      </c>
      <c r="BW23" s="19" t="n">
        <f aca="false">IF(Use_Library!$C$22="Income",S23*Use_Library!$W$22,0)</f>
        <v>0</v>
      </c>
      <c r="BX23" s="19" t="n">
        <f aca="false">BW23*(1+Use_Library!$X$22)*(1-Use_Library!$Y$22)</f>
        <v>0</v>
      </c>
      <c r="BY23" s="19" t="n">
        <f aca="false">IF(Use_Library!$C$22="Income",S23*Use_Library!$Z$22,0)</f>
        <v>0</v>
      </c>
      <c r="BZ23" s="19" t="n">
        <f aca="false">IF(Use_Library!$C$22="Income",Assumptions!$C$19*Assumptions!$C$20*BV23,0)</f>
        <v>6373.95858</v>
      </c>
      <c r="CA23" s="19" t="n">
        <f aca="false">BX23*Use_Library!$AA$22</f>
        <v>0</v>
      </c>
      <c r="CB23" s="19" t="n">
        <f aca="false">(BY23+BZ23)*Use_Library!$AB$22</f>
        <v>318.697929</v>
      </c>
      <c r="CC23" s="19" t="n">
        <f aca="false">BX23-BY23-BZ23-CA23+CB23</f>
        <v>-6055.260651</v>
      </c>
      <c r="CD23" s="19" t="n">
        <f aca="false">IF(AND(Use_Library!$C$22="Income",Use_Library!$AE$22&gt;0),CC23/Use_Library!$AE$22,0)</f>
        <v>-105308.880886957</v>
      </c>
      <c r="CE23" s="24" t="n">
        <f aca="false">IF(Use_Library!$C$22="Income",-Assumptions!$C$19*Assumptions!$C$20*(1-Use_Library!$AB$22)*BU23,0)</f>
        <v>-0.02018420217</v>
      </c>
      <c r="CF23" s="20" t="n">
        <f aca="false">IF(BV23=0,0,CC23/BV23)</f>
        <v>-0.017765</v>
      </c>
      <c r="CG23" s="19" t="n">
        <f aca="false">IF(Use_Library!$AK$22=1,IF(Use_Library!$C$22="Income",CD23*(1-Assumptions!$C$18),S23*Use_Library!$V$22*(1-Assumptions!$C$16))+BM23,0)*U23</f>
        <v>-0</v>
      </c>
      <c r="CH23" s="24" t="n">
        <f aca="false">IF(AND(Use_Library!$AK$22=1,Use_Library!$C$22="Income",Use_Library!$AE$22&gt;0),CE23/Use_Library!$AE$22*(1-Assumptions!$C$18),0)</f>
        <v>-0.344009010897391</v>
      </c>
      <c r="CI23" s="19" t="n">
        <f aca="false">CG23-BV23</f>
        <v>-340853.4</v>
      </c>
      <c r="CJ23" s="32" t="n">
        <f aca="false">IF(AND(Use_Library!$AK$22=1,U23=1),MAX(0,Parcel!$C$18-((1-Use_Library!$AI$22)*CG23-BV23)/((1-Use_Library!$AI$22)*CH23-BU23)),0)</f>
        <v>0</v>
      </c>
      <c r="CK23" s="19" t="n">
        <f aca="false">IF(Use_Library!$AL$22=1,IF(Use_Library!$C$22="Income",CD23,IF(Use_Library!$AE$22&gt;0,E23*Use_Library!$AG$22/Use_Library!$AE$22,0))+BM23,0)*U23</f>
        <v>-0</v>
      </c>
      <c r="CL23" s="19" t="n">
        <f aca="false">IF(Use_Library!$C$22="Income",BT23,BF23)</f>
        <v>0</v>
      </c>
      <c r="CM23" s="23" t="n">
        <f aca="false">IF(Use_Library!$C$22="Income",BU23,BJ23*BK23)</f>
        <v>1.136178</v>
      </c>
      <c r="CN23" s="19" t="n">
        <f aca="false">IF(Use_Library!$C$22="Income",BV23,(Parcel!$C$18*BJ23+BF23)*BK23)</f>
        <v>340853.4</v>
      </c>
      <c r="CO23" s="24" t="n">
        <f aca="false">IF(AND(Use_Library!$AL$22=1,Use_Library!$C$22="Income",Use_Library!$AE$22&gt;0),CE23/Use_Library!$AE$22,0)</f>
        <v>-0.351029602956522</v>
      </c>
      <c r="CP23" s="19" t="n">
        <f aca="false">CK23-CN23</f>
        <v>-340853.4</v>
      </c>
      <c r="CQ23" s="32" t="n">
        <f aca="false">IF(AND(Use_Library!$AL$22=1,U23=1),MAX(0,Parcel!$C$18-((1-Use_Library!$AI$22)*CK23-CN23)/((1-Use_Library!$AI$22)*CO23-CM23)),0)</f>
        <v>0</v>
      </c>
      <c r="CR23" s="19" t="n">
        <f aca="false">IF(Use_Library!$C$22="Income",Assumptions!$C$21*(Parcel!$C$18*BJ23+BT23),0)</f>
        <v>205400</v>
      </c>
      <c r="CS23" s="19" t="n">
        <f aca="false">IF(AND(Use_Library!$C$22="Income",CC23&gt;0),MIN(Assumptions!$C$26*CD23,PV(Assumptions!$C$29/12,Assumptions!$C$30*12,-CC23/Assumptions!$C$27/12),CC23/Assumptions!$C$28),0)</f>
        <v>0</v>
      </c>
      <c r="CT23" s="25" t="n">
        <f aca="false">IF(CS23=0,0,CC23/(-PMT(Assumptions!$C$29/12,Assumptions!$C$30*12,CS23)*12))</f>
        <v>0</v>
      </c>
      <c r="CU23" s="19" t="n">
        <f aca="false">CS23-CR23</f>
        <v>-205400</v>
      </c>
      <c r="CV23" s="18" t="n">
        <f aca="false">MAX(BS23,CJ23,CQ23)</f>
        <v>0</v>
      </c>
      <c r="CW23" s="9" t="str">
        <f aca="false">IF(CV23&lt;=0,"None works",IF(BS23=CV23,"Land / pad sale",IF(CJ23=CV23,"Build &amp; sell","Build &amp; hold / lease")))</f>
        <v>None works</v>
      </c>
      <c r="CX23" s="19" t="n">
        <f aca="false">CV23*(1-Assumptions!$C$32)</f>
        <v>0</v>
      </c>
      <c r="CY23" s="19" t="n">
        <f aca="false">CV23-Parcel!$C$18</f>
        <v>-300000</v>
      </c>
      <c r="CZ23" s="19" t="n">
        <f aca="false">IF(Parcel!$C$8=0,0,CV23/Parcel!$C$8)</f>
        <v>0</v>
      </c>
      <c r="DA23" s="33" t="n">
        <f aca="false">IF(S23=0,0,CV23/S23)</f>
        <v>0</v>
      </c>
      <c r="DB23" s="9" t="str">
        <f aca="false">TRIM(M23&amp;" "&amp;IF(AND(U23=0,N23=1),"Nothing fits. ","")&amp;IF(Parcel!$C$12&lt;Use_Library!$AM$22,"Frontage under "&amp;Use_Library!$AM$22&amp;" LF. ","")&amp;IF(Parcel!$C$10&gt;0.15,"Slope over 15%. ","")&amp;IF(AND(U23=1,Use_Library!$M$22&gt;0,D23&gt;Use_Library!$M$22),"Only "&amp;Use_Library!$M$22&amp;" ac used - rest resold. ",""))</f>
        <v>Nothing fits.</v>
      </c>
      <c r="DC23" s="19" t="n">
        <f aca="false">CV23+ROW()/1000000</f>
        <v>2.3E-005</v>
      </c>
    </row>
    <row r="24" customFormat="false" ht="15" hidden="false" customHeight="false" outlineLevel="0" collapsed="false">
      <c r="A24" s="4" t="str">
        <f aca="false">Use_Library!$A$23</f>
        <v>Senior housing (assisted living / memory care)</v>
      </c>
      <c r="B24" s="9" t="str">
        <f aca="false">Use_Library!$C$23</f>
        <v>Operator Pad</v>
      </c>
      <c r="C24" s="9" t="str">
        <f aca="false">Use_Library!$D$23</f>
        <v>acre</v>
      </c>
      <c r="D24" s="14" t="n">
        <f aca="false">MAX(0,Parcel!$C$26*(1-Use_Library!$N$23-Assumptions!$C$7))</f>
        <v>14.196</v>
      </c>
      <c r="E24" s="14" t="n">
        <f aca="false">IF(Use_Library!$M$23&gt;0,MIN(D24,Use_Library!$M$23),D24)</f>
        <v>6</v>
      </c>
      <c r="F24" s="20" t="n">
        <f aca="false">IF(D24=0,0,E24/D24)</f>
        <v>0.422654268808115</v>
      </c>
      <c r="G24" s="14" t="n">
        <f aca="false">Parcel!$C$26*F24</f>
        <v>6.59340659340659</v>
      </c>
      <c r="H24" s="14" t="n">
        <f aca="false">G24*Assumptions!$C$7</f>
        <v>0.263736263736264</v>
      </c>
      <c r="I24" s="14" t="n">
        <f aca="false">G24*(1-Use_Library!$N$23)</f>
        <v>6.26373626373626</v>
      </c>
      <c r="J24" s="14" t="n">
        <f aca="false">Parcel!$C$8*(1-F24)</f>
        <v>11.5469146238377</v>
      </c>
      <c r="K24" s="15" t="n">
        <f aca="false">IF(AND(Use_Library!$I$23="Y",Parcel!$C$28=0),0,1)</f>
        <v>1</v>
      </c>
      <c r="L24" s="15" t="n">
        <f aca="false">IF(AND(Use_Library!$J$23="Y",Parcel!$C$27=0),0,1)</f>
        <v>1</v>
      </c>
      <c r="M24" s="9" t="str">
        <f aca="false">TRIM(IF(AND(Use_Library!$AN$23&gt;0,Parcel!$C$19&lt;Use_Library!$AN$23),"Traffic under "&amp;TEXT(Use_Library!$AN$23,"#,##0")&amp;" VPD. ","")&amp;IF(AND(Use_Library!$AO$23&gt;0,Parcel!$C$20&lt;Use_Library!$AO$23),"Under "&amp;TEXT(Use_Library!$AO$23,"#,##0")&amp;" households in 3 mi. ","")&amp;IF(AND(Use_Library!$AP$23&gt;0,Parcel!$C$21&gt;Use_Library!$AP$23),"Over "&amp;Use_Library!$AP$23&amp;" mi to highway. ","")&amp;IF(AND(Use_Library!$AQ$23="Y",Parcel!$C$22&lt;&gt;"Y"),"Needs a corner. ","")&amp;IF(AND(Use_Library!$AR$23&gt;0,Parcel!$C$23&gt;Use_Library!$AR$23),"Over "&amp;Use_Library!$AR$23&amp;" mi to substation. ",""))</f>
        <v>Under 8,000 households in 3 mi.</v>
      </c>
      <c r="N24" s="15" t="n">
        <f aca="false">IF(M24="",1,0)</f>
        <v>0</v>
      </c>
      <c r="O24" s="15" t="n">
        <f aca="false">IF(D24&gt;=Use_Library!$L$23,1,0)</f>
        <v>1</v>
      </c>
      <c r="P24" s="14" t="n">
        <f aca="false">IF(Use_Library!$F$23&gt;0,G24*Use_Library!$F$23,1000000000)</f>
        <v>1000000000</v>
      </c>
      <c r="Q24" s="14" t="n">
        <f aca="false">IF(Use_Library!$G$23&gt;0,E24*43560/Use_Library!$G$23,1000000000)</f>
        <v>6</v>
      </c>
      <c r="R24" s="14" t="n">
        <f aca="false">IF(AND(Use_Library!$H$23="Y",Parcel!$C$28=0),E24*(1-Assumptions!$C$8)/IF(Parcel!$C$27=1,Assumptions!$C$9,Assumptions!$C$10),1000000000)</f>
        <v>1000000000</v>
      </c>
      <c r="S24" s="21" t="n">
        <f aca="false">IF(K24*L24*O24*N24=0,0,IF(MIN(P24,Q24,R24)&gt;=1000000000,E24,IF(Use_Library!$E$23="Y",INT(MIN(P24,Q24,R24)),MIN(P24,Q24,R24))))</f>
        <v>0</v>
      </c>
      <c r="T24" s="9" t="str">
        <f aca="false">IF(N24=0,"Location fails",IF(O24=0,"Too small - needs "&amp;Use_Library!$L$23&amp;" usable ac",IF(K24=0,"Needs public sewer",IF(L24=0,"Needs public water",IF(R24&lt;=MIN(P24,Q24),"Septic lot size",IF(Q24&lt;=P24,"Site area / parking","Density"))))))</f>
        <v>Location fails</v>
      </c>
      <c r="U24" s="15" t="n">
        <f aca="false">IF(S24&gt;0,1,0)</f>
        <v>0</v>
      </c>
      <c r="V24" s="15" t="n">
        <f aca="false">IF(Use_Library!$K$23="Y",1,0)*U24</f>
        <v>0</v>
      </c>
      <c r="W24" s="15" t="n">
        <f aca="false">S24*Use_Library!$O$23*V24</f>
        <v>0</v>
      </c>
      <c r="X24" s="15" t="n">
        <f aca="false">S24*Use_Library!$P$23*V24</f>
        <v>0</v>
      </c>
      <c r="Y24" s="15" t="n">
        <f aca="false">IF(Parcel!$C$27=1,W24+Parcel!$C$29,0)*V24</f>
        <v>0</v>
      </c>
      <c r="Z24" s="14" t="n">
        <f aca="false">S24*Use_Library!$Q$23*Parcel!$C$27*V24</f>
        <v>0</v>
      </c>
      <c r="AA24" s="15" t="n">
        <f aca="false">IF(Parcel!$C$28=1,W24+Parcel!$C$30,0)*V24</f>
        <v>0</v>
      </c>
      <c r="AB24" s="14" t="n">
        <f aca="false">S24*Use_Library!$Q$23*Parcel!$C$28*V24</f>
        <v>0</v>
      </c>
      <c r="AC24" s="14" t="n">
        <f aca="false">IF(Parcel!$C$28=0,S24*Use_Library!$R$23,0)*V24</f>
        <v>0</v>
      </c>
      <c r="AD24" s="14" t="n">
        <f aca="false">IF(Parcel!$C$27=0,S24*Use_Library!$R$23,0)*V24</f>
        <v>0</v>
      </c>
      <c r="AE24" s="14" t="n">
        <f aca="false">I24*Parcel!$C$11*V24</f>
        <v>0</v>
      </c>
      <c r="AF24" s="14" t="n">
        <f aca="false">I24*V24</f>
        <v>0</v>
      </c>
      <c r="AG24" s="15" t="n">
        <f aca="false">IF(Use_Library!$C$23="For-Sale",IF(Use_Library!$E$23="Y",S24,1),1)*U24</f>
        <v>0</v>
      </c>
      <c r="AH24" s="19" t="n">
        <f aca="false">Cost_Library!$G$5*Parcel!$C$32*U24</f>
        <v>0</v>
      </c>
      <c r="AI24" s="19" t="n">
        <f aca="false">AG24*Cost_Library!$G$6*Parcel!$C$32</f>
        <v>0</v>
      </c>
      <c r="AJ24" s="19" t="n">
        <f aca="false">I24*Cost_Library!$G$7*Parcel!$C$32*V24</f>
        <v>0</v>
      </c>
      <c r="AK24" s="19" t="n">
        <f aca="false">Cost_Library!$G$8*Parcel!$C$32*V24</f>
        <v>0</v>
      </c>
      <c r="AL24" s="19" t="n">
        <f aca="false">AC24*Cost_Library!$G$9*Parcel!$C$32</f>
        <v>0</v>
      </c>
      <c r="AM24" s="19" t="n">
        <f aca="false">Cost_Library!$G$10*U24</f>
        <v>0</v>
      </c>
      <c r="AN24" s="19" t="n">
        <f aca="false">Cost_Library!$G$11*Parcel!$C$32*V24</f>
        <v>0</v>
      </c>
      <c r="AO24" s="19" t="n">
        <f aca="false">Use_Library!$S$23*U24</f>
        <v>0</v>
      </c>
      <c r="AP24" s="19" t="n">
        <f aca="false">Cost_Library!$G$12*U24</f>
        <v>0</v>
      </c>
      <c r="AQ24" s="19" t="n">
        <f aca="false">AE24*Cost_Library!$G$13*Parcel!$C$32</f>
        <v>0</v>
      </c>
      <c r="AR24" s="19" t="n">
        <f aca="false">AF24*Cost_Library!$G$14*Parcel!$C$32*Parcel!$C$33</f>
        <v>0</v>
      </c>
      <c r="AS24" s="19" t="n">
        <f aca="false">W24*Cost_Library!$G$15*Parcel!$C$32</f>
        <v>0</v>
      </c>
      <c r="AT24" s="19" t="n">
        <f aca="false">X24*Cost_Library!$G$16*Parcel!$C$32</f>
        <v>0</v>
      </c>
      <c r="AU24" s="19" t="n">
        <f aca="false">H24*Cost_Library!$G$17*Parcel!$C$32*V24</f>
        <v>0</v>
      </c>
      <c r="AV24" s="19" t="n">
        <f aca="false">G24*Cost_Library!$G$18*Parcel!$C$32*V24</f>
        <v>0</v>
      </c>
      <c r="AW24" s="19" t="n">
        <f aca="false">Y24*Cost_Library!$G$19*Parcel!$C$32</f>
        <v>0</v>
      </c>
      <c r="AX24" s="19" t="n">
        <f aca="false">Z24*Cost_Library!$G$20</f>
        <v>0</v>
      </c>
      <c r="AY24" s="19" t="n">
        <f aca="false">AA24*Cost_Library!$G$21*Parcel!$C$32</f>
        <v>0</v>
      </c>
      <c r="AZ24" s="19" t="n">
        <f aca="false">AB24*Cost_Library!$G$22</f>
        <v>0</v>
      </c>
      <c r="BA24" s="19" t="n">
        <f aca="false">AC24*Cost_Library!$G$23*Parcel!$C$32*Parcel!$C$34</f>
        <v>0</v>
      </c>
      <c r="BB24" s="19" t="n">
        <f aca="false">AD24*Cost_Library!$G$24*Parcel!$C$32</f>
        <v>0</v>
      </c>
      <c r="BC24" s="19" t="n">
        <f aca="false">W24*Cost_Library!$G$25*Parcel!$C$32</f>
        <v>0</v>
      </c>
      <c r="BD24" s="19" t="n">
        <f aca="false">SUM(AH24:BC24)</f>
        <v>0</v>
      </c>
      <c r="BE24" s="19" t="n">
        <f aca="false">BD24*Assumptions!$C$11</f>
        <v>0</v>
      </c>
      <c r="BF24" s="19" t="n">
        <f aca="false">BD24+BE24</f>
        <v>0</v>
      </c>
      <c r="BG24" s="19" t="n">
        <f aca="false">S24*Use_Library!$T$23</f>
        <v>0</v>
      </c>
      <c r="BH24" s="19" t="n">
        <f aca="false">BG24*(Assumptions!$C$12+Assumptions!$C$13)</f>
        <v>0</v>
      </c>
      <c r="BI24" s="19" t="n">
        <f aca="false">S24*Use_Library!$AC$23</f>
        <v>0</v>
      </c>
      <c r="BJ24" s="23" t="n">
        <f aca="false">1+Assumptions!$C$14+Assumptions!$C$15*Use_Library!$AH$23/12</f>
        <v>1.045</v>
      </c>
      <c r="BK24" s="23" t="n">
        <f aca="false">1+Assumptions!$C$21*(Assumptions!$C$22*Use_Library!$AH$23/12*Assumptions!$C$24+Assumptions!$C$23)</f>
        <v>1.038675</v>
      </c>
      <c r="BL24" s="23" t="n">
        <f aca="false">1+Assumptions!$C$21*(Assumptions!$C$22*(Use_Library!$AH$23/12*Assumptions!$C$24+IF(Use_Library!$C$23="Income",Use_Library!$AD$23,0)/12*Assumptions!$C$25)+Assumptions!$C$23)</f>
        <v>1.038675</v>
      </c>
      <c r="BM24" s="19" t="n">
        <f aca="false">J24*Assumptions!$C$31*(1-Assumptions!$C$17)*U24</f>
        <v>0</v>
      </c>
      <c r="BN24" s="19" t="n">
        <f aca="false">IF(Use_Library!$AJ$23=1,IF(Use_Library!$C$23="For-Sale",S24*Use_Library!$U$23,E24*Use_Library!$AF$23)*(1-Assumptions!$C$17)+BM24,0)*U24</f>
        <v>0</v>
      </c>
      <c r="BO24" s="19" t="n">
        <f aca="false">(BD24-AT24)*(1+Assumptions!$C$11)</f>
        <v>0</v>
      </c>
      <c r="BP24" s="23" t="n">
        <f aca="false">BJ24*BK24</f>
        <v>1.085415375</v>
      </c>
      <c r="BQ24" s="19" t="n">
        <f aca="false">(Parcel!$C$18*BJ24+BO24)*BK24</f>
        <v>325624.6125</v>
      </c>
      <c r="BR24" s="19" t="n">
        <f aca="false">BN24-BQ24</f>
        <v>-325624.6125</v>
      </c>
      <c r="BS24" s="32" t="n">
        <f aca="false">IF(AND(Use_Library!$AJ$23=1,U24=1),MAX(0,((1-Use_Library!$AI$23)*BN24-BO24*BK24)/BP24),0)</f>
        <v>0</v>
      </c>
      <c r="BT24" s="19" t="n">
        <f aca="false">BF24+BG24+BH24+BI24</f>
        <v>0</v>
      </c>
      <c r="BU24" s="23" t="n">
        <f aca="false">BJ24*BL24</f>
        <v>1.085415375</v>
      </c>
      <c r="BV24" s="19" t="n">
        <f aca="false">(Parcel!$C$18*BJ24+BT24)*BL24</f>
        <v>325624.6125</v>
      </c>
      <c r="BW24" s="19" t="n">
        <f aca="false">IF(Use_Library!$C$23="Income",S24*Use_Library!$W$23,0)</f>
        <v>0</v>
      </c>
      <c r="BX24" s="19" t="n">
        <f aca="false">BW24*(1+Use_Library!$X$23)*(1-Use_Library!$Y$23)</f>
        <v>0</v>
      </c>
      <c r="BY24" s="19" t="n">
        <f aca="false">IF(Use_Library!$C$23="Income",S24*Use_Library!$Z$23,0)</f>
        <v>0</v>
      </c>
      <c r="BZ24" s="19" t="n">
        <f aca="false">IF(Use_Library!$C$23="Income",Assumptions!$C$19*Assumptions!$C$20*BV24,0)</f>
        <v>0</v>
      </c>
      <c r="CA24" s="19" t="n">
        <f aca="false">BX24*Use_Library!$AA$23</f>
        <v>0</v>
      </c>
      <c r="CB24" s="19" t="n">
        <f aca="false">(BY24+BZ24)*Use_Library!$AB$23</f>
        <v>0</v>
      </c>
      <c r="CC24" s="19" t="n">
        <f aca="false">BX24-BY24-BZ24-CA24+CB24</f>
        <v>0</v>
      </c>
      <c r="CD24" s="19" t="n">
        <f aca="false">IF(AND(Use_Library!$C$23="Income",Use_Library!$AE$23&gt;0),CC24/Use_Library!$AE$23,0)</f>
        <v>0</v>
      </c>
      <c r="CE24" s="24" t="n">
        <f aca="false">IF(Use_Library!$C$23="Income",-Assumptions!$C$19*Assumptions!$C$20*(1-Use_Library!$AB$23)*BU24,0)</f>
        <v>0</v>
      </c>
      <c r="CF24" s="20" t="n">
        <f aca="false">IF(BV24=0,0,CC24/BV24)</f>
        <v>0</v>
      </c>
      <c r="CG24" s="19" t="n">
        <f aca="false">IF(Use_Library!$AK$23=1,IF(Use_Library!$C$23="Income",CD24*(1-Assumptions!$C$18),S24*Use_Library!$V$23*(1-Assumptions!$C$16))+BM24,0)*U24</f>
        <v>0</v>
      </c>
      <c r="CH24" s="24" t="n">
        <f aca="false">IF(AND(Use_Library!$AK$23=1,Use_Library!$C$23="Income",Use_Library!$AE$23&gt;0),CE24/Use_Library!$AE$23*(1-Assumptions!$C$18),0)</f>
        <v>0</v>
      </c>
      <c r="CI24" s="19" t="n">
        <f aca="false">CG24-BV24</f>
        <v>-325624.6125</v>
      </c>
      <c r="CJ24" s="32" t="n">
        <f aca="false">IF(AND(Use_Library!$AK$23=1,U24=1),MAX(0,Parcel!$C$18-((1-Use_Library!$AI$23)*CG24-BV24)/((1-Use_Library!$AI$23)*CH24-BU24)),0)</f>
        <v>0</v>
      </c>
      <c r="CK24" s="19" t="n">
        <f aca="false">IF(Use_Library!$AL$23=1,IF(Use_Library!$C$23="Income",CD24,IF(Use_Library!$AE$23&gt;0,E24*Use_Library!$AG$23/Use_Library!$AE$23,0))+BM24,0)*U24</f>
        <v>0</v>
      </c>
      <c r="CL24" s="19" t="n">
        <f aca="false">IF(Use_Library!$C$23="Income",BT24,BF24)</f>
        <v>0</v>
      </c>
      <c r="CM24" s="23" t="n">
        <f aca="false">IF(Use_Library!$C$23="Income",BU24,BJ24*BK24)</f>
        <v>1.085415375</v>
      </c>
      <c r="CN24" s="19" t="n">
        <f aca="false">IF(Use_Library!$C$23="Income",BV24,(Parcel!$C$18*BJ24+BF24)*BK24)</f>
        <v>325624.6125</v>
      </c>
      <c r="CO24" s="24" t="n">
        <f aca="false">IF(AND(Use_Library!$AL$23=1,Use_Library!$C$23="Income",Use_Library!$AE$23&gt;0),CE24/Use_Library!$AE$23,0)</f>
        <v>0</v>
      </c>
      <c r="CP24" s="19" t="n">
        <f aca="false">CK24-CN24</f>
        <v>-325624.6125</v>
      </c>
      <c r="CQ24" s="32" t="n">
        <f aca="false">IF(AND(Use_Library!$AL$23=1,U24=1),MAX(0,Parcel!$C$18-((1-Use_Library!$AI$23)*CK24-CN24)/((1-Use_Library!$AI$23)*CO24-CM24)),0)</f>
        <v>0</v>
      </c>
      <c r="CR24" s="19" t="n">
        <f aca="false">IF(Use_Library!$C$23="Income",Assumptions!$C$21*(Parcel!$C$18*BJ24+BT24),0)</f>
        <v>0</v>
      </c>
      <c r="CS24" s="19" t="n">
        <f aca="false">IF(AND(Use_Library!$C$23="Income",CC24&gt;0),MIN(Assumptions!$C$26*CD24,PV(Assumptions!$C$29/12,Assumptions!$C$30*12,-CC24/Assumptions!$C$27/12),CC24/Assumptions!$C$28),0)</f>
        <v>0</v>
      </c>
      <c r="CT24" s="25" t="n">
        <f aca="false">IF(CS24=0,0,CC24/(-PMT(Assumptions!$C$29/12,Assumptions!$C$30*12,CS24)*12))</f>
        <v>0</v>
      </c>
      <c r="CU24" s="19" t="n">
        <f aca="false">CS24-CR24</f>
        <v>0</v>
      </c>
      <c r="CV24" s="18" t="n">
        <f aca="false">MAX(BS24,CJ24,CQ24)</f>
        <v>0</v>
      </c>
      <c r="CW24" s="9" t="str">
        <f aca="false">IF(CV24&lt;=0,"None works",IF(BS24=CV24,"Land / pad sale",IF(CJ24=CV24,"Build &amp; sell","Build &amp; hold / lease")))</f>
        <v>None works</v>
      </c>
      <c r="CX24" s="19" t="n">
        <f aca="false">CV24*(1-Assumptions!$C$32)</f>
        <v>0</v>
      </c>
      <c r="CY24" s="19" t="n">
        <f aca="false">CV24-Parcel!$C$18</f>
        <v>-300000</v>
      </c>
      <c r="CZ24" s="19" t="n">
        <f aca="false">IF(Parcel!$C$8=0,0,CV24/Parcel!$C$8)</f>
        <v>0</v>
      </c>
      <c r="DA24" s="33" t="n">
        <f aca="false">IF(S24=0,0,CV24/S24)</f>
        <v>0</v>
      </c>
      <c r="DB24" s="9" t="str">
        <f aca="false">TRIM(M24&amp;" "&amp;IF(AND(U24=0,N24=1),"Nothing fits. ","")&amp;IF(Parcel!$C$12&lt;Use_Library!$AM$23,"Frontage under "&amp;Use_Library!$AM$23&amp;" LF. ","")&amp;IF(Parcel!$C$10&gt;0.15,"Slope over 15%. ","")&amp;IF(AND(U24=1,Use_Library!$M$23&gt;0,D24&gt;Use_Library!$M$23),"Only "&amp;Use_Library!$M$23&amp;" ac used - rest resold. ",""))</f>
        <v>Under 8,000 households in 3 mi.</v>
      </c>
      <c r="DC24" s="19" t="n">
        <f aca="false">CV24+ROW()/1000000</f>
        <v>2.4E-005</v>
      </c>
    </row>
    <row r="25" customFormat="false" ht="15" hidden="false" customHeight="false" outlineLevel="0" collapsed="false">
      <c r="A25" s="4" t="str">
        <f aca="false">Use_Library!$A$24</f>
        <v>Medical office building</v>
      </c>
      <c r="B25" s="9" t="str">
        <f aca="false">Use_Library!$C$24</f>
        <v>Income</v>
      </c>
      <c r="C25" s="9" t="str">
        <f aca="false">Use_Library!$D$24</f>
        <v>bldg SF</v>
      </c>
      <c r="D25" s="14" t="n">
        <f aca="false">MAX(0,Parcel!$C$26*(1-Use_Library!$N$24-Assumptions!$C$7))</f>
        <v>13.728</v>
      </c>
      <c r="E25" s="14" t="n">
        <f aca="false">IF(Use_Library!$M$24&gt;0,MIN(D25,Use_Library!$M$24),D25)</f>
        <v>4</v>
      </c>
      <c r="F25" s="20" t="n">
        <f aca="false">IF(D25=0,0,E25/D25)</f>
        <v>0.291375291375291</v>
      </c>
      <c r="G25" s="14" t="n">
        <f aca="false">Parcel!$C$26*F25</f>
        <v>4.54545454545455</v>
      </c>
      <c r="H25" s="14" t="n">
        <f aca="false">G25*Assumptions!$C$7</f>
        <v>0.181818181818182</v>
      </c>
      <c r="I25" s="14" t="n">
        <f aca="false">G25*(1-Use_Library!$N$24)</f>
        <v>4.18181818181818</v>
      </c>
      <c r="J25" s="14" t="n">
        <f aca="false">Parcel!$C$8*(1-F25)</f>
        <v>14.1724941724942</v>
      </c>
      <c r="K25" s="15" t="n">
        <f aca="false">IF(AND(Use_Library!$I$24="Y",Parcel!$C$28=0),0,1)</f>
        <v>1</v>
      </c>
      <c r="L25" s="15" t="n">
        <f aca="false">IF(AND(Use_Library!$J$24="Y",Parcel!$C$27=0),0,1)</f>
        <v>1</v>
      </c>
      <c r="M25" s="9" t="str">
        <f aca="false">TRIM(IF(AND(Use_Library!$AN$24&gt;0,Parcel!$C$19&lt;Use_Library!$AN$24),"Traffic under "&amp;TEXT(Use_Library!$AN$24,"#,##0")&amp;" VPD. ","")&amp;IF(AND(Use_Library!$AO$24&gt;0,Parcel!$C$20&lt;Use_Library!$AO$24),"Under "&amp;TEXT(Use_Library!$AO$24,"#,##0")&amp;" households in 3 mi. ","")&amp;IF(AND(Use_Library!$AP$24&gt;0,Parcel!$C$21&gt;Use_Library!$AP$24),"Over "&amp;Use_Library!$AP$24&amp;" mi to highway. ","")&amp;IF(AND(Use_Library!$AQ$24="Y",Parcel!$C$22&lt;&gt;"Y"),"Needs a corner. ","")&amp;IF(AND(Use_Library!$AR$24&gt;0,Parcel!$C$23&gt;Use_Library!$AR$24),"Over "&amp;Use_Library!$AR$24&amp;" mi to substation. ",""))</f>
        <v>Under 10,000 households in 3 mi.</v>
      </c>
      <c r="N25" s="15" t="n">
        <f aca="false">IF(M25="",1,0)</f>
        <v>0</v>
      </c>
      <c r="O25" s="15" t="n">
        <f aca="false">IF(D25&gt;=Use_Library!$L$24,1,0)</f>
        <v>1</v>
      </c>
      <c r="P25" s="14" t="n">
        <f aca="false">IF(Use_Library!$F$24&gt;0,G25*Use_Library!$F$24,1000000000)</f>
        <v>1000000000</v>
      </c>
      <c r="Q25" s="14" t="n">
        <f aca="false">IF(Use_Library!$G$24&gt;0,E25*43560/Use_Library!$G$24,1000000000)</f>
        <v>38336.6336633663</v>
      </c>
      <c r="R25" s="14" t="n">
        <f aca="false">IF(AND(Use_Library!$H$24="Y",Parcel!$C$28=0),E25*(1-Assumptions!$C$8)/IF(Parcel!$C$27=1,Assumptions!$C$9,Assumptions!$C$10),1000000000)</f>
        <v>1000000000</v>
      </c>
      <c r="S25" s="21" t="n">
        <f aca="false">IF(K25*L25*O25*N25=0,0,IF(MIN(P25,Q25,R25)&gt;=1000000000,E25,IF(Use_Library!$E$24="Y",INT(MIN(P25,Q25,R25)),MIN(P25,Q25,R25))))</f>
        <v>0</v>
      </c>
      <c r="T25" s="9" t="str">
        <f aca="false">IF(N25=0,"Location fails",IF(O25=0,"Too small - needs "&amp;Use_Library!$L$24&amp;" usable ac",IF(K25=0,"Needs public sewer",IF(L25=0,"Needs public water",IF(R25&lt;=MIN(P25,Q25),"Septic lot size",IF(Q25&lt;=P25,"Site area / parking","Density"))))))</f>
        <v>Location fails</v>
      </c>
      <c r="U25" s="15" t="n">
        <f aca="false">IF(S25&gt;0,1,0)</f>
        <v>0</v>
      </c>
      <c r="V25" s="15" t="n">
        <f aca="false">IF(Use_Library!$K$24="Y",1,0)*U25</f>
        <v>0</v>
      </c>
      <c r="W25" s="15" t="n">
        <f aca="false">S25*Use_Library!$O$24*V25</f>
        <v>0</v>
      </c>
      <c r="X25" s="15" t="n">
        <f aca="false">S25*Use_Library!$P$24*V25</f>
        <v>0</v>
      </c>
      <c r="Y25" s="15" t="n">
        <f aca="false">IF(Parcel!$C$27=1,W25+Parcel!$C$29,0)*V25</f>
        <v>0</v>
      </c>
      <c r="Z25" s="14" t="n">
        <f aca="false">S25*Use_Library!$Q$24*Parcel!$C$27*V25</f>
        <v>0</v>
      </c>
      <c r="AA25" s="15" t="n">
        <f aca="false">IF(Parcel!$C$28=1,W25+Parcel!$C$30,0)*V25</f>
        <v>0</v>
      </c>
      <c r="AB25" s="14" t="n">
        <f aca="false">S25*Use_Library!$Q$24*Parcel!$C$28*V25</f>
        <v>0</v>
      </c>
      <c r="AC25" s="14" t="n">
        <f aca="false">IF(Parcel!$C$28=0,S25*Use_Library!$R$24,0)*V25</f>
        <v>0</v>
      </c>
      <c r="AD25" s="14" t="n">
        <f aca="false">IF(Parcel!$C$27=0,S25*Use_Library!$R$24,0)*V25</f>
        <v>0</v>
      </c>
      <c r="AE25" s="14" t="n">
        <f aca="false">I25*Parcel!$C$11*V25</f>
        <v>0</v>
      </c>
      <c r="AF25" s="14" t="n">
        <f aca="false">I25*V25</f>
        <v>0</v>
      </c>
      <c r="AG25" s="15" t="n">
        <f aca="false">IF(Use_Library!$C$24="For-Sale",IF(Use_Library!$E$24="Y",S25,1),1)*U25</f>
        <v>0</v>
      </c>
      <c r="AH25" s="19" t="n">
        <f aca="false">Cost_Library!$G$5*Parcel!$C$32*U25</f>
        <v>0</v>
      </c>
      <c r="AI25" s="19" t="n">
        <f aca="false">AG25*Cost_Library!$G$6*Parcel!$C$32</f>
        <v>0</v>
      </c>
      <c r="AJ25" s="19" t="n">
        <f aca="false">I25*Cost_Library!$G$7*Parcel!$C$32*V25</f>
        <v>0</v>
      </c>
      <c r="AK25" s="19" t="n">
        <f aca="false">Cost_Library!$G$8*Parcel!$C$32*V25</f>
        <v>0</v>
      </c>
      <c r="AL25" s="19" t="n">
        <f aca="false">AC25*Cost_Library!$G$9*Parcel!$C$32</f>
        <v>0</v>
      </c>
      <c r="AM25" s="19" t="n">
        <f aca="false">Cost_Library!$G$10*U25</f>
        <v>0</v>
      </c>
      <c r="AN25" s="19" t="n">
        <f aca="false">Cost_Library!$G$11*Parcel!$C$32*V25</f>
        <v>0</v>
      </c>
      <c r="AO25" s="19" t="n">
        <f aca="false">Use_Library!$S$24*U25</f>
        <v>0</v>
      </c>
      <c r="AP25" s="19" t="n">
        <f aca="false">Cost_Library!$G$12*U25</f>
        <v>0</v>
      </c>
      <c r="AQ25" s="19" t="n">
        <f aca="false">AE25*Cost_Library!$G$13*Parcel!$C$32</f>
        <v>0</v>
      </c>
      <c r="AR25" s="19" t="n">
        <f aca="false">AF25*Cost_Library!$G$14*Parcel!$C$32*Parcel!$C$33</f>
        <v>0</v>
      </c>
      <c r="AS25" s="19" t="n">
        <f aca="false">W25*Cost_Library!$G$15*Parcel!$C$32</f>
        <v>0</v>
      </c>
      <c r="AT25" s="19" t="n">
        <f aca="false">X25*Cost_Library!$G$16*Parcel!$C$32</f>
        <v>0</v>
      </c>
      <c r="AU25" s="19" t="n">
        <f aca="false">H25*Cost_Library!$G$17*Parcel!$C$32*V25</f>
        <v>0</v>
      </c>
      <c r="AV25" s="19" t="n">
        <f aca="false">G25*Cost_Library!$G$18*Parcel!$C$32*V25</f>
        <v>0</v>
      </c>
      <c r="AW25" s="19" t="n">
        <f aca="false">Y25*Cost_Library!$G$19*Parcel!$C$32</f>
        <v>0</v>
      </c>
      <c r="AX25" s="19" t="n">
        <f aca="false">Z25*Cost_Library!$G$20</f>
        <v>0</v>
      </c>
      <c r="AY25" s="19" t="n">
        <f aca="false">AA25*Cost_Library!$G$21*Parcel!$C$32</f>
        <v>0</v>
      </c>
      <c r="AZ25" s="19" t="n">
        <f aca="false">AB25*Cost_Library!$G$22</f>
        <v>0</v>
      </c>
      <c r="BA25" s="19" t="n">
        <f aca="false">AC25*Cost_Library!$G$23*Parcel!$C$32*Parcel!$C$34</f>
        <v>0</v>
      </c>
      <c r="BB25" s="19" t="n">
        <f aca="false">AD25*Cost_Library!$G$24*Parcel!$C$32</f>
        <v>0</v>
      </c>
      <c r="BC25" s="19" t="n">
        <f aca="false">W25*Cost_Library!$G$25*Parcel!$C$32</f>
        <v>0</v>
      </c>
      <c r="BD25" s="19" t="n">
        <f aca="false">SUM(AH25:BC25)</f>
        <v>0</v>
      </c>
      <c r="BE25" s="19" t="n">
        <f aca="false">BD25*Assumptions!$C$11</f>
        <v>0</v>
      </c>
      <c r="BF25" s="19" t="n">
        <f aca="false">BD25+BE25</f>
        <v>0</v>
      </c>
      <c r="BG25" s="19" t="n">
        <f aca="false">S25*Use_Library!$T$24</f>
        <v>0</v>
      </c>
      <c r="BH25" s="19" t="n">
        <f aca="false">BG25*(Assumptions!$C$12+Assumptions!$C$13)</f>
        <v>0</v>
      </c>
      <c r="BI25" s="19" t="n">
        <f aca="false">S25*Use_Library!$AC$24</f>
        <v>0</v>
      </c>
      <c r="BJ25" s="23" t="n">
        <f aca="false">1+Assumptions!$C$14+Assumptions!$C$15*Use_Library!$AH$24/12</f>
        <v>1.04916666666667</v>
      </c>
      <c r="BK25" s="23" t="n">
        <f aca="false">1+Assumptions!$C$21*(Assumptions!$C$22*Use_Library!$AH$24/12*Assumptions!$C$24+Assumptions!$C$23)</f>
        <v>1.0440375</v>
      </c>
      <c r="BL25" s="23" t="n">
        <f aca="false">1+Assumptions!$C$21*(Assumptions!$C$22*(Use_Library!$AH$24/12*Assumptions!$C$24+IF(Use_Library!$C$24="Income",Use_Library!$AD$24,0)/12*Assumptions!$C$25)+Assumptions!$C$23)</f>
        <v>1.0732875</v>
      </c>
      <c r="BM25" s="19" t="n">
        <f aca="false">J25*Assumptions!$C$31*(1-Assumptions!$C$17)*U25</f>
        <v>0</v>
      </c>
      <c r="BN25" s="19" t="n">
        <f aca="false">IF(Use_Library!$AJ$24=1,IF(Use_Library!$C$24="For-Sale",S25*Use_Library!$U$24,E25*Use_Library!$AF$24)*(1-Assumptions!$C$17)+BM25,0)*U25</f>
        <v>0</v>
      </c>
      <c r="BO25" s="19" t="n">
        <f aca="false">(BD25-AT25)*(1+Assumptions!$C$11)</f>
        <v>0</v>
      </c>
      <c r="BP25" s="23" t="n">
        <f aca="false">BJ25*BK25</f>
        <v>1.09536934375</v>
      </c>
      <c r="BQ25" s="19" t="n">
        <f aca="false">(Parcel!$C$18*BJ25+BO25)*BK25</f>
        <v>328610.803125</v>
      </c>
      <c r="BR25" s="19" t="n">
        <f aca="false">BN25-BQ25</f>
        <v>-328610.803125</v>
      </c>
      <c r="BS25" s="32" t="n">
        <f aca="false">IF(AND(Use_Library!$AJ$24=1,U25=1),MAX(0,((1-Use_Library!$AI$24)*BN25-BO25*BK25)/BP25),0)</f>
        <v>0</v>
      </c>
      <c r="BT25" s="19" t="n">
        <f aca="false">BF25+BG25+BH25+BI25</f>
        <v>0</v>
      </c>
      <c r="BU25" s="23" t="n">
        <f aca="false">BJ25*BL25</f>
        <v>1.12605746875</v>
      </c>
      <c r="BV25" s="19" t="n">
        <f aca="false">(Parcel!$C$18*BJ25+BT25)*BL25</f>
        <v>337817.240625</v>
      </c>
      <c r="BW25" s="19" t="n">
        <f aca="false">IF(Use_Library!$C$24="Income",S25*Use_Library!$W$24,0)</f>
        <v>0</v>
      </c>
      <c r="BX25" s="19" t="n">
        <f aca="false">BW25*(1+Use_Library!$X$24)*(1-Use_Library!$Y$24)</f>
        <v>0</v>
      </c>
      <c r="BY25" s="19" t="n">
        <f aca="false">IF(Use_Library!$C$24="Income",S25*Use_Library!$Z$24,0)</f>
        <v>0</v>
      </c>
      <c r="BZ25" s="19" t="n">
        <f aca="false">IF(Use_Library!$C$24="Income",Assumptions!$C$19*Assumptions!$C$20*BV25,0)</f>
        <v>6317.1823996875</v>
      </c>
      <c r="CA25" s="19" t="n">
        <f aca="false">BX25*Use_Library!$AA$24</f>
        <v>0</v>
      </c>
      <c r="CB25" s="19" t="n">
        <f aca="false">(BY25+BZ25)*Use_Library!$AB$24</f>
        <v>5685.46415971875</v>
      </c>
      <c r="CC25" s="19" t="n">
        <f aca="false">BX25-BY25-BZ25-CA25+CB25</f>
        <v>-631.71823996875</v>
      </c>
      <c r="CD25" s="19" t="n">
        <f aca="false">IF(AND(Use_Library!$C$24="Income",Use_Library!$AE$24&gt;0),CC25/Use_Library!$AE$24,0)</f>
        <v>-9358.78874027778</v>
      </c>
      <c r="CE25" s="24" t="n">
        <f aca="false">IF(Use_Library!$C$24="Income",-Assumptions!$C$19*Assumptions!$C$20*(1-Use_Library!$AB$24)*BU25,0)</f>
        <v>-0.0021057274665625</v>
      </c>
      <c r="CF25" s="20" t="n">
        <f aca="false">IF(BV25=0,0,CC25/BV25)</f>
        <v>-0.00187</v>
      </c>
      <c r="CG25" s="19" t="n">
        <f aca="false">IF(Use_Library!$AK$24=1,IF(Use_Library!$C$24="Income",CD25*(1-Assumptions!$C$18),S25*Use_Library!$V$24*(1-Assumptions!$C$16))+BM25,0)*U25</f>
        <v>-0</v>
      </c>
      <c r="CH25" s="24" t="n">
        <f aca="false">IF(AND(Use_Library!$AK$24=1,Use_Library!$C$24="Income",Use_Library!$AE$24&gt;0),CE25/Use_Library!$AE$24*(1-Assumptions!$C$18),0)</f>
        <v>-0.0305720432182407</v>
      </c>
      <c r="CI25" s="19" t="n">
        <f aca="false">CG25-BV25</f>
        <v>-337817.240625</v>
      </c>
      <c r="CJ25" s="32" t="n">
        <f aca="false">IF(AND(Use_Library!$AK$24=1,U25=1),MAX(0,Parcel!$C$18-((1-Use_Library!$AI$24)*CG25-BV25)/((1-Use_Library!$AI$24)*CH25-BU25)),0)</f>
        <v>0</v>
      </c>
      <c r="CK25" s="19" t="n">
        <f aca="false">IF(Use_Library!$AL$24=1,IF(Use_Library!$C$24="Income",CD25,IF(Use_Library!$AE$24&gt;0,E25*Use_Library!$AG$24/Use_Library!$AE$24,0))+BM25,0)*U25</f>
        <v>-0</v>
      </c>
      <c r="CL25" s="19" t="n">
        <f aca="false">IF(Use_Library!$C$24="Income",BT25,BF25)</f>
        <v>0</v>
      </c>
      <c r="CM25" s="23" t="n">
        <f aca="false">IF(Use_Library!$C$24="Income",BU25,BJ25*BK25)</f>
        <v>1.12605746875</v>
      </c>
      <c r="CN25" s="19" t="n">
        <f aca="false">IF(Use_Library!$C$24="Income",BV25,(Parcel!$C$18*BJ25+BF25)*BK25)</f>
        <v>337817.240625</v>
      </c>
      <c r="CO25" s="24" t="n">
        <f aca="false">IF(AND(Use_Library!$AL$24=1,Use_Library!$C$24="Income",Use_Library!$AE$24&gt;0),CE25/Use_Library!$AE$24,0)</f>
        <v>-0.0311959624675926</v>
      </c>
      <c r="CP25" s="19" t="n">
        <f aca="false">CK25-CN25</f>
        <v>-337817.240625</v>
      </c>
      <c r="CQ25" s="32" t="n">
        <f aca="false">IF(AND(Use_Library!$AL$24=1,U25=1),MAX(0,Parcel!$C$18-((1-Use_Library!$AI$24)*CK25-CN25)/((1-Use_Library!$AI$24)*CO25-CM25)),0)</f>
        <v>0</v>
      </c>
      <c r="CR25" s="19" t="n">
        <f aca="false">IF(Use_Library!$C$24="Income",Assumptions!$C$21*(Parcel!$C$18*BJ25+BT25),0)</f>
        <v>204587.5</v>
      </c>
      <c r="CS25" s="19" t="n">
        <f aca="false">IF(AND(Use_Library!$C$24="Income",CC25&gt;0),MIN(Assumptions!$C$26*CD25,PV(Assumptions!$C$29/12,Assumptions!$C$30*12,-CC25/Assumptions!$C$27/12),CC25/Assumptions!$C$28),0)</f>
        <v>0</v>
      </c>
      <c r="CT25" s="25" t="n">
        <f aca="false">IF(CS25=0,0,CC25/(-PMT(Assumptions!$C$29/12,Assumptions!$C$30*12,CS25)*12))</f>
        <v>0</v>
      </c>
      <c r="CU25" s="19" t="n">
        <f aca="false">CS25-CR25</f>
        <v>-204587.5</v>
      </c>
      <c r="CV25" s="18" t="n">
        <f aca="false">MAX(BS25,CJ25,CQ25)</f>
        <v>0</v>
      </c>
      <c r="CW25" s="9" t="str">
        <f aca="false">IF(CV25&lt;=0,"None works",IF(BS25=CV25,"Land / pad sale",IF(CJ25=CV25,"Build &amp; sell","Build &amp; hold / lease")))</f>
        <v>None works</v>
      </c>
      <c r="CX25" s="19" t="n">
        <f aca="false">CV25*(1-Assumptions!$C$32)</f>
        <v>0</v>
      </c>
      <c r="CY25" s="19" t="n">
        <f aca="false">CV25-Parcel!$C$18</f>
        <v>-300000</v>
      </c>
      <c r="CZ25" s="19" t="n">
        <f aca="false">IF(Parcel!$C$8=0,0,CV25/Parcel!$C$8)</f>
        <v>0</v>
      </c>
      <c r="DA25" s="33" t="n">
        <f aca="false">IF(S25=0,0,CV25/S25)</f>
        <v>0</v>
      </c>
      <c r="DB25" s="9" t="str">
        <f aca="false">TRIM(M25&amp;" "&amp;IF(AND(U25=0,N25=1),"Nothing fits. ","")&amp;IF(Parcel!$C$12&lt;Use_Library!$AM$24,"Frontage under "&amp;Use_Library!$AM$24&amp;" LF. ","")&amp;IF(Parcel!$C$10&gt;0.15,"Slope over 15%. ","")&amp;IF(AND(U25=1,Use_Library!$M$24&gt;0,D25&gt;Use_Library!$M$24),"Only "&amp;Use_Library!$M$24&amp;" ac used - rest resold. ",""))</f>
        <v>Under 10,000 households in 3 mi.</v>
      </c>
      <c r="DC25" s="19" t="n">
        <f aca="false">CV25+ROW()/1000000</f>
        <v>2.5E-005</v>
      </c>
    </row>
    <row r="26" customFormat="false" ht="15" hidden="false" customHeight="false" outlineLevel="0" collapsed="false">
      <c r="A26" s="4" t="str">
        <f aca="false">Use_Library!$A$25</f>
        <v>Urgent care / freestanding ER</v>
      </c>
      <c r="B26" s="9" t="str">
        <f aca="false">Use_Library!$C$25</f>
        <v>Income</v>
      </c>
      <c r="C26" s="9" t="str">
        <f aca="false">Use_Library!$D$25</f>
        <v>bldg SF</v>
      </c>
      <c r="D26" s="14" t="n">
        <f aca="false">MAX(0,Parcel!$C$26*(1-Use_Library!$N$25-Assumptions!$C$7))</f>
        <v>13.728</v>
      </c>
      <c r="E26" s="14" t="n">
        <f aca="false">IF(Use_Library!$M$25&gt;0,MIN(D26,Use_Library!$M$25),D26)</f>
        <v>1.5</v>
      </c>
      <c r="F26" s="20" t="n">
        <f aca="false">IF(D26=0,0,E26/D26)</f>
        <v>0.109265734265734</v>
      </c>
      <c r="G26" s="14" t="n">
        <f aca="false">Parcel!$C$26*F26</f>
        <v>1.70454545454545</v>
      </c>
      <c r="H26" s="14" t="n">
        <f aca="false">G26*Assumptions!$C$7</f>
        <v>0.0681818181818182</v>
      </c>
      <c r="I26" s="14" t="n">
        <f aca="false">G26*(1-Use_Library!$N$25)</f>
        <v>1.56818181818182</v>
      </c>
      <c r="J26" s="14" t="n">
        <f aca="false">Parcel!$C$8*(1-F26)</f>
        <v>17.8146853146853</v>
      </c>
      <c r="K26" s="15" t="n">
        <f aca="false">IF(AND(Use_Library!$I$25="Y",Parcel!$C$28=0),0,1)</f>
        <v>1</v>
      </c>
      <c r="L26" s="15" t="n">
        <f aca="false">IF(AND(Use_Library!$J$25="Y",Parcel!$C$27=0),0,1)</f>
        <v>1</v>
      </c>
      <c r="M26" s="9" t="str">
        <f aca="false">TRIM(IF(AND(Use_Library!$AN$25&gt;0,Parcel!$C$19&lt;Use_Library!$AN$25),"Traffic under "&amp;TEXT(Use_Library!$AN$25,"#,##0")&amp;" VPD. ","")&amp;IF(AND(Use_Library!$AO$25&gt;0,Parcel!$C$20&lt;Use_Library!$AO$25),"Under "&amp;TEXT(Use_Library!$AO$25,"#,##0")&amp;" households in 3 mi. ","")&amp;IF(AND(Use_Library!$AP$25&gt;0,Parcel!$C$21&gt;Use_Library!$AP$25),"Over "&amp;Use_Library!$AP$25&amp;" mi to highway. ","")&amp;IF(AND(Use_Library!$AQ$25="Y",Parcel!$C$22&lt;&gt;"Y"),"Needs a corner. ","")&amp;IF(AND(Use_Library!$AR$25&gt;0,Parcel!$C$23&gt;Use_Library!$AR$25),"Over "&amp;Use_Library!$AR$25&amp;" mi to substation. ",""))</f>
        <v>Traffic under 15,000 VPD. Under 8,000 households in 3 mi.</v>
      </c>
      <c r="N26" s="15" t="n">
        <f aca="false">IF(M26="",1,0)</f>
        <v>0</v>
      </c>
      <c r="O26" s="15" t="n">
        <f aca="false">IF(D26&gt;=Use_Library!$L$25,1,0)</f>
        <v>1</v>
      </c>
      <c r="P26" s="14" t="n">
        <f aca="false">IF(Use_Library!$F$25&gt;0,G26*Use_Library!$F$25,1000000000)</f>
        <v>1000000000</v>
      </c>
      <c r="Q26" s="14" t="n">
        <f aca="false">IF(Use_Library!$G$25&gt;0,E26*43560/Use_Library!$G$25,1000000000)</f>
        <v>13068</v>
      </c>
      <c r="R26" s="14" t="n">
        <f aca="false">IF(AND(Use_Library!$H$25="Y",Parcel!$C$28=0),E26*(1-Assumptions!$C$8)/IF(Parcel!$C$27=1,Assumptions!$C$9,Assumptions!$C$10),1000000000)</f>
        <v>1000000000</v>
      </c>
      <c r="S26" s="21" t="n">
        <f aca="false">IF(K26*L26*O26*N26=0,0,IF(MIN(P26,Q26,R26)&gt;=1000000000,E26,IF(Use_Library!$E$25="Y",INT(MIN(P26,Q26,R26)),MIN(P26,Q26,R26))))</f>
        <v>0</v>
      </c>
      <c r="T26" s="9" t="str">
        <f aca="false">IF(N26=0,"Location fails",IF(O26=0,"Too small - needs "&amp;Use_Library!$L$25&amp;" usable ac",IF(K26=0,"Needs public sewer",IF(L26=0,"Needs public water",IF(R26&lt;=MIN(P26,Q26),"Septic lot size",IF(Q26&lt;=P26,"Site area / parking","Density"))))))</f>
        <v>Location fails</v>
      </c>
      <c r="U26" s="15" t="n">
        <f aca="false">IF(S26&gt;0,1,0)</f>
        <v>0</v>
      </c>
      <c r="V26" s="15" t="n">
        <f aca="false">IF(Use_Library!$K$25="Y",1,0)*U26</f>
        <v>0</v>
      </c>
      <c r="W26" s="15" t="n">
        <f aca="false">S26*Use_Library!$O$25*V26</f>
        <v>0</v>
      </c>
      <c r="X26" s="15" t="n">
        <f aca="false">S26*Use_Library!$P$25*V26</f>
        <v>0</v>
      </c>
      <c r="Y26" s="15" t="n">
        <f aca="false">IF(Parcel!$C$27=1,W26+Parcel!$C$29,0)*V26</f>
        <v>0</v>
      </c>
      <c r="Z26" s="14" t="n">
        <f aca="false">S26*Use_Library!$Q$25*Parcel!$C$27*V26</f>
        <v>0</v>
      </c>
      <c r="AA26" s="15" t="n">
        <f aca="false">IF(Parcel!$C$28=1,W26+Parcel!$C$30,0)*V26</f>
        <v>0</v>
      </c>
      <c r="AB26" s="14" t="n">
        <f aca="false">S26*Use_Library!$Q$25*Parcel!$C$28*V26</f>
        <v>0</v>
      </c>
      <c r="AC26" s="14" t="n">
        <f aca="false">IF(Parcel!$C$28=0,S26*Use_Library!$R$25,0)*V26</f>
        <v>0</v>
      </c>
      <c r="AD26" s="14" t="n">
        <f aca="false">IF(Parcel!$C$27=0,S26*Use_Library!$R$25,0)*V26</f>
        <v>0</v>
      </c>
      <c r="AE26" s="14" t="n">
        <f aca="false">I26*Parcel!$C$11*V26</f>
        <v>0</v>
      </c>
      <c r="AF26" s="14" t="n">
        <f aca="false">I26*V26</f>
        <v>0</v>
      </c>
      <c r="AG26" s="15" t="n">
        <f aca="false">IF(Use_Library!$C$25="For-Sale",IF(Use_Library!$E$25="Y",S26,1),1)*U26</f>
        <v>0</v>
      </c>
      <c r="AH26" s="19" t="n">
        <f aca="false">Cost_Library!$G$5*Parcel!$C$32*U26</f>
        <v>0</v>
      </c>
      <c r="AI26" s="19" t="n">
        <f aca="false">AG26*Cost_Library!$G$6*Parcel!$C$32</f>
        <v>0</v>
      </c>
      <c r="AJ26" s="19" t="n">
        <f aca="false">I26*Cost_Library!$G$7*Parcel!$C$32*V26</f>
        <v>0</v>
      </c>
      <c r="AK26" s="19" t="n">
        <f aca="false">Cost_Library!$G$8*Parcel!$C$32*V26</f>
        <v>0</v>
      </c>
      <c r="AL26" s="19" t="n">
        <f aca="false">AC26*Cost_Library!$G$9*Parcel!$C$32</f>
        <v>0</v>
      </c>
      <c r="AM26" s="19" t="n">
        <f aca="false">Cost_Library!$G$10*U26</f>
        <v>0</v>
      </c>
      <c r="AN26" s="19" t="n">
        <f aca="false">Cost_Library!$G$11*Parcel!$C$32*V26</f>
        <v>0</v>
      </c>
      <c r="AO26" s="19" t="n">
        <f aca="false">Use_Library!$S$25*U26</f>
        <v>0</v>
      </c>
      <c r="AP26" s="19" t="n">
        <f aca="false">Cost_Library!$G$12*U26</f>
        <v>0</v>
      </c>
      <c r="AQ26" s="19" t="n">
        <f aca="false">AE26*Cost_Library!$G$13*Parcel!$C$32</f>
        <v>0</v>
      </c>
      <c r="AR26" s="19" t="n">
        <f aca="false">AF26*Cost_Library!$G$14*Parcel!$C$32*Parcel!$C$33</f>
        <v>0</v>
      </c>
      <c r="AS26" s="19" t="n">
        <f aca="false">W26*Cost_Library!$G$15*Parcel!$C$32</f>
        <v>0</v>
      </c>
      <c r="AT26" s="19" t="n">
        <f aca="false">X26*Cost_Library!$G$16*Parcel!$C$32</f>
        <v>0</v>
      </c>
      <c r="AU26" s="19" t="n">
        <f aca="false">H26*Cost_Library!$G$17*Parcel!$C$32*V26</f>
        <v>0</v>
      </c>
      <c r="AV26" s="19" t="n">
        <f aca="false">G26*Cost_Library!$G$18*Parcel!$C$32*V26</f>
        <v>0</v>
      </c>
      <c r="AW26" s="19" t="n">
        <f aca="false">Y26*Cost_Library!$G$19*Parcel!$C$32</f>
        <v>0</v>
      </c>
      <c r="AX26" s="19" t="n">
        <f aca="false">Z26*Cost_Library!$G$20</f>
        <v>0</v>
      </c>
      <c r="AY26" s="19" t="n">
        <f aca="false">AA26*Cost_Library!$G$21*Parcel!$C$32</f>
        <v>0</v>
      </c>
      <c r="AZ26" s="19" t="n">
        <f aca="false">AB26*Cost_Library!$G$22</f>
        <v>0</v>
      </c>
      <c r="BA26" s="19" t="n">
        <f aca="false">AC26*Cost_Library!$G$23*Parcel!$C$32*Parcel!$C$34</f>
        <v>0</v>
      </c>
      <c r="BB26" s="19" t="n">
        <f aca="false">AD26*Cost_Library!$G$24*Parcel!$C$32</f>
        <v>0</v>
      </c>
      <c r="BC26" s="19" t="n">
        <f aca="false">W26*Cost_Library!$G$25*Parcel!$C$32</f>
        <v>0</v>
      </c>
      <c r="BD26" s="19" t="n">
        <f aca="false">SUM(AH26:BC26)</f>
        <v>0</v>
      </c>
      <c r="BE26" s="19" t="n">
        <f aca="false">BD26*Assumptions!$C$11</f>
        <v>0</v>
      </c>
      <c r="BF26" s="19" t="n">
        <f aca="false">BD26+BE26</f>
        <v>0</v>
      </c>
      <c r="BG26" s="19" t="n">
        <f aca="false">S26*Use_Library!$T$25</f>
        <v>0</v>
      </c>
      <c r="BH26" s="19" t="n">
        <f aca="false">BG26*(Assumptions!$C$12+Assumptions!$C$13)</f>
        <v>0</v>
      </c>
      <c r="BI26" s="19" t="n">
        <f aca="false">S26*Use_Library!$AC$25</f>
        <v>0</v>
      </c>
      <c r="BJ26" s="23" t="n">
        <f aca="false">1+Assumptions!$C$14+Assumptions!$C$15*Use_Library!$AH$25/12</f>
        <v>1.04916666666667</v>
      </c>
      <c r="BK26" s="23" t="n">
        <f aca="false">1+Assumptions!$C$21*(Assumptions!$C$22*Use_Library!$AH$25/12*Assumptions!$C$24+Assumptions!$C$23)</f>
        <v>1.0440375</v>
      </c>
      <c r="BL26" s="23" t="n">
        <f aca="false">1+Assumptions!$C$21*(Assumptions!$C$22*(Use_Library!$AH$25/12*Assumptions!$C$24+IF(Use_Library!$C$25="Income",Use_Library!$AD$25,0)/12*Assumptions!$C$25)+Assumptions!$C$23)</f>
        <v>1.0586625</v>
      </c>
      <c r="BM26" s="19" t="n">
        <f aca="false">J26*Assumptions!$C$31*(1-Assumptions!$C$17)*U26</f>
        <v>0</v>
      </c>
      <c r="BN26" s="19" t="n">
        <f aca="false">IF(Use_Library!$AJ$25=1,IF(Use_Library!$C$25="For-Sale",S26*Use_Library!$U$25,E26*Use_Library!$AF$25)*(1-Assumptions!$C$17)+BM26,0)*U26</f>
        <v>0</v>
      </c>
      <c r="BO26" s="19" t="n">
        <f aca="false">(BD26-AT26)*(1+Assumptions!$C$11)</f>
        <v>0</v>
      </c>
      <c r="BP26" s="23" t="n">
        <f aca="false">BJ26*BK26</f>
        <v>1.09536934375</v>
      </c>
      <c r="BQ26" s="19" t="n">
        <f aca="false">(Parcel!$C$18*BJ26+BO26)*BK26</f>
        <v>328610.803125</v>
      </c>
      <c r="BR26" s="19" t="n">
        <f aca="false">BN26-BQ26</f>
        <v>-328610.803125</v>
      </c>
      <c r="BS26" s="32" t="n">
        <f aca="false">IF(AND(Use_Library!$AJ$25=1,U26=1),MAX(0,((1-Use_Library!$AI$25)*BN26-BO26*BK26)/BP26),0)</f>
        <v>0</v>
      </c>
      <c r="BT26" s="19" t="n">
        <f aca="false">BF26+BG26+BH26+BI26</f>
        <v>0</v>
      </c>
      <c r="BU26" s="23" t="n">
        <f aca="false">BJ26*BL26</f>
        <v>1.11071340625</v>
      </c>
      <c r="BV26" s="19" t="n">
        <f aca="false">(Parcel!$C$18*BJ26+BT26)*BL26</f>
        <v>333214.021875</v>
      </c>
      <c r="BW26" s="19" t="n">
        <f aca="false">IF(Use_Library!$C$25="Income",S26*Use_Library!$W$25,0)</f>
        <v>0</v>
      </c>
      <c r="BX26" s="19" t="n">
        <f aca="false">BW26*(1+Use_Library!$X$25)*(1-Use_Library!$Y$25)</f>
        <v>0</v>
      </c>
      <c r="BY26" s="19" t="n">
        <f aca="false">IF(Use_Library!$C$25="Income",S26*Use_Library!$Z$25,0)</f>
        <v>0</v>
      </c>
      <c r="BZ26" s="19" t="n">
        <f aca="false">IF(Use_Library!$C$25="Income",Assumptions!$C$19*Assumptions!$C$20*BV26,0)</f>
        <v>6231.1022090625</v>
      </c>
      <c r="CA26" s="19" t="n">
        <f aca="false">BX26*Use_Library!$AA$25</f>
        <v>0</v>
      </c>
      <c r="CB26" s="19" t="n">
        <f aca="false">(BY26+BZ26)*Use_Library!$AB$25</f>
        <v>6231.1022090625</v>
      </c>
      <c r="CC26" s="19" t="n">
        <f aca="false">BX26-BY26-BZ26-CA26+CB26</f>
        <v>0</v>
      </c>
      <c r="CD26" s="19" t="n">
        <f aca="false">IF(AND(Use_Library!$C$25="Income",Use_Library!$AE$25&gt;0),CC26/Use_Library!$AE$25,0)</f>
        <v>0</v>
      </c>
      <c r="CE26" s="24" t="n">
        <f aca="false">IF(Use_Library!$C$25="Income",-Assumptions!$C$19*Assumptions!$C$20*(1-Use_Library!$AB$25)*BU26,0)</f>
        <v>-0</v>
      </c>
      <c r="CF26" s="20" t="n">
        <f aca="false">IF(BV26=0,0,CC26/BV26)</f>
        <v>0</v>
      </c>
      <c r="CG26" s="19" t="n">
        <f aca="false">IF(Use_Library!$AK$25=1,IF(Use_Library!$C$25="Income",CD26*(1-Assumptions!$C$18),S26*Use_Library!$V$25*(1-Assumptions!$C$16))+BM26,0)*U26</f>
        <v>0</v>
      </c>
      <c r="CH26" s="24" t="n">
        <f aca="false">IF(AND(Use_Library!$AK$25=1,Use_Library!$C$25="Income",Use_Library!$AE$25&gt;0),CE26/Use_Library!$AE$25*(1-Assumptions!$C$18),0)</f>
        <v>-0</v>
      </c>
      <c r="CI26" s="19" t="n">
        <f aca="false">CG26-BV26</f>
        <v>-333214.021875</v>
      </c>
      <c r="CJ26" s="32" t="n">
        <f aca="false">IF(AND(Use_Library!$AK$25=1,U26=1),MAX(0,Parcel!$C$18-((1-Use_Library!$AI$25)*CG26-BV26)/((1-Use_Library!$AI$25)*CH26-BU26)),0)</f>
        <v>0</v>
      </c>
      <c r="CK26" s="19" t="n">
        <f aca="false">IF(Use_Library!$AL$25=1,IF(Use_Library!$C$25="Income",CD26,IF(Use_Library!$AE$25&gt;0,E26*Use_Library!$AG$25/Use_Library!$AE$25,0))+BM26,0)*U26</f>
        <v>0</v>
      </c>
      <c r="CL26" s="19" t="n">
        <f aca="false">IF(Use_Library!$C$25="Income",BT26,BF26)</f>
        <v>0</v>
      </c>
      <c r="CM26" s="23" t="n">
        <f aca="false">IF(Use_Library!$C$25="Income",BU26,BJ26*BK26)</f>
        <v>1.11071340625</v>
      </c>
      <c r="CN26" s="19" t="n">
        <f aca="false">IF(Use_Library!$C$25="Income",BV26,(Parcel!$C$18*BJ26+BF26)*BK26)</f>
        <v>333214.021875</v>
      </c>
      <c r="CO26" s="24" t="n">
        <f aca="false">IF(AND(Use_Library!$AL$25=1,Use_Library!$C$25="Income",Use_Library!$AE$25&gt;0),CE26/Use_Library!$AE$25,0)</f>
        <v>-0</v>
      </c>
      <c r="CP26" s="19" t="n">
        <f aca="false">CK26-CN26</f>
        <v>-333214.021875</v>
      </c>
      <c r="CQ26" s="32" t="n">
        <f aca="false">IF(AND(Use_Library!$AL$25=1,U26=1),MAX(0,Parcel!$C$18-((1-Use_Library!$AI$25)*CK26-CN26)/((1-Use_Library!$AI$25)*CO26-CM26)),0)</f>
        <v>0</v>
      </c>
      <c r="CR26" s="19" t="n">
        <f aca="false">IF(Use_Library!$C$25="Income",Assumptions!$C$21*(Parcel!$C$18*BJ26+BT26),0)</f>
        <v>204587.5</v>
      </c>
      <c r="CS26" s="19" t="n">
        <f aca="false">IF(AND(Use_Library!$C$25="Income",CC26&gt;0),MIN(Assumptions!$C$26*CD26,PV(Assumptions!$C$29/12,Assumptions!$C$30*12,-CC26/Assumptions!$C$27/12),CC26/Assumptions!$C$28),0)</f>
        <v>0</v>
      </c>
      <c r="CT26" s="25" t="n">
        <f aca="false">IF(CS26=0,0,CC26/(-PMT(Assumptions!$C$29/12,Assumptions!$C$30*12,CS26)*12))</f>
        <v>0</v>
      </c>
      <c r="CU26" s="19" t="n">
        <f aca="false">CS26-CR26</f>
        <v>-204587.5</v>
      </c>
      <c r="CV26" s="18" t="n">
        <f aca="false">MAX(BS26,CJ26,CQ26)</f>
        <v>0</v>
      </c>
      <c r="CW26" s="9" t="str">
        <f aca="false">IF(CV26&lt;=0,"None works",IF(BS26=CV26,"Land / pad sale",IF(CJ26=CV26,"Build &amp; sell","Build &amp; hold / lease")))</f>
        <v>None works</v>
      </c>
      <c r="CX26" s="19" t="n">
        <f aca="false">CV26*(1-Assumptions!$C$32)</f>
        <v>0</v>
      </c>
      <c r="CY26" s="19" t="n">
        <f aca="false">CV26-Parcel!$C$18</f>
        <v>-300000</v>
      </c>
      <c r="CZ26" s="19" t="n">
        <f aca="false">IF(Parcel!$C$8=0,0,CV26/Parcel!$C$8)</f>
        <v>0</v>
      </c>
      <c r="DA26" s="33" t="n">
        <f aca="false">IF(S26=0,0,CV26/S26)</f>
        <v>0</v>
      </c>
      <c r="DB26" s="9" t="str">
        <f aca="false">TRIM(M26&amp;" "&amp;IF(AND(U26=0,N26=1),"Nothing fits. ","")&amp;IF(Parcel!$C$12&lt;Use_Library!$AM$25,"Frontage under "&amp;Use_Library!$AM$25&amp;" LF. ","")&amp;IF(Parcel!$C$10&gt;0.15,"Slope over 15%. ","")&amp;IF(AND(U26=1,Use_Library!$M$25&gt;0,D26&gt;Use_Library!$M$25),"Only "&amp;Use_Library!$M$25&amp;" ac used - rest resold. ",""))</f>
        <v>Traffic under 15,000 VPD. Under 8,000 households in 3 mi.</v>
      </c>
      <c r="DC26" s="19" t="n">
        <f aca="false">CV26+ROW()/1000000</f>
        <v>2.6E-005</v>
      </c>
    </row>
    <row r="27" customFormat="false" ht="15" hidden="false" customHeight="false" outlineLevel="0" collapsed="false">
      <c r="A27" s="4" t="str">
        <f aca="false">Use_Library!$A$26</f>
        <v>Dental / specialty clinic pad</v>
      </c>
      <c r="B27" s="9" t="str">
        <f aca="false">Use_Library!$C$26</f>
        <v>Income</v>
      </c>
      <c r="C27" s="9" t="str">
        <f aca="false">Use_Library!$D$26</f>
        <v>bldg SF</v>
      </c>
      <c r="D27" s="14" t="n">
        <f aca="false">MAX(0,Parcel!$C$26*(1-Use_Library!$N$26-Assumptions!$C$7))</f>
        <v>13.728</v>
      </c>
      <c r="E27" s="14" t="n">
        <f aca="false">IF(Use_Library!$M$26&gt;0,MIN(D27,Use_Library!$M$26),D27)</f>
        <v>1</v>
      </c>
      <c r="F27" s="20" t="n">
        <f aca="false">IF(D27=0,0,E27/D27)</f>
        <v>0.0728438228438228</v>
      </c>
      <c r="G27" s="14" t="n">
        <f aca="false">Parcel!$C$26*F27</f>
        <v>1.13636363636364</v>
      </c>
      <c r="H27" s="14" t="n">
        <f aca="false">G27*Assumptions!$C$7</f>
        <v>0.0454545454545455</v>
      </c>
      <c r="I27" s="14" t="n">
        <f aca="false">G27*(1-Use_Library!$N$26)</f>
        <v>1.04545454545455</v>
      </c>
      <c r="J27" s="14" t="n">
        <f aca="false">Parcel!$C$8*(1-F27)</f>
        <v>18.5431235431235</v>
      </c>
      <c r="K27" s="15" t="n">
        <f aca="false">IF(AND(Use_Library!$I$26="Y",Parcel!$C$28=0),0,1)</f>
        <v>1</v>
      </c>
      <c r="L27" s="15" t="n">
        <f aca="false">IF(AND(Use_Library!$J$26="Y",Parcel!$C$27=0),0,1)</f>
        <v>1</v>
      </c>
      <c r="M27" s="9" t="str">
        <f aca="false">TRIM(IF(AND(Use_Library!$AN$26&gt;0,Parcel!$C$19&lt;Use_Library!$AN$26),"Traffic under "&amp;TEXT(Use_Library!$AN$26,"#,##0")&amp;" VPD. ","")&amp;IF(AND(Use_Library!$AO$26&gt;0,Parcel!$C$20&lt;Use_Library!$AO$26),"Under "&amp;TEXT(Use_Library!$AO$26,"#,##0")&amp;" households in 3 mi. ","")&amp;IF(AND(Use_Library!$AP$26&gt;0,Parcel!$C$21&gt;Use_Library!$AP$26),"Over "&amp;Use_Library!$AP$26&amp;" mi to highway. ","")&amp;IF(AND(Use_Library!$AQ$26="Y",Parcel!$C$22&lt;&gt;"Y"),"Needs a corner. ","")&amp;IF(AND(Use_Library!$AR$26&gt;0,Parcel!$C$23&gt;Use_Library!$AR$26),"Over "&amp;Use_Library!$AR$26&amp;" mi to substation. ",""))</f>
        <v>Under 6,000 households in 3 mi.</v>
      </c>
      <c r="N27" s="15" t="n">
        <f aca="false">IF(M27="",1,0)</f>
        <v>0</v>
      </c>
      <c r="O27" s="15" t="n">
        <f aca="false">IF(D27&gt;=Use_Library!$L$26,1,0)</f>
        <v>1</v>
      </c>
      <c r="P27" s="14" t="n">
        <f aca="false">IF(Use_Library!$F$26&gt;0,G27*Use_Library!$F$26,1000000000)</f>
        <v>1000000000</v>
      </c>
      <c r="Q27" s="14" t="n">
        <f aca="false">IF(Use_Library!$G$26&gt;0,E27*43560/Use_Library!$G$26,1000000000)</f>
        <v>8712</v>
      </c>
      <c r="R27" s="14" t="n">
        <f aca="false">IF(AND(Use_Library!$H$26="Y",Parcel!$C$28=0),E27*(1-Assumptions!$C$8)/IF(Parcel!$C$27=1,Assumptions!$C$9,Assumptions!$C$10),1000000000)</f>
        <v>1000000000</v>
      </c>
      <c r="S27" s="21" t="n">
        <f aca="false">IF(K27*L27*O27*N27=0,0,IF(MIN(P27,Q27,R27)&gt;=1000000000,E27,IF(Use_Library!$E$26="Y",INT(MIN(P27,Q27,R27)),MIN(P27,Q27,R27))))</f>
        <v>0</v>
      </c>
      <c r="T27" s="9" t="str">
        <f aca="false">IF(N27=0,"Location fails",IF(O27=0,"Too small - needs "&amp;Use_Library!$L$26&amp;" usable ac",IF(K27=0,"Needs public sewer",IF(L27=0,"Needs public water",IF(R27&lt;=MIN(P27,Q27),"Septic lot size",IF(Q27&lt;=P27,"Site area / parking","Density"))))))</f>
        <v>Location fails</v>
      </c>
      <c r="U27" s="15" t="n">
        <f aca="false">IF(S27&gt;0,1,0)</f>
        <v>0</v>
      </c>
      <c r="V27" s="15" t="n">
        <f aca="false">IF(Use_Library!$K$26="Y",1,0)*U27</f>
        <v>0</v>
      </c>
      <c r="W27" s="15" t="n">
        <f aca="false">S27*Use_Library!$O$26*V27</f>
        <v>0</v>
      </c>
      <c r="X27" s="15" t="n">
        <f aca="false">S27*Use_Library!$P$26*V27</f>
        <v>0</v>
      </c>
      <c r="Y27" s="15" t="n">
        <f aca="false">IF(Parcel!$C$27=1,W27+Parcel!$C$29,0)*V27</f>
        <v>0</v>
      </c>
      <c r="Z27" s="14" t="n">
        <f aca="false">S27*Use_Library!$Q$26*Parcel!$C$27*V27</f>
        <v>0</v>
      </c>
      <c r="AA27" s="15" t="n">
        <f aca="false">IF(Parcel!$C$28=1,W27+Parcel!$C$30,0)*V27</f>
        <v>0</v>
      </c>
      <c r="AB27" s="14" t="n">
        <f aca="false">S27*Use_Library!$Q$26*Parcel!$C$28*V27</f>
        <v>0</v>
      </c>
      <c r="AC27" s="14" t="n">
        <f aca="false">IF(Parcel!$C$28=0,S27*Use_Library!$R$26,0)*V27</f>
        <v>0</v>
      </c>
      <c r="AD27" s="14" t="n">
        <f aca="false">IF(Parcel!$C$27=0,S27*Use_Library!$R$26,0)*V27</f>
        <v>0</v>
      </c>
      <c r="AE27" s="14" t="n">
        <f aca="false">I27*Parcel!$C$11*V27</f>
        <v>0</v>
      </c>
      <c r="AF27" s="14" t="n">
        <f aca="false">I27*V27</f>
        <v>0</v>
      </c>
      <c r="AG27" s="15" t="n">
        <f aca="false">IF(Use_Library!$C$26="For-Sale",IF(Use_Library!$E$26="Y",S27,1),1)*U27</f>
        <v>0</v>
      </c>
      <c r="AH27" s="19" t="n">
        <f aca="false">Cost_Library!$G$5*Parcel!$C$32*U27</f>
        <v>0</v>
      </c>
      <c r="AI27" s="19" t="n">
        <f aca="false">AG27*Cost_Library!$G$6*Parcel!$C$32</f>
        <v>0</v>
      </c>
      <c r="AJ27" s="19" t="n">
        <f aca="false">I27*Cost_Library!$G$7*Parcel!$C$32*V27</f>
        <v>0</v>
      </c>
      <c r="AK27" s="19" t="n">
        <f aca="false">Cost_Library!$G$8*Parcel!$C$32*V27</f>
        <v>0</v>
      </c>
      <c r="AL27" s="19" t="n">
        <f aca="false">AC27*Cost_Library!$G$9*Parcel!$C$32</f>
        <v>0</v>
      </c>
      <c r="AM27" s="19" t="n">
        <f aca="false">Cost_Library!$G$10*U27</f>
        <v>0</v>
      </c>
      <c r="AN27" s="19" t="n">
        <f aca="false">Cost_Library!$G$11*Parcel!$C$32*V27</f>
        <v>0</v>
      </c>
      <c r="AO27" s="19" t="n">
        <f aca="false">Use_Library!$S$26*U27</f>
        <v>0</v>
      </c>
      <c r="AP27" s="19" t="n">
        <f aca="false">Cost_Library!$G$12*U27</f>
        <v>0</v>
      </c>
      <c r="AQ27" s="19" t="n">
        <f aca="false">AE27*Cost_Library!$G$13*Parcel!$C$32</f>
        <v>0</v>
      </c>
      <c r="AR27" s="19" t="n">
        <f aca="false">AF27*Cost_Library!$G$14*Parcel!$C$32*Parcel!$C$33</f>
        <v>0</v>
      </c>
      <c r="AS27" s="19" t="n">
        <f aca="false">W27*Cost_Library!$G$15*Parcel!$C$32</f>
        <v>0</v>
      </c>
      <c r="AT27" s="19" t="n">
        <f aca="false">X27*Cost_Library!$G$16*Parcel!$C$32</f>
        <v>0</v>
      </c>
      <c r="AU27" s="19" t="n">
        <f aca="false">H27*Cost_Library!$G$17*Parcel!$C$32*V27</f>
        <v>0</v>
      </c>
      <c r="AV27" s="19" t="n">
        <f aca="false">G27*Cost_Library!$G$18*Parcel!$C$32*V27</f>
        <v>0</v>
      </c>
      <c r="AW27" s="19" t="n">
        <f aca="false">Y27*Cost_Library!$G$19*Parcel!$C$32</f>
        <v>0</v>
      </c>
      <c r="AX27" s="19" t="n">
        <f aca="false">Z27*Cost_Library!$G$20</f>
        <v>0</v>
      </c>
      <c r="AY27" s="19" t="n">
        <f aca="false">AA27*Cost_Library!$G$21*Parcel!$C$32</f>
        <v>0</v>
      </c>
      <c r="AZ27" s="19" t="n">
        <f aca="false">AB27*Cost_Library!$G$22</f>
        <v>0</v>
      </c>
      <c r="BA27" s="19" t="n">
        <f aca="false">AC27*Cost_Library!$G$23*Parcel!$C$32*Parcel!$C$34</f>
        <v>0</v>
      </c>
      <c r="BB27" s="19" t="n">
        <f aca="false">AD27*Cost_Library!$G$24*Parcel!$C$32</f>
        <v>0</v>
      </c>
      <c r="BC27" s="19" t="n">
        <f aca="false">W27*Cost_Library!$G$25*Parcel!$C$32</f>
        <v>0</v>
      </c>
      <c r="BD27" s="19" t="n">
        <f aca="false">SUM(AH27:BC27)</f>
        <v>0</v>
      </c>
      <c r="BE27" s="19" t="n">
        <f aca="false">BD27*Assumptions!$C$11</f>
        <v>0</v>
      </c>
      <c r="BF27" s="19" t="n">
        <f aca="false">BD27+BE27</f>
        <v>0</v>
      </c>
      <c r="BG27" s="19" t="n">
        <f aca="false">S27*Use_Library!$T$26</f>
        <v>0</v>
      </c>
      <c r="BH27" s="19" t="n">
        <f aca="false">BG27*(Assumptions!$C$12+Assumptions!$C$13)</f>
        <v>0</v>
      </c>
      <c r="BI27" s="19" t="n">
        <f aca="false">S27*Use_Library!$AC$26</f>
        <v>0</v>
      </c>
      <c r="BJ27" s="23" t="n">
        <f aca="false">1+Assumptions!$C$14+Assumptions!$C$15*Use_Library!$AH$26/12</f>
        <v>1.04916666666667</v>
      </c>
      <c r="BK27" s="23" t="n">
        <f aca="false">1+Assumptions!$C$21*(Assumptions!$C$22*Use_Library!$AH$26/12*Assumptions!$C$24+Assumptions!$C$23)</f>
        <v>1.0440375</v>
      </c>
      <c r="BL27" s="23" t="n">
        <f aca="false">1+Assumptions!$C$21*(Assumptions!$C$22*(Use_Library!$AH$26/12*Assumptions!$C$24+IF(Use_Library!$C$26="Income",Use_Library!$AD$26,0)/12*Assumptions!$C$25)+Assumptions!$C$23)</f>
        <v>1.065975</v>
      </c>
      <c r="BM27" s="19" t="n">
        <f aca="false">J27*Assumptions!$C$31*(1-Assumptions!$C$17)*U27</f>
        <v>0</v>
      </c>
      <c r="BN27" s="19" t="n">
        <f aca="false">IF(Use_Library!$AJ$26=1,IF(Use_Library!$C$26="For-Sale",S27*Use_Library!$U$26,E27*Use_Library!$AF$26)*(1-Assumptions!$C$17)+BM27,0)*U27</f>
        <v>0</v>
      </c>
      <c r="BO27" s="19" t="n">
        <f aca="false">(BD27-AT27)*(1+Assumptions!$C$11)</f>
        <v>0</v>
      </c>
      <c r="BP27" s="23" t="n">
        <f aca="false">BJ27*BK27</f>
        <v>1.09536934375</v>
      </c>
      <c r="BQ27" s="19" t="n">
        <f aca="false">(Parcel!$C$18*BJ27+BO27)*BK27</f>
        <v>328610.803125</v>
      </c>
      <c r="BR27" s="19" t="n">
        <f aca="false">BN27-BQ27</f>
        <v>-328610.803125</v>
      </c>
      <c r="BS27" s="32" t="n">
        <f aca="false">IF(AND(Use_Library!$AJ$26=1,U27=1),MAX(0,((1-Use_Library!$AI$26)*BN27-BO27*BK27)/BP27),0)</f>
        <v>0</v>
      </c>
      <c r="BT27" s="19" t="n">
        <f aca="false">BF27+BG27+BH27+BI27</f>
        <v>0</v>
      </c>
      <c r="BU27" s="23" t="n">
        <f aca="false">BJ27*BL27</f>
        <v>1.1183854375</v>
      </c>
      <c r="BV27" s="19" t="n">
        <f aca="false">(Parcel!$C$18*BJ27+BT27)*BL27</f>
        <v>335515.63125</v>
      </c>
      <c r="BW27" s="19" t="n">
        <f aca="false">IF(Use_Library!$C$26="Income",S27*Use_Library!$W$26,0)</f>
        <v>0</v>
      </c>
      <c r="BX27" s="19" t="n">
        <f aca="false">BW27*(1+Use_Library!$X$26)*(1-Use_Library!$Y$26)</f>
        <v>0</v>
      </c>
      <c r="BY27" s="19" t="n">
        <f aca="false">IF(Use_Library!$C$26="Income",S27*Use_Library!$Z$26,0)</f>
        <v>0</v>
      </c>
      <c r="BZ27" s="19" t="n">
        <f aca="false">IF(Use_Library!$C$26="Income",Assumptions!$C$19*Assumptions!$C$20*BV27,0)</f>
        <v>6274.142304375</v>
      </c>
      <c r="CA27" s="19" t="n">
        <f aca="false">BX27*Use_Library!$AA$26</f>
        <v>0</v>
      </c>
      <c r="CB27" s="19" t="n">
        <f aca="false">(BY27+BZ27)*Use_Library!$AB$26</f>
        <v>5960.43518915625</v>
      </c>
      <c r="CC27" s="19" t="n">
        <f aca="false">BX27-BY27-BZ27-CA27+CB27</f>
        <v>-313.70711521875</v>
      </c>
      <c r="CD27" s="19" t="n">
        <f aca="false">IF(AND(Use_Library!$C$26="Income",Use_Library!$AE$26&gt;0),CC27/Use_Library!$AE$26,0)</f>
        <v>-4647.51281805556</v>
      </c>
      <c r="CE27" s="24" t="n">
        <f aca="false">IF(Use_Library!$C$26="Income",-Assumptions!$C$19*Assumptions!$C$20*(1-Use_Library!$AB$26)*BU27,0)</f>
        <v>-0.0010456903840625</v>
      </c>
      <c r="CF27" s="20" t="n">
        <f aca="false">IF(BV27=0,0,CC27/BV27)</f>
        <v>-0.000935</v>
      </c>
      <c r="CG27" s="19" t="n">
        <f aca="false">IF(Use_Library!$AK$26=1,IF(Use_Library!$C$26="Income",CD27*(1-Assumptions!$C$18),S27*Use_Library!$V$26*(1-Assumptions!$C$16))+BM27,0)*U27</f>
        <v>-0</v>
      </c>
      <c r="CH27" s="24" t="n">
        <f aca="false">IF(AND(Use_Library!$AK$26=1,Use_Library!$C$26="Income",Use_Library!$AE$26&gt;0),CE27/Use_Library!$AE$26*(1-Assumptions!$C$18),0)</f>
        <v>-0.0151818752056482</v>
      </c>
      <c r="CI27" s="19" t="n">
        <f aca="false">CG27-BV27</f>
        <v>-335515.63125</v>
      </c>
      <c r="CJ27" s="32" t="n">
        <f aca="false">IF(AND(Use_Library!$AK$26=1,U27=1),MAX(0,Parcel!$C$18-((1-Use_Library!$AI$26)*CG27-BV27)/((1-Use_Library!$AI$26)*CH27-BU27)),0)</f>
        <v>0</v>
      </c>
      <c r="CK27" s="19" t="n">
        <f aca="false">IF(Use_Library!$AL$26=1,IF(Use_Library!$C$26="Income",CD27,IF(Use_Library!$AE$26&gt;0,E27*Use_Library!$AG$26/Use_Library!$AE$26,0))+BM27,0)*U27</f>
        <v>-0</v>
      </c>
      <c r="CL27" s="19" t="n">
        <f aca="false">IF(Use_Library!$C$26="Income",BT27,BF27)</f>
        <v>0</v>
      </c>
      <c r="CM27" s="23" t="n">
        <f aca="false">IF(Use_Library!$C$26="Income",BU27,BJ27*BK27)</f>
        <v>1.1183854375</v>
      </c>
      <c r="CN27" s="19" t="n">
        <f aca="false">IF(Use_Library!$C$26="Income",BV27,(Parcel!$C$18*BJ27+BF27)*BK27)</f>
        <v>335515.63125</v>
      </c>
      <c r="CO27" s="24" t="n">
        <f aca="false">IF(AND(Use_Library!$AL$26=1,Use_Library!$C$26="Income",Use_Library!$AE$26&gt;0),CE27/Use_Library!$AE$26,0)</f>
        <v>-0.0154917093935185</v>
      </c>
      <c r="CP27" s="19" t="n">
        <f aca="false">CK27-CN27</f>
        <v>-335515.63125</v>
      </c>
      <c r="CQ27" s="32" t="n">
        <f aca="false">IF(AND(Use_Library!$AL$26=1,U27=1),MAX(0,Parcel!$C$18-((1-Use_Library!$AI$26)*CK27-CN27)/((1-Use_Library!$AI$26)*CO27-CM27)),0)</f>
        <v>0</v>
      </c>
      <c r="CR27" s="19" t="n">
        <f aca="false">IF(Use_Library!$C$26="Income",Assumptions!$C$21*(Parcel!$C$18*BJ27+BT27),0)</f>
        <v>204587.5</v>
      </c>
      <c r="CS27" s="19" t="n">
        <f aca="false">IF(AND(Use_Library!$C$26="Income",CC27&gt;0),MIN(Assumptions!$C$26*CD27,PV(Assumptions!$C$29/12,Assumptions!$C$30*12,-CC27/Assumptions!$C$27/12),CC27/Assumptions!$C$28),0)</f>
        <v>0</v>
      </c>
      <c r="CT27" s="25" t="n">
        <f aca="false">IF(CS27=0,0,CC27/(-PMT(Assumptions!$C$29/12,Assumptions!$C$30*12,CS27)*12))</f>
        <v>0</v>
      </c>
      <c r="CU27" s="19" t="n">
        <f aca="false">CS27-CR27</f>
        <v>-204587.5</v>
      </c>
      <c r="CV27" s="18" t="n">
        <f aca="false">MAX(BS27,CJ27,CQ27)</f>
        <v>0</v>
      </c>
      <c r="CW27" s="9" t="str">
        <f aca="false">IF(CV27&lt;=0,"None works",IF(BS27=CV27,"Land / pad sale",IF(CJ27=CV27,"Build &amp; sell","Build &amp; hold / lease")))</f>
        <v>None works</v>
      </c>
      <c r="CX27" s="19" t="n">
        <f aca="false">CV27*(1-Assumptions!$C$32)</f>
        <v>0</v>
      </c>
      <c r="CY27" s="19" t="n">
        <f aca="false">CV27-Parcel!$C$18</f>
        <v>-300000</v>
      </c>
      <c r="CZ27" s="19" t="n">
        <f aca="false">IF(Parcel!$C$8=0,0,CV27/Parcel!$C$8)</f>
        <v>0</v>
      </c>
      <c r="DA27" s="33" t="n">
        <f aca="false">IF(S27=0,0,CV27/S27)</f>
        <v>0</v>
      </c>
      <c r="DB27" s="9" t="str">
        <f aca="false">TRIM(M27&amp;" "&amp;IF(AND(U27=0,N27=1),"Nothing fits. ","")&amp;IF(Parcel!$C$12&lt;Use_Library!$AM$26,"Frontage under "&amp;Use_Library!$AM$26&amp;" LF. ","")&amp;IF(Parcel!$C$10&gt;0.15,"Slope over 15%. ","")&amp;IF(AND(U27=1,Use_Library!$M$26&gt;0,D27&gt;Use_Library!$M$26),"Only "&amp;Use_Library!$M$26&amp;" ac used - rest resold. ",""))</f>
        <v>Under 6,000 households in 3 mi.</v>
      </c>
      <c r="DC27" s="19" t="n">
        <f aca="false">CV27+ROW()/1000000</f>
        <v>2.7E-005</v>
      </c>
    </row>
    <row r="28" customFormat="false" ht="15" hidden="false" customHeight="false" outlineLevel="0" collapsed="false">
      <c r="A28" s="4" t="str">
        <f aca="false">Use_Library!$A$27</f>
        <v>Dialysis / outpatient therapy</v>
      </c>
      <c r="B28" s="9" t="str">
        <f aca="false">Use_Library!$C$27</f>
        <v>Income</v>
      </c>
      <c r="C28" s="9" t="str">
        <f aca="false">Use_Library!$D$27</f>
        <v>bldg SF</v>
      </c>
      <c r="D28" s="14" t="n">
        <f aca="false">MAX(0,Parcel!$C$26*(1-Use_Library!$N$27-Assumptions!$C$7))</f>
        <v>13.728</v>
      </c>
      <c r="E28" s="14" t="n">
        <f aca="false">IF(Use_Library!$M$27&gt;0,MIN(D28,Use_Library!$M$27),D28)</f>
        <v>1.5</v>
      </c>
      <c r="F28" s="20" t="n">
        <f aca="false">IF(D28=0,0,E28/D28)</f>
        <v>0.109265734265734</v>
      </c>
      <c r="G28" s="14" t="n">
        <f aca="false">Parcel!$C$26*F28</f>
        <v>1.70454545454545</v>
      </c>
      <c r="H28" s="14" t="n">
        <f aca="false">G28*Assumptions!$C$7</f>
        <v>0.0681818181818182</v>
      </c>
      <c r="I28" s="14" t="n">
        <f aca="false">G28*(1-Use_Library!$N$27)</f>
        <v>1.56818181818182</v>
      </c>
      <c r="J28" s="14" t="n">
        <f aca="false">Parcel!$C$8*(1-F28)</f>
        <v>17.8146853146853</v>
      </c>
      <c r="K28" s="15" t="n">
        <f aca="false">IF(AND(Use_Library!$I$27="Y",Parcel!$C$28=0),0,1)</f>
        <v>1</v>
      </c>
      <c r="L28" s="15" t="n">
        <f aca="false">IF(AND(Use_Library!$J$27="Y",Parcel!$C$27=0),0,1)</f>
        <v>1</v>
      </c>
      <c r="M28" s="9" t="str">
        <f aca="false">TRIM(IF(AND(Use_Library!$AN$27&gt;0,Parcel!$C$19&lt;Use_Library!$AN$27),"Traffic under "&amp;TEXT(Use_Library!$AN$27,"#,##0")&amp;" VPD. ","")&amp;IF(AND(Use_Library!$AO$27&gt;0,Parcel!$C$20&lt;Use_Library!$AO$27),"Under "&amp;TEXT(Use_Library!$AO$27,"#,##0")&amp;" households in 3 mi. ","")&amp;IF(AND(Use_Library!$AP$27&gt;0,Parcel!$C$21&gt;Use_Library!$AP$27),"Over "&amp;Use_Library!$AP$27&amp;" mi to highway. ","")&amp;IF(AND(Use_Library!$AQ$27="Y",Parcel!$C$22&lt;&gt;"Y"),"Needs a corner. ","")&amp;IF(AND(Use_Library!$AR$27&gt;0,Parcel!$C$23&gt;Use_Library!$AR$27),"Over "&amp;Use_Library!$AR$27&amp;" mi to substation. ",""))</f>
        <v>Under 8,000 households in 3 mi.</v>
      </c>
      <c r="N28" s="15" t="n">
        <f aca="false">IF(M28="",1,0)</f>
        <v>0</v>
      </c>
      <c r="O28" s="15" t="n">
        <f aca="false">IF(D28&gt;=Use_Library!$L$27,1,0)</f>
        <v>1</v>
      </c>
      <c r="P28" s="14" t="n">
        <f aca="false">IF(Use_Library!$F$27&gt;0,G28*Use_Library!$F$27,1000000000)</f>
        <v>1000000000</v>
      </c>
      <c r="Q28" s="14" t="n">
        <f aca="false">IF(Use_Library!$G$27&gt;0,E28*43560/Use_Library!$G$27,1000000000)</f>
        <v>16335</v>
      </c>
      <c r="R28" s="14" t="n">
        <f aca="false">IF(AND(Use_Library!$H$27="Y",Parcel!$C$28=0),E28*(1-Assumptions!$C$8)/IF(Parcel!$C$27=1,Assumptions!$C$9,Assumptions!$C$10),1000000000)</f>
        <v>1000000000</v>
      </c>
      <c r="S28" s="21" t="n">
        <f aca="false">IF(K28*L28*O28*N28=0,0,IF(MIN(P28,Q28,R28)&gt;=1000000000,E28,IF(Use_Library!$E$27="Y",INT(MIN(P28,Q28,R28)),MIN(P28,Q28,R28))))</f>
        <v>0</v>
      </c>
      <c r="T28" s="9" t="str">
        <f aca="false">IF(N28=0,"Location fails",IF(O28=0,"Too small - needs "&amp;Use_Library!$L$27&amp;" usable ac",IF(K28=0,"Needs public sewer",IF(L28=0,"Needs public water",IF(R28&lt;=MIN(P28,Q28),"Septic lot size",IF(Q28&lt;=P28,"Site area / parking","Density"))))))</f>
        <v>Location fails</v>
      </c>
      <c r="U28" s="15" t="n">
        <f aca="false">IF(S28&gt;0,1,0)</f>
        <v>0</v>
      </c>
      <c r="V28" s="15" t="n">
        <f aca="false">IF(Use_Library!$K$27="Y",1,0)*U28</f>
        <v>0</v>
      </c>
      <c r="W28" s="15" t="n">
        <f aca="false">S28*Use_Library!$O$27*V28</f>
        <v>0</v>
      </c>
      <c r="X28" s="15" t="n">
        <f aca="false">S28*Use_Library!$P$27*V28</f>
        <v>0</v>
      </c>
      <c r="Y28" s="15" t="n">
        <f aca="false">IF(Parcel!$C$27=1,W28+Parcel!$C$29,0)*V28</f>
        <v>0</v>
      </c>
      <c r="Z28" s="14" t="n">
        <f aca="false">S28*Use_Library!$Q$27*Parcel!$C$27*V28</f>
        <v>0</v>
      </c>
      <c r="AA28" s="15" t="n">
        <f aca="false">IF(Parcel!$C$28=1,W28+Parcel!$C$30,0)*V28</f>
        <v>0</v>
      </c>
      <c r="AB28" s="14" t="n">
        <f aca="false">S28*Use_Library!$Q$27*Parcel!$C$28*V28</f>
        <v>0</v>
      </c>
      <c r="AC28" s="14" t="n">
        <f aca="false">IF(Parcel!$C$28=0,S28*Use_Library!$R$27,0)*V28</f>
        <v>0</v>
      </c>
      <c r="AD28" s="14" t="n">
        <f aca="false">IF(Parcel!$C$27=0,S28*Use_Library!$R$27,0)*V28</f>
        <v>0</v>
      </c>
      <c r="AE28" s="14" t="n">
        <f aca="false">I28*Parcel!$C$11*V28</f>
        <v>0</v>
      </c>
      <c r="AF28" s="14" t="n">
        <f aca="false">I28*V28</f>
        <v>0</v>
      </c>
      <c r="AG28" s="15" t="n">
        <f aca="false">IF(Use_Library!$C$27="For-Sale",IF(Use_Library!$E$27="Y",S28,1),1)*U28</f>
        <v>0</v>
      </c>
      <c r="AH28" s="19" t="n">
        <f aca="false">Cost_Library!$G$5*Parcel!$C$32*U28</f>
        <v>0</v>
      </c>
      <c r="AI28" s="19" t="n">
        <f aca="false">AG28*Cost_Library!$G$6*Parcel!$C$32</f>
        <v>0</v>
      </c>
      <c r="AJ28" s="19" t="n">
        <f aca="false">I28*Cost_Library!$G$7*Parcel!$C$32*V28</f>
        <v>0</v>
      </c>
      <c r="AK28" s="19" t="n">
        <f aca="false">Cost_Library!$G$8*Parcel!$C$32*V28</f>
        <v>0</v>
      </c>
      <c r="AL28" s="19" t="n">
        <f aca="false">AC28*Cost_Library!$G$9*Parcel!$C$32</f>
        <v>0</v>
      </c>
      <c r="AM28" s="19" t="n">
        <f aca="false">Cost_Library!$G$10*U28</f>
        <v>0</v>
      </c>
      <c r="AN28" s="19" t="n">
        <f aca="false">Cost_Library!$G$11*Parcel!$C$32*V28</f>
        <v>0</v>
      </c>
      <c r="AO28" s="19" t="n">
        <f aca="false">Use_Library!$S$27*U28</f>
        <v>0</v>
      </c>
      <c r="AP28" s="19" t="n">
        <f aca="false">Cost_Library!$G$12*U28</f>
        <v>0</v>
      </c>
      <c r="AQ28" s="19" t="n">
        <f aca="false">AE28*Cost_Library!$G$13*Parcel!$C$32</f>
        <v>0</v>
      </c>
      <c r="AR28" s="19" t="n">
        <f aca="false">AF28*Cost_Library!$G$14*Parcel!$C$32*Parcel!$C$33</f>
        <v>0</v>
      </c>
      <c r="AS28" s="19" t="n">
        <f aca="false">W28*Cost_Library!$G$15*Parcel!$C$32</f>
        <v>0</v>
      </c>
      <c r="AT28" s="19" t="n">
        <f aca="false">X28*Cost_Library!$G$16*Parcel!$C$32</f>
        <v>0</v>
      </c>
      <c r="AU28" s="19" t="n">
        <f aca="false">H28*Cost_Library!$G$17*Parcel!$C$32*V28</f>
        <v>0</v>
      </c>
      <c r="AV28" s="19" t="n">
        <f aca="false">G28*Cost_Library!$G$18*Parcel!$C$32*V28</f>
        <v>0</v>
      </c>
      <c r="AW28" s="19" t="n">
        <f aca="false">Y28*Cost_Library!$G$19*Parcel!$C$32</f>
        <v>0</v>
      </c>
      <c r="AX28" s="19" t="n">
        <f aca="false">Z28*Cost_Library!$G$20</f>
        <v>0</v>
      </c>
      <c r="AY28" s="19" t="n">
        <f aca="false">AA28*Cost_Library!$G$21*Parcel!$C$32</f>
        <v>0</v>
      </c>
      <c r="AZ28" s="19" t="n">
        <f aca="false">AB28*Cost_Library!$G$22</f>
        <v>0</v>
      </c>
      <c r="BA28" s="19" t="n">
        <f aca="false">AC28*Cost_Library!$G$23*Parcel!$C$32*Parcel!$C$34</f>
        <v>0</v>
      </c>
      <c r="BB28" s="19" t="n">
        <f aca="false">AD28*Cost_Library!$G$24*Parcel!$C$32</f>
        <v>0</v>
      </c>
      <c r="BC28" s="19" t="n">
        <f aca="false">W28*Cost_Library!$G$25*Parcel!$C$32</f>
        <v>0</v>
      </c>
      <c r="BD28" s="19" t="n">
        <f aca="false">SUM(AH28:BC28)</f>
        <v>0</v>
      </c>
      <c r="BE28" s="19" t="n">
        <f aca="false">BD28*Assumptions!$C$11</f>
        <v>0</v>
      </c>
      <c r="BF28" s="19" t="n">
        <f aca="false">BD28+BE28</f>
        <v>0</v>
      </c>
      <c r="BG28" s="19" t="n">
        <f aca="false">S28*Use_Library!$T$27</f>
        <v>0</v>
      </c>
      <c r="BH28" s="19" t="n">
        <f aca="false">BG28*(Assumptions!$C$12+Assumptions!$C$13)</f>
        <v>0</v>
      </c>
      <c r="BI28" s="19" t="n">
        <f aca="false">S28*Use_Library!$AC$27</f>
        <v>0</v>
      </c>
      <c r="BJ28" s="23" t="n">
        <f aca="false">1+Assumptions!$C$14+Assumptions!$C$15*Use_Library!$AH$27/12</f>
        <v>1.04916666666667</v>
      </c>
      <c r="BK28" s="23" t="n">
        <f aca="false">1+Assumptions!$C$21*(Assumptions!$C$22*Use_Library!$AH$27/12*Assumptions!$C$24+Assumptions!$C$23)</f>
        <v>1.0440375</v>
      </c>
      <c r="BL28" s="23" t="n">
        <f aca="false">1+Assumptions!$C$21*(Assumptions!$C$22*(Use_Library!$AH$27/12*Assumptions!$C$24+IF(Use_Library!$C$27="Income",Use_Library!$AD$27,0)/12*Assumptions!$C$25)+Assumptions!$C$23)</f>
        <v>1.0586625</v>
      </c>
      <c r="BM28" s="19" t="n">
        <f aca="false">J28*Assumptions!$C$31*(1-Assumptions!$C$17)*U28</f>
        <v>0</v>
      </c>
      <c r="BN28" s="19" t="n">
        <f aca="false">IF(Use_Library!$AJ$27=1,IF(Use_Library!$C$27="For-Sale",S28*Use_Library!$U$27,E28*Use_Library!$AF$27)*(1-Assumptions!$C$17)+BM28,0)*U28</f>
        <v>0</v>
      </c>
      <c r="BO28" s="19" t="n">
        <f aca="false">(BD28-AT28)*(1+Assumptions!$C$11)</f>
        <v>0</v>
      </c>
      <c r="BP28" s="23" t="n">
        <f aca="false">BJ28*BK28</f>
        <v>1.09536934375</v>
      </c>
      <c r="BQ28" s="19" t="n">
        <f aca="false">(Parcel!$C$18*BJ28+BO28)*BK28</f>
        <v>328610.803125</v>
      </c>
      <c r="BR28" s="19" t="n">
        <f aca="false">BN28-BQ28</f>
        <v>-328610.803125</v>
      </c>
      <c r="BS28" s="32" t="n">
        <f aca="false">IF(AND(Use_Library!$AJ$27=1,U28=1),MAX(0,((1-Use_Library!$AI$27)*BN28-BO28*BK28)/BP28),0)</f>
        <v>0</v>
      </c>
      <c r="BT28" s="19" t="n">
        <f aca="false">BF28+BG28+BH28+BI28</f>
        <v>0</v>
      </c>
      <c r="BU28" s="23" t="n">
        <f aca="false">BJ28*BL28</f>
        <v>1.11071340625</v>
      </c>
      <c r="BV28" s="19" t="n">
        <f aca="false">(Parcel!$C$18*BJ28+BT28)*BL28</f>
        <v>333214.021875</v>
      </c>
      <c r="BW28" s="19" t="n">
        <f aca="false">IF(Use_Library!$C$27="Income",S28*Use_Library!$W$27,0)</f>
        <v>0</v>
      </c>
      <c r="BX28" s="19" t="n">
        <f aca="false">BW28*(1+Use_Library!$X$27)*(1-Use_Library!$Y$27)</f>
        <v>0</v>
      </c>
      <c r="BY28" s="19" t="n">
        <f aca="false">IF(Use_Library!$C$27="Income",S28*Use_Library!$Z$27,0)</f>
        <v>0</v>
      </c>
      <c r="BZ28" s="19" t="n">
        <f aca="false">IF(Use_Library!$C$27="Income",Assumptions!$C$19*Assumptions!$C$20*BV28,0)</f>
        <v>6231.1022090625</v>
      </c>
      <c r="CA28" s="19" t="n">
        <f aca="false">BX28*Use_Library!$AA$27</f>
        <v>0</v>
      </c>
      <c r="CB28" s="19" t="n">
        <f aca="false">(BY28+BZ28)*Use_Library!$AB$27</f>
        <v>6231.1022090625</v>
      </c>
      <c r="CC28" s="19" t="n">
        <f aca="false">BX28-BY28-BZ28-CA28+CB28</f>
        <v>0</v>
      </c>
      <c r="CD28" s="19" t="n">
        <f aca="false">IF(AND(Use_Library!$C$27="Income",Use_Library!$AE$27&gt;0),CC28/Use_Library!$AE$27,0)</f>
        <v>0</v>
      </c>
      <c r="CE28" s="24" t="n">
        <f aca="false">IF(Use_Library!$C$27="Income",-Assumptions!$C$19*Assumptions!$C$20*(1-Use_Library!$AB$27)*BU28,0)</f>
        <v>-0</v>
      </c>
      <c r="CF28" s="20" t="n">
        <f aca="false">IF(BV28=0,0,CC28/BV28)</f>
        <v>0</v>
      </c>
      <c r="CG28" s="19" t="n">
        <f aca="false">IF(Use_Library!$AK$27=1,IF(Use_Library!$C$27="Income",CD28*(1-Assumptions!$C$18),S28*Use_Library!$V$27*(1-Assumptions!$C$16))+BM28,0)*U28</f>
        <v>0</v>
      </c>
      <c r="CH28" s="24" t="n">
        <f aca="false">IF(AND(Use_Library!$AK$27=1,Use_Library!$C$27="Income",Use_Library!$AE$27&gt;0),CE28/Use_Library!$AE$27*(1-Assumptions!$C$18),0)</f>
        <v>-0</v>
      </c>
      <c r="CI28" s="19" t="n">
        <f aca="false">CG28-BV28</f>
        <v>-333214.021875</v>
      </c>
      <c r="CJ28" s="32" t="n">
        <f aca="false">IF(AND(Use_Library!$AK$27=1,U28=1),MAX(0,Parcel!$C$18-((1-Use_Library!$AI$27)*CG28-BV28)/((1-Use_Library!$AI$27)*CH28-BU28)),0)</f>
        <v>0</v>
      </c>
      <c r="CK28" s="19" t="n">
        <f aca="false">IF(Use_Library!$AL$27=1,IF(Use_Library!$C$27="Income",CD28,IF(Use_Library!$AE$27&gt;0,E28*Use_Library!$AG$27/Use_Library!$AE$27,0))+BM28,0)*U28</f>
        <v>0</v>
      </c>
      <c r="CL28" s="19" t="n">
        <f aca="false">IF(Use_Library!$C$27="Income",BT28,BF28)</f>
        <v>0</v>
      </c>
      <c r="CM28" s="23" t="n">
        <f aca="false">IF(Use_Library!$C$27="Income",BU28,BJ28*BK28)</f>
        <v>1.11071340625</v>
      </c>
      <c r="CN28" s="19" t="n">
        <f aca="false">IF(Use_Library!$C$27="Income",BV28,(Parcel!$C$18*BJ28+BF28)*BK28)</f>
        <v>333214.021875</v>
      </c>
      <c r="CO28" s="24" t="n">
        <f aca="false">IF(AND(Use_Library!$AL$27=1,Use_Library!$C$27="Income",Use_Library!$AE$27&gt;0),CE28/Use_Library!$AE$27,0)</f>
        <v>-0</v>
      </c>
      <c r="CP28" s="19" t="n">
        <f aca="false">CK28-CN28</f>
        <v>-333214.021875</v>
      </c>
      <c r="CQ28" s="32" t="n">
        <f aca="false">IF(AND(Use_Library!$AL$27=1,U28=1),MAX(0,Parcel!$C$18-((1-Use_Library!$AI$27)*CK28-CN28)/((1-Use_Library!$AI$27)*CO28-CM28)),0)</f>
        <v>0</v>
      </c>
      <c r="CR28" s="19" t="n">
        <f aca="false">IF(Use_Library!$C$27="Income",Assumptions!$C$21*(Parcel!$C$18*BJ28+BT28),0)</f>
        <v>204587.5</v>
      </c>
      <c r="CS28" s="19" t="n">
        <f aca="false">IF(AND(Use_Library!$C$27="Income",CC28&gt;0),MIN(Assumptions!$C$26*CD28,PV(Assumptions!$C$29/12,Assumptions!$C$30*12,-CC28/Assumptions!$C$27/12),CC28/Assumptions!$C$28),0)</f>
        <v>0</v>
      </c>
      <c r="CT28" s="25" t="n">
        <f aca="false">IF(CS28=0,0,CC28/(-PMT(Assumptions!$C$29/12,Assumptions!$C$30*12,CS28)*12))</f>
        <v>0</v>
      </c>
      <c r="CU28" s="19" t="n">
        <f aca="false">CS28-CR28</f>
        <v>-204587.5</v>
      </c>
      <c r="CV28" s="18" t="n">
        <f aca="false">MAX(BS28,CJ28,CQ28)</f>
        <v>0</v>
      </c>
      <c r="CW28" s="9" t="str">
        <f aca="false">IF(CV28&lt;=0,"None works",IF(BS28=CV28,"Land / pad sale",IF(CJ28=CV28,"Build &amp; sell","Build &amp; hold / lease")))</f>
        <v>None works</v>
      </c>
      <c r="CX28" s="19" t="n">
        <f aca="false">CV28*(1-Assumptions!$C$32)</f>
        <v>0</v>
      </c>
      <c r="CY28" s="19" t="n">
        <f aca="false">CV28-Parcel!$C$18</f>
        <v>-300000</v>
      </c>
      <c r="CZ28" s="19" t="n">
        <f aca="false">IF(Parcel!$C$8=0,0,CV28/Parcel!$C$8)</f>
        <v>0</v>
      </c>
      <c r="DA28" s="33" t="n">
        <f aca="false">IF(S28=0,0,CV28/S28)</f>
        <v>0</v>
      </c>
      <c r="DB28" s="9" t="str">
        <f aca="false">TRIM(M28&amp;" "&amp;IF(AND(U28=0,N28=1),"Nothing fits. ","")&amp;IF(Parcel!$C$12&lt;Use_Library!$AM$27,"Frontage under "&amp;Use_Library!$AM$27&amp;" LF. ","")&amp;IF(Parcel!$C$10&gt;0.15,"Slope over 15%. ","")&amp;IF(AND(U28=1,Use_Library!$M$27&gt;0,D28&gt;Use_Library!$M$27),"Only "&amp;Use_Library!$M$27&amp;" ac used - rest resold. ",""))</f>
        <v>Under 8,000 households in 3 mi.</v>
      </c>
      <c r="DC28" s="19" t="n">
        <f aca="false">CV28+ROW()/1000000</f>
        <v>2.8E-005</v>
      </c>
    </row>
    <row r="29" customFormat="false" ht="15" hidden="false" customHeight="false" outlineLevel="0" collapsed="false">
      <c r="A29" s="4" t="str">
        <f aca="false">Use_Library!$A$28</f>
        <v>Pharmacy / drugstore pad</v>
      </c>
      <c r="B29" s="9" t="str">
        <f aca="false">Use_Library!$C$28</f>
        <v>Income</v>
      </c>
      <c r="C29" s="9" t="str">
        <f aca="false">Use_Library!$D$28</f>
        <v>bldg SF</v>
      </c>
      <c r="D29" s="14" t="n">
        <f aca="false">MAX(0,Parcel!$C$26*(1-Use_Library!$N$28-Assumptions!$C$7))</f>
        <v>13.728</v>
      </c>
      <c r="E29" s="14" t="n">
        <f aca="false">IF(Use_Library!$M$28&gt;0,MIN(D29,Use_Library!$M$28),D29)</f>
        <v>1.5</v>
      </c>
      <c r="F29" s="20" t="n">
        <f aca="false">IF(D29=0,0,E29/D29)</f>
        <v>0.109265734265734</v>
      </c>
      <c r="G29" s="14" t="n">
        <f aca="false">Parcel!$C$26*F29</f>
        <v>1.70454545454545</v>
      </c>
      <c r="H29" s="14" t="n">
        <f aca="false">G29*Assumptions!$C$7</f>
        <v>0.0681818181818182</v>
      </c>
      <c r="I29" s="14" t="n">
        <f aca="false">G29*(1-Use_Library!$N$28)</f>
        <v>1.56818181818182</v>
      </c>
      <c r="J29" s="14" t="n">
        <f aca="false">Parcel!$C$8*(1-F29)</f>
        <v>17.8146853146853</v>
      </c>
      <c r="K29" s="15" t="n">
        <f aca="false">IF(AND(Use_Library!$I$28="Y",Parcel!$C$28=0),0,1)</f>
        <v>1</v>
      </c>
      <c r="L29" s="15" t="n">
        <f aca="false">IF(AND(Use_Library!$J$28="Y",Parcel!$C$27=0),0,1)</f>
        <v>1</v>
      </c>
      <c r="M29" s="9" t="str">
        <f aca="false">TRIM(IF(AND(Use_Library!$AN$28&gt;0,Parcel!$C$19&lt;Use_Library!$AN$28),"Traffic under "&amp;TEXT(Use_Library!$AN$28,"#,##0")&amp;" VPD. ","")&amp;IF(AND(Use_Library!$AO$28&gt;0,Parcel!$C$20&lt;Use_Library!$AO$28),"Under "&amp;TEXT(Use_Library!$AO$28,"#,##0")&amp;" households in 3 mi. ","")&amp;IF(AND(Use_Library!$AP$28&gt;0,Parcel!$C$21&gt;Use_Library!$AP$28),"Over "&amp;Use_Library!$AP$28&amp;" mi to highway. ","")&amp;IF(AND(Use_Library!$AQ$28="Y",Parcel!$C$22&lt;&gt;"Y"),"Needs a corner. ","")&amp;IF(AND(Use_Library!$AR$28&gt;0,Parcel!$C$23&gt;Use_Library!$AR$28),"Over "&amp;Use_Library!$AR$28&amp;" mi to substation. ",""))</f>
        <v>Traffic under 20,000 VPD. Under 8,000 households in 3 mi. Needs a corner.</v>
      </c>
      <c r="N29" s="15" t="n">
        <f aca="false">IF(M29="",1,0)</f>
        <v>0</v>
      </c>
      <c r="O29" s="15" t="n">
        <f aca="false">IF(D29&gt;=Use_Library!$L$28,1,0)</f>
        <v>1</v>
      </c>
      <c r="P29" s="14" t="n">
        <f aca="false">IF(Use_Library!$F$28&gt;0,G29*Use_Library!$F$28,1000000000)</f>
        <v>1000000000</v>
      </c>
      <c r="Q29" s="14" t="n">
        <f aca="false">IF(Use_Library!$G$28&gt;0,E29*43560/Use_Library!$G$28,1000000000)</f>
        <v>11760.2591792657</v>
      </c>
      <c r="R29" s="14" t="n">
        <f aca="false">IF(AND(Use_Library!$H$28="Y",Parcel!$C$28=0),E29*(1-Assumptions!$C$8)/IF(Parcel!$C$27=1,Assumptions!$C$9,Assumptions!$C$10),1000000000)</f>
        <v>1000000000</v>
      </c>
      <c r="S29" s="21" t="n">
        <f aca="false">IF(K29*L29*O29*N29=0,0,IF(MIN(P29,Q29,R29)&gt;=1000000000,E29,IF(Use_Library!$E$28="Y",INT(MIN(P29,Q29,R29)),MIN(P29,Q29,R29))))</f>
        <v>0</v>
      </c>
      <c r="T29" s="9" t="str">
        <f aca="false">IF(N29=0,"Location fails",IF(O29=0,"Too small - needs "&amp;Use_Library!$L$28&amp;" usable ac",IF(K29=0,"Needs public sewer",IF(L29=0,"Needs public water",IF(R29&lt;=MIN(P29,Q29),"Septic lot size",IF(Q29&lt;=P29,"Site area / parking","Density"))))))</f>
        <v>Location fails</v>
      </c>
      <c r="U29" s="15" t="n">
        <f aca="false">IF(S29&gt;0,1,0)</f>
        <v>0</v>
      </c>
      <c r="V29" s="15" t="n">
        <f aca="false">IF(Use_Library!$K$28="Y",1,0)*U29</f>
        <v>0</v>
      </c>
      <c r="W29" s="15" t="n">
        <f aca="false">S29*Use_Library!$O$28*V29</f>
        <v>0</v>
      </c>
      <c r="X29" s="15" t="n">
        <f aca="false">S29*Use_Library!$P$28*V29</f>
        <v>0</v>
      </c>
      <c r="Y29" s="15" t="n">
        <f aca="false">IF(Parcel!$C$27=1,W29+Parcel!$C$29,0)*V29</f>
        <v>0</v>
      </c>
      <c r="Z29" s="14" t="n">
        <f aca="false">S29*Use_Library!$Q$28*Parcel!$C$27*V29</f>
        <v>0</v>
      </c>
      <c r="AA29" s="15" t="n">
        <f aca="false">IF(Parcel!$C$28=1,W29+Parcel!$C$30,0)*V29</f>
        <v>0</v>
      </c>
      <c r="AB29" s="14" t="n">
        <f aca="false">S29*Use_Library!$Q$28*Parcel!$C$28*V29</f>
        <v>0</v>
      </c>
      <c r="AC29" s="14" t="n">
        <f aca="false">IF(Parcel!$C$28=0,S29*Use_Library!$R$28,0)*V29</f>
        <v>0</v>
      </c>
      <c r="AD29" s="14" t="n">
        <f aca="false">IF(Parcel!$C$27=0,S29*Use_Library!$R$28,0)*V29</f>
        <v>0</v>
      </c>
      <c r="AE29" s="14" t="n">
        <f aca="false">I29*Parcel!$C$11*V29</f>
        <v>0</v>
      </c>
      <c r="AF29" s="14" t="n">
        <f aca="false">I29*V29</f>
        <v>0</v>
      </c>
      <c r="AG29" s="15" t="n">
        <f aca="false">IF(Use_Library!$C$28="For-Sale",IF(Use_Library!$E$28="Y",S29,1),1)*U29</f>
        <v>0</v>
      </c>
      <c r="AH29" s="19" t="n">
        <f aca="false">Cost_Library!$G$5*Parcel!$C$32*U29</f>
        <v>0</v>
      </c>
      <c r="AI29" s="19" t="n">
        <f aca="false">AG29*Cost_Library!$G$6*Parcel!$C$32</f>
        <v>0</v>
      </c>
      <c r="AJ29" s="19" t="n">
        <f aca="false">I29*Cost_Library!$G$7*Parcel!$C$32*V29</f>
        <v>0</v>
      </c>
      <c r="AK29" s="19" t="n">
        <f aca="false">Cost_Library!$G$8*Parcel!$C$32*V29</f>
        <v>0</v>
      </c>
      <c r="AL29" s="19" t="n">
        <f aca="false">AC29*Cost_Library!$G$9*Parcel!$C$32</f>
        <v>0</v>
      </c>
      <c r="AM29" s="19" t="n">
        <f aca="false">Cost_Library!$G$10*U29</f>
        <v>0</v>
      </c>
      <c r="AN29" s="19" t="n">
        <f aca="false">Cost_Library!$G$11*Parcel!$C$32*V29</f>
        <v>0</v>
      </c>
      <c r="AO29" s="19" t="n">
        <f aca="false">Use_Library!$S$28*U29</f>
        <v>0</v>
      </c>
      <c r="AP29" s="19" t="n">
        <f aca="false">Cost_Library!$G$12*U29</f>
        <v>0</v>
      </c>
      <c r="AQ29" s="19" t="n">
        <f aca="false">AE29*Cost_Library!$G$13*Parcel!$C$32</f>
        <v>0</v>
      </c>
      <c r="AR29" s="19" t="n">
        <f aca="false">AF29*Cost_Library!$G$14*Parcel!$C$32*Parcel!$C$33</f>
        <v>0</v>
      </c>
      <c r="AS29" s="19" t="n">
        <f aca="false">W29*Cost_Library!$G$15*Parcel!$C$32</f>
        <v>0</v>
      </c>
      <c r="AT29" s="19" t="n">
        <f aca="false">X29*Cost_Library!$G$16*Parcel!$C$32</f>
        <v>0</v>
      </c>
      <c r="AU29" s="19" t="n">
        <f aca="false">H29*Cost_Library!$G$17*Parcel!$C$32*V29</f>
        <v>0</v>
      </c>
      <c r="AV29" s="19" t="n">
        <f aca="false">G29*Cost_Library!$G$18*Parcel!$C$32*V29</f>
        <v>0</v>
      </c>
      <c r="AW29" s="19" t="n">
        <f aca="false">Y29*Cost_Library!$G$19*Parcel!$C$32</f>
        <v>0</v>
      </c>
      <c r="AX29" s="19" t="n">
        <f aca="false">Z29*Cost_Library!$G$20</f>
        <v>0</v>
      </c>
      <c r="AY29" s="19" t="n">
        <f aca="false">AA29*Cost_Library!$G$21*Parcel!$C$32</f>
        <v>0</v>
      </c>
      <c r="AZ29" s="19" t="n">
        <f aca="false">AB29*Cost_Library!$G$22</f>
        <v>0</v>
      </c>
      <c r="BA29" s="19" t="n">
        <f aca="false">AC29*Cost_Library!$G$23*Parcel!$C$32*Parcel!$C$34</f>
        <v>0</v>
      </c>
      <c r="BB29" s="19" t="n">
        <f aca="false">AD29*Cost_Library!$G$24*Parcel!$C$32</f>
        <v>0</v>
      </c>
      <c r="BC29" s="19" t="n">
        <f aca="false">W29*Cost_Library!$G$25*Parcel!$C$32</f>
        <v>0</v>
      </c>
      <c r="BD29" s="19" t="n">
        <f aca="false">SUM(AH29:BC29)</f>
        <v>0</v>
      </c>
      <c r="BE29" s="19" t="n">
        <f aca="false">BD29*Assumptions!$C$11</f>
        <v>0</v>
      </c>
      <c r="BF29" s="19" t="n">
        <f aca="false">BD29+BE29</f>
        <v>0</v>
      </c>
      <c r="BG29" s="19" t="n">
        <f aca="false">S29*Use_Library!$T$28</f>
        <v>0</v>
      </c>
      <c r="BH29" s="19" t="n">
        <f aca="false">BG29*(Assumptions!$C$12+Assumptions!$C$13)</f>
        <v>0</v>
      </c>
      <c r="BI29" s="19" t="n">
        <f aca="false">S29*Use_Library!$AC$28</f>
        <v>0</v>
      </c>
      <c r="BJ29" s="23" t="n">
        <f aca="false">1+Assumptions!$C$14+Assumptions!$C$15*Use_Library!$AH$28/12</f>
        <v>1.04916666666667</v>
      </c>
      <c r="BK29" s="23" t="n">
        <f aca="false">1+Assumptions!$C$21*(Assumptions!$C$22*Use_Library!$AH$28/12*Assumptions!$C$24+Assumptions!$C$23)</f>
        <v>1.0440375</v>
      </c>
      <c r="BL29" s="23" t="n">
        <f aca="false">1+Assumptions!$C$21*(Assumptions!$C$22*(Use_Library!$AH$28/12*Assumptions!$C$24+IF(Use_Library!$C$28="Income",Use_Library!$AD$28,0)/12*Assumptions!$C$25)+Assumptions!$C$23)</f>
        <v>1.05135</v>
      </c>
      <c r="BM29" s="19" t="n">
        <f aca="false">J29*Assumptions!$C$31*(1-Assumptions!$C$17)*U29</f>
        <v>0</v>
      </c>
      <c r="BN29" s="19" t="n">
        <f aca="false">IF(Use_Library!$AJ$28=1,IF(Use_Library!$C$28="For-Sale",S29*Use_Library!$U$28,E29*Use_Library!$AF$28)*(1-Assumptions!$C$17)+BM29,0)*U29</f>
        <v>0</v>
      </c>
      <c r="BO29" s="19" t="n">
        <f aca="false">(BD29-AT29)*(1+Assumptions!$C$11)</f>
        <v>0</v>
      </c>
      <c r="BP29" s="23" t="n">
        <f aca="false">BJ29*BK29</f>
        <v>1.09536934375</v>
      </c>
      <c r="BQ29" s="19" t="n">
        <f aca="false">(Parcel!$C$18*BJ29+BO29)*BK29</f>
        <v>328610.803125</v>
      </c>
      <c r="BR29" s="19" t="n">
        <f aca="false">BN29-BQ29</f>
        <v>-328610.803125</v>
      </c>
      <c r="BS29" s="32" t="n">
        <f aca="false">IF(AND(Use_Library!$AJ$28=1,U29=1),MAX(0,((1-Use_Library!$AI$28)*BN29-BO29*BK29)/BP29),0)</f>
        <v>0</v>
      </c>
      <c r="BT29" s="19" t="n">
        <f aca="false">BF29+BG29+BH29+BI29</f>
        <v>0</v>
      </c>
      <c r="BU29" s="23" t="n">
        <f aca="false">BJ29*BL29</f>
        <v>1.103041375</v>
      </c>
      <c r="BV29" s="19" t="n">
        <f aca="false">(Parcel!$C$18*BJ29+BT29)*BL29</f>
        <v>330912.4125</v>
      </c>
      <c r="BW29" s="19" t="n">
        <f aca="false">IF(Use_Library!$C$28="Income",S29*Use_Library!$W$28,0)</f>
        <v>0</v>
      </c>
      <c r="BX29" s="19" t="n">
        <f aca="false">BW29*(1+Use_Library!$X$28)*(1-Use_Library!$Y$28)</f>
        <v>0</v>
      </c>
      <c r="BY29" s="19" t="n">
        <f aca="false">IF(Use_Library!$C$28="Income",S29*Use_Library!$Z$28,0)</f>
        <v>0</v>
      </c>
      <c r="BZ29" s="19" t="n">
        <f aca="false">IF(Use_Library!$C$28="Income",Assumptions!$C$19*Assumptions!$C$20*BV29,0)</f>
        <v>6188.06211375</v>
      </c>
      <c r="CA29" s="19" t="n">
        <f aca="false">BX29*Use_Library!$AA$28</f>
        <v>0</v>
      </c>
      <c r="CB29" s="19" t="n">
        <f aca="false">(BY29+BZ29)*Use_Library!$AB$28</f>
        <v>6188.06211375</v>
      </c>
      <c r="CC29" s="19" t="n">
        <f aca="false">BX29-BY29-BZ29-CA29+CB29</f>
        <v>0</v>
      </c>
      <c r="CD29" s="19" t="n">
        <f aca="false">IF(AND(Use_Library!$C$28="Income",Use_Library!$AE$28&gt;0),CC29/Use_Library!$AE$28,0)</f>
        <v>0</v>
      </c>
      <c r="CE29" s="24" t="n">
        <f aca="false">IF(Use_Library!$C$28="Income",-Assumptions!$C$19*Assumptions!$C$20*(1-Use_Library!$AB$28)*BU29,0)</f>
        <v>-0</v>
      </c>
      <c r="CF29" s="20" t="n">
        <f aca="false">IF(BV29=0,0,CC29/BV29)</f>
        <v>0</v>
      </c>
      <c r="CG29" s="19" t="n">
        <f aca="false">IF(Use_Library!$AK$28=1,IF(Use_Library!$C$28="Income",CD29*(1-Assumptions!$C$18),S29*Use_Library!$V$28*(1-Assumptions!$C$16))+BM29,0)*U29</f>
        <v>0</v>
      </c>
      <c r="CH29" s="24" t="n">
        <f aca="false">IF(AND(Use_Library!$AK$28=1,Use_Library!$C$28="Income",Use_Library!$AE$28&gt;0),CE29/Use_Library!$AE$28*(1-Assumptions!$C$18),0)</f>
        <v>-0</v>
      </c>
      <c r="CI29" s="19" t="n">
        <f aca="false">CG29-BV29</f>
        <v>-330912.4125</v>
      </c>
      <c r="CJ29" s="32" t="n">
        <f aca="false">IF(AND(Use_Library!$AK$28=1,U29=1),MAX(0,Parcel!$C$18-((1-Use_Library!$AI$28)*CG29-BV29)/((1-Use_Library!$AI$28)*CH29-BU29)),0)</f>
        <v>0</v>
      </c>
      <c r="CK29" s="19" t="n">
        <f aca="false">IF(Use_Library!$AL$28=1,IF(Use_Library!$C$28="Income",CD29,IF(Use_Library!$AE$28&gt;0,E29*Use_Library!$AG$28/Use_Library!$AE$28,0))+BM29,0)*U29</f>
        <v>0</v>
      </c>
      <c r="CL29" s="19" t="n">
        <f aca="false">IF(Use_Library!$C$28="Income",BT29,BF29)</f>
        <v>0</v>
      </c>
      <c r="CM29" s="23" t="n">
        <f aca="false">IF(Use_Library!$C$28="Income",BU29,BJ29*BK29)</f>
        <v>1.103041375</v>
      </c>
      <c r="CN29" s="19" t="n">
        <f aca="false">IF(Use_Library!$C$28="Income",BV29,(Parcel!$C$18*BJ29+BF29)*BK29)</f>
        <v>330912.4125</v>
      </c>
      <c r="CO29" s="24" t="n">
        <f aca="false">IF(AND(Use_Library!$AL$28=1,Use_Library!$C$28="Income",Use_Library!$AE$28&gt;0),CE29/Use_Library!$AE$28,0)</f>
        <v>-0</v>
      </c>
      <c r="CP29" s="19" t="n">
        <f aca="false">CK29-CN29</f>
        <v>-330912.4125</v>
      </c>
      <c r="CQ29" s="32" t="n">
        <f aca="false">IF(AND(Use_Library!$AL$28=1,U29=1),MAX(0,Parcel!$C$18-((1-Use_Library!$AI$28)*CK29-CN29)/((1-Use_Library!$AI$28)*CO29-CM29)),0)</f>
        <v>0</v>
      </c>
      <c r="CR29" s="19" t="n">
        <f aca="false">IF(Use_Library!$C$28="Income",Assumptions!$C$21*(Parcel!$C$18*BJ29+BT29),0)</f>
        <v>204587.5</v>
      </c>
      <c r="CS29" s="19" t="n">
        <f aca="false">IF(AND(Use_Library!$C$28="Income",CC29&gt;0),MIN(Assumptions!$C$26*CD29,PV(Assumptions!$C$29/12,Assumptions!$C$30*12,-CC29/Assumptions!$C$27/12),CC29/Assumptions!$C$28),0)</f>
        <v>0</v>
      </c>
      <c r="CT29" s="25" t="n">
        <f aca="false">IF(CS29=0,0,CC29/(-PMT(Assumptions!$C$29/12,Assumptions!$C$30*12,CS29)*12))</f>
        <v>0</v>
      </c>
      <c r="CU29" s="19" t="n">
        <f aca="false">CS29-CR29</f>
        <v>-204587.5</v>
      </c>
      <c r="CV29" s="18" t="n">
        <f aca="false">MAX(BS29,CJ29,CQ29)</f>
        <v>0</v>
      </c>
      <c r="CW29" s="9" t="str">
        <f aca="false">IF(CV29&lt;=0,"None works",IF(BS29=CV29,"Land / pad sale",IF(CJ29=CV29,"Build &amp; sell","Build &amp; hold / lease")))</f>
        <v>None works</v>
      </c>
      <c r="CX29" s="19" t="n">
        <f aca="false">CV29*(1-Assumptions!$C$32)</f>
        <v>0</v>
      </c>
      <c r="CY29" s="19" t="n">
        <f aca="false">CV29-Parcel!$C$18</f>
        <v>-300000</v>
      </c>
      <c r="CZ29" s="19" t="n">
        <f aca="false">IF(Parcel!$C$8=0,0,CV29/Parcel!$C$8)</f>
        <v>0</v>
      </c>
      <c r="DA29" s="33" t="n">
        <f aca="false">IF(S29=0,0,CV29/S29)</f>
        <v>0</v>
      </c>
      <c r="DB29" s="9" t="str">
        <f aca="false">TRIM(M29&amp;" "&amp;IF(AND(U29=0,N29=1),"Nothing fits. ","")&amp;IF(Parcel!$C$12&lt;Use_Library!$AM$28,"Frontage under "&amp;Use_Library!$AM$28&amp;" LF. ","")&amp;IF(Parcel!$C$10&gt;0.15,"Slope over 15%. ","")&amp;IF(AND(U29=1,Use_Library!$M$28&gt;0,D29&gt;Use_Library!$M$28),"Only "&amp;Use_Library!$M$28&amp;" ac used - rest resold. ",""))</f>
        <v>Traffic under 20,000 VPD. Under 8,000 households in 3 mi. Needs a corner.</v>
      </c>
      <c r="DC29" s="19" t="n">
        <f aca="false">CV29+ROW()/1000000</f>
        <v>2.9E-005</v>
      </c>
    </row>
    <row r="30" customFormat="false" ht="15" hidden="false" customHeight="false" outlineLevel="0" collapsed="false">
      <c r="A30" s="4" t="str">
        <f aca="false">Use_Library!$A$29</f>
        <v>Veterinary clinic</v>
      </c>
      <c r="B30" s="9" t="str">
        <f aca="false">Use_Library!$C$29</f>
        <v>Income</v>
      </c>
      <c r="C30" s="9" t="str">
        <f aca="false">Use_Library!$D$29</f>
        <v>bldg SF</v>
      </c>
      <c r="D30" s="14" t="n">
        <f aca="false">MAX(0,Parcel!$C$26*(1-Use_Library!$N$29-Assumptions!$C$7))</f>
        <v>13.728</v>
      </c>
      <c r="E30" s="14" t="n">
        <f aca="false">IF(Use_Library!$M$29&gt;0,MIN(D30,Use_Library!$M$29),D30)</f>
        <v>1.5</v>
      </c>
      <c r="F30" s="20" t="n">
        <f aca="false">IF(D30=0,0,E30/D30)</f>
        <v>0.109265734265734</v>
      </c>
      <c r="G30" s="14" t="n">
        <f aca="false">Parcel!$C$26*F30</f>
        <v>1.70454545454545</v>
      </c>
      <c r="H30" s="14" t="n">
        <f aca="false">G30*Assumptions!$C$7</f>
        <v>0.0681818181818182</v>
      </c>
      <c r="I30" s="14" t="n">
        <f aca="false">G30*(1-Use_Library!$N$29)</f>
        <v>1.56818181818182</v>
      </c>
      <c r="J30" s="14" t="n">
        <f aca="false">Parcel!$C$8*(1-F30)</f>
        <v>17.8146853146853</v>
      </c>
      <c r="K30" s="15" t="n">
        <f aca="false">IF(AND(Use_Library!$I$29="Y",Parcel!$C$28=0),0,1)</f>
        <v>1</v>
      </c>
      <c r="L30" s="15" t="n">
        <f aca="false">IF(AND(Use_Library!$J$29="Y",Parcel!$C$27=0),0,1)</f>
        <v>1</v>
      </c>
      <c r="M30" s="9" t="str">
        <f aca="false">TRIM(IF(AND(Use_Library!$AN$29&gt;0,Parcel!$C$19&lt;Use_Library!$AN$29),"Traffic under "&amp;TEXT(Use_Library!$AN$29,"#,##0")&amp;" VPD. ","")&amp;IF(AND(Use_Library!$AO$29&gt;0,Parcel!$C$20&lt;Use_Library!$AO$29),"Under "&amp;TEXT(Use_Library!$AO$29,"#,##0")&amp;" households in 3 mi. ","")&amp;IF(AND(Use_Library!$AP$29&gt;0,Parcel!$C$21&gt;Use_Library!$AP$29),"Over "&amp;Use_Library!$AP$29&amp;" mi to highway. ","")&amp;IF(AND(Use_Library!$AQ$29="Y",Parcel!$C$22&lt;&gt;"Y"),"Needs a corner. ","")&amp;IF(AND(Use_Library!$AR$29&gt;0,Parcel!$C$23&gt;Use_Library!$AR$29),"Over "&amp;Use_Library!$AR$29&amp;" mi to substation. ",""))</f>
        <v>Under 5,000 households in 3 mi.</v>
      </c>
      <c r="N30" s="15" t="n">
        <f aca="false">IF(M30="",1,0)</f>
        <v>0</v>
      </c>
      <c r="O30" s="15" t="n">
        <f aca="false">IF(D30&gt;=Use_Library!$L$29,1,0)</f>
        <v>1</v>
      </c>
      <c r="P30" s="14" t="n">
        <f aca="false">IF(Use_Library!$F$29&gt;0,G30*Use_Library!$F$29,1000000000)</f>
        <v>1000000000</v>
      </c>
      <c r="Q30" s="14" t="n">
        <f aca="false">IF(Use_Library!$G$29&gt;0,E30*43560/Use_Library!$G$29,1000000000)</f>
        <v>14376.2376237624</v>
      </c>
      <c r="R30" s="14" t="n">
        <f aca="false">IF(AND(Use_Library!$H$29="Y",Parcel!$C$28=0),E30*(1-Assumptions!$C$8)/IF(Parcel!$C$27=1,Assumptions!$C$9,Assumptions!$C$10),1000000000)</f>
        <v>1000000000</v>
      </c>
      <c r="S30" s="21" t="n">
        <f aca="false">IF(K30*L30*O30*N30=0,0,IF(MIN(P30,Q30,R30)&gt;=1000000000,E30,IF(Use_Library!$E$29="Y",INT(MIN(P30,Q30,R30)),MIN(P30,Q30,R30))))</f>
        <v>0</v>
      </c>
      <c r="T30" s="9" t="str">
        <f aca="false">IF(N30=0,"Location fails",IF(O30=0,"Too small - needs "&amp;Use_Library!$L$29&amp;" usable ac",IF(K30=0,"Needs public sewer",IF(L30=0,"Needs public water",IF(R30&lt;=MIN(P30,Q30),"Septic lot size",IF(Q30&lt;=P30,"Site area / parking","Density"))))))</f>
        <v>Location fails</v>
      </c>
      <c r="U30" s="15" t="n">
        <f aca="false">IF(S30&gt;0,1,0)</f>
        <v>0</v>
      </c>
      <c r="V30" s="15" t="n">
        <f aca="false">IF(Use_Library!$K$29="Y",1,0)*U30</f>
        <v>0</v>
      </c>
      <c r="W30" s="15" t="n">
        <f aca="false">S30*Use_Library!$O$29*V30</f>
        <v>0</v>
      </c>
      <c r="X30" s="15" t="n">
        <f aca="false">S30*Use_Library!$P$29*V30</f>
        <v>0</v>
      </c>
      <c r="Y30" s="15" t="n">
        <f aca="false">IF(Parcel!$C$27=1,W30+Parcel!$C$29,0)*V30</f>
        <v>0</v>
      </c>
      <c r="Z30" s="14" t="n">
        <f aca="false">S30*Use_Library!$Q$29*Parcel!$C$27*V30</f>
        <v>0</v>
      </c>
      <c r="AA30" s="15" t="n">
        <f aca="false">IF(Parcel!$C$28=1,W30+Parcel!$C$30,0)*V30</f>
        <v>0</v>
      </c>
      <c r="AB30" s="14" t="n">
        <f aca="false">S30*Use_Library!$Q$29*Parcel!$C$28*V30</f>
        <v>0</v>
      </c>
      <c r="AC30" s="14" t="n">
        <f aca="false">IF(Parcel!$C$28=0,S30*Use_Library!$R$29,0)*V30</f>
        <v>0</v>
      </c>
      <c r="AD30" s="14" t="n">
        <f aca="false">IF(Parcel!$C$27=0,S30*Use_Library!$R$29,0)*V30</f>
        <v>0</v>
      </c>
      <c r="AE30" s="14" t="n">
        <f aca="false">I30*Parcel!$C$11*V30</f>
        <v>0</v>
      </c>
      <c r="AF30" s="14" t="n">
        <f aca="false">I30*V30</f>
        <v>0</v>
      </c>
      <c r="AG30" s="15" t="n">
        <f aca="false">IF(Use_Library!$C$29="For-Sale",IF(Use_Library!$E$29="Y",S30,1),1)*U30</f>
        <v>0</v>
      </c>
      <c r="AH30" s="19" t="n">
        <f aca="false">Cost_Library!$G$5*Parcel!$C$32*U30</f>
        <v>0</v>
      </c>
      <c r="AI30" s="19" t="n">
        <f aca="false">AG30*Cost_Library!$G$6*Parcel!$C$32</f>
        <v>0</v>
      </c>
      <c r="AJ30" s="19" t="n">
        <f aca="false">I30*Cost_Library!$G$7*Parcel!$C$32*V30</f>
        <v>0</v>
      </c>
      <c r="AK30" s="19" t="n">
        <f aca="false">Cost_Library!$G$8*Parcel!$C$32*V30</f>
        <v>0</v>
      </c>
      <c r="AL30" s="19" t="n">
        <f aca="false">AC30*Cost_Library!$G$9*Parcel!$C$32</f>
        <v>0</v>
      </c>
      <c r="AM30" s="19" t="n">
        <f aca="false">Cost_Library!$G$10*U30</f>
        <v>0</v>
      </c>
      <c r="AN30" s="19" t="n">
        <f aca="false">Cost_Library!$G$11*Parcel!$C$32*V30</f>
        <v>0</v>
      </c>
      <c r="AO30" s="19" t="n">
        <f aca="false">Use_Library!$S$29*U30</f>
        <v>0</v>
      </c>
      <c r="AP30" s="19" t="n">
        <f aca="false">Cost_Library!$G$12*U30</f>
        <v>0</v>
      </c>
      <c r="AQ30" s="19" t="n">
        <f aca="false">AE30*Cost_Library!$G$13*Parcel!$C$32</f>
        <v>0</v>
      </c>
      <c r="AR30" s="19" t="n">
        <f aca="false">AF30*Cost_Library!$G$14*Parcel!$C$32*Parcel!$C$33</f>
        <v>0</v>
      </c>
      <c r="AS30" s="19" t="n">
        <f aca="false">W30*Cost_Library!$G$15*Parcel!$C$32</f>
        <v>0</v>
      </c>
      <c r="AT30" s="19" t="n">
        <f aca="false">X30*Cost_Library!$G$16*Parcel!$C$32</f>
        <v>0</v>
      </c>
      <c r="AU30" s="19" t="n">
        <f aca="false">H30*Cost_Library!$G$17*Parcel!$C$32*V30</f>
        <v>0</v>
      </c>
      <c r="AV30" s="19" t="n">
        <f aca="false">G30*Cost_Library!$G$18*Parcel!$C$32*V30</f>
        <v>0</v>
      </c>
      <c r="AW30" s="19" t="n">
        <f aca="false">Y30*Cost_Library!$G$19*Parcel!$C$32</f>
        <v>0</v>
      </c>
      <c r="AX30" s="19" t="n">
        <f aca="false">Z30*Cost_Library!$G$20</f>
        <v>0</v>
      </c>
      <c r="AY30" s="19" t="n">
        <f aca="false">AA30*Cost_Library!$G$21*Parcel!$C$32</f>
        <v>0</v>
      </c>
      <c r="AZ30" s="19" t="n">
        <f aca="false">AB30*Cost_Library!$G$22</f>
        <v>0</v>
      </c>
      <c r="BA30" s="19" t="n">
        <f aca="false">AC30*Cost_Library!$G$23*Parcel!$C$32*Parcel!$C$34</f>
        <v>0</v>
      </c>
      <c r="BB30" s="19" t="n">
        <f aca="false">AD30*Cost_Library!$G$24*Parcel!$C$32</f>
        <v>0</v>
      </c>
      <c r="BC30" s="19" t="n">
        <f aca="false">W30*Cost_Library!$G$25*Parcel!$C$32</f>
        <v>0</v>
      </c>
      <c r="BD30" s="19" t="n">
        <f aca="false">SUM(AH30:BC30)</f>
        <v>0</v>
      </c>
      <c r="BE30" s="19" t="n">
        <f aca="false">BD30*Assumptions!$C$11</f>
        <v>0</v>
      </c>
      <c r="BF30" s="19" t="n">
        <f aca="false">BD30+BE30</f>
        <v>0</v>
      </c>
      <c r="BG30" s="19" t="n">
        <f aca="false">S30*Use_Library!$T$29</f>
        <v>0</v>
      </c>
      <c r="BH30" s="19" t="n">
        <f aca="false">BG30*(Assumptions!$C$12+Assumptions!$C$13)</f>
        <v>0</v>
      </c>
      <c r="BI30" s="19" t="n">
        <f aca="false">S30*Use_Library!$AC$29</f>
        <v>0</v>
      </c>
      <c r="BJ30" s="23" t="n">
        <f aca="false">1+Assumptions!$C$14+Assumptions!$C$15*Use_Library!$AH$29/12</f>
        <v>1.04916666666667</v>
      </c>
      <c r="BK30" s="23" t="n">
        <f aca="false">1+Assumptions!$C$21*(Assumptions!$C$22*Use_Library!$AH$29/12*Assumptions!$C$24+Assumptions!$C$23)</f>
        <v>1.0440375</v>
      </c>
      <c r="BL30" s="23" t="n">
        <f aca="false">1+Assumptions!$C$21*(Assumptions!$C$22*(Use_Library!$AH$29/12*Assumptions!$C$24+IF(Use_Library!$C$29="Income",Use_Library!$AD$29,0)/12*Assumptions!$C$25)+Assumptions!$C$23)</f>
        <v>1.0586625</v>
      </c>
      <c r="BM30" s="19" t="n">
        <f aca="false">J30*Assumptions!$C$31*(1-Assumptions!$C$17)*U30</f>
        <v>0</v>
      </c>
      <c r="BN30" s="19" t="n">
        <f aca="false">IF(Use_Library!$AJ$29=1,IF(Use_Library!$C$29="For-Sale",S30*Use_Library!$U$29,E30*Use_Library!$AF$29)*(1-Assumptions!$C$17)+BM30,0)*U30</f>
        <v>0</v>
      </c>
      <c r="BO30" s="19" t="n">
        <f aca="false">(BD30-AT30)*(1+Assumptions!$C$11)</f>
        <v>0</v>
      </c>
      <c r="BP30" s="23" t="n">
        <f aca="false">BJ30*BK30</f>
        <v>1.09536934375</v>
      </c>
      <c r="BQ30" s="19" t="n">
        <f aca="false">(Parcel!$C$18*BJ30+BO30)*BK30</f>
        <v>328610.803125</v>
      </c>
      <c r="BR30" s="19" t="n">
        <f aca="false">BN30-BQ30</f>
        <v>-328610.803125</v>
      </c>
      <c r="BS30" s="32" t="n">
        <f aca="false">IF(AND(Use_Library!$AJ$29=1,U30=1),MAX(0,((1-Use_Library!$AI$29)*BN30-BO30*BK30)/BP30),0)</f>
        <v>0</v>
      </c>
      <c r="BT30" s="19" t="n">
        <f aca="false">BF30+BG30+BH30+BI30</f>
        <v>0</v>
      </c>
      <c r="BU30" s="23" t="n">
        <f aca="false">BJ30*BL30</f>
        <v>1.11071340625</v>
      </c>
      <c r="BV30" s="19" t="n">
        <f aca="false">(Parcel!$C$18*BJ30+BT30)*BL30</f>
        <v>333214.021875</v>
      </c>
      <c r="BW30" s="19" t="n">
        <f aca="false">IF(Use_Library!$C$29="Income",S30*Use_Library!$W$29,0)</f>
        <v>0</v>
      </c>
      <c r="BX30" s="19" t="n">
        <f aca="false">BW30*(1+Use_Library!$X$29)*(1-Use_Library!$Y$29)</f>
        <v>0</v>
      </c>
      <c r="BY30" s="19" t="n">
        <f aca="false">IF(Use_Library!$C$29="Income",S30*Use_Library!$Z$29,0)</f>
        <v>0</v>
      </c>
      <c r="BZ30" s="19" t="n">
        <f aca="false">IF(Use_Library!$C$29="Income",Assumptions!$C$19*Assumptions!$C$20*BV30,0)</f>
        <v>6231.1022090625</v>
      </c>
      <c r="CA30" s="19" t="n">
        <f aca="false">BX30*Use_Library!$AA$29</f>
        <v>0</v>
      </c>
      <c r="CB30" s="19" t="n">
        <f aca="false">(BY30+BZ30)*Use_Library!$AB$29</f>
        <v>6231.1022090625</v>
      </c>
      <c r="CC30" s="19" t="n">
        <f aca="false">BX30-BY30-BZ30-CA30+CB30</f>
        <v>0</v>
      </c>
      <c r="CD30" s="19" t="n">
        <f aca="false">IF(AND(Use_Library!$C$29="Income",Use_Library!$AE$29&gt;0),CC30/Use_Library!$AE$29,0)</f>
        <v>0</v>
      </c>
      <c r="CE30" s="24" t="n">
        <f aca="false">IF(Use_Library!$C$29="Income",-Assumptions!$C$19*Assumptions!$C$20*(1-Use_Library!$AB$29)*BU30,0)</f>
        <v>-0</v>
      </c>
      <c r="CF30" s="20" t="n">
        <f aca="false">IF(BV30=0,0,CC30/BV30)</f>
        <v>0</v>
      </c>
      <c r="CG30" s="19" t="n">
        <f aca="false">IF(Use_Library!$AK$29=1,IF(Use_Library!$C$29="Income",CD30*(1-Assumptions!$C$18),S30*Use_Library!$V$29*(1-Assumptions!$C$16))+BM30,0)*U30</f>
        <v>0</v>
      </c>
      <c r="CH30" s="24" t="n">
        <f aca="false">IF(AND(Use_Library!$AK$29=1,Use_Library!$C$29="Income",Use_Library!$AE$29&gt;0),CE30/Use_Library!$AE$29*(1-Assumptions!$C$18),0)</f>
        <v>-0</v>
      </c>
      <c r="CI30" s="19" t="n">
        <f aca="false">CG30-BV30</f>
        <v>-333214.021875</v>
      </c>
      <c r="CJ30" s="32" t="n">
        <f aca="false">IF(AND(Use_Library!$AK$29=1,U30=1),MAX(0,Parcel!$C$18-((1-Use_Library!$AI$29)*CG30-BV30)/((1-Use_Library!$AI$29)*CH30-BU30)),0)</f>
        <v>0</v>
      </c>
      <c r="CK30" s="19" t="n">
        <f aca="false">IF(Use_Library!$AL$29=1,IF(Use_Library!$C$29="Income",CD30,IF(Use_Library!$AE$29&gt;0,E30*Use_Library!$AG$29/Use_Library!$AE$29,0))+BM30,0)*U30</f>
        <v>0</v>
      </c>
      <c r="CL30" s="19" t="n">
        <f aca="false">IF(Use_Library!$C$29="Income",BT30,BF30)</f>
        <v>0</v>
      </c>
      <c r="CM30" s="23" t="n">
        <f aca="false">IF(Use_Library!$C$29="Income",BU30,BJ30*BK30)</f>
        <v>1.11071340625</v>
      </c>
      <c r="CN30" s="19" t="n">
        <f aca="false">IF(Use_Library!$C$29="Income",BV30,(Parcel!$C$18*BJ30+BF30)*BK30)</f>
        <v>333214.021875</v>
      </c>
      <c r="CO30" s="24" t="n">
        <f aca="false">IF(AND(Use_Library!$AL$29=1,Use_Library!$C$29="Income",Use_Library!$AE$29&gt;0),CE30/Use_Library!$AE$29,0)</f>
        <v>-0</v>
      </c>
      <c r="CP30" s="19" t="n">
        <f aca="false">CK30-CN30</f>
        <v>-333214.021875</v>
      </c>
      <c r="CQ30" s="32" t="n">
        <f aca="false">IF(AND(Use_Library!$AL$29=1,U30=1),MAX(0,Parcel!$C$18-((1-Use_Library!$AI$29)*CK30-CN30)/((1-Use_Library!$AI$29)*CO30-CM30)),0)</f>
        <v>0</v>
      </c>
      <c r="CR30" s="19" t="n">
        <f aca="false">IF(Use_Library!$C$29="Income",Assumptions!$C$21*(Parcel!$C$18*BJ30+BT30),0)</f>
        <v>204587.5</v>
      </c>
      <c r="CS30" s="19" t="n">
        <f aca="false">IF(AND(Use_Library!$C$29="Income",CC30&gt;0),MIN(Assumptions!$C$26*CD30,PV(Assumptions!$C$29/12,Assumptions!$C$30*12,-CC30/Assumptions!$C$27/12),CC30/Assumptions!$C$28),0)</f>
        <v>0</v>
      </c>
      <c r="CT30" s="25" t="n">
        <f aca="false">IF(CS30=0,0,CC30/(-PMT(Assumptions!$C$29/12,Assumptions!$C$30*12,CS30)*12))</f>
        <v>0</v>
      </c>
      <c r="CU30" s="19" t="n">
        <f aca="false">CS30-CR30</f>
        <v>-204587.5</v>
      </c>
      <c r="CV30" s="18" t="n">
        <f aca="false">MAX(BS30,CJ30,CQ30)</f>
        <v>0</v>
      </c>
      <c r="CW30" s="9" t="str">
        <f aca="false">IF(CV30&lt;=0,"None works",IF(BS30=CV30,"Land / pad sale",IF(CJ30=CV30,"Build &amp; sell","Build &amp; hold / lease")))</f>
        <v>None works</v>
      </c>
      <c r="CX30" s="19" t="n">
        <f aca="false">CV30*(1-Assumptions!$C$32)</f>
        <v>0</v>
      </c>
      <c r="CY30" s="19" t="n">
        <f aca="false">CV30-Parcel!$C$18</f>
        <v>-300000</v>
      </c>
      <c r="CZ30" s="19" t="n">
        <f aca="false">IF(Parcel!$C$8=0,0,CV30/Parcel!$C$8)</f>
        <v>0</v>
      </c>
      <c r="DA30" s="33" t="n">
        <f aca="false">IF(S30=0,0,CV30/S30)</f>
        <v>0</v>
      </c>
      <c r="DB30" s="9" t="str">
        <f aca="false">TRIM(M30&amp;" "&amp;IF(AND(U30=0,N30=1),"Nothing fits. ","")&amp;IF(Parcel!$C$12&lt;Use_Library!$AM$29,"Frontage under "&amp;Use_Library!$AM$29&amp;" LF. ","")&amp;IF(Parcel!$C$10&gt;0.15,"Slope over 15%. ","")&amp;IF(AND(U30=1,Use_Library!$M$29&gt;0,D30&gt;Use_Library!$M$29),"Only "&amp;Use_Library!$M$29&amp;" ac used - rest resold. ",""))</f>
        <v>Under 5,000 households in 3 mi.</v>
      </c>
      <c r="DC30" s="19" t="n">
        <f aca="false">CV30+ROW()/1000000</f>
        <v>3E-005</v>
      </c>
    </row>
    <row r="31" customFormat="false" ht="15" hidden="false" customHeight="false" outlineLevel="0" collapsed="false">
      <c r="A31" s="4" t="str">
        <f aca="false">Use_Library!$A$30</f>
        <v>Grocery-anchored center</v>
      </c>
      <c r="B31" s="9" t="str">
        <f aca="false">Use_Library!$C$30</f>
        <v>Income</v>
      </c>
      <c r="C31" s="9" t="str">
        <f aca="false">Use_Library!$D$30</f>
        <v>bldg SF</v>
      </c>
      <c r="D31" s="14" t="n">
        <f aca="false">MAX(0,Parcel!$C$26*(1-Use_Library!$N$30-Assumptions!$C$7))</f>
        <v>13.728</v>
      </c>
      <c r="E31" s="14" t="n">
        <f aca="false">IF(Use_Library!$M$30&gt;0,MIN(D31,Use_Library!$M$30),D31)</f>
        <v>13.728</v>
      </c>
      <c r="F31" s="20" t="n">
        <f aca="false">IF(D31=0,0,E31/D31)</f>
        <v>1</v>
      </c>
      <c r="G31" s="14" t="n">
        <f aca="false">Parcel!$C$26*F31</f>
        <v>15.6</v>
      </c>
      <c r="H31" s="14" t="n">
        <f aca="false">G31*Assumptions!$C$7</f>
        <v>0.624</v>
      </c>
      <c r="I31" s="14" t="n">
        <f aca="false">G31*(1-Use_Library!$N$30)</f>
        <v>14.352</v>
      </c>
      <c r="J31" s="14" t="n">
        <f aca="false">Parcel!$C$8*(1-F31)</f>
        <v>0</v>
      </c>
      <c r="K31" s="15" t="n">
        <f aca="false">IF(AND(Use_Library!$I$30="Y",Parcel!$C$28=0),0,1)</f>
        <v>1</v>
      </c>
      <c r="L31" s="15" t="n">
        <f aca="false">IF(AND(Use_Library!$J$30="Y",Parcel!$C$27=0),0,1)</f>
        <v>1</v>
      </c>
      <c r="M31" s="9" t="str">
        <f aca="false">TRIM(IF(AND(Use_Library!$AN$30&gt;0,Parcel!$C$19&lt;Use_Library!$AN$30),"Traffic under "&amp;TEXT(Use_Library!$AN$30,"#,##0")&amp;" VPD. ","")&amp;IF(AND(Use_Library!$AO$30&gt;0,Parcel!$C$20&lt;Use_Library!$AO$30),"Under "&amp;TEXT(Use_Library!$AO$30,"#,##0")&amp;" households in 3 mi. ","")&amp;IF(AND(Use_Library!$AP$30&gt;0,Parcel!$C$21&gt;Use_Library!$AP$30),"Over "&amp;Use_Library!$AP$30&amp;" mi to highway. ","")&amp;IF(AND(Use_Library!$AQ$30="Y",Parcel!$C$22&lt;&gt;"Y"),"Needs a corner. ","")&amp;IF(AND(Use_Library!$AR$30&gt;0,Parcel!$C$23&gt;Use_Library!$AR$30),"Over "&amp;Use_Library!$AR$30&amp;" mi to substation. ",""))</f>
        <v>Traffic under 15,000 VPD. Under 10,000 households in 3 mi. Needs a corner.</v>
      </c>
      <c r="N31" s="15" t="n">
        <f aca="false">IF(M31="",1,0)</f>
        <v>0</v>
      </c>
      <c r="O31" s="15" t="n">
        <f aca="false">IF(D31&gt;=Use_Library!$L$30,1,0)</f>
        <v>1</v>
      </c>
      <c r="P31" s="14" t="n">
        <f aca="false">IF(Use_Library!$F$30&gt;0,G31*Use_Library!$F$30,1000000000)</f>
        <v>1000000000</v>
      </c>
      <c r="Q31" s="14" t="n">
        <f aca="false">IF(Use_Library!$G$30&gt;0,E31*43560/Use_Library!$G$30,1000000000)</f>
        <v>131571.326732673</v>
      </c>
      <c r="R31" s="14" t="n">
        <f aca="false">IF(AND(Use_Library!$H$30="Y",Parcel!$C$28=0),E31*(1-Assumptions!$C$8)/IF(Parcel!$C$27=1,Assumptions!$C$9,Assumptions!$C$10),1000000000)</f>
        <v>1000000000</v>
      </c>
      <c r="S31" s="21" t="n">
        <f aca="false">IF(K31*L31*O31*N31=0,0,IF(MIN(P31,Q31,R31)&gt;=1000000000,E31,IF(Use_Library!$E$30="Y",INT(MIN(P31,Q31,R31)),MIN(P31,Q31,R31))))</f>
        <v>0</v>
      </c>
      <c r="T31" s="9" t="str">
        <f aca="false">IF(N31=0,"Location fails",IF(O31=0,"Too small - needs "&amp;Use_Library!$L$30&amp;" usable ac",IF(K31=0,"Needs public sewer",IF(L31=0,"Needs public water",IF(R31&lt;=MIN(P31,Q31),"Septic lot size",IF(Q31&lt;=P31,"Site area / parking","Density"))))))</f>
        <v>Location fails</v>
      </c>
      <c r="U31" s="15" t="n">
        <f aca="false">IF(S31&gt;0,1,0)</f>
        <v>0</v>
      </c>
      <c r="V31" s="15" t="n">
        <f aca="false">IF(Use_Library!$K$30="Y",1,0)*U31</f>
        <v>0</v>
      </c>
      <c r="W31" s="15" t="n">
        <f aca="false">S31*Use_Library!$O$30*V31</f>
        <v>0</v>
      </c>
      <c r="X31" s="15" t="n">
        <f aca="false">S31*Use_Library!$P$30*V31</f>
        <v>0</v>
      </c>
      <c r="Y31" s="15" t="n">
        <f aca="false">IF(Parcel!$C$27=1,W31+Parcel!$C$29,0)*V31</f>
        <v>0</v>
      </c>
      <c r="Z31" s="14" t="n">
        <f aca="false">S31*Use_Library!$Q$30*Parcel!$C$27*V31</f>
        <v>0</v>
      </c>
      <c r="AA31" s="15" t="n">
        <f aca="false">IF(Parcel!$C$28=1,W31+Parcel!$C$30,0)*V31</f>
        <v>0</v>
      </c>
      <c r="AB31" s="14" t="n">
        <f aca="false">S31*Use_Library!$Q$30*Parcel!$C$28*V31</f>
        <v>0</v>
      </c>
      <c r="AC31" s="14" t="n">
        <f aca="false">IF(Parcel!$C$28=0,S31*Use_Library!$R$30,0)*V31</f>
        <v>0</v>
      </c>
      <c r="AD31" s="14" t="n">
        <f aca="false">IF(Parcel!$C$27=0,S31*Use_Library!$R$30,0)*V31</f>
        <v>0</v>
      </c>
      <c r="AE31" s="14" t="n">
        <f aca="false">I31*Parcel!$C$11*V31</f>
        <v>0</v>
      </c>
      <c r="AF31" s="14" t="n">
        <f aca="false">I31*V31</f>
        <v>0</v>
      </c>
      <c r="AG31" s="15" t="n">
        <f aca="false">IF(Use_Library!$C$30="For-Sale",IF(Use_Library!$E$30="Y",S31,1),1)*U31</f>
        <v>0</v>
      </c>
      <c r="AH31" s="19" t="n">
        <f aca="false">Cost_Library!$G$5*Parcel!$C$32*U31</f>
        <v>0</v>
      </c>
      <c r="AI31" s="19" t="n">
        <f aca="false">AG31*Cost_Library!$G$6*Parcel!$C$32</f>
        <v>0</v>
      </c>
      <c r="AJ31" s="19" t="n">
        <f aca="false">I31*Cost_Library!$G$7*Parcel!$C$32*V31</f>
        <v>0</v>
      </c>
      <c r="AK31" s="19" t="n">
        <f aca="false">Cost_Library!$G$8*Parcel!$C$32*V31</f>
        <v>0</v>
      </c>
      <c r="AL31" s="19" t="n">
        <f aca="false">AC31*Cost_Library!$G$9*Parcel!$C$32</f>
        <v>0</v>
      </c>
      <c r="AM31" s="19" t="n">
        <f aca="false">Cost_Library!$G$10*U31</f>
        <v>0</v>
      </c>
      <c r="AN31" s="19" t="n">
        <f aca="false">Cost_Library!$G$11*Parcel!$C$32*V31</f>
        <v>0</v>
      </c>
      <c r="AO31" s="19" t="n">
        <f aca="false">Use_Library!$S$30*U31</f>
        <v>0</v>
      </c>
      <c r="AP31" s="19" t="n">
        <f aca="false">Cost_Library!$G$12*U31</f>
        <v>0</v>
      </c>
      <c r="AQ31" s="19" t="n">
        <f aca="false">AE31*Cost_Library!$G$13*Parcel!$C$32</f>
        <v>0</v>
      </c>
      <c r="AR31" s="19" t="n">
        <f aca="false">AF31*Cost_Library!$G$14*Parcel!$C$32*Parcel!$C$33</f>
        <v>0</v>
      </c>
      <c r="AS31" s="19" t="n">
        <f aca="false">W31*Cost_Library!$G$15*Parcel!$C$32</f>
        <v>0</v>
      </c>
      <c r="AT31" s="19" t="n">
        <f aca="false">X31*Cost_Library!$G$16*Parcel!$C$32</f>
        <v>0</v>
      </c>
      <c r="AU31" s="19" t="n">
        <f aca="false">H31*Cost_Library!$G$17*Parcel!$C$32*V31</f>
        <v>0</v>
      </c>
      <c r="AV31" s="19" t="n">
        <f aca="false">G31*Cost_Library!$G$18*Parcel!$C$32*V31</f>
        <v>0</v>
      </c>
      <c r="AW31" s="19" t="n">
        <f aca="false">Y31*Cost_Library!$G$19*Parcel!$C$32</f>
        <v>0</v>
      </c>
      <c r="AX31" s="19" t="n">
        <f aca="false">Z31*Cost_Library!$G$20</f>
        <v>0</v>
      </c>
      <c r="AY31" s="19" t="n">
        <f aca="false">AA31*Cost_Library!$G$21*Parcel!$C$32</f>
        <v>0</v>
      </c>
      <c r="AZ31" s="19" t="n">
        <f aca="false">AB31*Cost_Library!$G$22</f>
        <v>0</v>
      </c>
      <c r="BA31" s="19" t="n">
        <f aca="false">AC31*Cost_Library!$G$23*Parcel!$C$32*Parcel!$C$34</f>
        <v>0</v>
      </c>
      <c r="BB31" s="19" t="n">
        <f aca="false">AD31*Cost_Library!$G$24*Parcel!$C$32</f>
        <v>0</v>
      </c>
      <c r="BC31" s="19" t="n">
        <f aca="false">W31*Cost_Library!$G$25*Parcel!$C$32</f>
        <v>0</v>
      </c>
      <c r="BD31" s="19" t="n">
        <f aca="false">SUM(AH31:BC31)</f>
        <v>0</v>
      </c>
      <c r="BE31" s="19" t="n">
        <f aca="false">BD31*Assumptions!$C$11</f>
        <v>0</v>
      </c>
      <c r="BF31" s="19" t="n">
        <f aca="false">BD31+BE31</f>
        <v>0</v>
      </c>
      <c r="BG31" s="19" t="n">
        <f aca="false">S31*Use_Library!$T$30</f>
        <v>0</v>
      </c>
      <c r="BH31" s="19" t="n">
        <f aca="false">BG31*(Assumptions!$C$12+Assumptions!$C$13)</f>
        <v>0</v>
      </c>
      <c r="BI31" s="19" t="n">
        <f aca="false">S31*Use_Library!$AC$30</f>
        <v>0</v>
      </c>
      <c r="BJ31" s="23" t="n">
        <f aca="false">1+Assumptions!$C$14+Assumptions!$C$15*Use_Library!$AH$30/12</f>
        <v>1.04916666666667</v>
      </c>
      <c r="BK31" s="23" t="n">
        <f aca="false">1+Assumptions!$C$21*(Assumptions!$C$22*Use_Library!$AH$30/12*Assumptions!$C$24+Assumptions!$C$23)</f>
        <v>1.0440375</v>
      </c>
      <c r="BL31" s="23" t="n">
        <f aca="false">1+Assumptions!$C$21*(Assumptions!$C$22*(Use_Library!$AH$30/12*Assumptions!$C$24+IF(Use_Library!$C$30="Income",Use_Library!$AD$30,0)/12*Assumptions!$C$25)+Assumptions!$C$23)</f>
        <v>1.0879125</v>
      </c>
      <c r="BM31" s="19" t="n">
        <f aca="false">J31*Assumptions!$C$31*(1-Assumptions!$C$17)*U31</f>
        <v>0</v>
      </c>
      <c r="BN31" s="19" t="n">
        <f aca="false">IF(Use_Library!$AJ$30=1,IF(Use_Library!$C$30="For-Sale",S31*Use_Library!$U$30,E31*Use_Library!$AF$30)*(1-Assumptions!$C$17)+BM31,0)*U31</f>
        <v>0</v>
      </c>
      <c r="BO31" s="19" t="n">
        <f aca="false">(BD31-AT31)*(1+Assumptions!$C$11)</f>
        <v>0</v>
      </c>
      <c r="BP31" s="23" t="n">
        <f aca="false">BJ31*BK31</f>
        <v>1.09536934375</v>
      </c>
      <c r="BQ31" s="19" t="n">
        <f aca="false">(Parcel!$C$18*BJ31+BO31)*BK31</f>
        <v>328610.803125</v>
      </c>
      <c r="BR31" s="19" t="n">
        <f aca="false">BN31-BQ31</f>
        <v>-328610.803125</v>
      </c>
      <c r="BS31" s="32" t="n">
        <f aca="false">IF(AND(Use_Library!$AJ$30=1,U31=1),MAX(0,((1-Use_Library!$AI$30)*BN31-BO31*BK31)/BP31),0)</f>
        <v>0</v>
      </c>
      <c r="BT31" s="19" t="n">
        <f aca="false">BF31+BG31+BH31+BI31</f>
        <v>0</v>
      </c>
      <c r="BU31" s="23" t="n">
        <f aca="false">BJ31*BL31</f>
        <v>1.14140153125</v>
      </c>
      <c r="BV31" s="19" t="n">
        <f aca="false">(Parcel!$C$18*BJ31+BT31)*BL31</f>
        <v>342420.459375</v>
      </c>
      <c r="BW31" s="19" t="n">
        <f aca="false">IF(Use_Library!$C$30="Income",S31*Use_Library!$W$30,0)</f>
        <v>0</v>
      </c>
      <c r="BX31" s="19" t="n">
        <f aca="false">BW31*(1+Use_Library!$X$30)*(1-Use_Library!$Y$30)</f>
        <v>0</v>
      </c>
      <c r="BY31" s="19" t="n">
        <f aca="false">IF(Use_Library!$C$30="Income",S31*Use_Library!$Z$30,0)</f>
        <v>0</v>
      </c>
      <c r="BZ31" s="19" t="n">
        <f aca="false">IF(Use_Library!$C$30="Income",Assumptions!$C$19*Assumptions!$C$20*BV31,0)</f>
        <v>6403.2625903125</v>
      </c>
      <c r="CA31" s="19" t="n">
        <f aca="false">BX31*Use_Library!$AA$30</f>
        <v>0</v>
      </c>
      <c r="CB31" s="19" t="n">
        <f aca="false">(BY31+BZ31)*Use_Library!$AB$30</f>
        <v>5442.77320176562</v>
      </c>
      <c r="CC31" s="19" t="n">
        <f aca="false">BX31-BY31-BZ31-CA31+CB31</f>
        <v>-960.489388546876</v>
      </c>
      <c r="CD31" s="19" t="n">
        <f aca="false">IF(AND(Use_Library!$C$30="Income",Use_Library!$AE$30&gt;0),CC31/Use_Library!$AE$30,0)</f>
        <v>-13721.2769792411</v>
      </c>
      <c r="CE31" s="24" t="n">
        <f aca="false">IF(Use_Library!$C$30="Income",-Assumptions!$C$19*Assumptions!$C$20*(1-Use_Library!$AB$30)*BU31,0)</f>
        <v>-0.00320163129515625</v>
      </c>
      <c r="CF31" s="20" t="n">
        <f aca="false">IF(BV31=0,0,CC31/BV31)</f>
        <v>-0.002805</v>
      </c>
      <c r="CG31" s="19" t="n">
        <f aca="false">IF(Use_Library!$AK$30=1,IF(Use_Library!$C$30="Income",CD31*(1-Assumptions!$C$18),S31*Use_Library!$V$30*(1-Assumptions!$C$16))+BM31,0)*U31</f>
        <v>-0</v>
      </c>
      <c r="CH31" s="24" t="n">
        <f aca="false">IF(AND(Use_Library!$AK$30=1,Use_Library!$C$30="Income",Use_Library!$AE$30&gt;0),CE31/Use_Library!$AE$30*(1-Assumptions!$C$18),0)</f>
        <v>-0.0448228381321875</v>
      </c>
      <c r="CI31" s="19" t="n">
        <f aca="false">CG31-BV31</f>
        <v>-342420.459375</v>
      </c>
      <c r="CJ31" s="32" t="n">
        <f aca="false">IF(AND(Use_Library!$AK$30=1,U31=1),MAX(0,Parcel!$C$18-((1-Use_Library!$AI$30)*CG31-BV31)/((1-Use_Library!$AI$30)*CH31-BU31)),0)</f>
        <v>0</v>
      </c>
      <c r="CK31" s="19" t="n">
        <f aca="false">IF(Use_Library!$AL$30=1,IF(Use_Library!$C$30="Income",CD31,IF(Use_Library!$AE$30&gt;0,E31*Use_Library!$AG$30/Use_Library!$AE$30,0))+BM31,0)*U31</f>
        <v>-0</v>
      </c>
      <c r="CL31" s="19" t="n">
        <f aca="false">IF(Use_Library!$C$30="Income",BT31,BF31)</f>
        <v>0</v>
      </c>
      <c r="CM31" s="23" t="n">
        <f aca="false">IF(Use_Library!$C$30="Income",BU31,BJ31*BK31)</f>
        <v>1.14140153125</v>
      </c>
      <c r="CN31" s="19" t="n">
        <f aca="false">IF(Use_Library!$C$30="Income",BV31,(Parcel!$C$18*BJ31+BF31)*BK31)</f>
        <v>342420.459375</v>
      </c>
      <c r="CO31" s="24" t="n">
        <f aca="false">IF(AND(Use_Library!$AL$30=1,Use_Library!$C$30="Income",Use_Library!$AE$30&gt;0),CE31/Use_Library!$AE$30,0)</f>
        <v>-0.0457375899308036</v>
      </c>
      <c r="CP31" s="19" t="n">
        <f aca="false">CK31-CN31</f>
        <v>-342420.459375</v>
      </c>
      <c r="CQ31" s="32" t="n">
        <f aca="false">IF(AND(Use_Library!$AL$30=1,U31=1),MAX(0,Parcel!$C$18-((1-Use_Library!$AI$30)*CK31-CN31)/((1-Use_Library!$AI$30)*CO31-CM31)),0)</f>
        <v>0</v>
      </c>
      <c r="CR31" s="19" t="n">
        <f aca="false">IF(Use_Library!$C$30="Income",Assumptions!$C$21*(Parcel!$C$18*BJ31+BT31),0)</f>
        <v>204587.5</v>
      </c>
      <c r="CS31" s="19" t="n">
        <f aca="false">IF(AND(Use_Library!$C$30="Income",CC31&gt;0),MIN(Assumptions!$C$26*CD31,PV(Assumptions!$C$29/12,Assumptions!$C$30*12,-CC31/Assumptions!$C$27/12),CC31/Assumptions!$C$28),0)</f>
        <v>0</v>
      </c>
      <c r="CT31" s="25" t="n">
        <f aca="false">IF(CS31=0,0,CC31/(-PMT(Assumptions!$C$29/12,Assumptions!$C$30*12,CS31)*12))</f>
        <v>0</v>
      </c>
      <c r="CU31" s="19" t="n">
        <f aca="false">CS31-CR31</f>
        <v>-204587.5</v>
      </c>
      <c r="CV31" s="18" t="n">
        <f aca="false">MAX(BS31,CJ31,CQ31)</f>
        <v>0</v>
      </c>
      <c r="CW31" s="9" t="str">
        <f aca="false">IF(CV31&lt;=0,"None works",IF(BS31=CV31,"Land / pad sale",IF(CJ31=CV31,"Build &amp; sell","Build &amp; hold / lease")))</f>
        <v>None works</v>
      </c>
      <c r="CX31" s="19" t="n">
        <f aca="false">CV31*(1-Assumptions!$C$32)</f>
        <v>0</v>
      </c>
      <c r="CY31" s="19" t="n">
        <f aca="false">CV31-Parcel!$C$18</f>
        <v>-300000</v>
      </c>
      <c r="CZ31" s="19" t="n">
        <f aca="false">IF(Parcel!$C$8=0,0,CV31/Parcel!$C$8)</f>
        <v>0</v>
      </c>
      <c r="DA31" s="33" t="n">
        <f aca="false">IF(S31=0,0,CV31/S31)</f>
        <v>0</v>
      </c>
      <c r="DB31" s="9" t="str">
        <f aca="false">TRIM(M31&amp;" "&amp;IF(AND(U31=0,N31=1),"Nothing fits. ","")&amp;IF(Parcel!$C$12&lt;Use_Library!$AM$30,"Frontage under "&amp;Use_Library!$AM$30&amp;" LF. ","")&amp;IF(Parcel!$C$10&gt;0.15,"Slope over 15%. ","")&amp;IF(AND(U31=1,Use_Library!$M$30&gt;0,D31&gt;Use_Library!$M$30),"Only "&amp;Use_Library!$M$30&amp;" ac used - rest resold. ",""))</f>
        <v>Traffic under 15,000 VPD. Under 10,000 households in 3 mi. Needs a corner.</v>
      </c>
      <c r="DC31" s="19" t="n">
        <f aca="false">CV31+ROW()/1000000</f>
        <v>3.1E-005</v>
      </c>
    </row>
    <row r="32" customFormat="false" ht="15" hidden="false" customHeight="false" outlineLevel="0" collapsed="false">
      <c r="A32" s="4" t="str">
        <f aca="false">Use_Library!$A$31</f>
        <v>Gas station / c-store pad</v>
      </c>
      <c r="B32" s="9" t="str">
        <f aca="false">Use_Library!$C$31</f>
        <v>Income</v>
      </c>
      <c r="C32" s="9" t="str">
        <f aca="false">Use_Library!$D$31</f>
        <v>bldg SF</v>
      </c>
      <c r="D32" s="14" t="n">
        <f aca="false">MAX(0,Parcel!$C$26*(1-Use_Library!$N$31-Assumptions!$C$7))</f>
        <v>13.728</v>
      </c>
      <c r="E32" s="14" t="n">
        <f aca="false">IF(Use_Library!$M$31&gt;0,MIN(D32,Use_Library!$M$31),D32)</f>
        <v>2</v>
      </c>
      <c r="F32" s="20" t="n">
        <f aca="false">IF(D32=0,0,E32/D32)</f>
        <v>0.145687645687646</v>
      </c>
      <c r="G32" s="14" t="n">
        <f aca="false">Parcel!$C$26*F32</f>
        <v>2.27272727272727</v>
      </c>
      <c r="H32" s="14" t="n">
        <f aca="false">G32*Assumptions!$C$7</f>
        <v>0.0909090909090909</v>
      </c>
      <c r="I32" s="14" t="n">
        <f aca="false">G32*(1-Use_Library!$N$31)</f>
        <v>2.09090909090909</v>
      </c>
      <c r="J32" s="14" t="n">
        <f aca="false">Parcel!$C$8*(1-F32)</f>
        <v>17.0862470862471</v>
      </c>
      <c r="K32" s="15" t="n">
        <f aca="false">IF(AND(Use_Library!$I$31="Y",Parcel!$C$28=0),0,1)</f>
        <v>1</v>
      </c>
      <c r="L32" s="15" t="n">
        <f aca="false">IF(AND(Use_Library!$J$31="Y",Parcel!$C$27=0),0,1)</f>
        <v>1</v>
      </c>
      <c r="M32" s="9" t="str">
        <f aca="false">TRIM(IF(AND(Use_Library!$AN$31&gt;0,Parcel!$C$19&lt;Use_Library!$AN$31),"Traffic under "&amp;TEXT(Use_Library!$AN$31,"#,##0")&amp;" VPD. ","")&amp;IF(AND(Use_Library!$AO$31&gt;0,Parcel!$C$20&lt;Use_Library!$AO$31),"Under "&amp;TEXT(Use_Library!$AO$31,"#,##0")&amp;" households in 3 mi. ","")&amp;IF(AND(Use_Library!$AP$31&gt;0,Parcel!$C$21&gt;Use_Library!$AP$31),"Over "&amp;Use_Library!$AP$31&amp;" mi to highway. ","")&amp;IF(AND(Use_Library!$AQ$31="Y",Parcel!$C$22&lt;&gt;"Y"),"Needs a corner. ","")&amp;IF(AND(Use_Library!$AR$31&gt;0,Parcel!$C$23&gt;Use_Library!$AR$31),"Over "&amp;Use_Library!$AR$31&amp;" mi to substation. ",""))</f>
        <v>Traffic under 15,000 VPD. Under 3,000 households in 3 mi. Needs a corner.</v>
      </c>
      <c r="N32" s="15" t="n">
        <f aca="false">IF(M32="",1,0)</f>
        <v>0</v>
      </c>
      <c r="O32" s="15" t="n">
        <f aca="false">IF(D32&gt;=Use_Library!$L$31,1,0)</f>
        <v>1</v>
      </c>
      <c r="P32" s="14" t="n">
        <f aca="false">IF(Use_Library!$F$31&gt;0,G32*Use_Library!$F$31,1000000000)</f>
        <v>1000000000</v>
      </c>
      <c r="Q32" s="14" t="n">
        <f aca="false">IF(Use_Library!$G$31&gt;0,E32*43560/Use_Library!$G$31,1000000000)</f>
        <v>5227.09545809084</v>
      </c>
      <c r="R32" s="14" t="n">
        <f aca="false">IF(AND(Use_Library!$H$31="Y",Parcel!$C$28=0),E32*(1-Assumptions!$C$8)/IF(Parcel!$C$27=1,Assumptions!$C$9,Assumptions!$C$10),1000000000)</f>
        <v>1000000000</v>
      </c>
      <c r="S32" s="21" t="n">
        <f aca="false">IF(K32*L32*O32*N32=0,0,IF(MIN(P32,Q32,R32)&gt;=1000000000,E32,IF(Use_Library!$E$31="Y",INT(MIN(P32,Q32,R32)),MIN(P32,Q32,R32))))</f>
        <v>0</v>
      </c>
      <c r="T32" s="9" t="str">
        <f aca="false">IF(N32=0,"Location fails",IF(O32=0,"Too small - needs "&amp;Use_Library!$L$31&amp;" usable ac",IF(K32=0,"Needs public sewer",IF(L32=0,"Needs public water",IF(R32&lt;=MIN(P32,Q32),"Septic lot size",IF(Q32&lt;=P32,"Site area / parking","Density"))))))</f>
        <v>Location fails</v>
      </c>
      <c r="U32" s="15" t="n">
        <f aca="false">IF(S32&gt;0,1,0)</f>
        <v>0</v>
      </c>
      <c r="V32" s="15" t="n">
        <f aca="false">IF(Use_Library!$K$31="Y",1,0)*U32</f>
        <v>0</v>
      </c>
      <c r="W32" s="15" t="n">
        <f aca="false">S32*Use_Library!$O$31*V32</f>
        <v>0</v>
      </c>
      <c r="X32" s="15" t="n">
        <f aca="false">S32*Use_Library!$P$31*V32</f>
        <v>0</v>
      </c>
      <c r="Y32" s="15" t="n">
        <f aca="false">IF(Parcel!$C$27=1,W32+Parcel!$C$29,0)*V32</f>
        <v>0</v>
      </c>
      <c r="Z32" s="14" t="n">
        <f aca="false">S32*Use_Library!$Q$31*Parcel!$C$27*V32</f>
        <v>0</v>
      </c>
      <c r="AA32" s="15" t="n">
        <f aca="false">IF(Parcel!$C$28=1,W32+Parcel!$C$30,0)*V32</f>
        <v>0</v>
      </c>
      <c r="AB32" s="14" t="n">
        <f aca="false">S32*Use_Library!$Q$31*Parcel!$C$28*V32</f>
        <v>0</v>
      </c>
      <c r="AC32" s="14" t="n">
        <f aca="false">IF(Parcel!$C$28=0,S32*Use_Library!$R$31,0)*V32</f>
        <v>0</v>
      </c>
      <c r="AD32" s="14" t="n">
        <f aca="false">IF(Parcel!$C$27=0,S32*Use_Library!$R$31,0)*V32</f>
        <v>0</v>
      </c>
      <c r="AE32" s="14" t="n">
        <f aca="false">I32*Parcel!$C$11*V32</f>
        <v>0</v>
      </c>
      <c r="AF32" s="14" t="n">
        <f aca="false">I32*V32</f>
        <v>0</v>
      </c>
      <c r="AG32" s="15" t="n">
        <f aca="false">IF(Use_Library!$C$31="For-Sale",IF(Use_Library!$E$31="Y",S32,1),1)*U32</f>
        <v>0</v>
      </c>
      <c r="AH32" s="19" t="n">
        <f aca="false">Cost_Library!$G$5*Parcel!$C$32*U32</f>
        <v>0</v>
      </c>
      <c r="AI32" s="19" t="n">
        <f aca="false">AG32*Cost_Library!$G$6*Parcel!$C$32</f>
        <v>0</v>
      </c>
      <c r="AJ32" s="19" t="n">
        <f aca="false">I32*Cost_Library!$G$7*Parcel!$C$32*V32</f>
        <v>0</v>
      </c>
      <c r="AK32" s="19" t="n">
        <f aca="false">Cost_Library!$G$8*Parcel!$C$32*V32</f>
        <v>0</v>
      </c>
      <c r="AL32" s="19" t="n">
        <f aca="false">AC32*Cost_Library!$G$9*Parcel!$C$32</f>
        <v>0</v>
      </c>
      <c r="AM32" s="19" t="n">
        <f aca="false">Cost_Library!$G$10*U32</f>
        <v>0</v>
      </c>
      <c r="AN32" s="19" t="n">
        <f aca="false">Cost_Library!$G$11*Parcel!$C$32*V32</f>
        <v>0</v>
      </c>
      <c r="AO32" s="19" t="n">
        <f aca="false">Use_Library!$S$31*U32</f>
        <v>0</v>
      </c>
      <c r="AP32" s="19" t="n">
        <f aca="false">Cost_Library!$G$12*U32</f>
        <v>0</v>
      </c>
      <c r="AQ32" s="19" t="n">
        <f aca="false">AE32*Cost_Library!$G$13*Parcel!$C$32</f>
        <v>0</v>
      </c>
      <c r="AR32" s="19" t="n">
        <f aca="false">AF32*Cost_Library!$G$14*Parcel!$C$32*Parcel!$C$33</f>
        <v>0</v>
      </c>
      <c r="AS32" s="19" t="n">
        <f aca="false">W32*Cost_Library!$G$15*Parcel!$C$32</f>
        <v>0</v>
      </c>
      <c r="AT32" s="19" t="n">
        <f aca="false">X32*Cost_Library!$G$16*Parcel!$C$32</f>
        <v>0</v>
      </c>
      <c r="AU32" s="19" t="n">
        <f aca="false">H32*Cost_Library!$G$17*Parcel!$C$32*V32</f>
        <v>0</v>
      </c>
      <c r="AV32" s="19" t="n">
        <f aca="false">G32*Cost_Library!$G$18*Parcel!$C$32*V32</f>
        <v>0</v>
      </c>
      <c r="AW32" s="19" t="n">
        <f aca="false">Y32*Cost_Library!$G$19*Parcel!$C$32</f>
        <v>0</v>
      </c>
      <c r="AX32" s="19" t="n">
        <f aca="false">Z32*Cost_Library!$G$20</f>
        <v>0</v>
      </c>
      <c r="AY32" s="19" t="n">
        <f aca="false">AA32*Cost_Library!$G$21*Parcel!$C$32</f>
        <v>0</v>
      </c>
      <c r="AZ32" s="19" t="n">
        <f aca="false">AB32*Cost_Library!$G$22</f>
        <v>0</v>
      </c>
      <c r="BA32" s="19" t="n">
        <f aca="false">AC32*Cost_Library!$G$23*Parcel!$C$32*Parcel!$C$34</f>
        <v>0</v>
      </c>
      <c r="BB32" s="19" t="n">
        <f aca="false">AD32*Cost_Library!$G$24*Parcel!$C$32</f>
        <v>0</v>
      </c>
      <c r="BC32" s="19" t="n">
        <f aca="false">W32*Cost_Library!$G$25*Parcel!$C$32</f>
        <v>0</v>
      </c>
      <c r="BD32" s="19" t="n">
        <f aca="false">SUM(AH32:BC32)</f>
        <v>0</v>
      </c>
      <c r="BE32" s="19" t="n">
        <f aca="false">BD32*Assumptions!$C$11</f>
        <v>0</v>
      </c>
      <c r="BF32" s="19" t="n">
        <f aca="false">BD32+BE32</f>
        <v>0</v>
      </c>
      <c r="BG32" s="19" t="n">
        <f aca="false">S32*Use_Library!$T$31</f>
        <v>0</v>
      </c>
      <c r="BH32" s="19" t="n">
        <f aca="false">BG32*(Assumptions!$C$12+Assumptions!$C$13)</f>
        <v>0</v>
      </c>
      <c r="BI32" s="19" t="n">
        <f aca="false">S32*Use_Library!$AC$31</f>
        <v>0</v>
      </c>
      <c r="BJ32" s="23" t="n">
        <f aca="false">1+Assumptions!$C$14+Assumptions!$C$15*Use_Library!$AH$31/12</f>
        <v>1.04916666666667</v>
      </c>
      <c r="BK32" s="23" t="n">
        <f aca="false">1+Assumptions!$C$21*(Assumptions!$C$22*Use_Library!$AH$31/12*Assumptions!$C$24+Assumptions!$C$23)</f>
        <v>1.0440375</v>
      </c>
      <c r="BL32" s="23" t="n">
        <f aca="false">1+Assumptions!$C$21*(Assumptions!$C$22*(Use_Library!$AH$31/12*Assumptions!$C$24+IF(Use_Library!$C$31="Income",Use_Library!$AD$31,0)/12*Assumptions!$C$25)+Assumptions!$C$23)</f>
        <v>1.05135</v>
      </c>
      <c r="BM32" s="19" t="n">
        <f aca="false">J32*Assumptions!$C$31*(1-Assumptions!$C$17)*U32</f>
        <v>0</v>
      </c>
      <c r="BN32" s="19" t="n">
        <f aca="false">IF(Use_Library!$AJ$31=1,IF(Use_Library!$C$31="For-Sale",S32*Use_Library!$U$31,E32*Use_Library!$AF$31)*(1-Assumptions!$C$17)+BM32,0)*U32</f>
        <v>0</v>
      </c>
      <c r="BO32" s="19" t="n">
        <f aca="false">(BD32-AT32)*(1+Assumptions!$C$11)</f>
        <v>0</v>
      </c>
      <c r="BP32" s="23" t="n">
        <f aca="false">BJ32*BK32</f>
        <v>1.09536934375</v>
      </c>
      <c r="BQ32" s="19" t="n">
        <f aca="false">(Parcel!$C$18*BJ32+BO32)*BK32</f>
        <v>328610.803125</v>
      </c>
      <c r="BR32" s="19" t="n">
        <f aca="false">BN32-BQ32</f>
        <v>-328610.803125</v>
      </c>
      <c r="BS32" s="32" t="n">
        <f aca="false">IF(AND(Use_Library!$AJ$31=1,U32=1),MAX(0,((1-Use_Library!$AI$31)*BN32-BO32*BK32)/BP32),0)</f>
        <v>0</v>
      </c>
      <c r="BT32" s="19" t="n">
        <f aca="false">BF32+BG32+BH32+BI32</f>
        <v>0</v>
      </c>
      <c r="BU32" s="23" t="n">
        <f aca="false">BJ32*BL32</f>
        <v>1.103041375</v>
      </c>
      <c r="BV32" s="19" t="n">
        <f aca="false">(Parcel!$C$18*BJ32+BT32)*BL32</f>
        <v>330912.4125</v>
      </c>
      <c r="BW32" s="19" t="n">
        <f aca="false">IF(Use_Library!$C$31="Income",S32*Use_Library!$W$31,0)</f>
        <v>0</v>
      </c>
      <c r="BX32" s="19" t="n">
        <f aca="false">BW32*(1+Use_Library!$X$31)*(1-Use_Library!$Y$31)</f>
        <v>0</v>
      </c>
      <c r="BY32" s="19" t="n">
        <f aca="false">IF(Use_Library!$C$31="Income",S32*Use_Library!$Z$31,0)</f>
        <v>0</v>
      </c>
      <c r="BZ32" s="19" t="n">
        <f aca="false">IF(Use_Library!$C$31="Income",Assumptions!$C$19*Assumptions!$C$20*BV32,0)</f>
        <v>6188.06211375</v>
      </c>
      <c r="CA32" s="19" t="n">
        <f aca="false">BX32*Use_Library!$AA$31</f>
        <v>0</v>
      </c>
      <c r="CB32" s="19" t="n">
        <f aca="false">(BY32+BZ32)*Use_Library!$AB$31</f>
        <v>6188.06211375</v>
      </c>
      <c r="CC32" s="19" t="n">
        <f aca="false">BX32-BY32-BZ32-CA32+CB32</f>
        <v>0</v>
      </c>
      <c r="CD32" s="19" t="n">
        <f aca="false">IF(AND(Use_Library!$C$31="Income",Use_Library!$AE$31&gt;0),CC32/Use_Library!$AE$31,0)</f>
        <v>0</v>
      </c>
      <c r="CE32" s="24" t="n">
        <f aca="false">IF(Use_Library!$C$31="Income",-Assumptions!$C$19*Assumptions!$C$20*(1-Use_Library!$AB$31)*BU32,0)</f>
        <v>-0</v>
      </c>
      <c r="CF32" s="20" t="n">
        <f aca="false">IF(BV32=0,0,CC32/BV32)</f>
        <v>0</v>
      </c>
      <c r="CG32" s="19" t="n">
        <f aca="false">IF(Use_Library!$AK$31=1,IF(Use_Library!$C$31="Income",CD32*(1-Assumptions!$C$18),S32*Use_Library!$V$31*(1-Assumptions!$C$16))+BM32,0)*U32</f>
        <v>0</v>
      </c>
      <c r="CH32" s="24" t="n">
        <f aca="false">IF(AND(Use_Library!$AK$31=1,Use_Library!$C$31="Income",Use_Library!$AE$31&gt;0),CE32/Use_Library!$AE$31*(1-Assumptions!$C$18),0)</f>
        <v>-0</v>
      </c>
      <c r="CI32" s="19" t="n">
        <f aca="false">CG32-BV32</f>
        <v>-330912.4125</v>
      </c>
      <c r="CJ32" s="32" t="n">
        <f aca="false">IF(AND(Use_Library!$AK$31=1,U32=1),MAX(0,Parcel!$C$18-((1-Use_Library!$AI$31)*CG32-BV32)/((1-Use_Library!$AI$31)*CH32-BU32)),0)</f>
        <v>0</v>
      </c>
      <c r="CK32" s="19" t="n">
        <f aca="false">IF(Use_Library!$AL$31=1,IF(Use_Library!$C$31="Income",CD32,IF(Use_Library!$AE$31&gt;0,E32*Use_Library!$AG$31/Use_Library!$AE$31,0))+BM32,0)*U32</f>
        <v>0</v>
      </c>
      <c r="CL32" s="19" t="n">
        <f aca="false">IF(Use_Library!$C$31="Income",BT32,BF32)</f>
        <v>0</v>
      </c>
      <c r="CM32" s="23" t="n">
        <f aca="false">IF(Use_Library!$C$31="Income",BU32,BJ32*BK32)</f>
        <v>1.103041375</v>
      </c>
      <c r="CN32" s="19" t="n">
        <f aca="false">IF(Use_Library!$C$31="Income",BV32,(Parcel!$C$18*BJ32+BF32)*BK32)</f>
        <v>330912.4125</v>
      </c>
      <c r="CO32" s="24" t="n">
        <f aca="false">IF(AND(Use_Library!$AL$31=1,Use_Library!$C$31="Income",Use_Library!$AE$31&gt;0),CE32/Use_Library!$AE$31,0)</f>
        <v>-0</v>
      </c>
      <c r="CP32" s="19" t="n">
        <f aca="false">CK32-CN32</f>
        <v>-330912.4125</v>
      </c>
      <c r="CQ32" s="32" t="n">
        <f aca="false">IF(AND(Use_Library!$AL$31=1,U32=1),MAX(0,Parcel!$C$18-((1-Use_Library!$AI$31)*CK32-CN32)/((1-Use_Library!$AI$31)*CO32-CM32)),0)</f>
        <v>0</v>
      </c>
      <c r="CR32" s="19" t="n">
        <f aca="false">IF(Use_Library!$C$31="Income",Assumptions!$C$21*(Parcel!$C$18*BJ32+BT32),0)</f>
        <v>204587.5</v>
      </c>
      <c r="CS32" s="19" t="n">
        <f aca="false">IF(AND(Use_Library!$C$31="Income",CC32&gt;0),MIN(Assumptions!$C$26*CD32,PV(Assumptions!$C$29/12,Assumptions!$C$30*12,-CC32/Assumptions!$C$27/12),CC32/Assumptions!$C$28),0)</f>
        <v>0</v>
      </c>
      <c r="CT32" s="25" t="n">
        <f aca="false">IF(CS32=0,0,CC32/(-PMT(Assumptions!$C$29/12,Assumptions!$C$30*12,CS32)*12))</f>
        <v>0</v>
      </c>
      <c r="CU32" s="19" t="n">
        <f aca="false">CS32-CR32</f>
        <v>-204587.5</v>
      </c>
      <c r="CV32" s="18" t="n">
        <f aca="false">MAX(BS32,CJ32,CQ32)</f>
        <v>0</v>
      </c>
      <c r="CW32" s="9" t="str">
        <f aca="false">IF(CV32&lt;=0,"None works",IF(BS32=CV32,"Land / pad sale",IF(CJ32=CV32,"Build &amp; sell","Build &amp; hold / lease")))</f>
        <v>None works</v>
      </c>
      <c r="CX32" s="19" t="n">
        <f aca="false">CV32*(1-Assumptions!$C$32)</f>
        <v>0</v>
      </c>
      <c r="CY32" s="19" t="n">
        <f aca="false">CV32-Parcel!$C$18</f>
        <v>-300000</v>
      </c>
      <c r="CZ32" s="19" t="n">
        <f aca="false">IF(Parcel!$C$8=0,0,CV32/Parcel!$C$8)</f>
        <v>0</v>
      </c>
      <c r="DA32" s="33" t="n">
        <f aca="false">IF(S32=0,0,CV32/S32)</f>
        <v>0</v>
      </c>
      <c r="DB32" s="9" t="str">
        <f aca="false">TRIM(M32&amp;" "&amp;IF(AND(U32=0,N32=1),"Nothing fits. ","")&amp;IF(Parcel!$C$12&lt;Use_Library!$AM$31,"Frontage under "&amp;Use_Library!$AM$31&amp;" LF. ","")&amp;IF(Parcel!$C$10&gt;0.15,"Slope over 15%. ","")&amp;IF(AND(U32=1,Use_Library!$M$31&gt;0,D32&gt;Use_Library!$M$31),"Only "&amp;Use_Library!$M$31&amp;" ac used - rest resold. ",""))</f>
        <v>Traffic under 15,000 VPD. Under 3,000 households in 3 mi. Needs a corner.</v>
      </c>
      <c r="DC32" s="19" t="n">
        <f aca="false">CV32+ROW()/1000000</f>
        <v>3.2E-005</v>
      </c>
    </row>
    <row r="33" customFormat="false" ht="15" hidden="false" customHeight="false" outlineLevel="0" collapsed="false">
      <c r="A33" s="4" t="str">
        <f aca="false">Use_Library!$A$32</f>
        <v>QSR / drive-thru pad</v>
      </c>
      <c r="B33" s="9" t="str">
        <f aca="false">Use_Library!$C$32</f>
        <v>Income</v>
      </c>
      <c r="C33" s="9" t="str">
        <f aca="false">Use_Library!$D$32</f>
        <v>bldg SF</v>
      </c>
      <c r="D33" s="14" t="n">
        <f aca="false">MAX(0,Parcel!$C$26*(1-Use_Library!$N$32-Assumptions!$C$7))</f>
        <v>13.728</v>
      </c>
      <c r="E33" s="14" t="n">
        <f aca="false">IF(Use_Library!$M$32&gt;0,MIN(D33,Use_Library!$M$32),D33)</f>
        <v>1.2</v>
      </c>
      <c r="F33" s="20" t="n">
        <f aca="false">IF(D33=0,0,E33/D33)</f>
        <v>0.0874125874125874</v>
      </c>
      <c r="G33" s="14" t="n">
        <f aca="false">Parcel!$C$26*F33</f>
        <v>1.36363636363636</v>
      </c>
      <c r="H33" s="14" t="n">
        <f aca="false">G33*Assumptions!$C$7</f>
        <v>0.0545454545454545</v>
      </c>
      <c r="I33" s="14" t="n">
        <f aca="false">G33*(1-Use_Library!$N$32)</f>
        <v>1.25454545454545</v>
      </c>
      <c r="J33" s="14" t="n">
        <f aca="false">Parcel!$C$8*(1-F33)</f>
        <v>18.2517482517483</v>
      </c>
      <c r="K33" s="15" t="n">
        <f aca="false">IF(AND(Use_Library!$I$32="Y",Parcel!$C$28=0),0,1)</f>
        <v>1</v>
      </c>
      <c r="L33" s="15" t="n">
        <f aca="false">IF(AND(Use_Library!$J$32="Y",Parcel!$C$27=0),0,1)</f>
        <v>1</v>
      </c>
      <c r="M33" s="9" t="str">
        <f aca="false">TRIM(IF(AND(Use_Library!$AN$32&gt;0,Parcel!$C$19&lt;Use_Library!$AN$32),"Traffic under "&amp;TEXT(Use_Library!$AN$32,"#,##0")&amp;" VPD. ","")&amp;IF(AND(Use_Library!$AO$32&gt;0,Parcel!$C$20&lt;Use_Library!$AO$32),"Under "&amp;TEXT(Use_Library!$AO$32,"#,##0")&amp;" households in 3 mi. ","")&amp;IF(AND(Use_Library!$AP$32&gt;0,Parcel!$C$21&gt;Use_Library!$AP$32),"Over "&amp;Use_Library!$AP$32&amp;" mi to highway. ","")&amp;IF(AND(Use_Library!$AQ$32="Y",Parcel!$C$22&lt;&gt;"Y"),"Needs a corner. ","")&amp;IF(AND(Use_Library!$AR$32&gt;0,Parcel!$C$23&gt;Use_Library!$AR$32),"Over "&amp;Use_Library!$AR$32&amp;" mi to substation. ",""))</f>
        <v>Traffic under 15,000 VPD. Under 5,000 households in 3 mi.</v>
      </c>
      <c r="N33" s="15" t="n">
        <f aca="false">IF(M33="",1,0)</f>
        <v>0</v>
      </c>
      <c r="O33" s="15" t="n">
        <f aca="false">IF(D33&gt;=Use_Library!$L$32,1,0)</f>
        <v>1</v>
      </c>
      <c r="P33" s="14" t="n">
        <f aca="false">IF(Use_Library!$F$32&gt;0,G33*Use_Library!$F$32,1000000000)</f>
        <v>1000000000</v>
      </c>
      <c r="Q33" s="14" t="n">
        <f aca="false">IF(Use_Library!$G$32&gt;0,E33*43560/Use_Library!$G$32,1000000000)</f>
        <v>2874.93125068749</v>
      </c>
      <c r="R33" s="14" t="n">
        <f aca="false">IF(AND(Use_Library!$H$32="Y",Parcel!$C$28=0),E33*(1-Assumptions!$C$8)/IF(Parcel!$C$27=1,Assumptions!$C$9,Assumptions!$C$10),1000000000)</f>
        <v>1000000000</v>
      </c>
      <c r="S33" s="21" t="n">
        <f aca="false">IF(K33*L33*O33*N33=0,0,IF(MIN(P33,Q33,R33)&gt;=1000000000,E33,IF(Use_Library!$E$32="Y",INT(MIN(P33,Q33,R33)),MIN(P33,Q33,R33))))</f>
        <v>0</v>
      </c>
      <c r="T33" s="9" t="str">
        <f aca="false">IF(N33=0,"Location fails",IF(O33=0,"Too small - needs "&amp;Use_Library!$L$32&amp;" usable ac",IF(K33=0,"Needs public sewer",IF(L33=0,"Needs public water",IF(R33&lt;=MIN(P33,Q33),"Septic lot size",IF(Q33&lt;=P33,"Site area / parking","Density"))))))</f>
        <v>Location fails</v>
      </c>
      <c r="U33" s="15" t="n">
        <f aca="false">IF(S33&gt;0,1,0)</f>
        <v>0</v>
      </c>
      <c r="V33" s="15" t="n">
        <f aca="false">IF(Use_Library!$K$32="Y",1,0)*U33</f>
        <v>0</v>
      </c>
      <c r="W33" s="15" t="n">
        <f aca="false">S33*Use_Library!$O$32*V33</f>
        <v>0</v>
      </c>
      <c r="X33" s="15" t="n">
        <f aca="false">S33*Use_Library!$P$32*V33</f>
        <v>0</v>
      </c>
      <c r="Y33" s="15" t="n">
        <f aca="false">IF(Parcel!$C$27=1,W33+Parcel!$C$29,0)*V33</f>
        <v>0</v>
      </c>
      <c r="Z33" s="14" t="n">
        <f aca="false">S33*Use_Library!$Q$32*Parcel!$C$27*V33</f>
        <v>0</v>
      </c>
      <c r="AA33" s="15" t="n">
        <f aca="false">IF(Parcel!$C$28=1,W33+Parcel!$C$30,0)*V33</f>
        <v>0</v>
      </c>
      <c r="AB33" s="14" t="n">
        <f aca="false">S33*Use_Library!$Q$32*Parcel!$C$28*V33</f>
        <v>0</v>
      </c>
      <c r="AC33" s="14" t="n">
        <f aca="false">IF(Parcel!$C$28=0,S33*Use_Library!$R$32,0)*V33</f>
        <v>0</v>
      </c>
      <c r="AD33" s="14" t="n">
        <f aca="false">IF(Parcel!$C$27=0,S33*Use_Library!$R$32,0)*V33</f>
        <v>0</v>
      </c>
      <c r="AE33" s="14" t="n">
        <f aca="false">I33*Parcel!$C$11*V33</f>
        <v>0</v>
      </c>
      <c r="AF33" s="14" t="n">
        <f aca="false">I33*V33</f>
        <v>0</v>
      </c>
      <c r="AG33" s="15" t="n">
        <f aca="false">IF(Use_Library!$C$32="For-Sale",IF(Use_Library!$E$32="Y",S33,1),1)*U33</f>
        <v>0</v>
      </c>
      <c r="AH33" s="19" t="n">
        <f aca="false">Cost_Library!$G$5*Parcel!$C$32*U33</f>
        <v>0</v>
      </c>
      <c r="AI33" s="19" t="n">
        <f aca="false">AG33*Cost_Library!$G$6*Parcel!$C$32</f>
        <v>0</v>
      </c>
      <c r="AJ33" s="19" t="n">
        <f aca="false">I33*Cost_Library!$G$7*Parcel!$C$32*V33</f>
        <v>0</v>
      </c>
      <c r="AK33" s="19" t="n">
        <f aca="false">Cost_Library!$G$8*Parcel!$C$32*V33</f>
        <v>0</v>
      </c>
      <c r="AL33" s="19" t="n">
        <f aca="false">AC33*Cost_Library!$G$9*Parcel!$C$32</f>
        <v>0</v>
      </c>
      <c r="AM33" s="19" t="n">
        <f aca="false">Cost_Library!$G$10*U33</f>
        <v>0</v>
      </c>
      <c r="AN33" s="19" t="n">
        <f aca="false">Cost_Library!$G$11*Parcel!$C$32*V33</f>
        <v>0</v>
      </c>
      <c r="AO33" s="19" t="n">
        <f aca="false">Use_Library!$S$32*U33</f>
        <v>0</v>
      </c>
      <c r="AP33" s="19" t="n">
        <f aca="false">Cost_Library!$G$12*U33</f>
        <v>0</v>
      </c>
      <c r="AQ33" s="19" t="n">
        <f aca="false">AE33*Cost_Library!$G$13*Parcel!$C$32</f>
        <v>0</v>
      </c>
      <c r="AR33" s="19" t="n">
        <f aca="false">AF33*Cost_Library!$G$14*Parcel!$C$32*Parcel!$C$33</f>
        <v>0</v>
      </c>
      <c r="AS33" s="19" t="n">
        <f aca="false">W33*Cost_Library!$G$15*Parcel!$C$32</f>
        <v>0</v>
      </c>
      <c r="AT33" s="19" t="n">
        <f aca="false">X33*Cost_Library!$G$16*Parcel!$C$32</f>
        <v>0</v>
      </c>
      <c r="AU33" s="19" t="n">
        <f aca="false">H33*Cost_Library!$G$17*Parcel!$C$32*V33</f>
        <v>0</v>
      </c>
      <c r="AV33" s="19" t="n">
        <f aca="false">G33*Cost_Library!$G$18*Parcel!$C$32*V33</f>
        <v>0</v>
      </c>
      <c r="AW33" s="19" t="n">
        <f aca="false">Y33*Cost_Library!$G$19*Parcel!$C$32</f>
        <v>0</v>
      </c>
      <c r="AX33" s="19" t="n">
        <f aca="false">Z33*Cost_Library!$G$20</f>
        <v>0</v>
      </c>
      <c r="AY33" s="19" t="n">
        <f aca="false">AA33*Cost_Library!$G$21*Parcel!$C$32</f>
        <v>0</v>
      </c>
      <c r="AZ33" s="19" t="n">
        <f aca="false">AB33*Cost_Library!$G$22</f>
        <v>0</v>
      </c>
      <c r="BA33" s="19" t="n">
        <f aca="false">AC33*Cost_Library!$G$23*Parcel!$C$32*Parcel!$C$34</f>
        <v>0</v>
      </c>
      <c r="BB33" s="19" t="n">
        <f aca="false">AD33*Cost_Library!$G$24*Parcel!$C$32</f>
        <v>0</v>
      </c>
      <c r="BC33" s="19" t="n">
        <f aca="false">W33*Cost_Library!$G$25*Parcel!$C$32</f>
        <v>0</v>
      </c>
      <c r="BD33" s="19" t="n">
        <f aca="false">SUM(AH33:BC33)</f>
        <v>0</v>
      </c>
      <c r="BE33" s="19" t="n">
        <f aca="false">BD33*Assumptions!$C$11</f>
        <v>0</v>
      </c>
      <c r="BF33" s="19" t="n">
        <f aca="false">BD33+BE33</f>
        <v>0</v>
      </c>
      <c r="BG33" s="19" t="n">
        <f aca="false">S33*Use_Library!$T$32</f>
        <v>0</v>
      </c>
      <c r="BH33" s="19" t="n">
        <f aca="false">BG33*(Assumptions!$C$12+Assumptions!$C$13)</f>
        <v>0</v>
      </c>
      <c r="BI33" s="19" t="n">
        <f aca="false">S33*Use_Library!$AC$32</f>
        <v>0</v>
      </c>
      <c r="BJ33" s="23" t="n">
        <f aca="false">1+Assumptions!$C$14+Assumptions!$C$15*Use_Library!$AH$32/12</f>
        <v>1.04916666666667</v>
      </c>
      <c r="BK33" s="23" t="n">
        <f aca="false">1+Assumptions!$C$21*(Assumptions!$C$22*Use_Library!$AH$32/12*Assumptions!$C$24+Assumptions!$C$23)</f>
        <v>1.0440375</v>
      </c>
      <c r="BL33" s="23" t="n">
        <f aca="false">1+Assumptions!$C$21*(Assumptions!$C$22*(Use_Library!$AH$32/12*Assumptions!$C$24+IF(Use_Library!$C$32="Income",Use_Library!$AD$32,0)/12*Assumptions!$C$25)+Assumptions!$C$23)</f>
        <v>1.05135</v>
      </c>
      <c r="BM33" s="19" t="n">
        <f aca="false">J33*Assumptions!$C$31*(1-Assumptions!$C$17)*U33</f>
        <v>0</v>
      </c>
      <c r="BN33" s="19" t="n">
        <f aca="false">IF(Use_Library!$AJ$32=1,IF(Use_Library!$C$32="For-Sale",S33*Use_Library!$U$32,E33*Use_Library!$AF$32)*(1-Assumptions!$C$17)+BM33,0)*U33</f>
        <v>0</v>
      </c>
      <c r="BO33" s="19" t="n">
        <f aca="false">(BD33-AT33)*(1+Assumptions!$C$11)</f>
        <v>0</v>
      </c>
      <c r="BP33" s="23" t="n">
        <f aca="false">BJ33*BK33</f>
        <v>1.09536934375</v>
      </c>
      <c r="BQ33" s="19" t="n">
        <f aca="false">(Parcel!$C$18*BJ33+BO33)*BK33</f>
        <v>328610.803125</v>
      </c>
      <c r="BR33" s="19" t="n">
        <f aca="false">BN33-BQ33</f>
        <v>-328610.803125</v>
      </c>
      <c r="BS33" s="32" t="n">
        <f aca="false">IF(AND(Use_Library!$AJ$32=1,U33=1),MAX(0,((1-Use_Library!$AI$32)*BN33-BO33*BK33)/BP33),0)</f>
        <v>0</v>
      </c>
      <c r="BT33" s="19" t="n">
        <f aca="false">BF33+BG33+BH33+BI33</f>
        <v>0</v>
      </c>
      <c r="BU33" s="23" t="n">
        <f aca="false">BJ33*BL33</f>
        <v>1.103041375</v>
      </c>
      <c r="BV33" s="19" t="n">
        <f aca="false">(Parcel!$C$18*BJ33+BT33)*BL33</f>
        <v>330912.4125</v>
      </c>
      <c r="BW33" s="19" t="n">
        <f aca="false">IF(Use_Library!$C$32="Income",S33*Use_Library!$W$32,0)</f>
        <v>0</v>
      </c>
      <c r="BX33" s="19" t="n">
        <f aca="false">BW33*(1+Use_Library!$X$32)*(1-Use_Library!$Y$32)</f>
        <v>0</v>
      </c>
      <c r="BY33" s="19" t="n">
        <f aca="false">IF(Use_Library!$C$32="Income",S33*Use_Library!$Z$32,0)</f>
        <v>0</v>
      </c>
      <c r="BZ33" s="19" t="n">
        <f aca="false">IF(Use_Library!$C$32="Income",Assumptions!$C$19*Assumptions!$C$20*BV33,0)</f>
        <v>6188.06211375</v>
      </c>
      <c r="CA33" s="19" t="n">
        <f aca="false">BX33*Use_Library!$AA$32</f>
        <v>0</v>
      </c>
      <c r="CB33" s="19" t="n">
        <f aca="false">(BY33+BZ33)*Use_Library!$AB$32</f>
        <v>6188.06211375</v>
      </c>
      <c r="CC33" s="19" t="n">
        <f aca="false">BX33-BY33-BZ33-CA33+CB33</f>
        <v>0</v>
      </c>
      <c r="CD33" s="19" t="n">
        <f aca="false">IF(AND(Use_Library!$C$32="Income",Use_Library!$AE$32&gt;0),CC33/Use_Library!$AE$32,0)</f>
        <v>0</v>
      </c>
      <c r="CE33" s="24" t="n">
        <f aca="false">IF(Use_Library!$C$32="Income",-Assumptions!$C$19*Assumptions!$C$20*(1-Use_Library!$AB$32)*BU33,0)</f>
        <v>-0</v>
      </c>
      <c r="CF33" s="20" t="n">
        <f aca="false">IF(BV33=0,0,CC33/BV33)</f>
        <v>0</v>
      </c>
      <c r="CG33" s="19" t="n">
        <f aca="false">IF(Use_Library!$AK$32=1,IF(Use_Library!$C$32="Income",CD33*(1-Assumptions!$C$18),S33*Use_Library!$V$32*(1-Assumptions!$C$16))+BM33,0)*U33</f>
        <v>0</v>
      </c>
      <c r="CH33" s="24" t="n">
        <f aca="false">IF(AND(Use_Library!$AK$32=1,Use_Library!$C$32="Income",Use_Library!$AE$32&gt;0),CE33/Use_Library!$AE$32*(1-Assumptions!$C$18),0)</f>
        <v>-0</v>
      </c>
      <c r="CI33" s="19" t="n">
        <f aca="false">CG33-BV33</f>
        <v>-330912.4125</v>
      </c>
      <c r="CJ33" s="32" t="n">
        <f aca="false">IF(AND(Use_Library!$AK$32=1,U33=1),MAX(0,Parcel!$C$18-((1-Use_Library!$AI$32)*CG33-BV33)/((1-Use_Library!$AI$32)*CH33-BU33)),0)</f>
        <v>0</v>
      </c>
      <c r="CK33" s="19" t="n">
        <f aca="false">IF(Use_Library!$AL$32=1,IF(Use_Library!$C$32="Income",CD33,IF(Use_Library!$AE$32&gt;0,E33*Use_Library!$AG$32/Use_Library!$AE$32,0))+BM33,0)*U33</f>
        <v>0</v>
      </c>
      <c r="CL33" s="19" t="n">
        <f aca="false">IF(Use_Library!$C$32="Income",BT33,BF33)</f>
        <v>0</v>
      </c>
      <c r="CM33" s="23" t="n">
        <f aca="false">IF(Use_Library!$C$32="Income",BU33,BJ33*BK33)</f>
        <v>1.103041375</v>
      </c>
      <c r="CN33" s="19" t="n">
        <f aca="false">IF(Use_Library!$C$32="Income",BV33,(Parcel!$C$18*BJ33+BF33)*BK33)</f>
        <v>330912.4125</v>
      </c>
      <c r="CO33" s="24" t="n">
        <f aca="false">IF(AND(Use_Library!$AL$32=1,Use_Library!$C$32="Income",Use_Library!$AE$32&gt;0),CE33/Use_Library!$AE$32,0)</f>
        <v>-0</v>
      </c>
      <c r="CP33" s="19" t="n">
        <f aca="false">CK33-CN33</f>
        <v>-330912.4125</v>
      </c>
      <c r="CQ33" s="32" t="n">
        <f aca="false">IF(AND(Use_Library!$AL$32=1,U33=1),MAX(0,Parcel!$C$18-((1-Use_Library!$AI$32)*CK33-CN33)/((1-Use_Library!$AI$32)*CO33-CM33)),0)</f>
        <v>0</v>
      </c>
      <c r="CR33" s="19" t="n">
        <f aca="false">IF(Use_Library!$C$32="Income",Assumptions!$C$21*(Parcel!$C$18*BJ33+BT33),0)</f>
        <v>204587.5</v>
      </c>
      <c r="CS33" s="19" t="n">
        <f aca="false">IF(AND(Use_Library!$C$32="Income",CC33&gt;0),MIN(Assumptions!$C$26*CD33,PV(Assumptions!$C$29/12,Assumptions!$C$30*12,-CC33/Assumptions!$C$27/12),CC33/Assumptions!$C$28),0)</f>
        <v>0</v>
      </c>
      <c r="CT33" s="25" t="n">
        <f aca="false">IF(CS33=0,0,CC33/(-PMT(Assumptions!$C$29/12,Assumptions!$C$30*12,CS33)*12))</f>
        <v>0</v>
      </c>
      <c r="CU33" s="19" t="n">
        <f aca="false">CS33-CR33</f>
        <v>-204587.5</v>
      </c>
      <c r="CV33" s="18" t="n">
        <f aca="false">MAX(BS33,CJ33,CQ33)</f>
        <v>0</v>
      </c>
      <c r="CW33" s="9" t="str">
        <f aca="false">IF(CV33&lt;=0,"None works",IF(BS33=CV33,"Land / pad sale",IF(CJ33=CV33,"Build &amp; sell","Build &amp; hold / lease")))</f>
        <v>None works</v>
      </c>
      <c r="CX33" s="19" t="n">
        <f aca="false">CV33*(1-Assumptions!$C$32)</f>
        <v>0</v>
      </c>
      <c r="CY33" s="19" t="n">
        <f aca="false">CV33-Parcel!$C$18</f>
        <v>-300000</v>
      </c>
      <c r="CZ33" s="19" t="n">
        <f aca="false">IF(Parcel!$C$8=0,0,CV33/Parcel!$C$8)</f>
        <v>0</v>
      </c>
      <c r="DA33" s="33" t="n">
        <f aca="false">IF(S33=0,0,CV33/S33)</f>
        <v>0</v>
      </c>
      <c r="DB33" s="9" t="str">
        <f aca="false">TRIM(M33&amp;" "&amp;IF(AND(U33=0,N33=1),"Nothing fits. ","")&amp;IF(Parcel!$C$12&lt;Use_Library!$AM$32,"Frontage under "&amp;Use_Library!$AM$32&amp;" LF. ","")&amp;IF(Parcel!$C$10&gt;0.15,"Slope over 15%. ","")&amp;IF(AND(U33=1,Use_Library!$M$32&gt;0,D33&gt;Use_Library!$M$32),"Only "&amp;Use_Library!$M$32&amp;" ac used - rest resold. ",""))</f>
        <v>Traffic under 15,000 VPD. Under 5,000 households in 3 mi.</v>
      </c>
      <c r="DC33" s="19" t="n">
        <f aca="false">CV33+ROW()/1000000</f>
        <v>3.3E-005</v>
      </c>
    </row>
    <row r="34" customFormat="false" ht="15" hidden="false" customHeight="false" outlineLevel="0" collapsed="false">
      <c r="A34" s="4" t="str">
        <f aca="false">Use_Library!$A$33</f>
        <v>Neighborhood strip center</v>
      </c>
      <c r="B34" s="9" t="str">
        <f aca="false">Use_Library!$C$33</f>
        <v>Income</v>
      </c>
      <c r="C34" s="9" t="str">
        <f aca="false">Use_Library!$D$33</f>
        <v>bldg SF</v>
      </c>
      <c r="D34" s="14" t="n">
        <f aca="false">MAX(0,Parcel!$C$26*(1-Use_Library!$N$33-Assumptions!$C$7))</f>
        <v>13.728</v>
      </c>
      <c r="E34" s="14" t="n">
        <f aca="false">IF(Use_Library!$M$33&gt;0,MIN(D34,Use_Library!$M$33),D34)</f>
        <v>4</v>
      </c>
      <c r="F34" s="20" t="n">
        <f aca="false">IF(D34=0,0,E34/D34)</f>
        <v>0.291375291375291</v>
      </c>
      <c r="G34" s="14" t="n">
        <f aca="false">Parcel!$C$26*F34</f>
        <v>4.54545454545455</v>
      </c>
      <c r="H34" s="14" t="n">
        <f aca="false">G34*Assumptions!$C$7</f>
        <v>0.181818181818182</v>
      </c>
      <c r="I34" s="14" t="n">
        <f aca="false">G34*(1-Use_Library!$N$33)</f>
        <v>4.18181818181818</v>
      </c>
      <c r="J34" s="14" t="n">
        <f aca="false">Parcel!$C$8*(1-F34)</f>
        <v>14.1724941724942</v>
      </c>
      <c r="K34" s="15" t="n">
        <f aca="false">IF(AND(Use_Library!$I$33="Y",Parcel!$C$28=0),0,1)</f>
        <v>1</v>
      </c>
      <c r="L34" s="15" t="n">
        <f aca="false">IF(AND(Use_Library!$J$33="Y",Parcel!$C$27=0),0,1)</f>
        <v>1</v>
      </c>
      <c r="M34" s="9" t="str">
        <f aca="false">TRIM(IF(AND(Use_Library!$AN$33&gt;0,Parcel!$C$19&lt;Use_Library!$AN$33),"Traffic under "&amp;TEXT(Use_Library!$AN$33,"#,##0")&amp;" VPD. ","")&amp;IF(AND(Use_Library!$AO$33&gt;0,Parcel!$C$20&lt;Use_Library!$AO$33),"Under "&amp;TEXT(Use_Library!$AO$33,"#,##0")&amp;" households in 3 mi. ","")&amp;IF(AND(Use_Library!$AP$33&gt;0,Parcel!$C$21&gt;Use_Library!$AP$33),"Over "&amp;Use_Library!$AP$33&amp;" mi to highway. ","")&amp;IF(AND(Use_Library!$AQ$33="Y",Parcel!$C$22&lt;&gt;"Y"),"Needs a corner. ","")&amp;IF(AND(Use_Library!$AR$33&gt;0,Parcel!$C$23&gt;Use_Library!$AR$33),"Over "&amp;Use_Library!$AR$33&amp;" mi to substation. ",""))</f>
        <v>Traffic under 10,000 VPD. Under 6,000 households in 3 mi.</v>
      </c>
      <c r="N34" s="15" t="n">
        <f aca="false">IF(M34="",1,0)</f>
        <v>0</v>
      </c>
      <c r="O34" s="15" t="n">
        <f aca="false">IF(D34&gt;=Use_Library!$L$33,1,0)</f>
        <v>1</v>
      </c>
      <c r="P34" s="14" t="n">
        <f aca="false">IF(Use_Library!$F$33&gt;0,G34*Use_Library!$F$33,1000000000)</f>
        <v>1000000000</v>
      </c>
      <c r="Q34" s="14" t="n">
        <f aca="false">IF(Use_Library!$G$33&gt;0,E34*43560/Use_Library!$G$33,1000000000)</f>
        <v>38336.6336633663</v>
      </c>
      <c r="R34" s="14" t="n">
        <f aca="false">IF(AND(Use_Library!$H$33="Y",Parcel!$C$28=0),E34*(1-Assumptions!$C$8)/IF(Parcel!$C$27=1,Assumptions!$C$9,Assumptions!$C$10),1000000000)</f>
        <v>1000000000</v>
      </c>
      <c r="S34" s="21" t="n">
        <f aca="false">IF(K34*L34*O34*N34=0,0,IF(MIN(P34,Q34,R34)&gt;=1000000000,E34,IF(Use_Library!$E$33="Y",INT(MIN(P34,Q34,R34)),MIN(P34,Q34,R34))))</f>
        <v>0</v>
      </c>
      <c r="T34" s="9" t="str">
        <f aca="false">IF(N34=0,"Location fails",IF(O34=0,"Too small - needs "&amp;Use_Library!$L$33&amp;" usable ac",IF(K34=0,"Needs public sewer",IF(L34=0,"Needs public water",IF(R34&lt;=MIN(P34,Q34),"Septic lot size",IF(Q34&lt;=P34,"Site area / parking","Density"))))))</f>
        <v>Location fails</v>
      </c>
      <c r="U34" s="15" t="n">
        <f aca="false">IF(S34&gt;0,1,0)</f>
        <v>0</v>
      </c>
      <c r="V34" s="15" t="n">
        <f aca="false">IF(Use_Library!$K$33="Y",1,0)*U34</f>
        <v>0</v>
      </c>
      <c r="W34" s="15" t="n">
        <f aca="false">S34*Use_Library!$O$33*V34</f>
        <v>0</v>
      </c>
      <c r="X34" s="15" t="n">
        <f aca="false">S34*Use_Library!$P$33*V34</f>
        <v>0</v>
      </c>
      <c r="Y34" s="15" t="n">
        <f aca="false">IF(Parcel!$C$27=1,W34+Parcel!$C$29,0)*V34</f>
        <v>0</v>
      </c>
      <c r="Z34" s="14" t="n">
        <f aca="false">S34*Use_Library!$Q$33*Parcel!$C$27*V34</f>
        <v>0</v>
      </c>
      <c r="AA34" s="15" t="n">
        <f aca="false">IF(Parcel!$C$28=1,W34+Parcel!$C$30,0)*V34</f>
        <v>0</v>
      </c>
      <c r="AB34" s="14" t="n">
        <f aca="false">S34*Use_Library!$Q$33*Parcel!$C$28*V34</f>
        <v>0</v>
      </c>
      <c r="AC34" s="14" t="n">
        <f aca="false">IF(Parcel!$C$28=0,S34*Use_Library!$R$33,0)*V34</f>
        <v>0</v>
      </c>
      <c r="AD34" s="14" t="n">
        <f aca="false">IF(Parcel!$C$27=0,S34*Use_Library!$R$33,0)*V34</f>
        <v>0</v>
      </c>
      <c r="AE34" s="14" t="n">
        <f aca="false">I34*Parcel!$C$11*V34</f>
        <v>0</v>
      </c>
      <c r="AF34" s="14" t="n">
        <f aca="false">I34*V34</f>
        <v>0</v>
      </c>
      <c r="AG34" s="15" t="n">
        <f aca="false">IF(Use_Library!$C$33="For-Sale",IF(Use_Library!$E$33="Y",S34,1),1)*U34</f>
        <v>0</v>
      </c>
      <c r="AH34" s="19" t="n">
        <f aca="false">Cost_Library!$G$5*Parcel!$C$32*U34</f>
        <v>0</v>
      </c>
      <c r="AI34" s="19" t="n">
        <f aca="false">AG34*Cost_Library!$G$6*Parcel!$C$32</f>
        <v>0</v>
      </c>
      <c r="AJ34" s="19" t="n">
        <f aca="false">I34*Cost_Library!$G$7*Parcel!$C$32*V34</f>
        <v>0</v>
      </c>
      <c r="AK34" s="19" t="n">
        <f aca="false">Cost_Library!$G$8*Parcel!$C$32*V34</f>
        <v>0</v>
      </c>
      <c r="AL34" s="19" t="n">
        <f aca="false">AC34*Cost_Library!$G$9*Parcel!$C$32</f>
        <v>0</v>
      </c>
      <c r="AM34" s="19" t="n">
        <f aca="false">Cost_Library!$G$10*U34</f>
        <v>0</v>
      </c>
      <c r="AN34" s="19" t="n">
        <f aca="false">Cost_Library!$G$11*Parcel!$C$32*V34</f>
        <v>0</v>
      </c>
      <c r="AO34" s="19" t="n">
        <f aca="false">Use_Library!$S$33*U34</f>
        <v>0</v>
      </c>
      <c r="AP34" s="19" t="n">
        <f aca="false">Cost_Library!$G$12*U34</f>
        <v>0</v>
      </c>
      <c r="AQ34" s="19" t="n">
        <f aca="false">AE34*Cost_Library!$G$13*Parcel!$C$32</f>
        <v>0</v>
      </c>
      <c r="AR34" s="19" t="n">
        <f aca="false">AF34*Cost_Library!$G$14*Parcel!$C$32*Parcel!$C$33</f>
        <v>0</v>
      </c>
      <c r="AS34" s="19" t="n">
        <f aca="false">W34*Cost_Library!$G$15*Parcel!$C$32</f>
        <v>0</v>
      </c>
      <c r="AT34" s="19" t="n">
        <f aca="false">X34*Cost_Library!$G$16*Parcel!$C$32</f>
        <v>0</v>
      </c>
      <c r="AU34" s="19" t="n">
        <f aca="false">H34*Cost_Library!$G$17*Parcel!$C$32*V34</f>
        <v>0</v>
      </c>
      <c r="AV34" s="19" t="n">
        <f aca="false">G34*Cost_Library!$G$18*Parcel!$C$32*V34</f>
        <v>0</v>
      </c>
      <c r="AW34" s="19" t="n">
        <f aca="false">Y34*Cost_Library!$G$19*Parcel!$C$32</f>
        <v>0</v>
      </c>
      <c r="AX34" s="19" t="n">
        <f aca="false">Z34*Cost_Library!$G$20</f>
        <v>0</v>
      </c>
      <c r="AY34" s="19" t="n">
        <f aca="false">AA34*Cost_Library!$G$21*Parcel!$C$32</f>
        <v>0</v>
      </c>
      <c r="AZ34" s="19" t="n">
        <f aca="false">AB34*Cost_Library!$G$22</f>
        <v>0</v>
      </c>
      <c r="BA34" s="19" t="n">
        <f aca="false">AC34*Cost_Library!$G$23*Parcel!$C$32*Parcel!$C$34</f>
        <v>0</v>
      </c>
      <c r="BB34" s="19" t="n">
        <f aca="false">AD34*Cost_Library!$G$24*Parcel!$C$32</f>
        <v>0</v>
      </c>
      <c r="BC34" s="19" t="n">
        <f aca="false">W34*Cost_Library!$G$25*Parcel!$C$32</f>
        <v>0</v>
      </c>
      <c r="BD34" s="19" t="n">
        <f aca="false">SUM(AH34:BC34)</f>
        <v>0</v>
      </c>
      <c r="BE34" s="19" t="n">
        <f aca="false">BD34*Assumptions!$C$11</f>
        <v>0</v>
      </c>
      <c r="BF34" s="19" t="n">
        <f aca="false">BD34+BE34</f>
        <v>0</v>
      </c>
      <c r="BG34" s="19" t="n">
        <f aca="false">S34*Use_Library!$T$33</f>
        <v>0</v>
      </c>
      <c r="BH34" s="19" t="n">
        <f aca="false">BG34*(Assumptions!$C$12+Assumptions!$C$13)</f>
        <v>0</v>
      </c>
      <c r="BI34" s="19" t="n">
        <f aca="false">S34*Use_Library!$AC$33</f>
        <v>0</v>
      </c>
      <c r="BJ34" s="23" t="n">
        <f aca="false">1+Assumptions!$C$14+Assumptions!$C$15*Use_Library!$AH$33/12</f>
        <v>1.04916666666667</v>
      </c>
      <c r="BK34" s="23" t="n">
        <f aca="false">1+Assumptions!$C$21*(Assumptions!$C$22*Use_Library!$AH$33/12*Assumptions!$C$24+Assumptions!$C$23)</f>
        <v>1.0440375</v>
      </c>
      <c r="BL34" s="23" t="n">
        <f aca="false">1+Assumptions!$C$21*(Assumptions!$C$22*(Use_Library!$AH$33/12*Assumptions!$C$24+IF(Use_Library!$C$33="Income",Use_Library!$AD$33,0)/12*Assumptions!$C$25)+Assumptions!$C$23)</f>
        <v>1.0879125</v>
      </c>
      <c r="BM34" s="19" t="n">
        <f aca="false">J34*Assumptions!$C$31*(1-Assumptions!$C$17)*U34</f>
        <v>0</v>
      </c>
      <c r="BN34" s="19" t="n">
        <f aca="false">IF(Use_Library!$AJ$33=1,IF(Use_Library!$C$33="For-Sale",S34*Use_Library!$U$33,E34*Use_Library!$AF$33)*(1-Assumptions!$C$17)+BM34,0)*U34</f>
        <v>0</v>
      </c>
      <c r="BO34" s="19" t="n">
        <f aca="false">(BD34-AT34)*(1+Assumptions!$C$11)</f>
        <v>0</v>
      </c>
      <c r="BP34" s="23" t="n">
        <f aca="false">BJ34*BK34</f>
        <v>1.09536934375</v>
      </c>
      <c r="BQ34" s="19" t="n">
        <f aca="false">(Parcel!$C$18*BJ34+BO34)*BK34</f>
        <v>328610.803125</v>
      </c>
      <c r="BR34" s="19" t="n">
        <f aca="false">BN34-BQ34</f>
        <v>-328610.803125</v>
      </c>
      <c r="BS34" s="32" t="n">
        <f aca="false">IF(AND(Use_Library!$AJ$33=1,U34=1),MAX(0,((1-Use_Library!$AI$33)*BN34-BO34*BK34)/BP34),0)</f>
        <v>0</v>
      </c>
      <c r="BT34" s="19" t="n">
        <f aca="false">BF34+BG34+BH34+BI34</f>
        <v>0</v>
      </c>
      <c r="BU34" s="23" t="n">
        <f aca="false">BJ34*BL34</f>
        <v>1.14140153125</v>
      </c>
      <c r="BV34" s="19" t="n">
        <f aca="false">(Parcel!$C$18*BJ34+BT34)*BL34</f>
        <v>342420.459375</v>
      </c>
      <c r="BW34" s="19" t="n">
        <f aca="false">IF(Use_Library!$C$33="Income",S34*Use_Library!$W$33,0)</f>
        <v>0</v>
      </c>
      <c r="BX34" s="19" t="n">
        <f aca="false">BW34*(1+Use_Library!$X$33)*(1-Use_Library!$Y$33)</f>
        <v>0</v>
      </c>
      <c r="BY34" s="19" t="n">
        <f aca="false">IF(Use_Library!$C$33="Income",S34*Use_Library!$Z$33,0)</f>
        <v>0</v>
      </c>
      <c r="BZ34" s="19" t="n">
        <f aca="false">IF(Use_Library!$C$33="Income",Assumptions!$C$19*Assumptions!$C$20*BV34,0)</f>
        <v>6403.2625903125</v>
      </c>
      <c r="CA34" s="19" t="n">
        <f aca="false">BX34*Use_Library!$AA$33</f>
        <v>0</v>
      </c>
      <c r="CB34" s="19" t="n">
        <f aca="false">(BY34+BZ34)*Use_Library!$AB$33</f>
        <v>5762.93633128125</v>
      </c>
      <c r="CC34" s="19" t="n">
        <f aca="false">BX34-BY34-BZ34-CA34+CB34</f>
        <v>-640.32625903125</v>
      </c>
      <c r="CD34" s="19" t="n">
        <f aca="false">IF(AND(Use_Library!$C$33="Income",Use_Library!$AE$33&gt;0),CC34/Use_Library!$AE$33,0)</f>
        <v>-8832.08633146551</v>
      </c>
      <c r="CE34" s="24" t="n">
        <f aca="false">IF(Use_Library!$C$33="Income",-Assumptions!$C$19*Assumptions!$C$20*(1-Use_Library!$AB$33)*BU34,0)</f>
        <v>-0.0021344208634375</v>
      </c>
      <c r="CF34" s="20" t="n">
        <f aca="false">IF(BV34=0,0,CC34/BV34)</f>
        <v>-0.00187</v>
      </c>
      <c r="CG34" s="19" t="n">
        <f aca="false">IF(Use_Library!$AK$33=1,IF(Use_Library!$C$33="Income",CD34*(1-Assumptions!$C$18),S34*Use_Library!$V$33*(1-Assumptions!$C$16))+BM34,0)*U34</f>
        <v>-0</v>
      </c>
      <c r="CH34" s="24" t="n">
        <f aca="false">IF(AND(Use_Library!$AK$33=1,Use_Library!$C$33="Income",Use_Library!$AE$33&gt;0),CE34/Use_Library!$AE$33*(1-Assumptions!$C$18),0)</f>
        <v>-0.0288514820161207</v>
      </c>
      <c r="CI34" s="19" t="n">
        <f aca="false">CG34-BV34</f>
        <v>-342420.459375</v>
      </c>
      <c r="CJ34" s="32" t="n">
        <f aca="false">IF(AND(Use_Library!$AK$33=1,U34=1),MAX(0,Parcel!$C$18-((1-Use_Library!$AI$33)*CG34-BV34)/((1-Use_Library!$AI$33)*CH34-BU34)),0)</f>
        <v>0</v>
      </c>
      <c r="CK34" s="19" t="n">
        <f aca="false">IF(Use_Library!$AL$33=1,IF(Use_Library!$C$33="Income",CD34,IF(Use_Library!$AE$33&gt;0,E34*Use_Library!$AG$33/Use_Library!$AE$33,0))+BM34,0)*U34</f>
        <v>-0</v>
      </c>
      <c r="CL34" s="19" t="n">
        <f aca="false">IF(Use_Library!$C$33="Income",BT34,BF34)</f>
        <v>0</v>
      </c>
      <c r="CM34" s="23" t="n">
        <f aca="false">IF(Use_Library!$C$33="Income",BU34,BJ34*BK34)</f>
        <v>1.14140153125</v>
      </c>
      <c r="CN34" s="19" t="n">
        <f aca="false">IF(Use_Library!$C$33="Income",BV34,(Parcel!$C$18*BJ34+BF34)*BK34)</f>
        <v>342420.459375</v>
      </c>
      <c r="CO34" s="24" t="n">
        <f aca="false">IF(AND(Use_Library!$AL$33=1,Use_Library!$C$33="Income",Use_Library!$AE$33&gt;0),CE34/Use_Library!$AE$33,0)</f>
        <v>-0.0294402877715517</v>
      </c>
      <c r="CP34" s="19" t="n">
        <f aca="false">CK34-CN34</f>
        <v>-342420.459375</v>
      </c>
      <c r="CQ34" s="32" t="n">
        <f aca="false">IF(AND(Use_Library!$AL$33=1,U34=1),MAX(0,Parcel!$C$18-((1-Use_Library!$AI$33)*CK34-CN34)/((1-Use_Library!$AI$33)*CO34-CM34)),0)</f>
        <v>0</v>
      </c>
      <c r="CR34" s="19" t="n">
        <f aca="false">IF(Use_Library!$C$33="Income",Assumptions!$C$21*(Parcel!$C$18*BJ34+BT34),0)</f>
        <v>204587.5</v>
      </c>
      <c r="CS34" s="19" t="n">
        <f aca="false">IF(AND(Use_Library!$C$33="Income",CC34&gt;0),MIN(Assumptions!$C$26*CD34,PV(Assumptions!$C$29/12,Assumptions!$C$30*12,-CC34/Assumptions!$C$27/12),CC34/Assumptions!$C$28),0)</f>
        <v>0</v>
      </c>
      <c r="CT34" s="25" t="n">
        <f aca="false">IF(CS34=0,0,CC34/(-PMT(Assumptions!$C$29/12,Assumptions!$C$30*12,CS34)*12))</f>
        <v>0</v>
      </c>
      <c r="CU34" s="19" t="n">
        <f aca="false">CS34-CR34</f>
        <v>-204587.5</v>
      </c>
      <c r="CV34" s="18" t="n">
        <f aca="false">MAX(BS34,CJ34,CQ34)</f>
        <v>0</v>
      </c>
      <c r="CW34" s="9" t="str">
        <f aca="false">IF(CV34&lt;=0,"None works",IF(BS34=CV34,"Land / pad sale",IF(CJ34=CV34,"Build &amp; sell","Build &amp; hold / lease")))</f>
        <v>None works</v>
      </c>
      <c r="CX34" s="19" t="n">
        <f aca="false">CV34*(1-Assumptions!$C$32)</f>
        <v>0</v>
      </c>
      <c r="CY34" s="19" t="n">
        <f aca="false">CV34-Parcel!$C$18</f>
        <v>-300000</v>
      </c>
      <c r="CZ34" s="19" t="n">
        <f aca="false">IF(Parcel!$C$8=0,0,CV34/Parcel!$C$8)</f>
        <v>0</v>
      </c>
      <c r="DA34" s="33" t="n">
        <f aca="false">IF(S34=0,0,CV34/S34)</f>
        <v>0</v>
      </c>
      <c r="DB34" s="9" t="str">
        <f aca="false">TRIM(M34&amp;" "&amp;IF(AND(U34=0,N34=1),"Nothing fits. ","")&amp;IF(Parcel!$C$12&lt;Use_Library!$AM$33,"Frontage under "&amp;Use_Library!$AM$33&amp;" LF. ","")&amp;IF(Parcel!$C$10&gt;0.15,"Slope over 15%. ","")&amp;IF(AND(U34=1,Use_Library!$M$33&gt;0,D34&gt;Use_Library!$M$33),"Only "&amp;Use_Library!$M$33&amp;" ac used - rest resold. ",""))</f>
        <v>Traffic under 10,000 VPD. Under 6,000 households in 3 mi.</v>
      </c>
      <c r="DC34" s="19" t="n">
        <f aca="false">CV34+ROW()/1000000</f>
        <v>3.4E-005</v>
      </c>
    </row>
    <row r="35" customFormat="false" ht="15" hidden="false" customHeight="false" outlineLevel="0" collapsed="false">
      <c r="A35" s="4" t="str">
        <f aca="false">Use_Library!$A$34</f>
        <v>Salon suites</v>
      </c>
      <c r="B35" s="9" t="str">
        <f aca="false">Use_Library!$C$34</f>
        <v>Income</v>
      </c>
      <c r="C35" s="9" t="str">
        <f aca="false">Use_Library!$D$34</f>
        <v>bldg SF</v>
      </c>
      <c r="D35" s="14" t="n">
        <f aca="false">MAX(0,Parcel!$C$26*(1-Use_Library!$N$34-Assumptions!$C$7))</f>
        <v>13.728</v>
      </c>
      <c r="E35" s="14" t="n">
        <f aca="false">IF(Use_Library!$M$34&gt;0,MIN(D35,Use_Library!$M$34),D35)</f>
        <v>1.5</v>
      </c>
      <c r="F35" s="20" t="n">
        <f aca="false">IF(D35=0,0,E35/D35)</f>
        <v>0.109265734265734</v>
      </c>
      <c r="G35" s="14" t="n">
        <f aca="false">Parcel!$C$26*F35</f>
        <v>1.70454545454545</v>
      </c>
      <c r="H35" s="14" t="n">
        <f aca="false">G35*Assumptions!$C$7</f>
        <v>0.0681818181818182</v>
      </c>
      <c r="I35" s="14" t="n">
        <f aca="false">G35*(1-Use_Library!$N$34)</f>
        <v>1.56818181818182</v>
      </c>
      <c r="J35" s="14" t="n">
        <f aca="false">Parcel!$C$8*(1-F35)</f>
        <v>17.8146853146853</v>
      </c>
      <c r="K35" s="15" t="n">
        <f aca="false">IF(AND(Use_Library!$I$34="Y",Parcel!$C$28=0),0,1)</f>
        <v>1</v>
      </c>
      <c r="L35" s="15" t="n">
        <f aca="false">IF(AND(Use_Library!$J$34="Y",Parcel!$C$27=0),0,1)</f>
        <v>1</v>
      </c>
      <c r="M35" s="9" t="str">
        <f aca="false">TRIM(IF(AND(Use_Library!$AN$34&gt;0,Parcel!$C$19&lt;Use_Library!$AN$34),"Traffic under "&amp;TEXT(Use_Library!$AN$34,"#,##0")&amp;" VPD. ","")&amp;IF(AND(Use_Library!$AO$34&gt;0,Parcel!$C$20&lt;Use_Library!$AO$34),"Under "&amp;TEXT(Use_Library!$AO$34,"#,##0")&amp;" households in 3 mi. ","")&amp;IF(AND(Use_Library!$AP$34&gt;0,Parcel!$C$21&gt;Use_Library!$AP$34),"Over "&amp;Use_Library!$AP$34&amp;" mi to highway. ","")&amp;IF(AND(Use_Library!$AQ$34="Y",Parcel!$C$22&lt;&gt;"Y"),"Needs a corner. ","")&amp;IF(AND(Use_Library!$AR$34&gt;0,Parcel!$C$23&gt;Use_Library!$AR$34),"Over "&amp;Use_Library!$AR$34&amp;" mi to substation. ",""))</f>
        <v>Under 8,000 households in 3 mi.</v>
      </c>
      <c r="N35" s="15" t="n">
        <f aca="false">IF(M35="",1,0)</f>
        <v>0</v>
      </c>
      <c r="O35" s="15" t="n">
        <f aca="false">IF(D35&gt;=Use_Library!$L$34,1,0)</f>
        <v>1</v>
      </c>
      <c r="P35" s="14" t="n">
        <f aca="false">IF(Use_Library!$F$34&gt;0,G35*Use_Library!$F$34,1000000000)</f>
        <v>1000000000</v>
      </c>
      <c r="Q35" s="14" t="n">
        <f aca="false">IF(Use_Library!$G$34&gt;0,E35*43560/Use_Library!$G$34,1000000000)</f>
        <v>16335</v>
      </c>
      <c r="R35" s="14" t="n">
        <f aca="false">IF(AND(Use_Library!$H$34="Y",Parcel!$C$28=0),E35*(1-Assumptions!$C$8)/IF(Parcel!$C$27=1,Assumptions!$C$9,Assumptions!$C$10),1000000000)</f>
        <v>1000000000</v>
      </c>
      <c r="S35" s="21" t="n">
        <f aca="false">IF(K35*L35*O35*N35=0,0,IF(MIN(P35,Q35,R35)&gt;=1000000000,E35,IF(Use_Library!$E$34="Y",INT(MIN(P35,Q35,R35)),MIN(P35,Q35,R35))))</f>
        <v>0</v>
      </c>
      <c r="T35" s="9" t="str">
        <f aca="false">IF(N35=0,"Location fails",IF(O35=0,"Too small - needs "&amp;Use_Library!$L$34&amp;" usable ac",IF(K35=0,"Needs public sewer",IF(L35=0,"Needs public water",IF(R35&lt;=MIN(P35,Q35),"Septic lot size",IF(Q35&lt;=P35,"Site area / parking","Density"))))))</f>
        <v>Location fails</v>
      </c>
      <c r="U35" s="15" t="n">
        <f aca="false">IF(S35&gt;0,1,0)</f>
        <v>0</v>
      </c>
      <c r="V35" s="15" t="n">
        <f aca="false">IF(Use_Library!$K$34="Y",1,0)*U35</f>
        <v>0</v>
      </c>
      <c r="W35" s="15" t="n">
        <f aca="false">S35*Use_Library!$O$34*V35</f>
        <v>0</v>
      </c>
      <c r="X35" s="15" t="n">
        <f aca="false">S35*Use_Library!$P$34*V35</f>
        <v>0</v>
      </c>
      <c r="Y35" s="15" t="n">
        <f aca="false">IF(Parcel!$C$27=1,W35+Parcel!$C$29,0)*V35</f>
        <v>0</v>
      </c>
      <c r="Z35" s="14" t="n">
        <f aca="false">S35*Use_Library!$Q$34*Parcel!$C$27*V35</f>
        <v>0</v>
      </c>
      <c r="AA35" s="15" t="n">
        <f aca="false">IF(Parcel!$C$28=1,W35+Parcel!$C$30,0)*V35</f>
        <v>0</v>
      </c>
      <c r="AB35" s="14" t="n">
        <f aca="false">S35*Use_Library!$Q$34*Parcel!$C$28*V35</f>
        <v>0</v>
      </c>
      <c r="AC35" s="14" t="n">
        <f aca="false">IF(Parcel!$C$28=0,S35*Use_Library!$R$34,0)*V35</f>
        <v>0</v>
      </c>
      <c r="AD35" s="14" t="n">
        <f aca="false">IF(Parcel!$C$27=0,S35*Use_Library!$R$34,0)*V35</f>
        <v>0</v>
      </c>
      <c r="AE35" s="14" t="n">
        <f aca="false">I35*Parcel!$C$11*V35</f>
        <v>0</v>
      </c>
      <c r="AF35" s="14" t="n">
        <f aca="false">I35*V35</f>
        <v>0</v>
      </c>
      <c r="AG35" s="15" t="n">
        <f aca="false">IF(Use_Library!$C$34="For-Sale",IF(Use_Library!$E$34="Y",S35,1),1)*U35</f>
        <v>0</v>
      </c>
      <c r="AH35" s="19" t="n">
        <f aca="false">Cost_Library!$G$5*Parcel!$C$32*U35</f>
        <v>0</v>
      </c>
      <c r="AI35" s="19" t="n">
        <f aca="false">AG35*Cost_Library!$G$6*Parcel!$C$32</f>
        <v>0</v>
      </c>
      <c r="AJ35" s="19" t="n">
        <f aca="false">I35*Cost_Library!$G$7*Parcel!$C$32*V35</f>
        <v>0</v>
      </c>
      <c r="AK35" s="19" t="n">
        <f aca="false">Cost_Library!$G$8*Parcel!$C$32*V35</f>
        <v>0</v>
      </c>
      <c r="AL35" s="19" t="n">
        <f aca="false">AC35*Cost_Library!$G$9*Parcel!$C$32</f>
        <v>0</v>
      </c>
      <c r="AM35" s="19" t="n">
        <f aca="false">Cost_Library!$G$10*U35</f>
        <v>0</v>
      </c>
      <c r="AN35" s="19" t="n">
        <f aca="false">Cost_Library!$G$11*Parcel!$C$32*V35</f>
        <v>0</v>
      </c>
      <c r="AO35" s="19" t="n">
        <f aca="false">Use_Library!$S$34*U35</f>
        <v>0</v>
      </c>
      <c r="AP35" s="19" t="n">
        <f aca="false">Cost_Library!$G$12*U35</f>
        <v>0</v>
      </c>
      <c r="AQ35" s="19" t="n">
        <f aca="false">AE35*Cost_Library!$G$13*Parcel!$C$32</f>
        <v>0</v>
      </c>
      <c r="AR35" s="19" t="n">
        <f aca="false">AF35*Cost_Library!$G$14*Parcel!$C$32*Parcel!$C$33</f>
        <v>0</v>
      </c>
      <c r="AS35" s="19" t="n">
        <f aca="false">W35*Cost_Library!$G$15*Parcel!$C$32</f>
        <v>0</v>
      </c>
      <c r="AT35" s="19" t="n">
        <f aca="false">X35*Cost_Library!$G$16*Parcel!$C$32</f>
        <v>0</v>
      </c>
      <c r="AU35" s="19" t="n">
        <f aca="false">H35*Cost_Library!$G$17*Parcel!$C$32*V35</f>
        <v>0</v>
      </c>
      <c r="AV35" s="19" t="n">
        <f aca="false">G35*Cost_Library!$G$18*Parcel!$C$32*V35</f>
        <v>0</v>
      </c>
      <c r="AW35" s="19" t="n">
        <f aca="false">Y35*Cost_Library!$G$19*Parcel!$C$32</f>
        <v>0</v>
      </c>
      <c r="AX35" s="19" t="n">
        <f aca="false">Z35*Cost_Library!$G$20</f>
        <v>0</v>
      </c>
      <c r="AY35" s="19" t="n">
        <f aca="false">AA35*Cost_Library!$G$21*Parcel!$C$32</f>
        <v>0</v>
      </c>
      <c r="AZ35" s="19" t="n">
        <f aca="false">AB35*Cost_Library!$G$22</f>
        <v>0</v>
      </c>
      <c r="BA35" s="19" t="n">
        <f aca="false">AC35*Cost_Library!$G$23*Parcel!$C$32*Parcel!$C$34</f>
        <v>0</v>
      </c>
      <c r="BB35" s="19" t="n">
        <f aca="false">AD35*Cost_Library!$G$24*Parcel!$C$32</f>
        <v>0</v>
      </c>
      <c r="BC35" s="19" t="n">
        <f aca="false">W35*Cost_Library!$G$25*Parcel!$C$32</f>
        <v>0</v>
      </c>
      <c r="BD35" s="19" t="n">
        <f aca="false">SUM(AH35:BC35)</f>
        <v>0</v>
      </c>
      <c r="BE35" s="19" t="n">
        <f aca="false">BD35*Assumptions!$C$11</f>
        <v>0</v>
      </c>
      <c r="BF35" s="19" t="n">
        <f aca="false">BD35+BE35</f>
        <v>0</v>
      </c>
      <c r="BG35" s="19" t="n">
        <f aca="false">S35*Use_Library!$T$34</f>
        <v>0</v>
      </c>
      <c r="BH35" s="19" t="n">
        <f aca="false">BG35*(Assumptions!$C$12+Assumptions!$C$13)</f>
        <v>0</v>
      </c>
      <c r="BI35" s="19" t="n">
        <f aca="false">S35*Use_Library!$AC$34</f>
        <v>0</v>
      </c>
      <c r="BJ35" s="23" t="n">
        <f aca="false">1+Assumptions!$C$14+Assumptions!$C$15*Use_Library!$AH$34/12</f>
        <v>1.04916666666667</v>
      </c>
      <c r="BK35" s="23" t="n">
        <f aca="false">1+Assumptions!$C$21*(Assumptions!$C$22*Use_Library!$AH$34/12*Assumptions!$C$24+Assumptions!$C$23)</f>
        <v>1.0440375</v>
      </c>
      <c r="BL35" s="23" t="n">
        <f aca="false">1+Assumptions!$C$21*(Assumptions!$C$22*(Use_Library!$AH$34/12*Assumptions!$C$24+IF(Use_Library!$C$34="Income",Use_Library!$AD$34,0)/12*Assumptions!$C$25)+Assumptions!$C$23)</f>
        <v>1.0732875</v>
      </c>
      <c r="BM35" s="19" t="n">
        <f aca="false">J35*Assumptions!$C$31*(1-Assumptions!$C$17)*U35</f>
        <v>0</v>
      </c>
      <c r="BN35" s="19" t="n">
        <f aca="false">IF(Use_Library!$AJ$34=1,IF(Use_Library!$C$34="For-Sale",S35*Use_Library!$U$34,E35*Use_Library!$AF$34)*(1-Assumptions!$C$17)+BM35,0)*U35</f>
        <v>0</v>
      </c>
      <c r="BO35" s="19" t="n">
        <f aca="false">(BD35-AT35)*(1+Assumptions!$C$11)</f>
        <v>0</v>
      </c>
      <c r="BP35" s="23" t="n">
        <f aca="false">BJ35*BK35</f>
        <v>1.09536934375</v>
      </c>
      <c r="BQ35" s="19" t="n">
        <f aca="false">(Parcel!$C$18*BJ35+BO35)*BK35</f>
        <v>328610.803125</v>
      </c>
      <c r="BR35" s="19" t="n">
        <f aca="false">BN35-BQ35</f>
        <v>-328610.803125</v>
      </c>
      <c r="BS35" s="32" t="n">
        <f aca="false">IF(AND(Use_Library!$AJ$34=1,U35=1),MAX(0,((1-Use_Library!$AI$34)*BN35-BO35*BK35)/BP35),0)</f>
        <v>0</v>
      </c>
      <c r="BT35" s="19" t="n">
        <f aca="false">BF35+BG35+BH35+BI35</f>
        <v>0</v>
      </c>
      <c r="BU35" s="23" t="n">
        <f aca="false">BJ35*BL35</f>
        <v>1.12605746875</v>
      </c>
      <c r="BV35" s="19" t="n">
        <f aca="false">(Parcel!$C$18*BJ35+BT35)*BL35</f>
        <v>337817.240625</v>
      </c>
      <c r="BW35" s="19" t="n">
        <f aca="false">IF(Use_Library!$C$34="Income",S35*Use_Library!$W$34,0)</f>
        <v>0</v>
      </c>
      <c r="BX35" s="19" t="n">
        <f aca="false">BW35*(1+Use_Library!$X$34)*(1-Use_Library!$Y$34)</f>
        <v>0</v>
      </c>
      <c r="BY35" s="19" t="n">
        <f aca="false">IF(Use_Library!$C$34="Income",S35*Use_Library!$Z$34,0)</f>
        <v>0</v>
      </c>
      <c r="BZ35" s="19" t="n">
        <f aca="false">IF(Use_Library!$C$34="Income",Assumptions!$C$19*Assumptions!$C$20*BV35,0)</f>
        <v>6317.1823996875</v>
      </c>
      <c r="CA35" s="19" t="n">
        <f aca="false">BX35*Use_Library!$AA$34</f>
        <v>0</v>
      </c>
      <c r="CB35" s="19" t="n">
        <f aca="false">(BY35+BZ35)*Use_Library!$AB$34</f>
        <v>0</v>
      </c>
      <c r="CC35" s="19" t="n">
        <f aca="false">BX35-BY35-BZ35-CA35+CB35</f>
        <v>-6317.1823996875</v>
      </c>
      <c r="CD35" s="19" t="n">
        <f aca="false">IF(AND(Use_Library!$C$34="Income",Use_Library!$AE$34&gt;0),CC35/Use_Library!$AE$34,0)</f>
        <v>-84229.0986625</v>
      </c>
      <c r="CE35" s="24" t="n">
        <f aca="false">IF(Use_Library!$C$34="Income",-Assumptions!$C$19*Assumptions!$C$20*(1-Use_Library!$AB$34)*BU35,0)</f>
        <v>-0.021057274665625</v>
      </c>
      <c r="CF35" s="20" t="n">
        <f aca="false">IF(BV35=0,0,CC35/BV35)</f>
        <v>-0.0187</v>
      </c>
      <c r="CG35" s="19" t="n">
        <f aca="false">IF(Use_Library!$AK$34=1,IF(Use_Library!$C$34="Income",CD35*(1-Assumptions!$C$18),S35*Use_Library!$V$34*(1-Assumptions!$C$16))+BM35,0)*U35</f>
        <v>-0</v>
      </c>
      <c r="CH35" s="24" t="n">
        <f aca="false">IF(AND(Use_Library!$AK$34=1,Use_Library!$C$34="Income",Use_Library!$AE$34&gt;0),CE35/Use_Library!$AE$34*(1-Assumptions!$C$18),0)</f>
        <v>-0.275148388964167</v>
      </c>
      <c r="CI35" s="19" t="n">
        <f aca="false">CG35-BV35</f>
        <v>-337817.240625</v>
      </c>
      <c r="CJ35" s="32" t="n">
        <f aca="false">IF(AND(Use_Library!$AK$34=1,U35=1),MAX(0,Parcel!$C$18-((1-Use_Library!$AI$34)*CG35-BV35)/((1-Use_Library!$AI$34)*CH35-BU35)),0)</f>
        <v>0</v>
      </c>
      <c r="CK35" s="19" t="n">
        <f aca="false">IF(Use_Library!$AL$34=1,IF(Use_Library!$C$34="Income",CD35,IF(Use_Library!$AE$34&gt;0,E35*Use_Library!$AG$34/Use_Library!$AE$34,0))+BM35,0)*U35</f>
        <v>-0</v>
      </c>
      <c r="CL35" s="19" t="n">
        <f aca="false">IF(Use_Library!$C$34="Income",BT35,BF35)</f>
        <v>0</v>
      </c>
      <c r="CM35" s="23" t="n">
        <f aca="false">IF(Use_Library!$C$34="Income",BU35,BJ35*BK35)</f>
        <v>1.12605746875</v>
      </c>
      <c r="CN35" s="19" t="n">
        <f aca="false">IF(Use_Library!$C$34="Income",BV35,(Parcel!$C$18*BJ35+BF35)*BK35)</f>
        <v>337817.240625</v>
      </c>
      <c r="CO35" s="24" t="n">
        <f aca="false">IF(AND(Use_Library!$AL$34=1,Use_Library!$C$34="Income",Use_Library!$AE$34&gt;0),CE35/Use_Library!$AE$34,0)</f>
        <v>-0.280763662208333</v>
      </c>
      <c r="CP35" s="19" t="n">
        <f aca="false">CK35-CN35</f>
        <v>-337817.240625</v>
      </c>
      <c r="CQ35" s="32" t="n">
        <f aca="false">IF(AND(Use_Library!$AL$34=1,U35=1),MAX(0,Parcel!$C$18-((1-Use_Library!$AI$34)*CK35-CN35)/((1-Use_Library!$AI$34)*CO35-CM35)),0)</f>
        <v>0</v>
      </c>
      <c r="CR35" s="19" t="n">
        <f aca="false">IF(Use_Library!$C$34="Income",Assumptions!$C$21*(Parcel!$C$18*BJ35+BT35),0)</f>
        <v>204587.5</v>
      </c>
      <c r="CS35" s="19" t="n">
        <f aca="false">IF(AND(Use_Library!$C$34="Income",CC35&gt;0),MIN(Assumptions!$C$26*CD35,PV(Assumptions!$C$29/12,Assumptions!$C$30*12,-CC35/Assumptions!$C$27/12),CC35/Assumptions!$C$28),0)</f>
        <v>0</v>
      </c>
      <c r="CT35" s="25" t="n">
        <f aca="false">IF(CS35=0,0,CC35/(-PMT(Assumptions!$C$29/12,Assumptions!$C$30*12,CS35)*12))</f>
        <v>0</v>
      </c>
      <c r="CU35" s="19" t="n">
        <f aca="false">CS35-CR35</f>
        <v>-204587.5</v>
      </c>
      <c r="CV35" s="18" t="n">
        <f aca="false">MAX(BS35,CJ35,CQ35)</f>
        <v>0</v>
      </c>
      <c r="CW35" s="9" t="str">
        <f aca="false">IF(CV35&lt;=0,"None works",IF(BS35=CV35,"Land / pad sale",IF(CJ35=CV35,"Build &amp; sell","Build &amp; hold / lease")))</f>
        <v>None works</v>
      </c>
      <c r="CX35" s="19" t="n">
        <f aca="false">CV35*(1-Assumptions!$C$32)</f>
        <v>0</v>
      </c>
      <c r="CY35" s="19" t="n">
        <f aca="false">CV35-Parcel!$C$18</f>
        <v>-300000</v>
      </c>
      <c r="CZ35" s="19" t="n">
        <f aca="false">IF(Parcel!$C$8=0,0,CV35/Parcel!$C$8)</f>
        <v>0</v>
      </c>
      <c r="DA35" s="33" t="n">
        <f aca="false">IF(S35=0,0,CV35/S35)</f>
        <v>0</v>
      </c>
      <c r="DB35" s="9" t="str">
        <f aca="false">TRIM(M35&amp;" "&amp;IF(AND(U35=0,N35=1),"Nothing fits. ","")&amp;IF(Parcel!$C$12&lt;Use_Library!$AM$34,"Frontage under "&amp;Use_Library!$AM$34&amp;" LF. ","")&amp;IF(Parcel!$C$10&gt;0.15,"Slope over 15%. ","")&amp;IF(AND(U35=1,Use_Library!$M$34&gt;0,D35&gt;Use_Library!$M$34),"Only "&amp;Use_Library!$M$34&amp;" ac used - rest resold. ",""))</f>
        <v>Under 8,000 households in 3 mi.</v>
      </c>
      <c r="DC35" s="19" t="n">
        <f aca="false">CV35+ROW()/1000000</f>
        <v>3.5E-005</v>
      </c>
    </row>
    <row r="36" customFormat="false" ht="15" hidden="false" customHeight="false" outlineLevel="0" collapsed="false">
      <c r="A36" s="4" t="str">
        <f aca="false">Use_Library!$A$35</f>
        <v>Auto service / tire / oil pad</v>
      </c>
      <c r="B36" s="9" t="str">
        <f aca="false">Use_Library!$C$35</f>
        <v>Income</v>
      </c>
      <c r="C36" s="9" t="str">
        <f aca="false">Use_Library!$D$35</f>
        <v>bldg SF</v>
      </c>
      <c r="D36" s="14" t="n">
        <f aca="false">MAX(0,Parcel!$C$26*(1-Use_Library!$N$35-Assumptions!$C$7))</f>
        <v>13.728</v>
      </c>
      <c r="E36" s="14" t="n">
        <f aca="false">IF(Use_Library!$M$35&gt;0,MIN(D36,Use_Library!$M$35),D36)</f>
        <v>1.5</v>
      </c>
      <c r="F36" s="20" t="n">
        <f aca="false">IF(D36=0,0,E36/D36)</f>
        <v>0.109265734265734</v>
      </c>
      <c r="G36" s="14" t="n">
        <f aca="false">Parcel!$C$26*F36</f>
        <v>1.70454545454545</v>
      </c>
      <c r="H36" s="14" t="n">
        <f aca="false">G36*Assumptions!$C$7</f>
        <v>0.0681818181818182</v>
      </c>
      <c r="I36" s="14" t="n">
        <f aca="false">G36*(1-Use_Library!$N$35)</f>
        <v>1.56818181818182</v>
      </c>
      <c r="J36" s="14" t="n">
        <f aca="false">Parcel!$C$8*(1-F36)</f>
        <v>17.8146853146853</v>
      </c>
      <c r="K36" s="15" t="n">
        <f aca="false">IF(AND(Use_Library!$I$35="Y",Parcel!$C$28=0),0,1)</f>
        <v>1</v>
      </c>
      <c r="L36" s="15" t="n">
        <f aca="false">IF(AND(Use_Library!$J$35="Y",Parcel!$C$27=0),0,1)</f>
        <v>1</v>
      </c>
      <c r="M36" s="9" t="str">
        <f aca="false">TRIM(IF(AND(Use_Library!$AN$35&gt;0,Parcel!$C$19&lt;Use_Library!$AN$35),"Traffic under "&amp;TEXT(Use_Library!$AN$35,"#,##0")&amp;" VPD. ","")&amp;IF(AND(Use_Library!$AO$35&gt;0,Parcel!$C$20&lt;Use_Library!$AO$35),"Under "&amp;TEXT(Use_Library!$AO$35,"#,##0")&amp;" households in 3 mi. ","")&amp;IF(AND(Use_Library!$AP$35&gt;0,Parcel!$C$21&gt;Use_Library!$AP$35),"Over "&amp;Use_Library!$AP$35&amp;" mi to highway. ","")&amp;IF(AND(Use_Library!$AQ$35="Y",Parcel!$C$22&lt;&gt;"Y"),"Needs a corner. ","")&amp;IF(AND(Use_Library!$AR$35&gt;0,Parcel!$C$23&gt;Use_Library!$AR$35),"Over "&amp;Use_Library!$AR$35&amp;" mi to substation. ",""))</f>
        <v>Traffic under 10,000 VPD. Under 5,000 households in 3 mi.</v>
      </c>
      <c r="N36" s="15" t="n">
        <f aca="false">IF(M36="",1,0)</f>
        <v>0</v>
      </c>
      <c r="O36" s="15" t="n">
        <f aca="false">IF(D36&gt;=Use_Library!$L$35,1,0)</f>
        <v>1</v>
      </c>
      <c r="P36" s="14" t="n">
        <f aca="false">IF(Use_Library!$F$35&gt;0,G36*Use_Library!$F$35,1000000000)</f>
        <v>1000000000</v>
      </c>
      <c r="Q36" s="14" t="n">
        <f aca="false">IF(Use_Library!$G$35&gt;0,E36*43560/Use_Library!$G$35,1000000000)</f>
        <v>9800.50997450128</v>
      </c>
      <c r="R36" s="14" t="n">
        <f aca="false">IF(AND(Use_Library!$H$35="Y",Parcel!$C$28=0),E36*(1-Assumptions!$C$8)/IF(Parcel!$C$27=1,Assumptions!$C$9,Assumptions!$C$10),1000000000)</f>
        <v>1000000000</v>
      </c>
      <c r="S36" s="21" t="n">
        <f aca="false">IF(K36*L36*O36*N36=0,0,IF(MIN(P36,Q36,R36)&gt;=1000000000,E36,IF(Use_Library!$E$35="Y",INT(MIN(P36,Q36,R36)),MIN(P36,Q36,R36))))</f>
        <v>0</v>
      </c>
      <c r="T36" s="9" t="str">
        <f aca="false">IF(N36=0,"Location fails",IF(O36=0,"Too small - needs "&amp;Use_Library!$L$35&amp;" usable ac",IF(K36=0,"Needs public sewer",IF(L36=0,"Needs public water",IF(R36&lt;=MIN(P36,Q36),"Septic lot size",IF(Q36&lt;=P36,"Site area / parking","Density"))))))</f>
        <v>Location fails</v>
      </c>
      <c r="U36" s="15" t="n">
        <f aca="false">IF(S36&gt;0,1,0)</f>
        <v>0</v>
      </c>
      <c r="V36" s="15" t="n">
        <f aca="false">IF(Use_Library!$K$35="Y",1,0)*U36</f>
        <v>0</v>
      </c>
      <c r="W36" s="15" t="n">
        <f aca="false">S36*Use_Library!$O$35*V36</f>
        <v>0</v>
      </c>
      <c r="X36" s="15" t="n">
        <f aca="false">S36*Use_Library!$P$35*V36</f>
        <v>0</v>
      </c>
      <c r="Y36" s="15" t="n">
        <f aca="false">IF(Parcel!$C$27=1,W36+Parcel!$C$29,0)*V36</f>
        <v>0</v>
      </c>
      <c r="Z36" s="14" t="n">
        <f aca="false">S36*Use_Library!$Q$35*Parcel!$C$27*V36</f>
        <v>0</v>
      </c>
      <c r="AA36" s="15" t="n">
        <f aca="false">IF(Parcel!$C$28=1,W36+Parcel!$C$30,0)*V36</f>
        <v>0</v>
      </c>
      <c r="AB36" s="14" t="n">
        <f aca="false">S36*Use_Library!$Q$35*Parcel!$C$28*V36</f>
        <v>0</v>
      </c>
      <c r="AC36" s="14" t="n">
        <f aca="false">IF(Parcel!$C$28=0,S36*Use_Library!$R$35,0)*V36</f>
        <v>0</v>
      </c>
      <c r="AD36" s="14" t="n">
        <f aca="false">IF(Parcel!$C$27=0,S36*Use_Library!$R$35,0)*V36</f>
        <v>0</v>
      </c>
      <c r="AE36" s="14" t="n">
        <f aca="false">I36*Parcel!$C$11*V36</f>
        <v>0</v>
      </c>
      <c r="AF36" s="14" t="n">
        <f aca="false">I36*V36</f>
        <v>0</v>
      </c>
      <c r="AG36" s="15" t="n">
        <f aca="false">IF(Use_Library!$C$35="For-Sale",IF(Use_Library!$E$35="Y",S36,1),1)*U36</f>
        <v>0</v>
      </c>
      <c r="AH36" s="19" t="n">
        <f aca="false">Cost_Library!$G$5*Parcel!$C$32*U36</f>
        <v>0</v>
      </c>
      <c r="AI36" s="19" t="n">
        <f aca="false">AG36*Cost_Library!$G$6*Parcel!$C$32</f>
        <v>0</v>
      </c>
      <c r="AJ36" s="19" t="n">
        <f aca="false">I36*Cost_Library!$G$7*Parcel!$C$32*V36</f>
        <v>0</v>
      </c>
      <c r="AK36" s="19" t="n">
        <f aca="false">Cost_Library!$G$8*Parcel!$C$32*V36</f>
        <v>0</v>
      </c>
      <c r="AL36" s="19" t="n">
        <f aca="false">AC36*Cost_Library!$G$9*Parcel!$C$32</f>
        <v>0</v>
      </c>
      <c r="AM36" s="19" t="n">
        <f aca="false">Cost_Library!$G$10*U36</f>
        <v>0</v>
      </c>
      <c r="AN36" s="19" t="n">
        <f aca="false">Cost_Library!$G$11*Parcel!$C$32*V36</f>
        <v>0</v>
      </c>
      <c r="AO36" s="19" t="n">
        <f aca="false">Use_Library!$S$35*U36</f>
        <v>0</v>
      </c>
      <c r="AP36" s="19" t="n">
        <f aca="false">Cost_Library!$G$12*U36</f>
        <v>0</v>
      </c>
      <c r="AQ36" s="19" t="n">
        <f aca="false">AE36*Cost_Library!$G$13*Parcel!$C$32</f>
        <v>0</v>
      </c>
      <c r="AR36" s="19" t="n">
        <f aca="false">AF36*Cost_Library!$G$14*Parcel!$C$32*Parcel!$C$33</f>
        <v>0</v>
      </c>
      <c r="AS36" s="19" t="n">
        <f aca="false">W36*Cost_Library!$G$15*Parcel!$C$32</f>
        <v>0</v>
      </c>
      <c r="AT36" s="19" t="n">
        <f aca="false">X36*Cost_Library!$G$16*Parcel!$C$32</f>
        <v>0</v>
      </c>
      <c r="AU36" s="19" t="n">
        <f aca="false">H36*Cost_Library!$G$17*Parcel!$C$32*V36</f>
        <v>0</v>
      </c>
      <c r="AV36" s="19" t="n">
        <f aca="false">G36*Cost_Library!$G$18*Parcel!$C$32*V36</f>
        <v>0</v>
      </c>
      <c r="AW36" s="19" t="n">
        <f aca="false">Y36*Cost_Library!$G$19*Parcel!$C$32</f>
        <v>0</v>
      </c>
      <c r="AX36" s="19" t="n">
        <f aca="false">Z36*Cost_Library!$G$20</f>
        <v>0</v>
      </c>
      <c r="AY36" s="19" t="n">
        <f aca="false">AA36*Cost_Library!$G$21*Parcel!$C$32</f>
        <v>0</v>
      </c>
      <c r="AZ36" s="19" t="n">
        <f aca="false">AB36*Cost_Library!$G$22</f>
        <v>0</v>
      </c>
      <c r="BA36" s="19" t="n">
        <f aca="false">AC36*Cost_Library!$G$23*Parcel!$C$32*Parcel!$C$34</f>
        <v>0</v>
      </c>
      <c r="BB36" s="19" t="n">
        <f aca="false">AD36*Cost_Library!$G$24*Parcel!$C$32</f>
        <v>0</v>
      </c>
      <c r="BC36" s="19" t="n">
        <f aca="false">W36*Cost_Library!$G$25*Parcel!$C$32</f>
        <v>0</v>
      </c>
      <c r="BD36" s="19" t="n">
        <f aca="false">SUM(AH36:BC36)</f>
        <v>0</v>
      </c>
      <c r="BE36" s="19" t="n">
        <f aca="false">BD36*Assumptions!$C$11</f>
        <v>0</v>
      </c>
      <c r="BF36" s="19" t="n">
        <f aca="false">BD36+BE36</f>
        <v>0</v>
      </c>
      <c r="BG36" s="19" t="n">
        <f aca="false">S36*Use_Library!$T$35</f>
        <v>0</v>
      </c>
      <c r="BH36" s="19" t="n">
        <f aca="false">BG36*(Assumptions!$C$12+Assumptions!$C$13)</f>
        <v>0</v>
      </c>
      <c r="BI36" s="19" t="n">
        <f aca="false">S36*Use_Library!$AC$35</f>
        <v>0</v>
      </c>
      <c r="BJ36" s="23" t="n">
        <f aca="false">1+Assumptions!$C$14+Assumptions!$C$15*Use_Library!$AH$35/12</f>
        <v>1.04916666666667</v>
      </c>
      <c r="BK36" s="23" t="n">
        <f aca="false">1+Assumptions!$C$21*(Assumptions!$C$22*Use_Library!$AH$35/12*Assumptions!$C$24+Assumptions!$C$23)</f>
        <v>1.0440375</v>
      </c>
      <c r="BL36" s="23" t="n">
        <f aca="false">1+Assumptions!$C$21*(Assumptions!$C$22*(Use_Library!$AH$35/12*Assumptions!$C$24+IF(Use_Library!$C$35="Income",Use_Library!$AD$35,0)/12*Assumptions!$C$25)+Assumptions!$C$23)</f>
        <v>1.05135</v>
      </c>
      <c r="BM36" s="19" t="n">
        <f aca="false">J36*Assumptions!$C$31*(1-Assumptions!$C$17)*U36</f>
        <v>0</v>
      </c>
      <c r="BN36" s="19" t="n">
        <f aca="false">IF(Use_Library!$AJ$35=1,IF(Use_Library!$C$35="For-Sale",S36*Use_Library!$U$35,E36*Use_Library!$AF$35)*(1-Assumptions!$C$17)+BM36,0)*U36</f>
        <v>0</v>
      </c>
      <c r="BO36" s="19" t="n">
        <f aca="false">(BD36-AT36)*(1+Assumptions!$C$11)</f>
        <v>0</v>
      </c>
      <c r="BP36" s="23" t="n">
        <f aca="false">BJ36*BK36</f>
        <v>1.09536934375</v>
      </c>
      <c r="BQ36" s="19" t="n">
        <f aca="false">(Parcel!$C$18*BJ36+BO36)*BK36</f>
        <v>328610.803125</v>
      </c>
      <c r="BR36" s="19" t="n">
        <f aca="false">BN36-BQ36</f>
        <v>-328610.803125</v>
      </c>
      <c r="BS36" s="32" t="n">
        <f aca="false">IF(AND(Use_Library!$AJ$35=1,U36=1),MAX(0,((1-Use_Library!$AI$35)*BN36-BO36*BK36)/BP36),0)</f>
        <v>0</v>
      </c>
      <c r="BT36" s="19" t="n">
        <f aca="false">BF36+BG36+BH36+BI36</f>
        <v>0</v>
      </c>
      <c r="BU36" s="23" t="n">
        <f aca="false">BJ36*BL36</f>
        <v>1.103041375</v>
      </c>
      <c r="BV36" s="19" t="n">
        <f aca="false">(Parcel!$C$18*BJ36+BT36)*BL36</f>
        <v>330912.4125</v>
      </c>
      <c r="BW36" s="19" t="n">
        <f aca="false">IF(Use_Library!$C$35="Income",S36*Use_Library!$W$35,0)</f>
        <v>0</v>
      </c>
      <c r="BX36" s="19" t="n">
        <f aca="false">BW36*(1+Use_Library!$X$35)*(1-Use_Library!$Y$35)</f>
        <v>0</v>
      </c>
      <c r="BY36" s="19" t="n">
        <f aca="false">IF(Use_Library!$C$35="Income",S36*Use_Library!$Z$35,0)</f>
        <v>0</v>
      </c>
      <c r="BZ36" s="19" t="n">
        <f aca="false">IF(Use_Library!$C$35="Income",Assumptions!$C$19*Assumptions!$C$20*BV36,0)</f>
        <v>6188.06211375</v>
      </c>
      <c r="CA36" s="19" t="n">
        <f aca="false">BX36*Use_Library!$AA$35</f>
        <v>0</v>
      </c>
      <c r="CB36" s="19" t="n">
        <f aca="false">(BY36+BZ36)*Use_Library!$AB$35</f>
        <v>6188.06211375</v>
      </c>
      <c r="CC36" s="19" t="n">
        <f aca="false">BX36-BY36-BZ36-CA36+CB36</f>
        <v>0</v>
      </c>
      <c r="CD36" s="19" t="n">
        <f aca="false">IF(AND(Use_Library!$C$35="Income",Use_Library!$AE$35&gt;0),CC36/Use_Library!$AE$35,0)</f>
        <v>0</v>
      </c>
      <c r="CE36" s="24" t="n">
        <f aca="false">IF(Use_Library!$C$35="Income",-Assumptions!$C$19*Assumptions!$C$20*(1-Use_Library!$AB$35)*BU36,0)</f>
        <v>-0</v>
      </c>
      <c r="CF36" s="20" t="n">
        <f aca="false">IF(BV36=0,0,CC36/BV36)</f>
        <v>0</v>
      </c>
      <c r="CG36" s="19" t="n">
        <f aca="false">IF(Use_Library!$AK$35=1,IF(Use_Library!$C$35="Income",CD36*(1-Assumptions!$C$18),S36*Use_Library!$V$35*(1-Assumptions!$C$16))+BM36,0)*U36</f>
        <v>0</v>
      </c>
      <c r="CH36" s="24" t="n">
        <f aca="false">IF(AND(Use_Library!$AK$35=1,Use_Library!$C$35="Income",Use_Library!$AE$35&gt;0),CE36/Use_Library!$AE$35*(1-Assumptions!$C$18),0)</f>
        <v>-0</v>
      </c>
      <c r="CI36" s="19" t="n">
        <f aca="false">CG36-BV36</f>
        <v>-330912.4125</v>
      </c>
      <c r="CJ36" s="32" t="n">
        <f aca="false">IF(AND(Use_Library!$AK$35=1,U36=1),MAX(0,Parcel!$C$18-((1-Use_Library!$AI$35)*CG36-BV36)/((1-Use_Library!$AI$35)*CH36-BU36)),0)</f>
        <v>0</v>
      </c>
      <c r="CK36" s="19" t="n">
        <f aca="false">IF(Use_Library!$AL$35=1,IF(Use_Library!$C$35="Income",CD36,IF(Use_Library!$AE$35&gt;0,E36*Use_Library!$AG$35/Use_Library!$AE$35,0))+BM36,0)*U36</f>
        <v>0</v>
      </c>
      <c r="CL36" s="19" t="n">
        <f aca="false">IF(Use_Library!$C$35="Income",BT36,BF36)</f>
        <v>0</v>
      </c>
      <c r="CM36" s="23" t="n">
        <f aca="false">IF(Use_Library!$C$35="Income",BU36,BJ36*BK36)</f>
        <v>1.103041375</v>
      </c>
      <c r="CN36" s="19" t="n">
        <f aca="false">IF(Use_Library!$C$35="Income",BV36,(Parcel!$C$18*BJ36+BF36)*BK36)</f>
        <v>330912.4125</v>
      </c>
      <c r="CO36" s="24" t="n">
        <f aca="false">IF(AND(Use_Library!$AL$35=1,Use_Library!$C$35="Income",Use_Library!$AE$35&gt;0),CE36/Use_Library!$AE$35,0)</f>
        <v>-0</v>
      </c>
      <c r="CP36" s="19" t="n">
        <f aca="false">CK36-CN36</f>
        <v>-330912.4125</v>
      </c>
      <c r="CQ36" s="32" t="n">
        <f aca="false">IF(AND(Use_Library!$AL$35=1,U36=1),MAX(0,Parcel!$C$18-((1-Use_Library!$AI$35)*CK36-CN36)/((1-Use_Library!$AI$35)*CO36-CM36)),0)</f>
        <v>0</v>
      </c>
      <c r="CR36" s="19" t="n">
        <f aca="false">IF(Use_Library!$C$35="Income",Assumptions!$C$21*(Parcel!$C$18*BJ36+BT36),0)</f>
        <v>204587.5</v>
      </c>
      <c r="CS36" s="19" t="n">
        <f aca="false">IF(AND(Use_Library!$C$35="Income",CC36&gt;0),MIN(Assumptions!$C$26*CD36,PV(Assumptions!$C$29/12,Assumptions!$C$30*12,-CC36/Assumptions!$C$27/12),CC36/Assumptions!$C$28),0)</f>
        <v>0</v>
      </c>
      <c r="CT36" s="25" t="n">
        <f aca="false">IF(CS36=0,0,CC36/(-PMT(Assumptions!$C$29/12,Assumptions!$C$30*12,CS36)*12))</f>
        <v>0</v>
      </c>
      <c r="CU36" s="19" t="n">
        <f aca="false">CS36-CR36</f>
        <v>-204587.5</v>
      </c>
      <c r="CV36" s="18" t="n">
        <f aca="false">MAX(BS36,CJ36,CQ36)</f>
        <v>0</v>
      </c>
      <c r="CW36" s="9" t="str">
        <f aca="false">IF(CV36&lt;=0,"None works",IF(BS36=CV36,"Land / pad sale",IF(CJ36=CV36,"Build &amp; sell","Build &amp; hold / lease")))</f>
        <v>None works</v>
      </c>
      <c r="CX36" s="19" t="n">
        <f aca="false">CV36*(1-Assumptions!$C$32)</f>
        <v>0</v>
      </c>
      <c r="CY36" s="19" t="n">
        <f aca="false">CV36-Parcel!$C$18</f>
        <v>-300000</v>
      </c>
      <c r="CZ36" s="19" t="n">
        <f aca="false">IF(Parcel!$C$8=0,0,CV36/Parcel!$C$8)</f>
        <v>0</v>
      </c>
      <c r="DA36" s="33" t="n">
        <f aca="false">IF(S36=0,0,CV36/S36)</f>
        <v>0</v>
      </c>
      <c r="DB36" s="9" t="str">
        <f aca="false">TRIM(M36&amp;" "&amp;IF(AND(U36=0,N36=1),"Nothing fits. ","")&amp;IF(Parcel!$C$12&lt;Use_Library!$AM$35,"Frontage under "&amp;Use_Library!$AM$35&amp;" LF. ","")&amp;IF(Parcel!$C$10&gt;0.15,"Slope over 15%. ","")&amp;IF(AND(U36=1,Use_Library!$M$35&gt;0,D36&gt;Use_Library!$M$35),"Only "&amp;Use_Library!$M$35&amp;" ac used - rest resold. ",""))</f>
        <v>Traffic under 10,000 VPD. Under 5,000 households in 3 mi.</v>
      </c>
      <c r="DC36" s="19" t="n">
        <f aca="false">CV36+ROW()/1000000</f>
        <v>3.6E-005</v>
      </c>
    </row>
    <row r="37" customFormat="false" ht="15" hidden="false" customHeight="false" outlineLevel="0" collapsed="false">
      <c r="A37" s="4" t="str">
        <f aca="false">Use_Library!$A$36</f>
        <v>Laundromat</v>
      </c>
      <c r="B37" s="9" t="str">
        <f aca="false">Use_Library!$C$36</f>
        <v>Operator Pad</v>
      </c>
      <c r="C37" s="9" t="str">
        <f aca="false">Use_Library!$D$36</f>
        <v>acre</v>
      </c>
      <c r="D37" s="14" t="n">
        <f aca="false">MAX(0,Parcel!$C$26*(1-Use_Library!$N$36-Assumptions!$C$7))</f>
        <v>14.196</v>
      </c>
      <c r="E37" s="14" t="n">
        <f aca="false">IF(Use_Library!$M$36&gt;0,MIN(D37,Use_Library!$M$36),D37)</f>
        <v>1</v>
      </c>
      <c r="F37" s="20" t="n">
        <f aca="false">IF(D37=0,0,E37/D37)</f>
        <v>0.0704423781346858</v>
      </c>
      <c r="G37" s="14" t="n">
        <f aca="false">Parcel!$C$26*F37</f>
        <v>1.0989010989011</v>
      </c>
      <c r="H37" s="14" t="n">
        <f aca="false">G37*Assumptions!$C$7</f>
        <v>0.043956043956044</v>
      </c>
      <c r="I37" s="14" t="n">
        <f aca="false">G37*(1-Use_Library!$N$36)</f>
        <v>1.04395604395604</v>
      </c>
      <c r="J37" s="14" t="n">
        <f aca="false">Parcel!$C$8*(1-F37)</f>
        <v>18.5911524373063</v>
      </c>
      <c r="K37" s="15" t="n">
        <f aca="false">IF(AND(Use_Library!$I$36="Y",Parcel!$C$28=0),0,1)</f>
        <v>1</v>
      </c>
      <c r="L37" s="15" t="n">
        <f aca="false">IF(AND(Use_Library!$J$36="Y",Parcel!$C$27=0),0,1)</f>
        <v>1</v>
      </c>
      <c r="M37" s="9" t="str">
        <f aca="false">TRIM(IF(AND(Use_Library!$AN$36&gt;0,Parcel!$C$19&lt;Use_Library!$AN$36),"Traffic under "&amp;TEXT(Use_Library!$AN$36,"#,##0")&amp;" VPD. ","")&amp;IF(AND(Use_Library!$AO$36&gt;0,Parcel!$C$20&lt;Use_Library!$AO$36),"Under "&amp;TEXT(Use_Library!$AO$36,"#,##0")&amp;" households in 3 mi. ","")&amp;IF(AND(Use_Library!$AP$36&gt;0,Parcel!$C$21&gt;Use_Library!$AP$36),"Over "&amp;Use_Library!$AP$36&amp;" mi to highway. ","")&amp;IF(AND(Use_Library!$AQ$36="Y",Parcel!$C$22&lt;&gt;"Y"),"Needs a corner. ","")&amp;IF(AND(Use_Library!$AR$36&gt;0,Parcel!$C$23&gt;Use_Library!$AR$36),"Over "&amp;Use_Library!$AR$36&amp;" mi to substation. ",""))</f>
        <v>Under 4,000 households in 3 mi.</v>
      </c>
      <c r="N37" s="15" t="n">
        <f aca="false">IF(M37="",1,0)</f>
        <v>0</v>
      </c>
      <c r="O37" s="15" t="n">
        <f aca="false">IF(D37&gt;=Use_Library!$L$36,1,0)</f>
        <v>1</v>
      </c>
      <c r="P37" s="14" t="n">
        <f aca="false">IF(Use_Library!$F$36&gt;0,G37*Use_Library!$F$36,1000000000)</f>
        <v>1000000000</v>
      </c>
      <c r="Q37" s="14" t="n">
        <f aca="false">IF(Use_Library!$G$36&gt;0,E37*43560/Use_Library!$G$36,1000000000)</f>
        <v>1</v>
      </c>
      <c r="R37" s="14" t="n">
        <f aca="false">IF(AND(Use_Library!$H$36="Y",Parcel!$C$28=0),E37*(1-Assumptions!$C$8)/IF(Parcel!$C$27=1,Assumptions!$C$9,Assumptions!$C$10),1000000000)</f>
        <v>1000000000</v>
      </c>
      <c r="S37" s="21" t="n">
        <f aca="false">IF(K37*L37*O37*N37=0,0,IF(MIN(P37,Q37,R37)&gt;=1000000000,E37,IF(Use_Library!$E$36="Y",INT(MIN(P37,Q37,R37)),MIN(P37,Q37,R37))))</f>
        <v>0</v>
      </c>
      <c r="T37" s="9" t="str">
        <f aca="false">IF(N37=0,"Location fails",IF(O37=0,"Too small - needs "&amp;Use_Library!$L$36&amp;" usable ac",IF(K37=0,"Needs public sewer",IF(L37=0,"Needs public water",IF(R37&lt;=MIN(P37,Q37),"Septic lot size",IF(Q37&lt;=P37,"Site area / parking","Density"))))))</f>
        <v>Location fails</v>
      </c>
      <c r="U37" s="15" t="n">
        <f aca="false">IF(S37&gt;0,1,0)</f>
        <v>0</v>
      </c>
      <c r="V37" s="15" t="n">
        <f aca="false">IF(Use_Library!$K$36="Y",1,0)*U37</f>
        <v>0</v>
      </c>
      <c r="W37" s="15" t="n">
        <f aca="false">S37*Use_Library!$O$36*V37</f>
        <v>0</v>
      </c>
      <c r="X37" s="15" t="n">
        <f aca="false">S37*Use_Library!$P$36*V37</f>
        <v>0</v>
      </c>
      <c r="Y37" s="15" t="n">
        <f aca="false">IF(Parcel!$C$27=1,W37+Parcel!$C$29,0)*V37</f>
        <v>0</v>
      </c>
      <c r="Z37" s="14" t="n">
        <f aca="false">S37*Use_Library!$Q$36*Parcel!$C$27*V37</f>
        <v>0</v>
      </c>
      <c r="AA37" s="15" t="n">
        <f aca="false">IF(Parcel!$C$28=1,W37+Parcel!$C$30,0)*V37</f>
        <v>0</v>
      </c>
      <c r="AB37" s="14" t="n">
        <f aca="false">S37*Use_Library!$Q$36*Parcel!$C$28*V37</f>
        <v>0</v>
      </c>
      <c r="AC37" s="14" t="n">
        <f aca="false">IF(Parcel!$C$28=0,S37*Use_Library!$R$36,0)*V37</f>
        <v>0</v>
      </c>
      <c r="AD37" s="14" t="n">
        <f aca="false">IF(Parcel!$C$27=0,S37*Use_Library!$R$36,0)*V37</f>
        <v>0</v>
      </c>
      <c r="AE37" s="14" t="n">
        <f aca="false">I37*Parcel!$C$11*V37</f>
        <v>0</v>
      </c>
      <c r="AF37" s="14" t="n">
        <f aca="false">I37*V37</f>
        <v>0</v>
      </c>
      <c r="AG37" s="15" t="n">
        <f aca="false">IF(Use_Library!$C$36="For-Sale",IF(Use_Library!$E$36="Y",S37,1),1)*U37</f>
        <v>0</v>
      </c>
      <c r="AH37" s="19" t="n">
        <f aca="false">Cost_Library!$G$5*Parcel!$C$32*U37</f>
        <v>0</v>
      </c>
      <c r="AI37" s="19" t="n">
        <f aca="false">AG37*Cost_Library!$G$6*Parcel!$C$32</f>
        <v>0</v>
      </c>
      <c r="AJ37" s="19" t="n">
        <f aca="false">I37*Cost_Library!$G$7*Parcel!$C$32*V37</f>
        <v>0</v>
      </c>
      <c r="AK37" s="19" t="n">
        <f aca="false">Cost_Library!$G$8*Parcel!$C$32*V37</f>
        <v>0</v>
      </c>
      <c r="AL37" s="19" t="n">
        <f aca="false">AC37*Cost_Library!$G$9*Parcel!$C$32</f>
        <v>0</v>
      </c>
      <c r="AM37" s="19" t="n">
        <f aca="false">Cost_Library!$G$10*U37</f>
        <v>0</v>
      </c>
      <c r="AN37" s="19" t="n">
        <f aca="false">Cost_Library!$G$11*Parcel!$C$32*V37</f>
        <v>0</v>
      </c>
      <c r="AO37" s="19" t="n">
        <f aca="false">Use_Library!$S$36*U37</f>
        <v>0</v>
      </c>
      <c r="AP37" s="19" t="n">
        <f aca="false">Cost_Library!$G$12*U37</f>
        <v>0</v>
      </c>
      <c r="AQ37" s="19" t="n">
        <f aca="false">AE37*Cost_Library!$G$13*Parcel!$C$32</f>
        <v>0</v>
      </c>
      <c r="AR37" s="19" t="n">
        <f aca="false">AF37*Cost_Library!$G$14*Parcel!$C$32*Parcel!$C$33</f>
        <v>0</v>
      </c>
      <c r="AS37" s="19" t="n">
        <f aca="false">W37*Cost_Library!$G$15*Parcel!$C$32</f>
        <v>0</v>
      </c>
      <c r="AT37" s="19" t="n">
        <f aca="false">X37*Cost_Library!$G$16*Parcel!$C$32</f>
        <v>0</v>
      </c>
      <c r="AU37" s="19" t="n">
        <f aca="false">H37*Cost_Library!$G$17*Parcel!$C$32*V37</f>
        <v>0</v>
      </c>
      <c r="AV37" s="19" t="n">
        <f aca="false">G37*Cost_Library!$G$18*Parcel!$C$32*V37</f>
        <v>0</v>
      </c>
      <c r="AW37" s="19" t="n">
        <f aca="false">Y37*Cost_Library!$G$19*Parcel!$C$32</f>
        <v>0</v>
      </c>
      <c r="AX37" s="19" t="n">
        <f aca="false">Z37*Cost_Library!$G$20</f>
        <v>0</v>
      </c>
      <c r="AY37" s="19" t="n">
        <f aca="false">AA37*Cost_Library!$G$21*Parcel!$C$32</f>
        <v>0</v>
      </c>
      <c r="AZ37" s="19" t="n">
        <f aca="false">AB37*Cost_Library!$G$22</f>
        <v>0</v>
      </c>
      <c r="BA37" s="19" t="n">
        <f aca="false">AC37*Cost_Library!$G$23*Parcel!$C$32*Parcel!$C$34</f>
        <v>0</v>
      </c>
      <c r="BB37" s="19" t="n">
        <f aca="false">AD37*Cost_Library!$G$24*Parcel!$C$32</f>
        <v>0</v>
      </c>
      <c r="BC37" s="19" t="n">
        <f aca="false">W37*Cost_Library!$G$25*Parcel!$C$32</f>
        <v>0</v>
      </c>
      <c r="BD37" s="19" t="n">
        <f aca="false">SUM(AH37:BC37)</f>
        <v>0</v>
      </c>
      <c r="BE37" s="19" t="n">
        <f aca="false">BD37*Assumptions!$C$11</f>
        <v>0</v>
      </c>
      <c r="BF37" s="19" t="n">
        <f aca="false">BD37+BE37</f>
        <v>0</v>
      </c>
      <c r="BG37" s="19" t="n">
        <f aca="false">S37*Use_Library!$T$36</f>
        <v>0</v>
      </c>
      <c r="BH37" s="19" t="n">
        <f aca="false">BG37*(Assumptions!$C$12+Assumptions!$C$13)</f>
        <v>0</v>
      </c>
      <c r="BI37" s="19" t="n">
        <f aca="false">S37*Use_Library!$AC$36</f>
        <v>0</v>
      </c>
      <c r="BJ37" s="23" t="n">
        <f aca="false">1+Assumptions!$C$14+Assumptions!$C$15*Use_Library!$AH$36/12</f>
        <v>1.045</v>
      </c>
      <c r="BK37" s="23" t="n">
        <f aca="false">1+Assumptions!$C$21*(Assumptions!$C$22*Use_Library!$AH$36/12*Assumptions!$C$24+Assumptions!$C$23)</f>
        <v>1.038675</v>
      </c>
      <c r="BL37" s="23" t="n">
        <f aca="false">1+Assumptions!$C$21*(Assumptions!$C$22*(Use_Library!$AH$36/12*Assumptions!$C$24+IF(Use_Library!$C$36="Income",Use_Library!$AD$36,0)/12*Assumptions!$C$25)+Assumptions!$C$23)</f>
        <v>1.038675</v>
      </c>
      <c r="BM37" s="19" t="n">
        <f aca="false">J37*Assumptions!$C$31*(1-Assumptions!$C$17)*U37</f>
        <v>0</v>
      </c>
      <c r="BN37" s="19" t="n">
        <f aca="false">IF(Use_Library!$AJ$36=1,IF(Use_Library!$C$36="For-Sale",S37*Use_Library!$U$36,E37*Use_Library!$AF$36)*(1-Assumptions!$C$17)+BM37,0)*U37</f>
        <v>0</v>
      </c>
      <c r="BO37" s="19" t="n">
        <f aca="false">(BD37-AT37)*(1+Assumptions!$C$11)</f>
        <v>0</v>
      </c>
      <c r="BP37" s="23" t="n">
        <f aca="false">BJ37*BK37</f>
        <v>1.085415375</v>
      </c>
      <c r="BQ37" s="19" t="n">
        <f aca="false">(Parcel!$C$18*BJ37+BO37)*BK37</f>
        <v>325624.6125</v>
      </c>
      <c r="BR37" s="19" t="n">
        <f aca="false">BN37-BQ37</f>
        <v>-325624.6125</v>
      </c>
      <c r="BS37" s="32" t="n">
        <f aca="false">IF(AND(Use_Library!$AJ$36=1,U37=1),MAX(0,((1-Use_Library!$AI$36)*BN37-BO37*BK37)/BP37),0)</f>
        <v>0</v>
      </c>
      <c r="BT37" s="19" t="n">
        <f aca="false">BF37+BG37+BH37+BI37</f>
        <v>0</v>
      </c>
      <c r="BU37" s="23" t="n">
        <f aca="false">BJ37*BL37</f>
        <v>1.085415375</v>
      </c>
      <c r="BV37" s="19" t="n">
        <f aca="false">(Parcel!$C$18*BJ37+BT37)*BL37</f>
        <v>325624.6125</v>
      </c>
      <c r="BW37" s="19" t="n">
        <f aca="false">IF(Use_Library!$C$36="Income",S37*Use_Library!$W$36,0)</f>
        <v>0</v>
      </c>
      <c r="BX37" s="19" t="n">
        <f aca="false">BW37*(1+Use_Library!$X$36)*(1-Use_Library!$Y$36)</f>
        <v>0</v>
      </c>
      <c r="BY37" s="19" t="n">
        <f aca="false">IF(Use_Library!$C$36="Income",S37*Use_Library!$Z$36,0)</f>
        <v>0</v>
      </c>
      <c r="BZ37" s="19" t="n">
        <f aca="false">IF(Use_Library!$C$36="Income",Assumptions!$C$19*Assumptions!$C$20*BV37,0)</f>
        <v>0</v>
      </c>
      <c r="CA37" s="19" t="n">
        <f aca="false">BX37*Use_Library!$AA$36</f>
        <v>0</v>
      </c>
      <c r="CB37" s="19" t="n">
        <f aca="false">(BY37+BZ37)*Use_Library!$AB$36</f>
        <v>0</v>
      </c>
      <c r="CC37" s="19" t="n">
        <f aca="false">BX37-BY37-BZ37-CA37+CB37</f>
        <v>0</v>
      </c>
      <c r="CD37" s="19" t="n">
        <f aca="false">IF(AND(Use_Library!$C$36="Income",Use_Library!$AE$36&gt;0),CC37/Use_Library!$AE$36,0)</f>
        <v>0</v>
      </c>
      <c r="CE37" s="24" t="n">
        <f aca="false">IF(Use_Library!$C$36="Income",-Assumptions!$C$19*Assumptions!$C$20*(1-Use_Library!$AB$36)*BU37,0)</f>
        <v>0</v>
      </c>
      <c r="CF37" s="20" t="n">
        <f aca="false">IF(BV37=0,0,CC37/BV37)</f>
        <v>0</v>
      </c>
      <c r="CG37" s="19" t="n">
        <f aca="false">IF(Use_Library!$AK$36=1,IF(Use_Library!$C$36="Income",CD37*(1-Assumptions!$C$18),S37*Use_Library!$V$36*(1-Assumptions!$C$16))+BM37,0)*U37</f>
        <v>0</v>
      </c>
      <c r="CH37" s="24" t="n">
        <f aca="false">IF(AND(Use_Library!$AK$36=1,Use_Library!$C$36="Income",Use_Library!$AE$36&gt;0),CE37/Use_Library!$AE$36*(1-Assumptions!$C$18),0)</f>
        <v>0</v>
      </c>
      <c r="CI37" s="19" t="n">
        <f aca="false">CG37-BV37</f>
        <v>-325624.6125</v>
      </c>
      <c r="CJ37" s="32" t="n">
        <f aca="false">IF(AND(Use_Library!$AK$36=1,U37=1),MAX(0,Parcel!$C$18-((1-Use_Library!$AI$36)*CG37-BV37)/((1-Use_Library!$AI$36)*CH37-BU37)),0)</f>
        <v>0</v>
      </c>
      <c r="CK37" s="19" t="n">
        <f aca="false">IF(Use_Library!$AL$36=1,IF(Use_Library!$C$36="Income",CD37,IF(Use_Library!$AE$36&gt;0,E37*Use_Library!$AG$36/Use_Library!$AE$36,0))+BM37,0)*U37</f>
        <v>0</v>
      </c>
      <c r="CL37" s="19" t="n">
        <f aca="false">IF(Use_Library!$C$36="Income",BT37,BF37)</f>
        <v>0</v>
      </c>
      <c r="CM37" s="23" t="n">
        <f aca="false">IF(Use_Library!$C$36="Income",BU37,BJ37*BK37)</f>
        <v>1.085415375</v>
      </c>
      <c r="CN37" s="19" t="n">
        <f aca="false">IF(Use_Library!$C$36="Income",BV37,(Parcel!$C$18*BJ37+BF37)*BK37)</f>
        <v>325624.6125</v>
      </c>
      <c r="CO37" s="24" t="n">
        <f aca="false">IF(AND(Use_Library!$AL$36=1,Use_Library!$C$36="Income",Use_Library!$AE$36&gt;0),CE37/Use_Library!$AE$36,0)</f>
        <v>0</v>
      </c>
      <c r="CP37" s="19" t="n">
        <f aca="false">CK37-CN37</f>
        <v>-325624.6125</v>
      </c>
      <c r="CQ37" s="32" t="n">
        <f aca="false">IF(AND(Use_Library!$AL$36=1,U37=1),MAX(0,Parcel!$C$18-((1-Use_Library!$AI$36)*CK37-CN37)/((1-Use_Library!$AI$36)*CO37-CM37)),0)</f>
        <v>0</v>
      </c>
      <c r="CR37" s="19" t="n">
        <f aca="false">IF(Use_Library!$C$36="Income",Assumptions!$C$21*(Parcel!$C$18*BJ37+BT37),0)</f>
        <v>0</v>
      </c>
      <c r="CS37" s="19" t="n">
        <f aca="false">IF(AND(Use_Library!$C$36="Income",CC37&gt;0),MIN(Assumptions!$C$26*CD37,PV(Assumptions!$C$29/12,Assumptions!$C$30*12,-CC37/Assumptions!$C$27/12),CC37/Assumptions!$C$28),0)</f>
        <v>0</v>
      </c>
      <c r="CT37" s="25" t="n">
        <f aca="false">IF(CS37=0,0,CC37/(-PMT(Assumptions!$C$29/12,Assumptions!$C$30*12,CS37)*12))</f>
        <v>0</v>
      </c>
      <c r="CU37" s="19" t="n">
        <f aca="false">CS37-CR37</f>
        <v>0</v>
      </c>
      <c r="CV37" s="18" t="n">
        <f aca="false">MAX(BS37,CJ37,CQ37)</f>
        <v>0</v>
      </c>
      <c r="CW37" s="9" t="str">
        <f aca="false">IF(CV37&lt;=0,"None works",IF(BS37=CV37,"Land / pad sale",IF(CJ37=CV37,"Build &amp; sell","Build &amp; hold / lease")))</f>
        <v>None works</v>
      </c>
      <c r="CX37" s="19" t="n">
        <f aca="false">CV37*(1-Assumptions!$C$32)</f>
        <v>0</v>
      </c>
      <c r="CY37" s="19" t="n">
        <f aca="false">CV37-Parcel!$C$18</f>
        <v>-300000</v>
      </c>
      <c r="CZ37" s="19" t="n">
        <f aca="false">IF(Parcel!$C$8=0,0,CV37/Parcel!$C$8)</f>
        <v>0</v>
      </c>
      <c r="DA37" s="33" t="n">
        <f aca="false">IF(S37=0,0,CV37/S37)</f>
        <v>0</v>
      </c>
      <c r="DB37" s="9" t="str">
        <f aca="false">TRIM(M37&amp;" "&amp;IF(AND(U37=0,N37=1),"Nothing fits. ","")&amp;IF(Parcel!$C$12&lt;Use_Library!$AM$36,"Frontage under "&amp;Use_Library!$AM$36&amp;" LF. ","")&amp;IF(Parcel!$C$10&gt;0.15,"Slope over 15%. ","")&amp;IF(AND(U37=1,Use_Library!$M$36&gt;0,D37&gt;Use_Library!$M$36),"Only "&amp;Use_Library!$M$36&amp;" ac used - rest resold. ",""))</f>
        <v>Under 4,000 households in 3 mi.</v>
      </c>
      <c r="DC37" s="19" t="n">
        <f aca="false">CV37+ROW()/1000000</f>
        <v>3.7E-005</v>
      </c>
    </row>
    <row r="38" customFormat="false" ht="15" hidden="false" customHeight="false" outlineLevel="0" collapsed="false">
      <c r="A38" s="4" t="str">
        <f aca="false">Use_Library!$A$37</f>
        <v>Pet boarding / grooming / daycare</v>
      </c>
      <c r="B38" s="9" t="str">
        <f aca="false">Use_Library!$C$37</f>
        <v>Operator Pad</v>
      </c>
      <c r="C38" s="9" t="str">
        <f aca="false">Use_Library!$D$37</f>
        <v>acre</v>
      </c>
      <c r="D38" s="14" t="n">
        <f aca="false">MAX(0,Parcel!$C$26*(1-Use_Library!$N$37-Assumptions!$C$7))</f>
        <v>14.196</v>
      </c>
      <c r="E38" s="14" t="n">
        <f aca="false">IF(Use_Library!$M$37&gt;0,MIN(D38,Use_Library!$M$37),D38)</f>
        <v>3</v>
      </c>
      <c r="F38" s="20" t="n">
        <f aca="false">IF(D38=0,0,E38/D38)</f>
        <v>0.211327134404057</v>
      </c>
      <c r="G38" s="14" t="n">
        <f aca="false">Parcel!$C$26*F38</f>
        <v>3.2967032967033</v>
      </c>
      <c r="H38" s="14" t="n">
        <f aca="false">G38*Assumptions!$C$7</f>
        <v>0.131868131868132</v>
      </c>
      <c r="I38" s="14" t="n">
        <f aca="false">G38*(1-Use_Library!$N$37)</f>
        <v>3.13186813186813</v>
      </c>
      <c r="J38" s="14" t="n">
        <f aca="false">Parcel!$C$8*(1-F38)</f>
        <v>15.7734573119189</v>
      </c>
      <c r="K38" s="15" t="n">
        <f aca="false">IF(AND(Use_Library!$I$37="Y",Parcel!$C$28=0),0,1)</f>
        <v>1</v>
      </c>
      <c r="L38" s="15" t="n">
        <f aca="false">IF(AND(Use_Library!$J$37="Y",Parcel!$C$27=0),0,1)</f>
        <v>1</v>
      </c>
      <c r="M38" s="9" t="str">
        <f aca="false">TRIM(IF(AND(Use_Library!$AN$37&gt;0,Parcel!$C$19&lt;Use_Library!$AN$37),"Traffic under "&amp;TEXT(Use_Library!$AN$37,"#,##0")&amp;" VPD. ","")&amp;IF(AND(Use_Library!$AO$37&gt;0,Parcel!$C$20&lt;Use_Library!$AO$37),"Under "&amp;TEXT(Use_Library!$AO$37,"#,##0")&amp;" households in 3 mi. ","")&amp;IF(AND(Use_Library!$AP$37&gt;0,Parcel!$C$21&gt;Use_Library!$AP$37),"Over "&amp;Use_Library!$AP$37&amp;" mi to highway. ","")&amp;IF(AND(Use_Library!$AQ$37="Y",Parcel!$C$22&lt;&gt;"Y"),"Needs a corner. ","")&amp;IF(AND(Use_Library!$AR$37&gt;0,Parcel!$C$23&gt;Use_Library!$AR$37),"Over "&amp;Use_Library!$AR$37&amp;" mi to substation. ",""))</f>
        <v>Under 4,000 households in 3 mi.</v>
      </c>
      <c r="N38" s="15" t="n">
        <f aca="false">IF(M38="",1,0)</f>
        <v>0</v>
      </c>
      <c r="O38" s="15" t="n">
        <f aca="false">IF(D38&gt;=Use_Library!$L$37,1,0)</f>
        <v>1</v>
      </c>
      <c r="P38" s="14" t="n">
        <f aca="false">IF(Use_Library!$F$37&gt;0,G38*Use_Library!$F$37,1000000000)</f>
        <v>1000000000</v>
      </c>
      <c r="Q38" s="14" t="n">
        <f aca="false">IF(Use_Library!$G$37&gt;0,E38*43560/Use_Library!$G$37,1000000000)</f>
        <v>3</v>
      </c>
      <c r="R38" s="14" t="n">
        <f aca="false">IF(AND(Use_Library!$H$37="Y",Parcel!$C$28=0),E38*(1-Assumptions!$C$8)/IF(Parcel!$C$27=1,Assumptions!$C$9,Assumptions!$C$10),1000000000)</f>
        <v>1000000000</v>
      </c>
      <c r="S38" s="21" t="n">
        <f aca="false">IF(K38*L38*O38*N38=0,0,IF(MIN(P38,Q38,R38)&gt;=1000000000,E38,IF(Use_Library!$E$37="Y",INT(MIN(P38,Q38,R38)),MIN(P38,Q38,R38))))</f>
        <v>0</v>
      </c>
      <c r="T38" s="9" t="str">
        <f aca="false">IF(N38=0,"Location fails",IF(O38=0,"Too small - needs "&amp;Use_Library!$L$37&amp;" usable ac",IF(K38=0,"Needs public sewer",IF(L38=0,"Needs public water",IF(R38&lt;=MIN(P38,Q38),"Septic lot size",IF(Q38&lt;=P38,"Site area / parking","Density"))))))</f>
        <v>Location fails</v>
      </c>
      <c r="U38" s="15" t="n">
        <f aca="false">IF(S38&gt;0,1,0)</f>
        <v>0</v>
      </c>
      <c r="V38" s="15" t="n">
        <f aca="false">IF(Use_Library!$K$37="Y",1,0)*U38</f>
        <v>0</v>
      </c>
      <c r="W38" s="15" t="n">
        <f aca="false">S38*Use_Library!$O$37*V38</f>
        <v>0</v>
      </c>
      <c r="X38" s="15" t="n">
        <f aca="false">S38*Use_Library!$P$37*V38</f>
        <v>0</v>
      </c>
      <c r="Y38" s="15" t="n">
        <f aca="false">IF(Parcel!$C$27=1,W38+Parcel!$C$29,0)*V38</f>
        <v>0</v>
      </c>
      <c r="Z38" s="14" t="n">
        <f aca="false">S38*Use_Library!$Q$37*Parcel!$C$27*V38</f>
        <v>0</v>
      </c>
      <c r="AA38" s="15" t="n">
        <f aca="false">IF(Parcel!$C$28=1,W38+Parcel!$C$30,0)*V38</f>
        <v>0</v>
      </c>
      <c r="AB38" s="14" t="n">
        <f aca="false">S38*Use_Library!$Q$37*Parcel!$C$28*V38</f>
        <v>0</v>
      </c>
      <c r="AC38" s="14" t="n">
        <f aca="false">IF(Parcel!$C$28=0,S38*Use_Library!$R$37,0)*V38</f>
        <v>0</v>
      </c>
      <c r="AD38" s="14" t="n">
        <f aca="false">IF(Parcel!$C$27=0,S38*Use_Library!$R$37,0)*V38</f>
        <v>0</v>
      </c>
      <c r="AE38" s="14" t="n">
        <f aca="false">I38*Parcel!$C$11*V38</f>
        <v>0</v>
      </c>
      <c r="AF38" s="14" t="n">
        <f aca="false">I38*V38</f>
        <v>0</v>
      </c>
      <c r="AG38" s="15" t="n">
        <f aca="false">IF(Use_Library!$C$37="For-Sale",IF(Use_Library!$E$37="Y",S38,1),1)*U38</f>
        <v>0</v>
      </c>
      <c r="AH38" s="19" t="n">
        <f aca="false">Cost_Library!$G$5*Parcel!$C$32*U38</f>
        <v>0</v>
      </c>
      <c r="AI38" s="19" t="n">
        <f aca="false">AG38*Cost_Library!$G$6*Parcel!$C$32</f>
        <v>0</v>
      </c>
      <c r="AJ38" s="19" t="n">
        <f aca="false">I38*Cost_Library!$G$7*Parcel!$C$32*V38</f>
        <v>0</v>
      </c>
      <c r="AK38" s="19" t="n">
        <f aca="false">Cost_Library!$G$8*Parcel!$C$32*V38</f>
        <v>0</v>
      </c>
      <c r="AL38" s="19" t="n">
        <f aca="false">AC38*Cost_Library!$G$9*Parcel!$C$32</f>
        <v>0</v>
      </c>
      <c r="AM38" s="19" t="n">
        <f aca="false">Cost_Library!$G$10*U38</f>
        <v>0</v>
      </c>
      <c r="AN38" s="19" t="n">
        <f aca="false">Cost_Library!$G$11*Parcel!$C$32*V38</f>
        <v>0</v>
      </c>
      <c r="AO38" s="19" t="n">
        <f aca="false">Use_Library!$S$37*U38</f>
        <v>0</v>
      </c>
      <c r="AP38" s="19" t="n">
        <f aca="false">Cost_Library!$G$12*U38</f>
        <v>0</v>
      </c>
      <c r="AQ38" s="19" t="n">
        <f aca="false">AE38*Cost_Library!$G$13*Parcel!$C$32</f>
        <v>0</v>
      </c>
      <c r="AR38" s="19" t="n">
        <f aca="false">AF38*Cost_Library!$G$14*Parcel!$C$32*Parcel!$C$33</f>
        <v>0</v>
      </c>
      <c r="AS38" s="19" t="n">
        <f aca="false">W38*Cost_Library!$G$15*Parcel!$C$32</f>
        <v>0</v>
      </c>
      <c r="AT38" s="19" t="n">
        <f aca="false">X38*Cost_Library!$G$16*Parcel!$C$32</f>
        <v>0</v>
      </c>
      <c r="AU38" s="19" t="n">
        <f aca="false">H38*Cost_Library!$G$17*Parcel!$C$32*V38</f>
        <v>0</v>
      </c>
      <c r="AV38" s="19" t="n">
        <f aca="false">G38*Cost_Library!$G$18*Parcel!$C$32*V38</f>
        <v>0</v>
      </c>
      <c r="AW38" s="19" t="n">
        <f aca="false">Y38*Cost_Library!$G$19*Parcel!$C$32</f>
        <v>0</v>
      </c>
      <c r="AX38" s="19" t="n">
        <f aca="false">Z38*Cost_Library!$G$20</f>
        <v>0</v>
      </c>
      <c r="AY38" s="19" t="n">
        <f aca="false">AA38*Cost_Library!$G$21*Parcel!$C$32</f>
        <v>0</v>
      </c>
      <c r="AZ38" s="19" t="n">
        <f aca="false">AB38*Cost_Library!$G$22</f>
        <v>0</v>
      </c>
      <c r="BA38" s="19" t="n">
        <f aca="false">AC38*Cost_Library!$G$23*Parcel!$C$32*Parcel!$C$34</f>
        <v>0</v>
      </c>
      <c r="BB38" s="19" t="n">
        <f aca="false">AD38*Cost_Library!$G$24*Parcel!$C$32</f>
        <v>0</v>
      </c>
      <c r="BC38" s="19" t="n">
        <f aca="false">W38*Cost_Library!$G$25*Parcel!$C$32</f>
        <v>0</v>
      </c>
      <c r="BD38" s="19" t="n">
        <f aca="false">SUM(AH38:BC38)</f>
        <v>0</v>
      </c>
      <c r="BE38" s="19" t="n">
        <f aca="false">BD38*Assumptions!$C$11</f>
        <v>0</v>
      </c>
      <c r="BF38" s="19" t="n">
        <f aca="false">BD38+BE38</f>
        <v>0</v>
      </c>
      <c r="BG38" s="19" t="n">
        <f aca="false">S38*Use_Library!$T$37</f>
        <v>0</v>
      </c>
      <c r="BH38" s="19" t="n">
        <f aca="false">BG38*(Assumptions!$C$12+Assumptions!$C$13)</f>
        <v>0</v>
      </c>
      <c r="BI38" s="19" t="n">
        <f aca="false">S38*Use_Library!$AC$37</f>
        <v>0</v>
      </c>
      <c r="BJ38" s="23" t="n">
        <f aca="false">1+Assumptions!$C$14+Assumptions!$C$15*Use_Library!$AH$37/12</f>
        <v>1.045</v>
      </c>
      <c r="BK38" s="23" t="n">
        <f aca="false">1+Assumptions!$C$21*(Assumptions!$C$22*Use_Library!$AH$37/12*Assumptions!$C$24+Assumptions!$C$23)</f>
        <v>1.038675</v>
      </c>
      <c r="BL38" s="23" t="n">
        <f aca="false">1+Assumptions!$C$21*(Assumptions!$C$22*(Use_Library!$AH$37/12*Assumptions!$C$24+IF(Use_Library!$C$37="Income",Use_Library!$AD$37,0)/12*Assumptions!$C$25)+Assumptions!$C$23)</f>
        <v>1.038675</v>
      </c>
      <c r="BM38" s="19" t="n">
        <f aca="false">J38*Assumptions!$C$31*(1-Assumptions!$C$17)*U38</f>
        <v>0</v>
      </c>
      <c r="BN38" s="19" t="n">
        <f aca="false">IF(Use_Library!$AJ$37=1,IF(Use_Library!$C$37="For-Sale",S38*Use_Library!$U$37,E38*Use_Library!$AF$37)*(1-Assumptions!$C$17)+BM38,0)*U38</f>
        <v>0</v>
      </c>
      <c r="BO38" s="19" t="n">
        <f aca="false">(BD38-AT38)*(1+Assumptions!$C$11)</f>
        <v>0</v>
      </c>
      <c r="BP38" s="23" t="n">
        <f aca="false">BJ38*BK38</f>
        <v>1.085415375</v>
      </c>
      <c r="BQ38" s="19" t="n">
        <f aca="false">(Parcel!$C$18*BJ38+BO38)*BK38</f>
        <v>325624.6125</v>
      </c>
      <c r="BR38" s="19" t="n">
        <f aca="false">BN38-BQ38</f>
        <v>-325624.6125</v>
      </c>
      <c r="BS38" s="32" t="n">
        <f aca="false">IF(AND(Use_Library!$AJ$37=1,U38=1),MAX(0,((1-Use_Library!$AI$37)*BN38-BO38*BK38)/BP38),0)</f>
        <v>0</v>
      </c>
      <c r="BT38" s="19" t="n">
        <f aca="false">BF38+BG38+BH38+BI38</f>
        <v>0</v>
      </c>
      <c r="BU38" s="23" t="n">
        <f aca="false">BJ38*BL38</f>
        <v>1.085415375</v>
      </c>
      <c r="BV38" s="19" t="n">
        <f aca="false">(Parcel!$C$18*BJ38+BT38)*BL38</f>
        <v>325624.6125</v>
      </c>
      <c r="BW38" s="19" t="n">
        <f aca="false">IF(Use_Library!$C$37="Income",S38*Use_Library!$W$37,0)</f>
        <v>0</v>
      </c>
      <c r="BX38" s="19" t="n">
        <f aca="false">BW38*(1+Use_Library!$X$37)*(1-Use_Library!$Y$37)</f>
        <v>0</v>
      </c>
      <c r="BY38" s="19" t="n">
        <f aca="false">IF(Use_Library!$C$37="Income",S38*Use_Library!$Z$37,0)</f>
        <v>0</v>
      </c>
      <c r="BZ38" s="19" t="n">
        <f aca="false">IF(Use_Library!$C$37="Income",Assumptions!$C$19*Assumptions!$C$20*BV38,0)</f>
        <v>0</v>
      </c>
      <c r="CA38" s="19" t="n">
        <f aca="false">BX38*Use_Library!$AA$37</f>
        <v>0</v>
      </c>
      <c r="CB38" s="19" t="n">
        <f aca="false">(BY38+BZ38)*Use_Library!$AB$37</f>
        <v>0</v>
      </c>
      <c r="CC38" s="19" t="n">
        <f aca="false">BX38-BY38-BZ38-CA38+CB38</f>
        <v>0</v>
      </c>
      <c r="CD38" s="19" t="n">
        <f aca="false">IF(AND(Use_Library!$C$37="Income",Use_Library!$AE$37&gt;0),CC38/Use_Library!$AE$37,0)</f>
        <v>0</v>
      </c>
      <c r="CE38" s="24" t="n">
        <f aca="false">IF(Use_Library!$C$37="Income",-Assumptions!$C$19*Assumptions!$C$20*(1-Use_Library!$AB$37)*BU38,0)</f>
        <v>0</v>
      </c>
      <c r="CF38" s="20" t="n">
        <f aca="false">IF(BV38=0,0,CC38/BV38)</f>
        <v>0</v>
      </c>
      <c r="CG38" s="19" t="n">
        <f aca="false">IF(Use_Library!$AK$37=1,IF(Use_Library!$C$37="Income",CD38*(1-Assumptions!$C$18),S38*Use_Library!$V$37*(1-Assumptions!$C$16))+BM38,0)*U38</f>
        <v>0</v>
      </c>
      <c r="CH38" s="24" t="n">
        <f aca="false">IF(AND(Use_Library!$AK$37=1,Use_Library!$C$37="Income",Use_Library!$AE$37&gt;0),CE38/Use_Library!$AE$37*(1-Assumptions!$C$18),0)</f>
        <v>0</v>
      </c>
      <c r="CI38" s="19" t="n">
        <f aca="false">CG38-BV38</f>
        <v>-325624.6125</v>
      </c>
      <c r="CJ38" s="32" t="n">
        <f aca="false">IF(AND(Use_Library!$AK$37=1,U38=1),MAX(0,Parcel!$C$18-((1-Use_Library!$AI$37)*CG38-BV38)/((1-Use_Library!$AI$37)*CH38-BU38)),0)</f>
        <v>0</v>
      </c>
      <c r="CK38" s="19" t="n">
        <f aca="false">IF(Use_Library!$AL$37=1,IF(Use_Library!$C$37="Income",CD38,IF(Use_Library!$AE$37&gt;0,E38*Use_Library!$AG$37/Use_Library!$AE$37,0))+BM38,0)*U38</f>
        <v>0</v>
      </c>
      <c r="CL38" s="19" t="n">
        <f aca="false">IF(Use_Library!$C$37="Income",BT38,BF38)</f>
        <v>0</v>
      </c>
      <c r="CM38" s="23" t="n">
        <f aca="false">IF(Use_Library!$C$37="Income",BU38,BJ38*BK38)</f>
        <v>1.085415375</v>
      </c>
      <c r="CN38" s="19" t="n">
        <f aca="false">IF(Use_Library!$C$37="Income",BV38,(Parcel!$C$18*BJ38+BF38)*BK38)</f>
        <v>325624.6125</v>
      </c>
      <c r="CO38" s="24" t="n">
        <f aca="false">IF(AND(Use_Library!$AL$37=1,Use_Library!$C$37="Income",Use_Library!$AE$37&gt;0),CE38/Use_Library!$AE$37,0)</f>
        <v>0</v>
      </c>
      <c r="CP38" s="19" t="n">
        <f aca="false">CK38-CN38</f>
        <v>-325624.6125</v>
      </c>
      <c r="CQ38" s="32" t="n">
        <f aca="false">IF(AND(Use_Library!$AL$37=1,U38=1),MAX(0,Parcel!$C$18-((1-Use_Library!$AI$37)*CK38-CN38)/((1-Use_Library!$AI$37)*CO38-CM38)),0)</f>
        <v>0</v>
      </c>
      <c r="CR38" s="19" t="n">
        <f aca="false">IF(Use_Library!$C$37="Income",Assumptions!$C$21*(Parcel!$C$18*BJ38+BT38),0)</f>
        <v>0</v>
      </c>
      <c r="CS38" s="19" t="n">
        <f aca="false">IF(AND(Use_Library!$C$37="Income",CC38&gt;0),MIN(Assumptions!$C$26*CD38,PV(Assumptions!$C$29/12,Assumptions!$C$30*12,-CC38/Assumptions!$C$27/12),CC38/Assumptions!$C$28),0)</f>
        <v>0</v>
      </c>
      <c r="CT38" s="25" t="n">
        <f aca="false">IF(CS38=0,0,CC38/(-PMT(Assumptions!$C$29/12,Assumptions!$C$30*12,CS38)*12))</f>
        <v>0</v>
      </c>
      <c r="CU38" s="19" t="n">
        <f aca="false">CS38-CR38</f>
        <v>0</v>
      </c>
      <c r="CV38" s="18" t="n">
        <f aca="false">MAX(BS38,CJ38,CQ38)</f>
        <v>0</v>
      </c>
      <c r="CW38" s="9" t="str">
        <f aca="false">IF(CV38&lt;=0,"None works",IF(BS38=CV38,"Land / pad sale",IF(CJ38=CV38,"Build &amp; sell","Build &amp; hold / lease")))</f>
        <v>None works</v>
      </c>
      <c r="CX38" s="19" t="n">
        <f aca="false">CV38*(1-Assumptions!$C$32)</f>
        <v>0</v>
      </c>
      <c r="CY38" s="19" t="n">
        <f aca="false">CV38-Parcel!$C$18</f>
        <v>-300000</v>
      </c>
      <c r="CZ38" s="19" t="n">
        <f aca="false">IF(Parcel!$C$8=0,0,CV38/Parcel!$C$8)</f>
        <v>0</v>
      </c>
      <c r="DA38" s="33" t="n">
        <f aca="false">IF(S38=0,0,CV38/S38)</f>
        <v>0</v>
      </c>
      <c r="DB38" s="9" t="str">
        <f aca="false">TRIM(M38&amp;" "&amp;IF(AND(U38=0,N38=1),"Nothing fits. ","")&amp;IF(Parcel!$C$12&lt;Use_Library!$AM$37,"Frontage under "&amp;Use_Library!$AM$37&amp;" LF. ","")&amp;IF(Parcel!$C$10&gt;0.15,"Slope over 15%. ","")&amp;IF(AND(U38=1,Use_Library!$M$37&gt;0,D38&gt;Use_Library!$M$37),"Only "&amp;Use_Library!$M$37&amp;" ac used - rest resold. ",""))</f>
        <v>Under 4,000 households in 3 mi.</v>
      </c>
      <c r="DC38" s="19" t="n">
        <f aca="false">CV38+ROW()/1000000</f>
        <v>3.8E-005</v>
      </c>
    </row>
    <row r="39" customFormat="false" ht="15" hidden="false" customHeight="false" outlineLevel="0" collapsed="false">
      <c r="A39" s="4" t="str">
        <f aca="false">Use_Library!$A$38</f>
        <v>Childcare / early-learning center</v>
      </c>
      <c r="B39" s="9" t="str">
        <f aca="false">Use_Library!$C$38</f>
        <v>Operator Pad</v>
      </c>
      <c r="C39" s="9" t="str">
        <f aca="false">Use_Library!$D$38</f>
        <v>acre</v>
      </c>
      <c r="D39" s="14" t="n">
        <f aca="false">MAX(0,Parcel!$C$26*(1-Use_Library!$N$38-Assumptions!$C$7))</f>
        <v>14.196</v>
      </c>
      <c r="E39" s="14" t="n">
        <f aca="false">IF(Use_Library!$M$38&gt;0,MIN(D39,Use_Library!$M$38),D39)</f>
        <v>2</v>
      </c>
      <c r="F39" s="20" t="n">
        <f aca="false">IF(D39=0,0,E39/D39)</f>
        <v>0.140884756269372</v>
      </c>
      <c r="G39" s="14" t="n">
        <f aca="false">Parcel!$C$26*F39</f>
        <v>2.1978021978022</v>
      </c>
      <c r="H39" s="14" t="n">
        <f aca="false">G39*Assumptions!$C$7</f>
        <v>0.0879120879120879</v>
      </c>
      <c r="I39" s="14" t="n">
        <f aca="false">G39*(1-Use_Library!$N$38)</f>
        <v>2.08791208791209</v>
      </c>
      <c r="J39" s="14" t="n">
        <f aca="false">Parcel!$C$8*(1-F39)</f>
        <v>17.1823048746126</v>
      </c>
      <c r="K39" s="15" t="n">
        <f aca="false">IF(AND(Use_Library!$I$38="Y",Parcel!$C$28=0),0,1)</f>
        <v>1</v>
      </c>
      <c r="L39" s="15" t="n">
        <f aca="false">IF(AND(Use_Library!$J$38="Y",Parcel!$C$27=0),0,1)</f>
        <v>1</v>
      </c>
      <c r="M39" s="9" t="str">
        <f aca="false">TRIM(IF(AND(Use_Library!$AN$38&gt;0,Parcel!$C$19&lt;Use_Library!$AN$38),"Traffic under "&amp;TEXT(Use_Library!$AN$38,"#,##0")&amp;" VPD. ","")&amp;IF(AND(Use_Library!$AO$38&gt;0,Parcel!$C$20&lt;Use_Library!$AO$38),"Under "&amp;TEXT(Use_Library!$AO$38,"#,##0")&amp;" households in 3 mi. ","")&amp;IF(AND(Use_Library!$AP$38&gt;0,Parcel!$C$21&gt;Use_Library!$AP$38),"Over "&amp;Use_Library!$AP$38&amp;" mi to highway. ","")&amp;IF(AND(Use_Library!$AQ$38="Y",Parcel!$C$22&lt;&gt;"Y"),"Needs a corner. ","")&amp;IF(AND(Use_Library!$AR$38&gt;0,Parcel!$C$23&gt;Use_Library!$AR$38),"Over "&amp;Use_Library!$AR$38&amp;" mi to substation. ",""))</f>
        <v>Under 5,000 households in 3 mi.</v>
      </c>
      <c r="N39" s="15" t="n">
        <f aca="false">IF(M39="",1,0)</f>
        <v>0</v>
      </c>
      <c r="O39" s="15" t="n">
        <f aca="false">IF(D39&gt;=Use_Library!$L$38,1,0)</f>
        <v>1</v>
      </c>
      <c r="P39" s="14" t="n">
        <f aca="false">IF(Use_Library!$F$38&gt;0,G39*Use_Library!$F$38,1000000000)</f>
        <v>1000000000</v>
      </c>
      <c r="Q39" s="14" t="n">
        <f aca="false">IF(Use_Library!$G$38&gt;0,E39*43560/Use_Library!$G$38,1000000000)</f>
        <v>2</v>
      </c>
      <c r="R39" s="14" t="n">
        <f aca="false">IF(AND(Use_Library!$H$38="Y",Parcel!$C$28=0),E39*(1-Assumptions!$C$8)/IF(Parcel!$C$27=1,Assumptions!$C$9,Assumptions!$C$10),1000000000)</f>
        <v>1000000000</v>
      </c>
      <c r="S39" s="21" t="n">
        <f aca="false">IF(K39*L39*O39*N39=0,0,IF(MIN(P39,Q39,R39)&gt;=1000000000,E39,IF(Use_Library!$E$38="Y",INT(MIN(P39,Q39,R39)),MIN(P39,Q39,R39))))</f>
        <v>0</v>
      </c>
      <c r="T39" s="9" t="str">
        <f aca="false">IF(N39=0,"Location fails",IF(O39=0,"Too small - needs "&amp;Use_Library!$L$38&amp;" usable ac",IF(K39=0,"Needs public sewer",IF(L39=0,"Needs public water",IF(R39&lt;=MIN(P39,Q39),"Septic lot size",IF(Q39&lt;=P39,"Site area / parking","Density"))))))</f>
        <v>Location fails</v>
      </c>
      <c r="U39" s="15" t="n">
        <f aca="false">IF(S39&gt;0,1,0)</f>
        <v>0</v>
      </c>
      <c r="V39" s="15" t="n">
        <f aca="false">IF(Use_Library!$K$38="Y",1,0)*U39</f>
        <v>0</v>
      </c>
      <c r="W39" s="15" t="n">
        <f aca="false">S39*Use_Library!$O$38*V39</f>
        <v>0</v>
      </c>
      <c r="X39" s="15" t="n">
        <f aca="false">S39*Use_Library!$P$38*V39</f>
        <v>0</v>
      </c>
      <c r="Y39" s="15" t="n">
        <f aca="false">IF(Parcel!$C$27=1,W39+Parcel!$C$29,0)*V39</f>
        <v>0</v>
      </c>
      <c r="Z39" s="14" t="n">
        <f aca="false">S39*Use_Library!$Q$38*Parcel!$C$27*V39</f>
        <v>0</v>
      </c>
      <c r="AA39" s="15" t="n">
        <f aca="false">IF(Parcel!$C$28=1,W39+Parcel!$C$30,0)*V39</f>
        <v>0</v>
      </c>
      <c r="AB39" s="14" t="n">
        <f aca="false">S39*Use_Library!$Q$38*Parcel!$C$28*V39</f>
        <v>0</v>
      </c>
      <c r="AC39" s="14" t="n">
        <f aca="false">IF(Parcel!$C$28=0,S39*Use_Library!$R$38,0)*V39</f>
        <v>0</v>
      </c>
      <c r="AD39" s="14" t="n">
        <f aca="false">IF(Parcel!$C$27=0,S39*Use_Library!$R$38,0)*V39</f>
        <v>0</v>
      </c>
      <c r="AE39" s="14" t="n">
        <f aca="false">I39*Parcel!$C$11*V39</f>
        <v>0</v>
      </c>
      <c r="AF39" s="14" t="n">
        <f aca="false">I39*V39</f>
        <v>0</v>
      </c>
      <c r="AG39" s="15" t="n">
        <f aca="false">IF(Use_Library!$C$38="For-Sale",IF(Use_Library!$E$38="Y",S39,1),1)*U39</f>
        <v>0</v>
      </c>
      <c r="AH39" s="19" t="n">
        <f aca="false">Cost_Library!$G$5*Parcel!$C$32*U39</f>
        <v>0</v>
      </c>
      <c r="AI39" s="19" t="n">
        <f aca="false">AG39*Cost_Library!$G$6*Parcel!$C$32</f>
        <v>0</v>
      </c>
      <c r="AJ39" s="19" t="n">
        <f aca="false">I39*Cost_Library!$G$7*Parcel!$C$32*V39</f>
        <v>0</v>
      </c>
      <c r="AK39" s="19" t="n">
        <f aca="false">Cost_Library!$G$8*Parcel!$C$32*V39</f>
        <v>0</v>
      </c>
      <c r="AL39" s="19" t="n">
        <f aca="false">AC39*Cost_Library!$G$9*Parcel!$C$32</f>
        <v>0</v>
      </c>
      <c r="AM39" s="19" t="n">
        <f aca="false">Cost_Library!$G$10*U39</f>
        <v>0</v>
      </c>
      <c r="AN39" s="19" t="n">
        <f aca="false">Cost_Library!$G$11*Parcel!$C$32*V39</f>
        <v>0</v>
      </c>
      <c r="AO39" s="19" t="n">
        <f aca="false">Use_Library!$S$38*U39</f>
        <v>0</v>
      </c>
      <c r="AP39" s="19" t="n">
        <f aca="false">Cost_Library!$G$12*U39</f>
        <v>0</v>
      </c>
      <c r="AQ39" s="19" t="n">
        <f aca="false">AE39*Cost_Library!$G$13*Parcel!$C$32</f>
        <v>0</v>
      </c>
      <c r="AR39" s="19" t="n">
        <f aca="false">AF39*Cost_Library!$G$14*Parcel!$C$32*Parcel!$C$33</f>
        <v>0</v>
      </c>
      <c r="AS39" s="19" t="n">
        <f aca="false">W39*Cost_Library!$G$15*Parcel!$C$32</f>
        <v>0</v>
      </c>
      <c r="AT39" s="19" t="n">
        <f aca="false">X39*Cost_Library!$G$16*Parcel!$C$32</f>
        <v>0</v>
      </c>
      <c r="AU39" s="19" t="n">
        <f aca="false">H39*Cost_Library!$G$17*Parcel!$C$32*V39</f>
        <v>0</v>
      </c>
      <c r="AV39" s="19" t="n">
        <f aca="false">G39*Cost_Library!$G$18*Parcel!$C$32*V39</f>
        <v>0</v>
      </c>
      <c r="AW39" s="19" t="n">
        <f aca="false">Y39*Cost_Library!$G$19*Parcel!$C$32</f>
        <v>0</v>
      </c>
      <c r="AX39" s="19" t="n">
        <f aca="false">Z39*Cost_Library!$G$20</f>
        <v>0</v>
      </c>
      <c r="AY39" s="19" t="n">
        <f aca="false">AA39*Cost_Library!$G$21*Parcel!$C$32</f>
        <v>0</v>
      </c>
      <c r="AZ39" s="19" t="n">
        <f aca="false">AB39*Cost_Library!$G$22</f>
        <v>0</v>
      </c>
      <c r="BA39" s="19" t="n">
        <f aca="false">AC39*Cost_Library!$G$23*Parcel!$C$32*Parcel!$C$34</f>
        <v>0</v>
      </c>
      <c r="BB39" s="19" t="n">
        <f aca="false">AD39*Cost_Library!$G$24*Parcel!$C$32</f>
        <v>0</v>
      </c>
      <c r="BC39" s="19" t="n">
        <f aca="false">W39*Cost_Library!$G$25*Parcel!$C$32</f>
        <v>0</v>
      </c>
      <c r="BD39" s="19" t="n">
        <f aca="false">SUM(AH39:BC39)</f>
        <v>0</v>
      </c>
      <c r="BE39" s="19" t="n">
        <f aca="false">BD39*Assumptions!$C$11</f>
        <v>0</v>
      </c>
      <c r="BF39" s="19" t="n">
        <f aca="false">BD39+BE39</f>
        <v>0</v>
      </c>
      <c r="BG39" s="19" t="n">
        <f aca="false">S39*Use_Library!$T$38</f>
        <v>0</v>
      </c>
      <c r="BH39" s="19" t="n">
        <f aca="false">BG39*(Assumptions!$C$12+Assumptions!$C$13)</f>
        <v>0</v>
      </c>
      <c r="BI39" s="19" t="n">
        <f aca="false">S39*Use_Library!$AC$38</f>
        <v>0</v>
      </c>
      <c r="BJ39" s="23" t="n">
        <f aca="false">1+Assumptions!$C$14+Assumptions!$C$15*Use_Library!$AH$38/12</f>
        <v>1.045</v>
      </c>
      <c r="BK39" s="23" t="n">
        <f aca="false">1+Assumptions!$C$21*(Assumptions!$C$22*Use_Library!$AH$38/12*Assumptions!$C$24+Assumptions!$C$23)</f>
        <v>1.038675</v>
      </c>
      <c r="BL39" s="23" t="n">
        <f aca="false">1+Assumptions!$C$21*(Assumptions!$C$22*(Use_Library!$AH$38/12*Assumptions!$C$24+IF(Use_Library!$C$38="Income",Use_Library!$AD$38,0)/12*Assumptions!$C$25)+Assumptions!$C$23)</f>
        <v>1.038675</v>
      </c>
      <c r="BM39" s="19" t="n">
        <f aca="false">J39*Assumptions!$C$31*(1-Assumptions!$C$17)*U39</f>
        <v>0</v>
      </c>
      <c r="BN39" s="19" t="n">
        <f aca="false">IF(Use_Library!$AJ$38=1,IF(Use_Library!$C$38="For-Sale",S39*Use_Library!$U$38,E39*Use_Library!$AF$38)*(1-Assumptions!$C$17)+BM39,0)*U39</f>
        <v>0</v>
      </c>
      <c r="BO39" s="19" t="n">
        <f aca="false">(BD39-AT39)*(1+Assumptions!$C$11)</f>
        <v>0</v>
      </c>
      <c r="BP39" s="23" t="n">
        <f aca="false">BJ39*BK39</f>
        <v>1.085415375</v>
      </c>
      <c r="BQ39" s="19" t="n">
        <f aca="false">(Parcel!$C$18*BJ39+BO39)*BK39</f>
        <v>325624.6125</v>
      </c>
      <c r="BR39" s="19" t="n">
        <f aca="false">BN39-BQ39</f>
        <v>-325624.6125</v>
      </c>
      <c r="BS39" s="32" t="n">
        <f aca="false">IF(AND(Use_Library!$AJ$38=1,U39=1),MAX(0,((1-Use_Library!$AI$38)*BN39-BO39*BK39)/BP39),0)</f>
        <v>0</v>
      </c>
      <c r="BT39" s="19" t="n">
        <f aca="false">BF39+BG39+BH39+BI39</f>
        <v>0</v>
      </c>
      <c r="BU39" s="23" t="n">
        <f aca="false">BJ39*BL39</f>
        <v>1.085415375</v>
      </c>
      <c r="BV39" s="19" t="n">
        <f aca="false">(Parcel!$C$18*BJ39+BT39)*BL39</f>
        <v>325624.6125</v>
      </c>
      <c r="BW39" s="19" t="n">
        <f aca="false">IF(Use_Library!$C$38="Income",S39*Use_Library!$W$38,0)</f>
        <v>0</v>
      </c>
      <c r="BX39" s="19" t="n">
        <f aca="false">BW39*(1+Use_Library!$X$38)*(1-Use_Library!$Y$38)</f>
        <v>0</v>
      </c>
      <c r="BY39" s="19" t="n">
        <f aca="false">IF(Use_Library!$C$38="Income",S39*Use_Library!$Z$38,0)</f>
        <v>0</v>
      </c>
      <c r="BZ39" s="19" t="n">
        <f aca="false">IF(Use_Library!$C$38="Income",Assumptions!$C$19*Assumptions!$C$20*BV39,0)</f>
        <v>0</v>
      </c>
      <c r="CA39" s="19" t="n">
        <f aca="false">BX39*Use_Library!$AA$38</f>
        <v>0</v>
      </c>
      <c r="CB39" s="19" t="n">
        <f aca="false">(BY39+BZ39)*Use_Library!$AB$38</f>
        <v>0</v>
      </c>
      <c r="CC39" s="19" t="n">
        <f aca="false">BX39-BY39-BZ39-CA39+CB39</f>
        <v>0</v>
      </c>
      <c r="CD39" s="19" t="n">
        <f aca="false">IF(AND(Use_Library!$C$38="Income",Use_Library!$AE$38&gt;0),CC39/Use_Library!$AE$38,0)</f>
        <v>0</v>
      </c>
      <c r="CE39" s="24" t="n">
        <f aca="false">IF(Use_Library!$C$38="Income",-Assumptions!$C$19*Assumptions!$C$20*(1-Use_Library!$AB$38)*BU39,0)</f>
        <v>0</v>
      </c>
      <c r="CF39" s="20" t="n">
        <f aca="false">IF(BV39=0,0,CC39/BV39)</f>
        <v>0</v>
      </c>
      <c r="CG39" s="19" t="n">
        <f aca="false">IF(Use_Library!$AK$38=1,IF(Use_Library!$C$38="Income",CD39*(1-Assumptions!$C$18),S39*Use_Library!$V$38*(1-Assumptions!$C$16))+BM39,0)*U39</f>
        <v>0</v>
      </c>
      <c r="CH39" s="24" t="n">
        <f aca="false">IF(AND(Use_Library!$AK$38=1,Use_Library!$C$38="Income",Use_Library!$AE$38&gt;0),CE39/Use_Library!$AE$38*(1-Assumptions!$C$18),0)</f>
        <v>0</v>
      </c>
      <c r="CI39" s="19" t="n">
        <f aca="false">CG39-BV39</f>
        <v>-325624.6125</v>
      </c>
      <c r="CJ39" s="32" t="n">
        <f aca="false">IF(AND(Use_Library!$AK$38=1,U39=1),MAX(0,Parcel!$C$18-((1-Use_Library!$AI$38)*CG39-BV39)/((1-Use_Library!$AI$38)*CH39-BU39)),0)</f>
        <v>0</v>
      </c>
      <c r="CK39" s="19" t="n">
        <f aca="false">IF(Use_Library!$AL$38=1,IF(Use_Library!$C$38="Income",CD39,IF(Use_Library!$AE$38&gt;0,E39*Use_Library!$AG$38/Use_Library!$AE$38,0))+BM39,0)*U39</f>
        <v>0</v>
      </c>
      <c r="CL39" s="19" t="n">
        <f aca="false">IF(Use_Library!$C$38="Income",BT39,BF39)</f>
        <v>0</v>
      </c>
      <c r="CM39" s="23" t="n">
        <f aca="false">IF(Use_Library!$C$38="Income",BU39,BJ39*BK39)</f>
        <v>1.085415375</v>
      </c>
      <c r="CN39" s="19" t="n">
        <f aca="false">IF(Use_Library!$C$38="Income",BV39,(Parcel!$C$18*BJ39+BF39)*BK39)</f>
        <v>325624.6125</v>
      </c>
      <c r="CO39" s="24" t="n">
        <f aca="false">IF(AND(Use_Library!$AL$38=1,Use_Library!$C$38="Income",Use_Library!$AE$38&gt;0),CE39/Use_Library!$AE$38,0)</f>
        <v>0</v>
      </c>
      <c r="CP39" s="19" t="n">
        <f aca="false">CK39-CN39</f>
        <v>-325624.6125</v>
      </c>
      <c r="CQ39" s="32" t="n">
        <f aca="false">IF(AND(Use_Library!$AL$38=1,U39=1),MAX(0,Parcel!$C$18-((1-Use_Library!$AI$38)*CK39-CN39)/((1-Use_Library!$AI$38)*CO39-CM39)),0)</f>
        <v>0</v>
      </c>
      <c r="CR39" s="19" t="n">
        <f aca="false">IF(Use_Library!$C$38="Income",Assumptions!$C$21*(Parcel!$C$18*BJ39+BT39),0)</f>
        <v>0</v>
      </c>
      <c r="CS39" s="19" t="n">
        <f aca="false">IF(AND(Use_Library!$C$38="Income",CC39&gt;0),MIN(Assumptions!$C$26*CD39,PV(Assumptions!$C$29/12,Assumptions!$C$30*12,-CC39/Assumptions!$C$27/12),CC39/Assumptions!$C$28),0)</f>
        <v>0</v>
      </c>
      <c r="CT39" s="25" t="n">
        <f aca="false">IF(CS39=0,0,CC39/(-PMT(Assumptions!$C$29/12,Assumptions!$C$30*12,CS39)*12))</f>
        <v>0</v>
      </c>
      <c r="CU39" s="19" t="n">
        <f aca="false">CS39-CR39</f>
        <v>0</v>
      </c>
      <c r="CV39" s="18" t="n">
        <f aca="false">MAX(BS39,CJ39,CQ39)</f>
        <v>0</v>
      </c>
      <c r="CW39" s="9" t="str">
        <f aca="false">IF(CV39&lt;=0,"None works",IF(BS39=CV39,"Land / pad sale",IF(CJ39=CV39,"Build &amp; sell","Build &amp; hold / lease")))</f>
        <v>None works</v>
      </c>
      <c r="CX39" s="19" t="n">
        <f aca="false">CV39*(1-Assumptions!$C$32)</f>
        <v>0</v>
      </c>
      <c r="CY39" s="19" t="n">
        <f aca="false">CV39-Parcel!$C$18</f>
        <v>-300000</v>
      </c>
      <c r="CZ39" s="19" t="n">
        <f aca="false">IF(Parcel!$C$8=0,0,CV39/Parcel!$C$8)</f>
        <v>0</v>
      </c>
      <c r="DA39" s="33" t="n">
        <f aca="false">IF(S39=0,0,CV39/S39)</f>
        <v>0</v>
      </c>
      <c r="DB39" s="9" t="str">
        <f aca="false">TRIM(M39&amp;" "&amp;IF(AND(U39=0,N39=1),"Nothing fits. ","")&amp;IF(Parcel!$C$12&lt;Use_Library!$AM$38,"Frontage under "&amp;Use_Library!$AM$38&amp;" LF. ","")&amp;IF(Parcel!$C$10&gt;0.15,"Slope over 15%. ","")&amp;IF(AND(U39=1,Use_Library!$M$38&gt;0,D39&gt;Use_Library!$M$38),"Only "&amp;Use_Library!$M$38&amp;" ac used - rest resold. ",""))</f>
        <v>Under 5,000 households in 3 mi.</v>
      </c>
      <c r="DC39" s="19" t="n">
        <f aca="false">CV39+ROW()/1000000</f>
        <v>3.9E-005</v>
      </c>
    </row>
    <row r="40" customFormat="false" ht="15" hidden="false" customHeight="false" outlineLevel="0" collapsed="false">
      <c r="A40" s="4" t="str">
        <f aca="false">Use_Library!$A$39</f>
        <v>Charter / private school</v>
      </c>
      <c r="B40" s="9" t="str">
        <f aca="false">Use_Library!$C$39</f>
        <v>Operator Pad</v>
      </c>
      <c r="C40" s="9" t="str">
        <f aca="false">Use_Library!$D$39</f>
        <v>acre</v>
      </c>
      <c r="D40" s="14" t="n">
        <f aca="false">MAX(0,Parcel!$C$26*(1-Use_Library!$N$39-Assumptions!$C$7))</f>
        <v>14.196</v>
      </c>
      <c r="E40" s="14" t="n">
        <f aca="false">IF(Use_Library!$M$39&gt;0,MIN(D40,Use_Library!$M$39),D40)</f>
        <v>10</v>
      </c>
      <c r="F40" s="20" t="n">
        <f aca="false">IF(D40=0,0,E40/D40)</f>
        <v>0.704423781346858</v>
      </c>
      <c r="G40" s="14" t="n">
        <f aca="false">Parcel!$C$26*F40</f>
        <v>10.989010989011</v>
      </c>
      <c r="H40" s="14" t="n">
        <f aca="false">G40*Assumptions!$C$7</f>
        <v>0.43956043956044</v>
      </c>
      <c r="I40" s="14" t="n">
        <f aca="false">G40*(1-Use_Library!$N$39)</f>
        <v>10.4395604395604</v>
      </c>
      <c r="J40" s="14" t="n">
        <f aca="false">Parcel!$C$8*(1-F40)</f>
        <v>5.91152437306284</v>
      </c>
      <c r="K40" s="15" t="n">
        <f aca="false">IF(AND(Use_Library!$I$39="Y",Parcel!$C$28=0),0,1)</f>
        <v>1</v>
      </c>
      <c r="L40" s="15" t="n">
        <f aca="false">IF(AND(Use_Library!$J$39="Y",Parcel!$C$27=0),0,1)</f>
        <v>1</v>
      </c>
      <c r="M40" s="9" t="str">
        <f aca="false">TRIM(IF(AND(Use_Library!$AN$39&gt;0,Parcel!$C$19&lt;Use_Library!$AN$39),"Traffic under "&amp;TEXT(Use_Library!$AN$39,"#,##0")&amp;" VPD. ","")&amp;IF(AND(Use_Library!$AO$39&gt;0,Parcel!$C$20&lt;Use_Library!$AO$39),"Under "&amp;TEXT(Use_Library!$AO$39,"#,##0")&amp;" households in 3 mi. ","")&amp;IF(AND(Use_Library!$AP$39&gt;0,Parcel!$C$21&gt;Use_Library!$AP$39),"Over "&amp;Use_Library!$AP$39&amp;" mi to highway. ","")&amp;IF(AND(Use_Library!$AQ$39="Y",Parcel!$C$22&lt;&gt;"Y"),"Needs a corner. ","")&amp;IF(AND(Use_Library!$AR$39&gt;0,Parcel!$C$23&gt;Use_Library!$AR$39),"Over "&amp;Use_Library!$AR$39&amp;" mi to substation. ",""))</f>
        <v>Under 8,000 households in 3 mi.</v>
      </c>
      <c r="N40" s="15" t="n">
        <f aca="false">IF(M40="",1,0)</f>
        <v>0</v>
      </c>
      <c r="O40" s="15" t="n">
        <f aca="false">IF(D40&gt;=Use_Library!$L$39,1,0)</f>
        <v>1</v>
      </c>
      <c r="P40" s="14" t="n">
        <f aca="false">IF(Use_Library!$F$39&gt;0,G40*Use_Library!$F$39,1000000000)</f>
        <v>1000000000</v>
      </c>
      <c r="Q40" s="14" t="n">
        <f aca="false">IF(Use_Library!$G$39&gt;0,E40*43560/Use_Library!$G$39,1000000000)</f>
        <v>10</v>
      </c>
      <c r="R40" s="14" t="n">
        <f aca="false">IF(AND(Use_Library!$H$39="Y",Parcel!$C$28=0),E40*(1-Assumptions!$C$8)/IF(Parcel!$C$27=1,Assumptions!$C$9,Assumptions!$C$10),1000000000)</f>
        <v>1000000000</v>
      </c>
      <c r="S40" s="21" t="n">
        <f aca="false">IF(K40*L40*O40*N40=0,0,IF(MIN(P40,Q40,R40)&gt;=1000000000,E40,IF(Use_Library!$E$39="Y",INT(MIN(P40,Q40,R40)),MIN(P40,Q40,R40))))</f>
        <v>0</v>
      </c>
      <c r="T40" s="9" t="str">
        <f aca="false">IF(N40=0,"Location fails",IF(O40=0,"Too small - needs "&amp;Use_Library!$L$39&amp;" usable ac",IF(K40=0,"Needs public sewer",IF(L40=0,"Needs public water",IF(R40&lt;=MIN(P40,Q40),"Septic lot size",IF(Q40&lt;=P40,"Site area / parking","Density"))))))</f>
        <v>Location fails</v>
      </c>
      <c r="U40" s="15" t="n">
        <f aca="false">IF(S40&gt;0,1,0)</f>
        <v>0</v>
      </c>
      <c r="V40" s="15" t="n">
        <f aca="false">IF(Use_Library!$K$39="Y",1,0)*U40</f>
        <v>0</v>
      </c>
      <c r="W40" s="15" t="n">
        <f aca="false">S40*Use_Library!$O$39*V40</f>
        <v>0</v>
      </c>
      <c r="X40" s="15" t="n">
        <f aca="false">S40*Use_Library!$P$39*V40</f>
        <v>0</v>
      </c>
      <c r="Y40" s="15" t="n">
        <f aca="false">IF(Parcel!$C$27=1,W40+Parcel!$C$29,0)*V40</f>
        <v>0</v>
      </c>
      <c r="Z40" s="14" t="n">
        <f aca="false">S40*Use_Library!$Q$39*Parcel!$C$27*V40</f>
        <v>0</v>
      </c>
      <c r="AA40" s="15" t="n">
        <f aca="false">IF(Parcel!$C$28=1,W40+Parcel!$C$30,0)*V40</f>
        <v>0</v>
      </c>
      <c r="AB40" s="14" t="n">
        <f aca="false">S40*Use_Library!$Q$39*Parcel!$C$28*V40</f>
        <v>0</v>
      </c>
      <c r="AC40" s="14" t="n">
        <f aca="false">IF(Parcel!$C$28=0,S40*Use_Library!$R$39,0)*V40</f>
        <v>0</v>
      </c>
      <c r="AD40" s="14" t="n">
        <f aca="false">IF(Parcel!$C$27=0,S40*Use_Library!$R$39,0)*V40</f>
        <v>0</v>
      </c>
      <c r="AE40" s="14" t="n">
        <f aca="false">I40*Parcel!$C$11*V40</f>
        <v>0</v>
      </c>
      <c r="AF40" s="14" t="n">
        <f aca="false">I40*V40</f>
        <v>0</v>
      </c>
      <c r="AG40" s="15" t="n">
        <f aca="false">IF(Use_Library!$C$39="For-Sale",IF(Use_Library!$E$39="Y",S40,1),1)*U40</f>
        <v>0</v>
      </c>
      <c r="AH40" s="19" t="n">
        <f aca="false">Cost_Library!$G$5*Parcel!$C$32*U40</f>
        <v>0</v>
      </c>
      <c r="AI40" s="19" t="n">
        <f aca="false">AG40*Cost_Library!$G$6*Parcel!$C$32</f>
        <v>0</v>
      </c>
      <c r="AJ40" s="19" t="n">
        <f aca="false">I40*Cost_Library!$G$7*Parcel!$C$32*V40</f>
        <v>0</v>
      </c>
      <c r="AK40" s="19" t="n">
        <f aca="false">Cost_Library!$G$8*Parcel!$C$32*V40</f>
        <v>0</v>
      </c>
      <c r="AL40" s="19" t="n">
        <f aca="false">AC40*Cost_Library!$G$9*Parcel!$C$32</f>
        <v>0</v>
      </c>
      <c r="AM40" s="19" t="n">
        <f aca="false">Cost_Library!$G$10*U40</f>
        <v>0</v>
      </c>
      <c r="AN40" s="19" t="n">
        <f aca="false">Cost_Library!$G$11*Parcel!$C$32*V40</f>
        <v>0</v>
      </c>
      <c r="AO40" s="19" t="n">
        <f aca="false">Use_Library!$S$39*U40</f>
        <v>0</v>
      </c>
      <c r="AP40" s="19" t="n">
        <f aca="false">Cost_Library!$G$12*U40</f>
        <v>0</v>
      </c>
      <c r="AQ40" s="19" t="n">
        <f aca="false">AE40*Cost_Library!$G$13*Parcel!$C$32</f>
        <v>0</v>
      </c>
      <c r="AR40" s="19" t="n">
        <f aca="false">AF40*Cost_Library!$G$14*Parcel!$C$32*Parcel!$C$33</f>
        <v>0</v>
      </c>
      <c r="AS40" s="19" t="n">
        <f aca="false">W40*Cost_Library!$G$15*Parcel!$C$32</f>
        <v>0</v>
      </c>
      <c r="AT40" s="19" t="n">
        <f aca="false">X40*Cost_Library!$G$16*Parcel!$C$32</f>
        <v>0</v>
      </c>
      <c r="AU40" s="19" t="n">
        <f aca="false">H40*Cost_Library!$G$17*Parcel!$C$32*V40</f>
        <v>0</v>
      </c>
      <c r="AV40" s="19" t="n">
        <f aca="false">G40*Cost_Library!$G$18*Parcel!$C$32*V40</f>
        <v>0</v>
      </c>
      <c r="AW40" s="19" t="n">
        <f aca="false">Y40*Cost_Library!$G$19*Parcel!$C$32</f>
        <v>0</v>
      </c>
      <c r="AX40" s="19" t="n">
        <f aca="false">Z40*Cost_Library!$G$20</f>
        <v>0</v>
      </c>
      <c r="AY40" s="19" t="n">
        <f aca="false">AA40*Cost_Library!$G$21*Parcel!$C$32</f>
        <v>0</v>
      </c>
      <c r="AZ40" s="19" t="n">
        <f aca="false">AB40*Cost_Library!$G$22</f>
        <v>0</v>
      </c>
      <c r="BA40" s="19" t="n">
        <f aca="false">AC40*Cost_Library!$G$23*Parcel!$C$32*Parcel!$C$34</f>
        <v>0</v>
      </c>
      <c r="BB40" s="19" t="n">
        <f aca="false">AD40*Cost_Library!$G$24*Parcel!$C$32</f>
        <v>0</v>
      </c>
      <c r="BC40" s="19" t="n">
        <f aca="false">W40*Cost_Library!$G$25*Parcel!$C$32</f>
        <v>0</v>
      </c>
      <c r="BD40" s="19" t="n">
        <f aca="false">SUM(AH40:BC40)</f>
        <v>0</v>
      </c>
      <c r="BE40" s="19" t="n">
        <f aca="false">BD40*Assumptions!$C$11</f>
        <v>0</v>
      </c>
      <c r="BF40" s="19" t="n">
        <f aca="false">BD40+BE40</f>
        <v>0</v>
      </c>
      <c r="BG40" s="19" t="n">
        <f aca="false">S40*Use_Library!$T$39</f>
        <v>0</v>
      </c>
      <c r="BH40" s="19" t="n">
        <f aca="false">BG40*(Assumptions!$C$12+Assumptions!$C$13)</f>
        <v>0</v>
      </c>
      <c r="BI40" s="19" t="n">
        <f aca="false">S40*Use_Library!$AC$39</f>
        <v>0</v>
      </c>
      <c r="BJ40" s="23" t="n">
        <f aca="false">1+Assumptions!$C$14+Assumptions!$C$15*Use_Library!$AH$39/12</f>
        <v>1.045</v>
      </c>
      <c r="BK40" s="23" t="n">
        <f aca="false">1+Assumptions!$C$21*(Assumptions!$C$22*Use_Library!$AH$39/12*Assumptions!$C$24+Assumptions!$C$23)</f>
        <v>1.038675</v>
      </c>
      <c r="BL40" s="23" t="n">
        <f aca="false">1+Assumptions!$C$21*(Assumptions!$C$22*(Use_Library!$AH$39/12*Assumptions!$C$24+IF(Use_Library!$C$39="Income",Use_Library!$AD$39,0)/12*Assumptions!$C$25)+Assumptions!$C$23)</f>
        <v>1.038675</v>
      </c>
      <c r="BM40" s="19" t="n">
        <f aca="false">J40*Assumptions!$C$31*(1-Assumptions!$C$17)*U40</f>
        <v>0</v>
      </c>
      <c r="BN40" s="19" t="n">
        <f aca="false">IF(Use_Library!$AJ$39=1,IF(Use_Library!$C$39="For-Sale",S40*Use_Library!$U$39,E40*Use_Library!$AF$39)*(1-Assumptions!$C$17)+BM40,0)*U40</f>
        <v>0</v>
      </c>
      <c r="BO40" s="19" t="n">
        <f aca="false">(BD40-AT40)*(1+Assumptions!$C$11)</f>
        <v>0</v>
      </c>
      <c r="BP40" s="23" t="n">
        <f aca="false">BJ40*BK40</f>
        <v>1.085415375</v>
      </c>
      <c r="BQ40" s="19" t="n">
        <f aca="false">(Parcel!$C$18*BJ40+BO40)*BK40</f>
        <v>325624.6125</v>
      </c>
      <c r="BR40" s="19" t="n">
        <f aca="false">BN40-BQ40</f>
        <v>-325624.6125</v>
      </c>
      <c r="BS40" s="32" t="n">
        <f aca="false">IF(AND(Use_Library!$AJ$39=1,U40=1),MAX(0,((1-Use_Library!$AI$39)*BN40-BO40*BK40)/BP40),0)</f>
        <v>0</v>
      </c>
      <c r="BT40" s="19" t="n">
        <f aca="false">BF40+BG40+BH40+BI40</f>
        <v>0</v>
      </c>
      <c r="BU40" s="23" t="n">
        <f aca="false">BJ40*BL40</f>
        <v>1.085415375</v>
      </c>
      <c r="BV40" s="19" t="n">
        <f aca="false">(Parcel!$C$18*BJ40+BT40)*BL40</f>
        <v>325624.6125</v>
      </c>
      <c r="BW40" s="19" t="n">
        <f aca="false">IF(Use_Library!$C$39="Income",S40*Use_Library!$W$39,0)</f>
        <v>0</v>
      </c>
      <c r="BX40" s="19" t="n">
        <f aca="false">BW40*(1+Use_Library!$X$39)*(1-Use_Library!$Y$39)</f>
        <v>0</v>
      </c>
      <c r="BY40" s="19" t="n">
        <f aca="false">IF(Use_Library!$C$39="Income",S40*Use_Library!$Z$39,0)</f>
        <v>0</v>
      </c>
      <c r="BZ40" s="19" t="n">
        <f aca="false">IF(Use_Library!$C$39="Income",Assumptions!$C$19*Assumptions!$C$20*BV40,0)</f>
        <v>0</v>
      </c>
      <c r="CA40" s="19" t="n">
        <f aca="false">BX40*Use_Library!$AA$39</f>
        <v>0</v>
      </c>
      <c r="CB40" s="19" t="n">
        <f aca="false">(BY40+BZ40)*Use_Library!$AB$39</f>
        <v>0</v>
      </c>
      <c r="CC40" s="19" t="n">
        <f aca="false">BX40-BY40-BZ40-CA40+CB40</f>
        <v>0</v>
      </c>
      <c r="CD40" s="19" t="n">
        <f aca="false">IF(AND(Use_Library!$C$39="Income",Use_Library!$AE$39&gt;0),CC40/Use_Library!$AE$39,0)</f>
        <v>0</v>
      </c>
      <c r="CE40" s="24" t="n">
        <f aca="false">IF(Use_Library!$C$39="Income",-Assumptions!$C$19*Assumptions!$C$20*(1-Use_Library!$AB$39)*BU40,0)</f>
        <v>0</v>
      </c>
      <c r="CF40" s="20" t="n">
        <f aca="false">IF(BV40=0,0,CC40/BV40)</f>
        <v>0</v>
      </c>
      <c r="CG40" s="19" t="n">
        <f aca="false">IF(Use_Library!$AK$39=1,IF(Use_Library!$C$39="Income",CD40*(1-Assumptions!$C$18),S40*Use_Library!$V$39*(1-Assumptions!$C$16))+BM40,0)*U40</f>
        <v>0</v>
      </c>
      <c r="CH40" s="24" t="n">
        <f aca="false">IF(AND(Use_Library!$AK$39=1,Use_Library!$C$39="Income",Use_Library!$AE$39&gt;0),CE40/Use_Library!$AE$39*(1-Assumptions!$C$18),0)</f>
        <v>0</v>
      </c>
      <c r="CI40" s="19" t="n">
        <f aca="false">CG40-BV40</f>
        <v>-325624.6125</v>
      </c>
      <c r="CJ40" s="32" t="n">
        <f aca="false">IF(AND(Use_Library!$AK$39=1,U40=1),MAX(0,Parcel!$C$18-((1-Use_Library!$AI$39)*CG40-BV40)/((1-Use_Library!$AI$39)*CH40-BU40)),0)</f>
        <v>0</v>
      </c>
      <c r="CK40" s="19" t="n">
        <f aca="false">IF(Use_Library!$AL$39=1,IF(Use_Library!$C$39="Income",CD40,IF(Use_Library!$AE$39&gt;0,E40*Use_Library!$AG$39/Use_Library!$AE$39,0))+BM40,0)*U40</f>
        <v>0</v>
      </c>
      <c r="CL40" s="19" t="n">
        <f aca="false">IF(Use_Library!$C$39="Income",BT40,BF40)</f>
        <v>0</v>
      </c>
      <c r="CM40" s="23" t="n">
        <f aca="false">IF(Use_Library!$C$39="Income",BU40,BJ40*BK40)</f>
        <v>1.085415375</v>
      </c>
      <c r="CN40" s="19" t="n">
        <f aca="false">IF(Use_Library!$C$39="Income",BV40,(Parcel!$C$18*BJ40+BF40)*BK40)</f>
        <v>325624.6125</v>
      </c>
      <c r="CO40" s="24" t="n">
        <f aca="false">IF(AND(Use_Library!$AL$39=1,Use_Library!$C$39="Income",Use_Library!$AE$39&gt;0),CE40/Use_Library!$AE$39,0)</f>
        <v>0</v>
      </c>
      <c r="CP40" s="19" t="n">
        <f aca="false">CK40-CN40</f>
        <v>-325624.6125</v>
      </c>
      <c r="CQ40" s="32" t="n">
        <f aca="false">IF(AND(Use_Library!$AL$39=1,U40=1),MAX(0,Parcel!$C$18-((1-Use_Library!$AI$39)*CK40-CN40)/((1-Use_Library!$AI$39)*CO40-CM40)),0)</f>
        <v>0</v>
      </c>
      <c r="CR40" s="19" t="n">
        <f aca="false">IF(Use_Library!$C$39="Income",Assumptions!$C$21*(Parcel!$C$18*BJ40+BT40),0)</f>
        <v>0</v>
      </c>
      <c r="CS40" s="19" t="n">
        <f aca="false">IF(AND(Use_Library!$C$39="Income",CC40&gt;0),MIN(Assumptions!$C$26*CD40,PV(Assumptions!$C$29/12,Assumptions!$C$30*12,-CC40/Assumptions!$C$27/12),CC40/Assumptions!$C$28),0)</f>
        <v>0</v>
      </c>
      <c r="CT40" s="25" t="n">
        <f aca="false">IF(CS40=0,0,CC40/(-PMT(Assumptions!$C$29/12,Assumptions!$C$30*12,CS40)*12))</f>
        <v>0</v>
      </c>
      <c r="CU40" s="19" t="n">
        <f aca="false">CS40-CR40</f>
        <v>0</v>
      </c>
      <c r="CV40" s="18" t="n">
        <f aca="false">MAX(BS40,CJ40,CQ40)</f>
        <v>0</v>
      </c>
      <c r="CW40" s="9" t="str">
        <f aca="false">IF(CV40&lt;=0,"None works",IF(BS40=CV40,"Land / pad sale",IF(CJ40=CV40,"Build &amp; sell","Build &amp; hold / lease")))</f>
        <v>None works</v>
      </c>
      <c r="CX40" s="19" t="n">
        <f aca="false">CV40*(1-Assumptions!$C$32)</f>
        <v>0</v>
      </c>
      <c r="CY40" s="19" t="n">
        <f aca="false">CV40-Parcel!$C$18</f>
        <v>-300000</v>
      </c>
      <c r="CZ40" s="19" t="n">
        <f aca="false">IF(Parcel!$C$8=0,0,CV40/Parcel!$C$8)</f>
        <v>0</v>
      </c>
      <c r="DA40" s="33" t="n">
        <f aca="false">IF(S40=0,0,CV40/S40)</f>
        <v>0</v>
      </c>
      <c r="DB40" s="9" t="str">
        <f aca="false">TRIM(M40&amp;" "&amp;IF(AND(U40=0,N40=1),"Nothing fits. ","")&amp;IF(Parcel!$C$12&lt;Use_Library!$AM$39,"Frontage under "&amp;Use_Library!$AM$39&amp;" LF. ","")&amp;IF(Parcel!$C$10&gt;0.15,"Slope over 15%. ","")&amp;IF(AND(U40=1,Use_Library!$M$39&gt;0,D40&gt;Use_Library!$M$39),"Only "&amp;Use_Library!$M$39&amp;" ac used - rest resold. ",""))</f>
        <v>Under 8,000 households in 3 mi.</v>
      </c>
      <c r="DC40" s="19" t="n">
        <f aca="false">CV40+ROW()/1000000</f>
        <v>4E-005</v>
      </c>
    </row>
    <row r="41" customFormat="false" ht="15" hidden="false" customHeight="false" outlineLevel="0" collapsed="false">
      <c r="A41" s="4" t="str">
        <f aca="false">Use_Library!$A$40</f>
        <v>Youth sports complex</v>
      </c>
      <c r="B41" s="9" t="str">
        <f aca="false">Use_Library!$C$40</f>
        <v>Operator Pad</v>
      </c>
      <c r="C41" s="9" t="str">
        <f aca="false">Use_Library!$D$40</f>
        <v>acre</v>
      </c>
      <c r="D41" s="14" t="n">
        <f aca="false">MAX(0,Parcel!$C$26*(1-Use_Library!$N$40-Assumptions!$C$7))</f>
        <v>14.196</v>
      </c>
      <c r="E41" s="14" t="n">
        <f aca="false">IF(Use_Library!$M$40&gt;0,MIN(D41,Use_Library!$M$40),D41)</f>
        <v>14.196</v>
      </c>
      <c r="F41" s="20" t="n">
        <f aca="false">IF(D41=0,0,E41/D41)</f>
        <v>1</v>
      </c>
      <c r="G41" s="14" t="n">
        <f aca="false">Parcel!$C$26*F41</f>
        <v>15.6</v>
      </c>
      <c r="H41" s="14" t="n">
        <f aca="false">G41*Assumptions!$C$7</f>
        <v>0.624</v>
      </c>
      <c r="I41" s="14" t="n">
        <f aca="false">G41*(1-Use_Library!$N$40)</f>
        <v>14.82</v>
      </c>
      <c r="J41" s="14" t="n">
        <f aca="false">Parcel!$C$8*(1-F41)</f>
        <v>0</v>
      </c>
      <c r="K41" s="15" t="n">
        <f aca="false">IF(AND(Use_Library!$I$40="Y",Parcel!$C$28=0),0,1)</f>
        <v>1</v>
      </c>
      <c r="L41" s="15" t="n">
        <f aca="false">IF(AND(Use_Library!$J$40="Y",Parcel!$C$27=0),0,1)</f>
        <v>1</v>
      </c>
      <c r="M41" s="9" t="str">
        <f aca="false">TRIM(IF(AND(Use_Library!$AN$40&gt;0,Parcel!$C$19&lt;Use_Library!$AN$40),"Traffic under "&amp;TEXT(Use_Library!$AN$40,"#,##0")&amp;" VPD. ","")&amp;IF(AND(Use_Library!$AO$40&gt;0,Parcel!$C$20&lt;Use_Library!$AO$40),"Under "&amp;TEXT(Use_Library!$AO$40,"#,##0")&amp;" households in 3 mi. ","")&amp;IF(AND(Use_Library!$AP$40&gt;0,Parcel!$C$21&gt;Use_Library!$AP$40),"Over "&amp;Use_Library!$AP$40&amp;" mi to highway. ","")&amp;IF(AND(Use_Library!$AQ$40="Y",Parcel!$C$22&lt;&gt;"Y"),"Needs a corner. ","")&amp;IF(AND(Use_Library!$AR$40&gt;0,Parcel!$C$23&gt;Use_Library!$AR$40),"Over "&amp;Use_Library!$AR$40&amp;" mi to substation. ",""))</f>
        <v>Under 5,000 households in 3 mi.</v>
      </c>
      <c r="N41" s="15" t="n">
        <f aca="false">IF(M41="",1,0)</f>
        <v>0</v>
      </c>
      <c r="O41" s="15" t="n">
        <f aca="false">IF(D41&gt;=Use_Library!$L$40,1,0)</f>
        <v>0</v>
      </c>
      <c r="P41" s="14" t="n">
        <f aca="false">IF(Use_Library!$F$40&gt;0,G41*Use_Library!$F$40,1000000000)</f>
        <v>1000000000</v>
      </c>
      <c r="Q41" s="14" t="n">
        <f aca="false">IF(Use_Library!$G$40&gt;0,E41*43560/Use_Library!$G$40,1000000000)</f>
        <v>14.196</v>
      </c>
      <c r="R41" s="14" t="n">
        <f aca="false">IF(AND(Use_Library!$H$40="Y",Parcel!$C$28=0),E41*(1-Assumptions!$C$8)/IF(Parcel!$C$27=1,Assumptions!$C$9,Assumptions!$C$10),1000000000)</f>
        <v>1000000000</v>
      </c>
      <c r="S41" s="21" t="n">
        <f aca="false">IF(K41*L41*O41*N41=0,0,IF(MIN(P41,Q41,R41)&gt;=1000000000,E41,IF(Use_Library!$E$40="Y",INT(MIN(P41,Q41,R41)),MIN(P41,Q41,R41))))</f>
        <v>0</v>
      </c>
      <c r="T41" s="9" t="str">
        <f aca="false">IF(N41=0,"Location fails",IF(O41=0,"Too small - needs "&amp;Use_Library!$L$40&amp;" usable ac",IF(K41=0,"Needs public sewer",IF(L41=0,"Needs public water",IF(R41&lt;=MIN(P41,Q41),"Septic lot size",IF(Q41&lt;=P41,"Site area / parking","Density"))))))</f>
        <v>Location fails</v>
      </c>
      <c r="U41" s="15" t="n">
        <f aca="false">IF(S41&gt;0,1,0)</f>
        <v>0</v>
      </c>
      <c r="V41" s="15" t="n">
        <f aca="false">IF(Use_Library!$K$40="Y",1,0)*U41</f>
        <v>0</v>
      </c>
      <c r="W41" s="15" t="n">
        <f aca="false">S41*Use_Library!$O$40*V41</f>
        <v>0</v>
      </c>
      <c r="X41" s="15" t="n">
        <f aca="false">S41*Use_Library!$P$40*V41</f>
        <v>0</v>
      </c>
      <c r="Y41" s="15" t="n">
        <f aca="false">IF(Parcel!$C$27=1,W41+Parcel!$C$29,0)*V41</f>
        <v>0</v>
      </c>
      <c r="Z41" s="14" t="n">
        <f aca="false">S41*Use_Library!$Q$40*Parcel!$C$27*V41</f>
        <v>0</v>
      </c>
      <c r="AA41" s="15" t="n">
        <f aca="false">IF(Parcel!$C$28=1,W41+Parcel!$C$30,0)*V41</f>
        <v>0</v>
      </c>
      <c r="AB41" s="14" t="n">
        <f aca="false">S41*Use_Library!$Q$40*Parcel!$C$28*V41</f>
        <v>0</v>
      </c>
      <c r="AC41" s="14" t="n">
        <f aca="false">IF(Parcel!$C$28=0,S41*Use_Library!$R$40,0)*V41</f>
        <v>0</v>
      </c>
      <c r="AD41" s="14" t="n">
        <f aca="false">IF(Parcel!$C$27=0,S41*Use_Library!$R$40,0)*V41</f>
        <v>0</v>
      </c>
      <c r="AE41" s="14" t="n">
        <f aca="false">I41*Parcel!$C$11*V41</f>
        <v>0</v>
      </c>
      <c r="AF41" s="14" t="n">
        <f aca="false">I41*V41</f>
        <v>0</v>
      </c>
      <c r="AG41" s="15" t="n">
        <f aca="false">IF(Use_Library!$C$40="For-Sale",IF(Use_Library!$E$40="Y",S41,1),1)*U41</f>
        <v>0</v>
      </c>
      <c r="AH41" s="19" t="n">
        <f aca="false">Cost_Library!$G$5*Parcel!$C$32*U41</f>
        <v>0</v>
      </c>
      <c r="AI41" s="19" t="n">
        <f aca="false">AG41*Cost_Library!$G$6*Parcel!$C$32</f>
        <v>0</v>
      </c>
      <c r="AJ41" s="19" t="n">
        <f aca="false">I41*Cost_Library!$G$7*Parcel!$C$32*V41</f>
        <v>0</v>
      </c>
      <c r="AK41" s="19" t="n">
        <f aca="false">Cost_Library!$G$8*Parcel!$C$32*V41</f>
        <v>0</v>
      </c>
      <c r="AL41" s="19" t="n">
        <f aca="false">AC41*Cost_Library!$G$9*Parcel!$C$32</f>
        <v>0</v>
      </c>
      <c r="AM41" s="19" t="n">
        <f aca="false">Cost_Library!$G$10*U41</f>
        <v>0</v>
      </c>
      <c r="AN41" s="19" t="n">
        <f aca="false">Cost_Library!$G$11*Parcel!$C$32*V41</f>
        <v>0</v>
      </c>
      <c r="AO41" s="19" t="n">
        <f aca="false">Use_Library!$S$40*U41</f>
        <v>0</v>
      </c>
      <c r="AP41" s="19" t="n">
        <f aca="false">Cost_Library!$G$12*U41</f>
        <v>0</v>
      </c>
      <c r="AQ41" s="19" t="n">
        <f aca="false">AE41*Cost_Library!$G$13*Parcel!$C$32</f>
        <v>0</v>
      </c>
      <c r="AR41" s="19" t="n">
        <f aca="false">AF41*Cost_Library!$G$14*Parcel!$C$32*Parcel!$C$33</f>
        <v>0</v>
      </c>
      <c r="AS41" s="19" t="n">
        <f aca="false">W41*Cost_Library!$G$15*Parcel!$C$32</f>
        <v>0</v>
      </c>
      <c r="AT41" s="19" t="n">
        <f aca="false">X41*Cost_Library!$G$16*Parcel!$C$32</f>
        <v>0</v>
      </c>
      <c r="AU41" s="19" t="n">
        <f aca="false">H41*Cost_Library!$G$17*Parcel!$C$32*V41</f>
        <v>0</v>
      </c>
      <c r="AV41" s="19" t="n">
        <f aca="false">G41*Cost_Library!$G$18*Parcel!$C$32*V41</f>
        <v>0</v>
      </c>
      <c r="AW41" s="19" t="n">
        <f aca="false">Y41*Cost_Library!$G$19*Parcel!$C$32</f>
        <v>0</v>
      </c>
      <c r="AX41" s="19" t="n">
        <f aca="false">Z41*Cost_Library!$G$20</f>
        <v>0</v>
      </c>
      <c r="AY41" s="19" t="n">
        <f aca="false">AA41*Cost_Library!$G$21*Parcel!$C$32</f>
        <v>0</v>
      </c>
      <c r="AZ41" s="19" t="n">
        <f aca="false">AB41*Cost_Library!$G$22</f>
        <v>0</v>
      </c>
      <c r="BA41" s="19" t="n">
        <f aca="false">AC41*Cost_Library!$G$23*Parcel!$C$32*Parcel!$C$34</f>
        <v>0</v>
      </c>
      <c r="BB41" s="19" t="n">
        <f aca="false">AD41*Cost_Library!$G$24*Parcel!$C$32</f>
        <v>0</v>
      </c>
      <c r="BC41" s="19" t="n">
        <f aca="false">W41*Cost_Library!$G$25*Parcel!$C$32</f>
        <v>0</v>
      </c>
      <c r="BD41" s="19" t="n">
        <f aca="false">SUM(AH41:BC41)</f>
        <v>0</v>
      </c>
      <c r="BE41" s="19" t="n">
        <f aca="false">BD41*Assumptions!$C$11</f>
        <v>0</v>
      </c>
      <c r="BF41" s="19" t="n">
        <f aca="false">BD41+BE41</f>
        <v>0</v>
      </c>
      <c r="BG41" s="19" t="n">
        <f aca="false">S41*Use_Library!$T$40</f>
        <v>0</v>
      </c>
      <c r="BH41" s="19" t="n">
        <f aca="false">BG41*(Assumptions!$C$12+Assumptions!$C$13)</f>
        <v>0</v>
      </c>
      <c r="BI41" s="19" t="n">
        <f aca="false">S41*Use_Library!$AC$40</f>
        <v>0</v>
      </c>
      <c r="BJ41" s="23" t="n">
        <f aca="false">1+Assumptions!$C$14+Assumptions!$C$15*Use_Library!$AH$40/12</f>
        <v>1.045</v>
      </c>
      <c r="BK41" s="23" t="n">
        <f aca="false">1+Assumptions!$C$21*(Assumptions!$C$22*Use_Library!$AH$40/12*Assumptions!$C$24+Assumptions!$C$23)</f>
        <v>1.038675</v>
      </c>
      <c r="BL41" s="23" t="n">
        <f aca="false">1+Assumptions!$C$21*(Assumptions!$C$22*(Use_Library!$AH$40/12*Assumptions!$C$24+IF(Use_Library!$C$40="Income",Use_Library!$AD$40,0)/12*Assumptions!$C$25)+Assumptions!$C$23)</f>
        <v>1.038675</v>
      </c>
      <c r="BM41" s="19" t="n">
        <f aca="false">J41*Assumptions!$C$31*(1-Assumptions!$C$17)*U41</f>
        <v>0</v>
      </c>
      <c r="BN41" s="19" t="n">
        <f aca="false">IF(Use_Library!$AJ$40=1,IF(Use_Library!$C$40="For-Sale",S41*Use_Library!$U$40,E41*Use_Library!$AF$40)*(1-Assumptions!$C$17)+BM41,0)*U41</f>
        <v>0</v>
      </c>
      <c r="BO41" s="19" t="n">
        <f aca="false">(BD41-AT41)*(1+Assumptions!$C$11)</f>
        <v>0</v>
      </c>
      <c r="BP41" s="23" t="n">
        <f aca="false">BJ41*BK41</f>
        <v>1.085415375</v>
      </c>
      <c r="BQ41" s="19" t="n">
        <f aca="false">(Parcel!$C$18*BJ41+BO41)*BK41</f>
        <v>325624.6125</v>
      </c>
      <c r="BR41" s="19" t="n">
        <f aca="false">BN41-BQ41</f>
        <v>-325624.6125</v>
      </c>
      <c r="BS41" s="32" t="n">
        <f aca="false">IF(AND(Use_Library!$AJ$40=1,U41=1),MAX(0,((1-Use_Library!$AI$40)*BN41-BO41*BK41)/BP41),0)</f>
        <v>0</v>
      </c>
      <c r="BT41" s="19" t="n">
        <f aca="false">BF41+BG41+BH41+BI41</f>
        <v>0</v>
      </c>
      <c r="BU41" s="23" t="n">
        <f aca="false">BJ41*BL41</f>
        <v>1.085415375</v>
      </c>
      <c r="BV41" s="19" t="n">
        <f aca="false">(Parcel!$C$18*BJ41+BT41)*BL41</f>
        <v>325624.6125</v>
      </c>
      <c r="BW41" s="19" t="n">
        <f aca="false">IF(Use_Library!$C$40="Income",S41*Use_Library!$W$40,0)</f>
        <v>0</v>
      </c>
      <c r="BX41" s="19" t="n">
        <f aca="false">BW41*(1+Use_Library!$X$40)*(1-Use_Library!$Y$40)</f>
        <v>0</v>
      </c>
      <c r="BY41" s="19" t="n">
        <f aca="false">IF(Use_Library!$C$40="Income",S41*Use_Library!$Z$40,0)</f>
        <v>0</v>
      </c>
      <c r="BZ41" s="19" t="n">
        <f aca="false">IF(Use_Library!$C$40="Income",Assumptions!$C$19*Assumptions!$C$20*BV41,0)</f>
        <v>0</v>
      </c>
      <c r="CA41" s="19" t="n">
        <f aca="false">BX41*Use_Library!$AA$40</f>
        <v>0</v>
      </c>
      <c r="CB41" s="19" t="n">
        <f aca="false">(BY41+BZ41)*Use_Library!$AB$40</f>
        <v>0</v>
      </c>
      <c r="CC41" s="19" t="n">
        <f aca="false">BX41-BY41-BZ41-CA41+CB41</f>
        <v>0</v>
      </c>
      <c r="CD41" s="19" t="n">
        <f aca="false">IF(AND(Use_Library!$C$40="Income",Use_Library!$AE$40&gt;0),CC41/Use_Library!$AE$40,0)</f>
        <v>0</v>
      </c>
      <c r="CE41" s="24" t="n">
        <f aca="false">IF(Use_Library!$C$40="Income",-Assumptions!$C$19*Assumptions!$C$20*(1-Use_Library!$AB$40)*BU41,0)</f>
        <v>0</v>
      </c>
      <c r="CF41" s="20" t="n">
        <f aca="false">IF(BV41=0,0,CC41/BV41)</f>
        <v>0</v>
      </c>
      <c r="CG41" s="19" t="n">
        <f aca="false">IF(Use_Library!$AK$40=1,IF(Use_Library!$C$40="Income",CD41*(1-Assumptions!$C$18),S41*Use_Library!$V$40*(1-Assumptions!$C$16))+BM41,0)*U41</f>
        <v>0</v>
      </c>
      <c r="CH41" s="24" t="n">
        <f aca="false">IF(AND(Use_Library!$AK$40=1,Use_Library!$C$40="Income",Use_Library!$AE$40&gt;0),CE41/Use_Library!$AE$40*(1-Assumptions!$C$18),0)</f>
        <v>0</v>
      </c>
      <c r="CI41" s="19" t="n">
        <f aca="false">CG41-BV41</f>
        <v>-325624.6125</v>
      </c>
      <c r="CJ41" s="32" t="n">
        <f aca="false">IF(AND(Use_Library!$AK$40=1,U41=1),MAX(0,Parcel!$C$18-((1-Use_Library!$AI$40)*CG41-BV41)/((1-Use_Library!$AI$40)*CH41-BU41)),0)</f>
        <v>0</v>
      </c>
      <c r="CK41" s="19" t="n">
        <f aca="false">IF(Use_Library!$AL$40=1,IF(Use_Library!$C$40="Income",CD41,IF(Use_Library!$AE$40&gt;0,E41*Use_Library!$AG$40/Use_Library!$AE$40,0))+BM41,0)*U41</f>
        <v>0</v>
      </c>
      <c r="CL41" s="19" t="n">
        <f aca="false">IF(Use_Library!$C$40="Income",BT41,BF41)</f>
        <v>0</v>
      </c>
      <c r="CM41" s="23" t="n">
        <f aca="false">IF(Use_Library!$C$40="Income",BU41,BJ41*BK41)</f>
        <v>1.085415375</v>
      </c>
      <c r="CN41" s="19" t="n">
        <f aca="false">IF(Use_Library!$C$40="Income",BV41,(Parcel!$C$18*BJ41+BF41)*BK41)</f>
        <v>325624.6125</v>
      </c>
      <c r="CO41" s="24" t="n">
        <f aca="false">IF(AND(Use_Library!$AL$40=1,Use_Library!$C$40="Income",Use_Library!$AE$40&gt;0),CE41/Use_Library!$AE$40,0)</f>
        <v>0</v>
      </c>
      <c r="CP41" s="19" t="n">
        <f aca="false">CK41-CN41</f>
        <v>-325624.6125</v>
      </c>
      <c r="CQ41" s="32" t="n">
        <f aca="false">IF(AND(Use_Library!$AL$40=1,U41=1),MAX(0,Parcel!$C$18-((1-Use_Library!$AI$40)*CK41-CN41)/((1-Use_Library!$AI$40)*CO41-CM41)),0)</f>
        <v>0</v>
      </c>
      <c r="CR41" s="19" t="n">
        <f aca="false">IF(Use_Library!$C$40="Income",Assumptions!$C$21*(Parcel!$C$18*BJ41+BT41),0)</f>
        <v>0</v>
      </c>
      <c r="CS41" s="19" t="n">
        <f aca="false">IF(AND(Use_Library!$C$40="Income",CC41&gt;0),MIN(Assumptions!$C$26*CD41,PV(Assumptions!$C$29/12,Assumptions!$C$30*12,-CC41/Assumptions!$C$27/12),CC41/Assumptions!$C$28),0)</f>
        <v>0</v>
      </c>
      <c r="CT41" s="25" t="n">
        <f aca="false">IF(CS41=0,0,CC41/(-PMT(Assumptions!$C$29/12,Assumptions!$C$30*12,CS41)*12))</f>
        <v>0</v>
      </c>
      <c r="CU41" s="19" t="n">
        <f aca="false">CS41-CR41</f>
        <v>0</v>
      </c>
      <c r="CV41" s="18" t="n">
        <f aca="false">MAX(BS41,CJ41,CQ41)</f>
        <v>0</v>
      </c>
      <c r="CW41" s="9" t="str">
        <f aca="false">IF(CV41&lt;=0,"None works",IF(BS41=CV41,"Land / pad sale",IF(CJ41=CV41,"Build &amp; sell","Build &amp; hold / lease")))</f>
        <v>None works</v>
      </c>
      <c r="CX41" s="19" t="n">
        <f aca="false">CV41*(1-Assumptions!$C$32)</f>
        <v>0</v>
      </c>
      <c r="CY41" s="19" t="n">
        <f aca="false">CV41-Parcel!$C$18</f>
        <v>-300000</v>
      </c>
      <c r="CZ41" s="19" t="n">
        <f aca="false">IF(Parcel!$C$8=0,0,CV41/Parcel!$C$8)</f>
        <v>0</v>
      </c>
      <c r="DA41" s="33" t="n">
        <f aca="false">IF(S41=0,0,CV41/S41)</f>
        <v>0</v>
      </c>
      <c r="DB41" s="9" t="str">
        <f aca="false">TRIM(M41&amp;" "&amp;IF(AND(U41=0,N41=1),"Nothing fits. ","")&amp;IF(Parcel!$C$12&lt;Use_Library!$AM$40,"Frontage under "&amp;Use_Library!$AM$40&amp;" LF. ","")&amp;IF(Parcel!$C$10&gt;0.15,"Slope over 15%. ","")&amp;IF(AND(U41=1,Use_Library!$M$40&gt;0,D41&gt;Use_Library!$M$40),"Only "&amp;Use_Library!$M$40&amp;" ac used - rest resold. ",""))</f>
        <v>Under 5,000 households in 3 mi.</v>
      </c>
      <c r="DC41" s="19" t="n">
        <f aca="false">CV41+ROW()/1000000</f>
        <v>4.1E-005</v>
      </c>
    </row>
    <row r="42" customFormat="false" ht="15" hidden="false" customHeight="false" outlineLevel="0" collapsed="false">
      <c r="A42" s="4" t="str">
        <f aca="false">Use_Library!$A$41</f>
        <v>Gym / fitness center</v>
      </c>
      <c r="B42" s="9" t="str">
        <f aca="false">Use_Library!$C$41</f>
        <v>Income</v>
      </c>
      <c r="C42" s="9" t="str">
        <f aca="false">Use_Library!$D$41</f>
        <v>bldg SF</v>
      </c>
      <c r="D42" s="14" t="n">
        <f aca="false">MAX(0,Parcel!$C$26*(1-Use_Library!$N$41-Assumptions!$C$7))</f>
        <v>13.728</v>
      </c>
      <c r="E42" s="14" t="n">
        <f aca="false">IF(Use_Library!$M$41&gt;0,MIN(D42,Use_Library!$M$41),D42)</f>
        <v>3</v>
      </c>
      <c r="F42" s="20" t="n">
        <f aca="false">IF(D42=0,0,E42/D42)</f>
        <v>0.218531468531469</v>
      </c>
      <c r="G42" s="14" t="n">
        <f aca="false">Parcel!$C$26*F42</f>
        <v>3.40909090909091</v>
      </c>
      <c r="H42" s="14" t="n">
        <f aca="false">G42*Assumptions!$C$7</f>
        <v>0.136363636363636</v>
      </c>
      <c r="I42" s="14" t="n">
        <f aca="false">G42*(1-Use_Library!$N$41)</f>
        <v>3.13636363636364</v>
      </c>
      <c r="J42" s="14" t="n">
        <f aca="false">Parcel!$C$8*(1-F42)</f>
        <v>15.6293706293706</v>
      </c>
      <c r="K42" s="15" t="n">
        <f aca="false">IF(AND(Use_Library!$I$41="Y",Parcel!$C$28=0),0,1)</f>
        <v>1</v>
      </c>
      <c r="L42" s="15" t="n">
        <f aca="false">IF(AND(Use_Library!$J$41="Y",Parcel!$C$27=0),0,1)</f>
        <v>1</v>
      </c>
      <c r="M42" s="9" t="str">
        <f aca="false">TRIM(IF(AND(Use_Library!$AN$41&gt;0,Parcel!$C$19&lt;Use_Library!$AN$41),"Traffic under "&amp;TEXT(Use_Library!$AN$41,"#,##0")&amp;" VPD. ","")&amp;IF(AND(Use_Library!$AO$41&gt;0,Parcel!$C$20&lt;Use_Library!$AO$41),"Under "&amp;TEXT(Use_Library!$AO$41,"#,##0")&amp;" households in 3 mi. ","")&amp;IF(AND(Use_Library!$AP$41&gt;0,Parcel!$C$21&gt;Use_Library!$AP$41),"Over "&amp;Use_Library!$AP$41&amp;" mi to highway. ","")&amp;IF(AND(Use_Library!$AQ$41="Y",Parcel!$C$22&lt;&gt;"Y"),"Needs a corner. ","")&amp;IF(AND(Use_Library!$AR$41&gt;0,Parcel!$C$23&gt;Use_Library!$AR$41),"Over "&amp;Use_Library!$AR$41&amp;" mi to substation. ",""))</f>
        <v>Under 8,000 households in 3 mi.</v>
      </c>
      <c r="N42" s="15" t="n">
        <f aca="false">IF(M42="",1,0)</f>
        <v>0</v>
      </c>
      <c r="O42" s="15" t="n">
        <f aca="false">IF(D42&gt;=Use_Library!$L$41,1,0)</f>
        <v>1</v>
      </c>
      <c r="P42" s="14" t="n">
        <f aca="false">IF(Use_Library!$F$41&gt;0,G42*Use_Library!$F$41,1000000000)</f>
        <v>1000000000</v>
      </c>
      <c r="Q42" s="14" t="n">
        <f aca="false">IF(Use_Library!$G$41&gt;0,E42*43560/Use_Library!$G$41,1000000000)</f>
        <v>32670</v>
      </c>
      <c r="R42" s="14" t="n">
        <f aca="false">IF(AND(Use_Library!$H$41="Y",Parcel!$C$28=0),E42*(1-Assumptions!$C$8)/IF(Parcel!$C$27=1,Assumptions!$C$9,Assumptions!$C$10),1000000000)</f>
        <v>1000000000</v>
      </c>
      <c r="S42" s="21" t="n">
        <f aca="false">IF(K42*L42*O42*N42=0,0,IF(MIN(P42,Q42,R42)&gt;=1000000000,E42,IF(Use_Library!$E$41="Y",INT(MIN(P42,Q42,R42)),MIN(P42,Q42,R42))))</f>
        <v>0</v>
      </c>
      <c r="T42" s="9" t="str">
        <f aca="false">IF(N42=0,"Location fails",IF(O42=0,"Too small - needs "&amp;Use_Library!$L$41&amp;" usable ac",IF(K42=0,"Needs public sewer",IF(L42=0,"Needs public water",IF(R42&lt;=MIN(P42,Q42),"Septic lot size",IF(Q42&lt;=P42,"Site area / parking","Density"))))))</f>
        <v>Location fails</v>
      </c>
      <c r="U42" s="15" t="n">
        <f aca="false">IF(S42&gt;0,1,0)</f>
        <v>0</v>
      </c>
      <c r="V42" s="15" t="n">
        <f aca="false">IF(Use_Library!$K$41="Y",1,0)*U42</f>
        <v>0</v>
      </c>
      <c r="W42" s="15" t="n">
        <f aca="false">S42*Use_Library!$O$41*V42</f>
        <v>0</v>
      </c>
      <c r="X42" s="15" t="n">
        <f aca="false">S42*Use_Library!$P$41*V42</f>
        <v>0</v>
      </c>
      <c r="Y42" s="15" t="n">
        <f aca="false">IF(Parcel!$C$27=1,W42+Parcel!$C$29,0)*V42</f>
        <v>0</v>
      </c>
      <c r="Z42" s="14" t="n">
        <f aca="false">S42*Use_Library!$Q$41*Parcel!$C$27*V42</f>
        <v>0</v>
      </c>
      <c r="AA42" s="15" t="n">
        <f aca="false">IF(Parcel!$C$28=1,W42+Parcel!$C$30,0)*V42</f>
        <v>0</v>
      </c>
      <c r="AB42" s="14" t="n">
        <f aca="false">S42*Use_Library!$Q$41*Parcel!$C$28*V42</f>
        <v>0</v>
      </c>
      <c r="AC42" s="14" t="n">
        <f aca="false">IF(Parcel!$C$28=0,S42*Use_Library!$R$41,0)*V42</f>
        <v>0</v>
      </c>
      <c r="AD42" s="14" t="n">
        <f aca="false">IF(Parcel!$C$27=0,S42*Use_Library!$R$41,0)*V42</f>
        <v>0</v>
      </c>
      <c r="AE42" s="14" t="n">
        <f aca="false">I42*Parcel!$C$11*V42</f>
        <v>0</v>
      </c>
      <c r="AF42" s="14" t="n">
        <f aca="false">I42*V42</f>
        <v>0</v>
      </c>
      <c r="AG42" s="15" t="n">
        <f aca="false">IF(Use_Library!$C$41="For-Sale",IF(Use_Library!$E$41="Y",S42,1),1)*U42</f>
        <v>0</v>
      </c>
      <c r="AH42" s="19" t="n">
        <f aca="false">Cost_Library!$G$5*Parcel!$C$32*U42</f>
        <v>0</v>
      </c>
      <c r="AI42" s="19" t="n">
        <f aca="false">AG42*Cost_Library!$G$6*Parcel!$C$32</f>
        <v>0</v>
      </c>
      <c r="AJ42" s="19" t="n">
        <f aca="false">I42*Cost_Library!$G$7*Parcel!$C$32*V42</f>
        <v>0</v>
      </c>
      <c r="AK42" s="19" t="n">
        <f aca="false">Cost_Library!$G$8*Parcel!$C$32*V42</f>
        <v>0</v>
      </c>
      <c r="AL42" s="19" t="n">
        <f aca="false">AC42*Cost_Library!$G$9*Parcel!$C$32</f>
        <v>0</v>
      </c>
      <c r="AM42" s="19" t="n">
        <f aca="false">Cost_Library!$G$10*U42</f>
        <v>0</v>
      </c>
      <c r="AN42" s="19" t="n">
        <f aca="false">Cost_Library!$G$11*Parcel!$C$32*V42</f>
        <v>0</v>
      </c>
      <c r="AO42" s="19" t="n">
        <f aca="false">Use_Library!$S$41*U42</f>
        <v>0</v>
      </c>
      <c r="AP42" s="19" t="n">
        <f aca="false">Cost_Library!$G$12*U42</f>
        <v>0</v>
      </c>
      <c r="AQ42" s="19" t="n">
        <f aca="false">AE42*Cost_Library!$G$13*Parcel!$C$32</f>
        <v>0</v>
      </c>
      <c r="AR42" s="19" t="n">
        <f aca="false">AF42*Cost_Library!$G$14*Parcel!$C$32*Parcel!$C$33</f>
        <v>0</v>
      </c>
      <c r="AS42" s="19" t="n">
        <f aca="false">W42*Cost_Library!$G$15*Parcel!$C$32</f>
        <v>0</v>
      </c>
      <c r="AT42" s="19" t="n">
        <f aca="false">X42*Cost_Library!$G$16*Parcel!$C$32</f>
        <v>0</v>
      </c>
      <c r="AU42" s="19" t="n">
        <f aca="false">H42*Cost_Library!$G$17*Parcel!$C$32*V42</f>
        <v>0</v>
      </c>
      <c r="AV42" s="19" t="n">
        <f aca="false">G42*Cost_Library!$G$18*Parcel!$C$32*V42</f>
        <v>0</v>
      </c>
      <c r="AW42" s="19" t="n">
        <f aca="false">Y42*Cost_Library!$G$19*Parcel!$C$32</f>
        <v>0</v>
      </c>
      <c r="AX42" s="19" t="n">
        <f aca="false">Z42*Cost_Library!$G$20</f>
        <v>0</v>
      </c>
      <c r="AY42" s="19" t="n">
        <f aca="false">AA42*Cost_Library!$G$21*Parcel!$C$32</f>
        <v>0</v>
      </c>
      <c r="AZ42" s="19" t="n">
        <f aca="false">AB42*Cost_Library!$G$22</f>
        <v>0</v>
      </c>
      <c r="BA42" s="19" t="n">
        <f aca="false">AC42*Cost_Library!$G$23*Parcel!$C$32*Parcel!$C$34</f>
        <v>0</v>
      </c>
      <c r="BB42" s="19" t="n">
        <f aca="false">AD42*Cost_Library!$G$24*Parcel!$C$32</f>
        <v>0</v>
      </c>
      <c r="BC42" s="19" t="n">
        <f aca="false">W42*Cost_Library!$G$25*Parcel!$C$32</f>
        <v>0</v>
      </c>
      <c r="BD42" s="19" t="n">
        <f aca="false">SUM(AH42:BC42)</f>
        <v>0</v>
      </c>
      <c r="BE42" s="19" t="n">
        <f aca="false">BD42*Assumptions!$C$11</f>
        <v>0</v>
      </c>
      <c r="BF42" s="19" t="n">
        <f aca="false">BD42+BE42</f>
        <v>0</v>
      </c>
      <c r="BG42" s="19" t="n">
        <f aca="false">S42*Use_Library!$T$41</f>
        <v>0</v>
      </c>
      <c r="BH42" s="19" t="n">
        <f aca="false">BG42*(Assumptions!$C$12+Assumptions!$C$13)</f>
        <v>0</v>
      </c>
      <c r="BI42" s="19" t="n">
        <f aca="false">S42*Use_Library!$AC$41</f>
        <v>0</v>
      </c>
      <c r="BJ42" s="23" t="n">
        <f aca="false">1+Assumptions!$C$14+Assumptions!$C$15*Use_Library!$AH$41/12</f>
        <v>1.04916666666667</v>
      </c>
      <c r="BK42" s="23" t="n">
        <f aca="false">1+Assumptions!$C$21*(Assumptions!$C$22*Use_Library!$AH$41/12*Assumptions!$C$24+Assumptions!$C$23)</f>
        <v>1.0440375</v>
      </c>
      <c r="BL42" s="23" t="n">
        <f aca="false">1+Assumptions!$C$21*(Assumptions!$C$22*(Use_Library!$AH$41/12*Assumptions!$C$24+IF(Use_Library!$C$41="Income",Use_Library!$AD$41,0)/12*Assumptions!$C$25)+Assumptions!$C$23)</f>
        <v>1.065975</v>
      </c>
      <c r="BM42" s="19" t="n">
        <f aca="false">J42*Assumptions!$C$31*(1-Assumptions!$C$17)*U42</f>
        <v>0</v>
      </c>
      <c r="BN42" s="19" t="n">
        <f aca="false">IF(Use_Library!$AJ$41=1,IF(Use_Library!$C$41="For-Sale",S42*Use_Library!$U$41,E42*Use_Library!$AF$41)*(1-Assumptions!$C$17)+BM42,0)*U42</f>
        <v>0</v>
      </c>
      <c r="BO42" s="19" t="n">
        <f aca="false">(BD42-AT42)*(1+Assumptions!$C$11)</f>
        <v>0</v>
      </c>
      <c r="BP42" s="23" t="n">
        <f aca="false">BJ42*BK42</f>
        <v>1.09536934375</v>
      </c>
      <c r="BQ42" s="19" t="n">
        <f aca="false">(Parcel!$C$18*BJ42+BO42)*BK42</f>
        <v>328610.803125</v>
      </c>
      <c r="BR42" s="19" t="n">
        <f aca="false">BN42-BQ42</f>
        <v>-328610.803125</v>
      </c>
      <c r="BS42" s="32" t="n">
        <f aca="false">IF(AND(Use_Library!$AJ$41=1,U42=1),MAX(0,((1-Use_Library!$AI$41)*BN42-BO42*BK42)/BP42),0)</f>
        <v>0</v>
      </c>
      <c r="BT42" s="19" t="n">
        <f aca="false">BF42+BG42+BH42+BI42</f>
        <v>0</v>
      </c>
      <c r="BU42" s="23" t="n">
        <f aca="false">BJ42*BL42</f>
        <v>1.1183854375</v>
      </c>
      <c r="BV42" s="19" t="n">
        <f aca="false">(Parcel!$C$18*BJ42+BT42)*BL42</f>
        <v>335515.63125</v>
      </c>
      <c r="BW42" s="19" t="n">
        <f aca="false">IF(Use_Library!$C$41="Income",S42*Use_Library!$W$41,0)</f>
        <v>0</v>
      </c>
      <c r="BX42" s="19" t="n">
        <f aca="false">BW42*(1+Use_Library!$X$41)*(1-Use_Library!$Y$41)</f>
        <v>0</v>
      </c>
      <c r="BY42" s="19" t="n">
        <f aca="false">IF(Use_Library!$C$41="Income",S42*Use_Library!$Z$41,0)</f>
        <v>0</v>
      </c>
      <c r="BZ42" s="19" t="n">
        <f aca="false">IF(Use_Library!$C$41="Income",Assumptions!$C$19*Assumptions!$C$20*BV42,0)</f>
        <v>6274.142304375</v>
      </c>
      <c r="CA42" s="19" t="n">
        <f aca="false">BX42*Use_Library!$AA$41</f>
        <v>0</v>
      </c>
      <c r="CB42" s="19" t="n">
        <f aca="false">(BY42+BZ42)*Use_Library!$AB$41</f>
        <v>6274.142304375</v>
      </c>
      <c r="CC42" s="19" t="n">
        <f aca="false">BX42-BY42-BZ42-CA42+CB42</f>
        <v>0</v>
      </c>
      <c r="CD42" s="19" t="n">
        <f aca="false">IF(AND(Use_Library!$C$41="Income",Use_Library!$AE$41&gt;0),CC42/Use_Library!$AE$41,0)</f>
        <v>0</v>
      </c>
      <c r="CE42" s="24" t="n">
        <f aca="false">IF(Use_Library!$C$41="Income",-Assumptions!$C$19*Assumptions!$C$20*(1-Use_Library!$AB$41)*BU42,0)</f>
        <v>-0</v>
      </c>
      <c r="CF42" s="20" t="n">
        <f aca="false">IF(BV42=0,0,CC42/BV42)</f>
        <v>0</v>
      </c>
      <c r="CG42" s="19" t="n">
        <f aca="false">IF(Use_Library!$AK$41=1,IF(Use_Library!$C$41="Income",CD42*(1-Assumptions!$C$18),S42*Use_Library!$V$41*(1-Assumptions!$C$16))+BM42,0)*U42</f>
        <v>0</v>
      </c>
      <c r="CH42" s="24" t="n">
        <f aca="false">IF(AND(Use_Library!$AK$41=1,Use_Library!$C$41="Income",Use_Library!$AE$41&gt;0),CE42/Use_Library!$AE$41*(1-Assumptions!$C$18),0)</f>
        <v>-0</v>
      </c>
      <c r="CI42" s="19" t="n">
        <f aca="false">CG42-BV42</f>
        <v>-335515.63125</v>
      </c>
      <c r="CJ42" s="32" t="n">
        <f aca="false">IF(AND(Use_Library!$AK$41=1,U42=1),MAX(0,Parcel!$C$18-((1-Use_Library!$AI$41)*CG42-BV42)/((1-Use_Library!$AI$41)*CH42-BU42)),0)</f>
        <v>0</v>
      </c>
      <c r="CK42" s="19" t="n">
        <f aca="false">IF(Use_Library!$AL$41=1,IF(Use_Library!$C$41="Income",CD42,IF(Use_Library!$AE$41&gt;0,E42*Use_Library!$AG$41/Use_Library!$AE$41,0))+BM42,0)*U42</f>
        <v>0</v>
      </c>
      <c r="CL42" s="19" t="n">
        <f aca="false">IF(Use_Library!$C$41="Income",BT42,BF42)</f>
        <v>0</v>
      </c>
      <c r="CM42" s="23" t="n">
        <f aca="false">IF(Use_Library!$C$41="Income",BU42,BJ42*BK42)</f>
        <v>1.1183854375</v>
      </c>
      <c r="CN42" s="19" t="n">
        <f aca="false">IF(Use_Library!$C$41="Income",BV42,(Parcel!$C$18*BJ42+BF42)*BK42)</f>
        <v>335515.63125</v>
      </c>
      <c r="CO42" s="24" t="n">
        <f aca="false">IF(AND(Use_Library!$AL$41=1,Use_Library!$C$41="Income",Use_Library!$AE$41&gt;0),CE42/Use_Library!$AE$41,0)</f>
        <v>-0</v>
      </c>
      <c r="CP42" s="19" t="n">
        <f aca="false">CK42-CN42</f>
        <v>-335515.63125</v>
      </c>
      <c r="CQ42" s="32" t="n">
        <f aca="false">IF(AND(Use_Library!$AL$41=1,U42=1),MAX(0,Parcel!$C$18-((1-Use_Library!$AI$41)*CK42-CN42)/((1-Use_Library!$AI$41)*CO42-CM42)),0)</f>
        <v>0</v>
      </c>
      <c r="CR42" s="19" t="n">
        <f aca="false">IF(Use_Library!$C$41="Income",Assumptions!$C$21*(Parcel!$C$18*BJ42+BT42),0)</f>
        <v>204587.5</v>
      </c>
      <c r="CS42" s="19" t="n">
        <f aca="false">IF(AND(Use_Library!$C$41="Income",CC42&gt;0),MIN(Assumptions!$C$26*CD42,PV(Assumptions!$C$29/12,Assumptions!$C$30*12,-CC42/Assumptions!$C$27/12),CC42/Assumptions!$C$28),0)</f>
        <v>0</v>
      </c>
      <c r="CT42" s="25" t="n">
        <f aca="false">IF(CS42=0,0,CC42/(-PMT(Assumptions!$C$29/12,Assumptions!$C$30*12,CS42)*12))</f>
        <v>0</v>
      </c>
      <c r="CU42" s="19" t="n">
        <f aca="false">CS42-CR42</f>
        <v>-204587.5</v>
      </c>
      <c r="CV42" s="18" t="n">
        <f aca="false">MAX(BS42,CJ42,CQ42)</f>
        <v>0</v>
      </c>
      <c r="CW42" s="9" t="str">
        <f aca="false">IF(CV42&lt;=0,"None works",IF(BS42=CV42,"Land / pad sale",IF(CJ42=CV42,"Build &amp; sell","Build &amp; hold / lease")))</f>
        <v>None works</v>
      </c>
      <c r="CX42" s="19" t="n">
        <f aca="false">CV42*(1-Assumptions!$C$32)</f>
        <v>0</v>
      </c>
      <c r="CY42" s="19" t="n">
        <f aca="false">CV42-Parcel!$C$18</f>
        <v>-300000</v>
      </c>
      <c r="CZ42" s="19" t="n">
        <f aca="false">IF(Parcel!$C$8=0,0,CV42/Parcel!$C$8)</f>
        <v>0</v>
      </c>
      <c r="DA42" s="33" t="n">
        <f aca="false">IF(S42=0,0,CV42/S42)</f>
        <v>0</v>
      </c>
      <c r="DB42" s="9" t="str">
        <f aca="false">TRIM(M42&amp;" "&amp;IF(AND(U42=0,N42=1),"Nothing fits. ","")&amp;IF(Parcel!$C$12&lt;Use_Library!$AM$41,"Frontage under "&amp;Use_Library!$AM$41&amp;" LF. ","")&amp;IF(Parcel!$C$10&gt;0.15,"Slope over 15%. ","")&amp;IF(AND(U42=1,Use_Library!$M$41&gt;0,D42&gt;Use_Library!$M$41),"Only "&amp;Use_Library!$M$41&amp;" ac used - rest resold. ",""))</f>
        <v>Under 8,000 households in 3 mi.</v>
      </c>
      <c r="DC42" s="19" t="n">
        <f aca="false">CV42+ROW()/1000000</f>
        <v>4.2E-005</v>
      </c>
    </row>
    <row r="43" customFormat="false" ht="15" hidden="false" customHeight="false" outlineLevel="0" collapsed="false">
      <c r="A43" s="4" t="str">
        <f aca="false">Use_Library!$A$42</f>
        <v>Event venue / wedding barn</v>
      </c>
      <c r="B43" s="9" t="str">
        <f aca="false">Use_Library!$C$42</f>
        <v>Operator Pad</v>
      </c>
      <c r="C43" s="9" t="str">
        <f aca="false">Use_Library!$D$42</f>
        <v>acre</v>
      </c>
      <c r="D43" s="14" t="n">
        <f aca="false">MAX(0,Parcel!$C$26*(1-Use_Library!$N$42-Assumptions!$C$7))</f>
        <v>14.196</v>
      </c>
      <c r="E43" s="14" t="n">
        <f aca="false">IF(Use_Library!$M$42&gt;0,MIN(D43,Use_Library!$M$42),D43)</f>
        <v>14.196</v>
      </c>
      <c r="F43" s="20" t="n">
        <f aca="false">IF(D43=0,0,E43/D43)</f>
        <v>1</v>
      </c>
      <c r="G43" s="14" t="n">
        <f aca="false">Parcel!$C$26*F43</f>
        <v>15.6</v>
      </c>
      <c r="H43" s="14" t="n">
        <f aca="false">G43*Assumptions!$C$7</f>
        <v>0.624</v>
      </c>
      <c r="I43" s="14" t="n">
        <f aca="false">G43*(1-Use_Library!$N$42)</f>
        <v>14.82</v>
      </c>
      <c r="J43" s="14" t="n">
        <f aca="false">Parcel!$C$8*(1-F43)</f>
        <v>0</v>
      </c>
      <c r="K43" s="15" t="n">
        <f aca="false">IF(AND(Use_Library!$I$42="Y",Parcel!$C$28=0),0,1)</f>
        <v>1</v>
      </c>
      <c r="L43" s="15" t="n">
        <f aca="false">IF(AND(Use_Library!$J$42="Y",Parcel!$C$27=0),0,1)</f>
        <v>1</v>
      </c>
      <c r="M43" s="9" t="str">
        <f aca="false">TRIM(IF(AND(Use_Library!$AN$42&gt;0,Parcel!$C$19&lt;Use_Library!$AN$42),"Traffic under "&amp;TEXT(Use_Library!$AN$42,"#,##0")&amp;" VPD. ","")&amp;IF(AND(Use_Library!$AO$42&gt;0,Parcel!$C$20&lt;Use_Library!$AO$42),"Under "&amp;TEXT(Use_Library!$AO$42,"#,##0")&amp;" households in 3 mi. ","")&amp;IF(AND(Use_Library!$AP$42&gt;0,Parcel!$C$21&gt;Use_Library!$AP$42),"Over "&amp;Use_Library!$AP$42&amp;" mi to highway. ","")&amp;IF(AND(Use_Library!$AQ$42="Y",Parcel!$C$22&lt;&gt;"Y"),"Needs a corner. ","")&amp;IF(AND(Use_Library!$AR$42&gt;0,Parcel!$C$23&gt;Use_Library!$AR$42),"Over "&amp;Use_Library!$AR$42&amp;" mi to substation. ",""))</f>
        <v/>
      </c>
      <c r="N43" s="15" t="n">
        <f aca="false">IF(M43="",1,0)</f>
        <v>1</v>
      </c>
      <c r="O43" s="15" t="n">
        <f aca="false">IF(D43&gt;=Use_Library!$L$42,1,0)</f>
        <v>1</v>
      </c>
      <c r="P43" s="14" t="n">
        <f aca="false">IF(Use_Library!$F$42&gt;0,G43*Use_Library!$F$42,1000000000)</f>
        <v>1000000000</v>
      </c>
      <c r="Q43" s="14" t="n">
        <f aca="false">IF(Use_Library!$G$42&gt;0,E43*43560/Use_Library!$G$42,1000000000)</f>
        <v>14.196</v>
      </c>
      <c r="R43" s="14" t="n">
        <f aca="false">IF(AND(Use_Library!$H$42="Y",Parcel!$C$28=0),E43*(1-Assumptions!$C$8)/IF(Parcel!$C$27=1,Assumptions!$C$9,Assumptions!$C$10),1000000000)</f>
        <v>1000000000</v>
      </c>
      <c r="S43" s="21" t="n">
        <f aca="false">IF(K43*L43*O43*N43=0,0,IF(MIN(P43,Q43,R43)&gt;=1000000000,E43,IF(Use_Library!$E$42="Y",INT(MIN(P43,Q43,R43)),MIN(P43,Q43,R43))))</f>
        <v>14.196</v>
      </c>
      <c r="T43" s="9" t="str">
        <f aca="false">IF(N43=0,"Location fails",IF(O43=0,"Too small - needs "&amp;Use_Library!$L$42&amp;" usable ac",IF(K43=0,"Needs public sewer",IF(L43=0,"Needs public water",IF(R43&lt;=MIN(P43,Q43),"Septic lot size",IF(Q43&lt;=P43,"Site area / parking","Density"))))))</f>
        <v>Site area / parking</v>
      </c>
      <c r="U43" s="15" t="n">
        <f aca="false">IF(S43&gt;0,1,0)</f>
        <v>1</v>
      </c>
      <c r="V43" s="15" t="n">
        <f aca="false">IF(Use_Library!$K$42="Y",1,0)*U43</f>
        <v>1</v>
      </c>
      <c r="W43" s="15" t="n">
        <f aca="false">S43*Use_Library!$O$42*V43</f>
        <v>0</v>
      </c>
      <c r="X43" s="15" t="n">
        <f aca="false">S43*Use_Library!$P$42*V43</f>
        <v>0</v>
      </c>
      <c r="Y43" s="15" t="n">
        <f aca="false">IF(Parcel!$C$27=1,W43+Parcel!$C$29,0)*V43</f>
        <v>0</v>
      </c>
      <c r="Z43" s="14" t="n">
        <f aca="false">S43*Use_Library!$Q$42*Parcel!$C$27*V43</f>
        <v>0</v>
      </c>
      <c r="AA43" s="15" t="n">
        <f aca="false">IF(Parcel!$C$28=1,W43+Parcel!$C$30,0)*V43</f>
        <v>0</v>
      </c>
      <c r="AB43" s="14" t="n">
        <f aca="false">S43*Use_Library!$Q$42*Parcel!$C$28*V43</f>
        <v>0</v>
      </c>
      <c r="AC43" s="14" t="n">
        <f aca="false">IF(Parcel!$C$28=0,S43*Use_Library!$R$42,0)*V43</f>
        <v>0</v>
      </c>
      <c r="AD43" s="14" t="n">
        <f aca="false">IF(Parcel!$C$27=0,S43*Use_Library!$R$42,0)*V43</f>
        <v>0</v>
      </c>
      <c r="AE43" s="14" t="n">
        <f aca="false">I43*Parcel!$C$11*V43</f>
        <v>5.187</v>
      </c>
      <c r="AF43" s="14" t="n">
        <f aca="false">I43*V43</f>
        <v>14.82</v>
      </c>
      <c r="AG43" s="15" t="n">
        <f aca="false">IF(Use_Library!$C$42="For-Sale",IF(Use_Library!$E$42="Y",S43,1),1)*U43</f>
        <v>1</v>
      </c>
      <c r="AH43" s="19" t="n">
        <f aca="false">Cost_Library!$G$5*Parcel!$C$32*U43</f>
        <v>6500</v>
      </c>
      <c r="AI43" s="19" t="n">
        <f aca="false">AG43*Cost_Library!$G$6*Parcel!$C$32</f>
        <v>900</v>
      </c>
      <c r="AJ43" s="19" t="n">
        <f aca="false">I43*Cost_Library!$G$7*Parcel!$C$32*V43</f>
        <v>74100</v>
      </c>
      <c r="AK43" s="19" t="n">
        <f aca="false">Cost_Library!$G$8*Parcel!$C$32*V43</f>
        <v>5000</v>
      </c>
      <c r="AL43" s="19" t="n">
        <f aca="false">AC43*Cost_Library!$G$9*Parcel!$C$32</f>
        <v>0</v>
      </c>
      <c r="AM43" s="19" t="n">
        <f aca="false">Cost_Library!$G$10*U43</f>
        <v>2800</v>
      </c>
      <c r="AN43" s="19" t="n">
        <f aca="false">Cost_Library!$G$11*Parcel!$C$32*V43</f>
        <v>7500</v>
      </c>
      <c r="AO43" s="19" t="n">
        <f aca="false">Use_Library!$S$42*U43</f>
        <v>40000</v>
      </c>
      <c r="AP43" s="19" t="n">
        <f aca="false">Cost_Library!$G$12*U43</f>
        <v>10000</v>
      </c>
      <c r="AQ43" s="19" t="n">
        <f aca="false">AE43*Cost_Library!$G$13*Parcel!$C$32</f>
        <v>20748</v>
      </c>
      <c r="AR43" s="19" t="n">
        <f aca="false">AF43*Cost_Library!$G$14*Parcel!$C$32*Parcel!$C$33</f>
        <v>74100</v>
      </c>
      <c r="AS43" s="19" t="n">
        <f aca="false">W43*Cost_Library!$G$15*Parcel!$C$32</f>
        <v>0</v>
      </c>
      <c r="AT43" s="19" t="n">
        <f aca="false">X43*Cost_Library!$G$16*Parcel!$C$32</f>
        <v>0</v>
      </c>
      <c r="AU43" s="19" t="n">
        <f aca="false">H43*Cost_Library!$G$17*Parcel!$C$32*V43</f>
        <v>34320</v>
      </c>
      <c r="AV43" s="19" t="n">
        <f aca="false">G43*Cost_Library!$G$18*Parcel!$C$32*V43</f>
        <v>10920</v>
      </c>
      <c r="AW43" s="19" t="n">
        <f aca="false">Y43*Cost_Library!$G$19*Parcel!$C$32</f>
        <v>0</v>
      </c>
      <c r="AX43" s="19" t="n">
        <f aca="false">Z43*Cost_Library!$G$20</f>
        <v>0</v>
      </c>
      <c r="AY43" s="19" t="n">
        <f aca="false">AA43*Cost_Library!$G$21*Parcel!$C$32</f>
        <v>0</v>
      </c>
      <c r="AZ43" s="19" t="n">
        <f aca="false">AB43*Cost_Library!$G$22</f>
        <v>0</v>
      </c>
      <c r="BA43" s="19" t="n">
        <f aca="false">AC43*Cost_Library!$G$23*Parcel!$C$32*Parcel!$C$34</f>
        <v>0</v>
      </c>
      <c r="BB43" s="19" t="n">
        <f aca="false">AD43*Cost_Library!$G$24*Parcel!$C$32</f>
        <v>0</v>
      </c>
      <c r="BC43" s="19" t="n">
        <f aca="false">W43*Cost_Library!$G$25*Parcel!$C$32</f>
        <v>0</v>
      </c>
      <c r="BD43" s="19" t="n">
        <f aca="false">SUM(AH43:BC43)</f>
        <v>286888</v>
      </c>
      <c r="BE43" s="19" t="n">
        <f aca="false">BD43*Assumptions!$C$11</f>
        <v>28688.8</v>
      </c>
      <c r="BF43" s="19" t="n">
        <f aca="false">BD43+BE43</f>
        <v>315576.8</v>
      </c>
      <c r="BG43" s="19" t="n">
        <f aca="false">S43*Use_Library!$T$42</f>
        <v>0</v>
      </c>
      <c r="BH43" s="19" t="n">
        <f aca="false">BG43*(Assumptions!$C$12+Assumptions!$C$13)</f>
        <v>0</v>
      </c>
      <c r="BI43" s="19" t="n">
        <f aca="false">S43*Use_Library!$AC$42</f>
        <v>0</v>
      </c>
      <c r="BJ43" s="23" t="n">
        <f aca="false">1+Assumptions!$C$14+Assumptions!$C$15*Use_Library!$AH$42/12</f>
        <v>1.045</v>
      </c>
      <c r="BK43" s="23" t="n">
        <f aca="false">1+Assumptions!$C$21*(Assumptions!$C$22*Use_Library!$AH$42/12*Assumptions!$C$24+Assumptions!$C$23)</f>
        <v>1.038675</v>
      </c>
      <c r="BL43" s="23" t="n">
        <f aca="false">1+Assumptions!$C$21*(Assumptions!$C$22*(Use_Library!$AH$42/12*Assumptions!$C$24+IF(Use_Library!$C$42="Income",Use_Library!$AD$42,0)/12*Assumptions!$C$25)+Assumptions!$C$23)</f>
        <v>1.038675</v>
      </c>
      <c r="BM43" s="19" t="n">
        <f aca="false">J43*Assumptions!$C$31*(1-Assumptions!$C$17)*U43</f>
        <v>0</v>
      </c>
      <c r="BN43" s="19" t="n">
        <f aca="false">IF(Use_Library!$AJ$42=1,IF(Use_Library!$C$42="For-Sale",S43*Use_Library!$U$42,E43*Use_Library!$AF$42)*(1-Assumptions!$C$17)+BM43,0)*U43</f>
        <v>681408</v>
      </c>
      <c r="BO43" s="19" t="n">
        <f aca="false">(BD43-AT43)*(1+Assumptions!$C$11)</f>
        <v>315576.8</v>
      </c>
      <c r="BP43" s="23" t="n">
        <f aca="false">BJ43*BK43</f>
        <v>1.085415375</v>
      </c>
      <c r="BQ43" s="19" t="n">
        <f aca="false">(Parcel!$C$18*BJ43+BO43)*BK43</f>
        <v>653406.34524</v>
      </c>
      <c r="BR43" s="19" t="n">
        <f aca="false">BN43-BQ43</f>
        <v>28001.6547599999</v>
      </c>
      <c r="BS43" s="32" t="n">
        <f aca="false">IF(AND(Use_Library!$AJ$42=1,U43=1),MAX(0,((1-Use_Library!$AI$42)*BN43-BO43*BK43)/BP43),0)</f>
        <v>200241.006591601</v>
      </c>
      <c r="BT43" s="19" t="n">
        <f aca="false">BF43+BG43+BH43+BI43</f>
        <v>315576.8</v>
      </c>
      <c r="BU43" s="23" t="n">
        <f aca="false">BJ43*BL43</f>
        <v>1.085415375</v>
      </c>
      <c r="BV43" s="19" t="n">
        <f aca="false">(Parcel!$C$18*BJ43+BT43)*BL43</f>
        <v>653406.34524</v>
      </c>
      <c r="BW43" s="19" t="n">
        <f aca="false">IF(Use_Library!$C$42="Income",S43*Use_Library!$W$42,0)</f>
        <v>0</v>
      </c>
      <c r="BX43" s="19" t="n">
        <f aca="false">BW43*(1+Use_Library!$X$42)*(1-Use_Library!$Y$42)</f>
        <v>0</v>
      </c>
      <c r="BY43" s="19" t="n">
        <f aca="false">IF(Use_Library!$C$42="Income",S43*Use_Library!$Z$42,0)</f>
        <v>0</v>
      </c>
      <c r="BZ43" s="19" t="n">
        <f aca="false">IF(Use_Library!$C$42="Income",Assumptions!$C$19*Assumptions!$C$20*BV43,0)</f>
        <v>0</v>
      </c>
      <c r="CA43" s="19" t="n">
        <f aca="false">BX43*Use_Library!$AA$42</f>
        <v>0</v>
      </c>
      <c r="CB43" s="19" t="n">
        <f aca="false">(BY43+BZ43)*Use_Library!$AB$42</f>
        <v>0</v>
      </c>
      <c r="CC43" s="19" t="n">
        <f aca="false">BX43-BY43-BZ43-CA43+CB43</f>
        <v>0</v>
      </c>
      <c r="CD43" s="19" t="n">
        <f aca="false">IF(AND(Use_Library!$C$42="Income",Use_Library!$AE$42&gt;0),CC43/Use_Library!$AE$42,0)</f>
        <v>0</v>
      </c>
      <c r="CE43" s="24" t="n">
        <f aca="false">IF(Use_Library!$C$42="Income",-Assumptions!$C$19*Assumptions!$C$20*(1-Use_Library!$AB$42)*BU43,0)</f>
        <v>0</v>
      </c>
      <c r="CF43" s="20" t="n">
        <f aca="false">IF(BV43=0,0,CC43/BV43)</f>
        <v>0</v>
      </c>
      <c r="CG43" s="19" t="n">
        <f aca="false">IF(Use_Library!$AK$42=1,IF(Use_Library!$C$42="Income",CD43*(1-Assumptions!$C$18),S43*Use_Library!$V$42*(1-Assumptions!$C$16))+BM43,0)*U43</f>
        <v>0</v>
      </c>
      <c r="CH43" s="24" t="n">
        <f aca="false">IF(AND(Use_Library!$AK$42=1,Use_Library!$C$42="Income",Use_Library!$AE$42&gt;0),CE43/Use_Library!$AE$42*(1-Assumptions!$C$18),0)</f>
        <v>0</v>
      </c>
      <c r="CI43" s="19" t="n">
        <f aca="false">CG43-BV43</f>
        <v>-653406.34524</v>
      </c>
      <c r="CJ43" s="32" t="n">
        <f aca="false">IF(AND(Use_Library!$AK$42=1,U43=1),MAX(0,Parcel!$C$18-((1-Use_Library!$AI$42)*CG43-BV43)/((1-Use_Library!$AI$42)*CH43-BU43)),0)</f>
        <v>0</v>
      </c>
      <c r="CK43" s="19" t="n">
        <f aca="false">IF(Use_Library!$AL$42=1,IF(Use_Library!$C$42="Income",CD43,IF(Use_Library!$AE$42&gt;0,E43*Use_Library!$AG$42/Use_Library!$AE$42,0))+BM43,0)*U43</f>
        <v>662480</v>
      </c>
      <c r="CL43" s="19" t="n">
        <f aca="false">IF(Use_Library!$C$42="Income",BT43,BF43)</f>
        <v>315576.8</v>
      </c>
      <c r="CM43" s="23" t="n">
        <f aca="false">IF(Use_Library!$C$42="Income",BU43,BJ43*BK43)</f>
        <v>1.085415375</v>
      </c>
      <c r="CN43" s="19" t="n">
        <f aca="false">IF(Use_Library!$C$42="Income",BV43,(Parcel!$C$18*BJ43+BF43)*BK43)</f>
        <v>653406.34524</v>
      </c>
      <c r="CO43" s="24" t="n">
        <f aca="false">IF(AND(Use_Library!$AL$42=1,Use_Library!$C$42="Income",Use_Library!$AE$42&gt;0),CE43/Use_Library!$AE$42,0)</f>
        <v>0</v>
      </c>
      <c r="CP43" s="19" t="n">
        <f aca="false">CK43-CN43</f>
        <v>9073.65475999995</v>
      </c>
      <c r="CQ43" s="32" t="n">
        <f aca="false">IF(AND(Use_Library!$AL$42=1,U43=1),MAX(0,Parcel!$C$18-((1-Use_Library!$AI$42)*CK43-CN43)/((1-Use_Library!$AI$42)*CO43-CM43)),0)</f>
        <v>186290.218396805</v>
      </c>
      <c r="CR43" s="19" t="n">
        <f aca="false">IF(Use_Library!$C$42="Income",Assumptions!$C$21*(Parcel!$C$18*BJ43+BT43),0)</f>
        <v>0</v>
      </c>
      <c r="CS43" s="19" t="n">
        <f aca="false">IF(AND(Use_Library!$C$42="Income",CC43&gt;0),MIN(Assumptions!$C$26*CD43,PV(Assumptions!$C$29/12,Assumptions!$C$30*12,-CC43/Assumptions!$C$27/12),CC43/Assumptions!$C$28),0)</f>
        <v>0</v>
      </c>
      <c r="CT43" s="25" t="n">
        <f aca="false">IF(CS43=0,0,CC43/(-PMT(Assumptions!$C$29/12,Assumptions!$C$30*12,CS43)*12))</f>
        <v>0</v>
      </c>
      <c r="CU43" s="19" t="n">
        <f aca="false">CS43-CR43</f>
        <v>0</v>
      </c>
      <c r="CV43" s="18" t="n">
        <f aca="false">MAX(BS43,CJ43,CQ43)</f>
        <v>200241.006591601</v>
      </c>
      <c r="CW43" s="9" t="str">
        <f aca="false">IF(CV43&lt;=0,"None works",IF(BS43=CV43,"Land / pad sale",IF(CJ43=CV43,"Build &amp; sell","Build &amp; hold / lease")))</f>
        <v>Land / pad sale</v>
      </c>
      <c r="CX43" s="19" t="n">
        <f aca="false">CV43*(1-Assumptions!$C$32)</f>
        <v>170204.855602861</v>
      </c>
      <c r="CY43" s="19" t="n">
        <f aca="false">CV43-Parcel!$C$18</f>
        <v>-99758.9934083991</v>
      </c>
      <c r="CZ43" s="19" t="n">
        <f aca="false">IF(Parcel!$C$8=0,0,CV43/Parcel!$C$8)</f>
        <v>10012.05032958</v>
      </c>
      <c r="DA43" s="33" t="n">
        <f aca="false">IF(S43=0,0,CV43/S43)</f>
        <v>14105.4527043957</v>
      </c>
      <c r="DB43" s="9" t="str">
        <f aca="false">TRIM(M43&amp;" "&amp;IF(AND(U43=0,N43=1),"Nothing fits. ","")&amp;IF(Parcel!$C$12&lt;Use_Library!$AM$42,"Frontage under "&amp;Use_Library!$AM$42&amp;" LF. ","")&amp;IF(Parcel!$C$10&gt;0.15,"Slope over 15%. ","")&amp;IF(AND(U43=1,Use_Library!$M$42&gt;0,D43&gt;Use_Library!$M$42),"Only "&amp;Use_Library!$M$42&amp;" ac used - rest resold. ",""))</f>
        <v/>
      </c>
      <c r="DC43" s="19" t="n">
        <f aca="false">CV43+ROW()/1000000</f>
        <v>200241.006634601</v>
      </c>
    </row>
    <row r="44" customFormat="false" ht="15" hidden="false" customHeight="false" outlineLevel="0" collapsed="false">
      <c r="A44" s="4" t="str">
        <f aca="false">Use_Library!$A$43</f>
        <v>Small-bay flex industrial</v>
      </c>
      <c r="B44" s="9" t="str">
        <f aca="false">Use_Library!$C$43</f>
        <v>Income</v>
      </c>
      <c r="C44" s="9" t="str">
        <f aca="false">Use_Library!$D$43</f>
        <v>bldg SF</v>
      </c>
      <c r="D44" s="14" t="n">
        <f aca="false">MAX(0,Parcel!$C$26*(1-Use_Library!$N$43-Assumptions!$C$7))</f>
        <v>13.728</v>
      </c>
      <c r="E44" s="14" t="n">
        <f aca="false">IF(Use_Library!$M$43&gt;0,MIN(D44,Use_Library!$M$43),D44)</f>
        <v>10</v>
      </c>
      <c r="F44" s="20" t="n">
        <f aca="false">IF(D44=0,0,E44/D44)</f>
        <v>0.728438228438228</v>
      </c>
      <c r="G44" s="14" t="n">
        <f aca="false">Parcel!$C$26*F44</f>
        <v>11.3636363636364</v>
      </c>
      <c r="H44" s="14" t="n">
        <f aca="false">G44*Assumptions!$C$7</f>
        <v>0.454545454545455</v>
      </c>
      <c r="I44" s="14" t="n">
        <f aca="false">G44*(1-Use_Library!$N$43)</f>
        <v>10.4545454545455</v>
      </c>
      <c r="J44" s="14" t="n">
        <f aca="false">Parcel!$C$8*(1-F44)</f>
        <v>5.43123543123543</v>
      </c>
      <c r="K44" s="15" t="n">
        <f aca="false">IF(AND(Use_Library!$I$43="Y",Parcel!$C$28=0),0,1)</f>
        <v>1</v>
      </c>
      <c r="L44" s="15" t="n">
        <f aca="false">IF(AND(Use_Library!$J$43="Y",Parcel!$C$27=0),0,1)</f>
        <v>1</v>
      </c>
      <c r="M44" s="9" t="str">
        <f aca="false">TRIM(IF(AND(Use_Library!$AN$43&gt;0,Parcel!$C$19&lt;Use_Library!$AN$43),"Traffic under "&amp;TEXT(Use_Library!$AN$43,"#,##0")&amp;" VPD. ","")&amp;IF(AND(Use_Library!$AO$43&gt;0,Parcel!$C$20&lt;Use_Library!$AO$43),"Under "&amp;TEXT(Use_Library!$AO$43,"#,##0")&amp;" households in 3 mi. ","")&amp;IF(AND(Use_Library!$AP$43&gt;0,Parcel!$C$21&gt;Use_Library!$AP$43),"Over "&amp;Use_Library!$AP$43&amp;" mi to highway. ","")&amp;IF(AND(Use_Library!$AQ$43="Y",Parcel!$C$22&lt;&gt;"Y"),"Needs a corner. ","")&amp;IF(AND(Use_Library!$AR$43&gt;0,Parcel!$C$23&gt;Use_Library!$AR$43),"Over "&amp;Use_Library!$AR$43&amp;" mi to substation. ",""))</f>
        <v>Over 5 mi to highway.</v>
      </c>
      <c r="N44" s="15" t="n">
        <f aca="false">IF(M44="",1,0)</f>
        <v>0</v>
      </c>
      <c r="O44" s="15" t="n">
        <f aca="false">IF(D44&gt;=Use_Library!$L$43,1,0)</f>
        <v>1</v>
      </c>
      <c r="P44" s="14" t="n">
        <f aca="false">IF(Use_Library!$F$43&gt;0,G44*Use_Library!$F$43,1000000000)</f>
        <v>1000000000</v>
      </c>
      <c r="Q44" s="14" t="n">
        <f aca="false">IF(Use_Library!$G$43&gt;0,E44*43560/Use_Library!$G$43,1000000000)</f>
        <v>130693.069306931</v>
      </c>
      <c r="R44" s="14" t="n">
        <f aca="false">IF(AND(Use_Library!$H$43="Y",Parcel!$C$28=0),E44*(1-Assumptions!$C$8)/IF(Parcel!$C$27=1,Assumptions!$C$9,Assumptions!$C$10),1000000000)</f>
        <v>1000000000</v>
      </c>
      <c r="S44" s="21" t="n">
        <f aca="false">IF(K44*L44*O44*N44=0,0,IF(MIN(P44,Q44,R44)&gt;=1000000000,E44,IF(Use_Library!$E$43="Y",INT(MIN(P44,Q44,R44)),MIN(P44,Q44,R44))))</f>
        <v>0</v>
      </c>
      <c r="T44" s="9" t="str">
        <f aca="false">IF(N44=0,"Location fails",IF(O44=0,"Too small - needs "&amp;Use_Library!$L$43&amp;" usable ac",IF(K44=0,"Needs public sewer",IF(L44=0,"Needs public water",IF(R44&lt;=MIN(P44,Q44),"Septic lot size",IF(Q44&lt;=P44,"Site area / parking","Density"))))))</f>
        <v>Location fails</v>
      </c>
      <c r="U44" s="15" t="n">
        <f aca="false">IF(S44&gt;0,1,0)</f>
        <v>0</v>
      </c>
      <c r="V44" s="15" t="n">
        <f aca="false">IF(Use_Library!$K$43="Y",1,0)*U44</f>
        <v>0</v>
      </c>
      <c r="W44" s="15" t="n">
        <f aca="false">S44*Use_Library!$O$43*V44</f>
        <v>0</v>
      </c>
      <c r="X44" s="15" t="n">
        <f aca="false">S44*Use_Library!$P$43*V44</f>
        <v>0</v>
      </c>
      <c r="Y44" s="15" t="n">
        <f aca="false">IF(Parcel!$C$27=1,W44+Parcel!$C$29,0)*V44</f>
        <v>0</v>
      </c>
      <c r="Z44" s="14" t="n">
        <f aca="false">S44*Use_Library!$Q$43*Parcel!$C$27*V44</f>
        <v>0</v>
      </c>
      <c r="AA44" s="15" t="n">
        <f aca="false">IF(Parcel!$C$28=1,W44+Parcel!$C$30,0)*V44</f>
        <v>0</v>
      </c>
      <c r="AB44" s="14" t="n">
        <f aca="false">S44*Use_Library!$Q$43*Parcel!$C$28*V44</f>
        <v>0</v>
      </c>
      <c r="AC44" s="14" t="n">
        <f aca="false">IF(Parcel!$C$28=0,S44*Use_Library!$R$43,0)*V44</f>
        <v>0</v>
      </c>
      <c r="AD44" s="14" t="n">
        <f aca="false">IF(Parcel!$C$27=0,S44*Use_Library!$R$43,0)*V44</f>
        <v>0</v>
      </c>
      <c r="AE44" s="14" t="n">
        <f aca="false">I44*Parcel!$C$11*V44</f>
        <v>0</v>
      </c>
      <c r="AF44" s="14" t="n">
        <f aca="false">I44*V44</f>
        <v>0</v>
      </c>
      <c r="AG44" s="15" t="n">
        <f aca="false">IF(Use_Library!$C$43="For-Sale",IF(Use_Library!$E$43="Y",S44,1),1)*U44</f>
        <v>0</v>
      </c>
      <c r="AH44" s="19" t="n">
        <f aca="false">Cost_Library!$G$5*Parcel!$C$32*U44</f>
        <v>0</v>
      </c>
      <c r="AI44" s="19" t="n">
        <f aca="false">AG44*Cost_Library!$G$6*Parcel!$C$32</f>
        <v>0</v>
      </c>
      <c r="AJ44" s="19" t="n">
        <f aca="false">I44*Cost_Library!$G$7*Parcel!$C$32*V44</f>
        <v>0</v>
      </c>
      <c r="AK44" s="19" t="n">
        <f aca="false">Cost_Library!$G$8*Parcel!$C$32*V44</f>
        <v>0</v>
      </c>
      <c r="AL44" s="19" t="n">
        <f aca="false">AC44*Cost_Library!$G$9*Parcel!$C$32</f>
        <v>0</v>
      </c>
      <c r="AM44" s="19" t="n">
        <f aca="false">Cost_Library!$G$10*U44</f>
        <v>0</v>
      </c>
      <c r="AN44" s="19" t="n">
        <f aca="false">Cost_Library!$G$11*Parcel!$C$32*V44</f>
        <v>0</v>
      </c>
      <c r="AO44" s="19" t="n">
        <f aca="false">Use_Library!$S$43*U44</f>
        <v>0</v>
      </c>
      <c r="AP44" s="19" t="n">
        <f aca="false">Cost_Library!$G$12*U44</f>
        <v>0</v>
      </c>
      <c r="AQ44" s="19" t="n">
        <f aca="false">AE44*Cost_Library!$G$13*Parcel!$C$32</f>
        <v>0</v>
      </c>
      <c r="AR44" s="19" t="n">
        <f aca="false">AF44*Cost_Library!$G$14*Parcel!$C$32*Parcel!$C$33</f>
        <v>0</v>
      </c>
      <c r="AS44" s="19" t="n">
        <f aca="false">W44*Cost_Library!$G$15*Parcel!$C$32</f>
        <v>0</v>
      </c>
      <c r="AT44" s="19" t="n">
        <f aca="false">X44*Cost_Library!$G$16*Parcel!$C$32</f>
        <v>0</v>
      </c>
      <c r="AU44" s="19" t="n">
        <f aca="false">H44*Cost_Library!$G$17*Parcel!$C$32*V44</f>
        <v>0</v>
      </c>
      <c r="AV44" s="19" t="n">
        <f aca="false">G44*Cost_Library!$G$18*Parcel!$C$32*V44</f>
        <v>0</v>
      </c>
      <c r="AW44" s="19" t="n">
        <f aca="false">Y44*Cost_Library!$G$19*Parcel!$C$32</f>
        <v>0</v>
      </c>
      <c r="AX44" s="19" t="n">
        <f aca="false">Z44*Cost_Library!$G$20</f>
        <v>0</v>
      </c>
      <c r="AY44" s="19" t="n">
        <f aca="false">AA44*Cost_Library!$G$21*Parcel!$C$32</f>
        <v>0</v>
      </c>
      <c r="AZ44" s="19" t="n">
        <f aca="false">AB44*Cost_Library!$G$22</f>
        <v>0</v>
      </c>
      <c r="BA44" s="19" t="n">
        <f aca="false">AC44*Cost_Library!$G$23*Parcel!$C$32*Parcel!$C$34</f>
        <v>0</v>
      </c>
      <c r="BB44" s="19" t="n">
        <f aca="false">AD44*Cost_Library!$G$24*Parcel!$C$32</f>
        <v>0</v>
      </c>
      <c r="BC44" s="19" t="n">
        <f aca="false">W44*Cost_Library!$G$25*Parcel!$C$32</f>
        <v>0</v>
      </c>
      <c r="BD44" s="19" t="n">
        <f aca="false">SUM(AH44:BC44)</f>
        <v>0</v>
      </c>
      <c r="BE44" s="19" t="n">
        <f aca="false">BD44*Assumptions!$C$11</f>
        <v>0</v>
      </c>
      <c r="BF44" s="19" t="n">
        <f aca="false">BD44+BE44</f>
        <v>0</v>
      </c>
      <c r="BG44" s="19" t="n">
        <f aca="false">S44*Use_Library!$T$43</f>
        <v>0</v>
      </c>
      <c r="BH44" s="19" t="n">
        <f aca="false">BG44*(Assumptions!$C$12+Assumptions!$C$13)</f>
        <v>0</v>
      </c>
      <c r="BI44" s="19" t="n">
        <f aca="false">S44*Use_Library!$AC$43</f>
        <v>0</v>
      </c>
      <c r="BJ44" s="23" t="n">
        <f aca="false">1+Assumptions!$C$14+Assumptions!$C$15*Use_Library!$AH$43/12</f>
        <v>1.04916666666667</v>
      </c>
      <c r="BK44" s="23" t="n">
        <f aca="false">1+Assumptions!$C$21*(Assumptions!$C$22*Use_Library!$AH$43/12*Assumptions!$C$24+Assumptions!$C$23)</f>
        <v>1.0440375</v>
      </c>
      <c r="BL44" s="23" t="n">
        <f aca="false">1+Assumptions!$C$21*(Assumptions!$C$22*(Use_Library!$AH$43/12*Assumptions!$C$24+IF(Use_Library!$C$43="Income",Use_Library!$AD$43,0)/12*Assumptions!$C$25)+Assumptions!$C$23)</f>
        <v>1.0732875</v>
      </c>
      <c r="BM44" s="19" t="n">
        <f aca="false">J44*Assumptions!$C$31*(1-Assumptions!$C$17)*U44</f>
        <v>0</v>
      </c>
      <c r="BN44" s="19" t="n">
        <f aca="false">IF(Use_Library!$AJ$43=1,IF(Use_Library!$C$43="For-Sale",S44*Use_Library!$U$43,E44*Use_Library!$AF$43)*(1-Assumptions!$C$17)+BM44,0)*U44</f>
        <v>0</v>
      </c>
      <c r="BO44" s="19" t="n">
        <f aca="false">(BD44-AT44)*(1+Assumptions!$C$11)</f>
        <v>0</v>
      </c>
      <c r="BP44" s="23" t="n">
        <f aca="false">BJ44*BK44</f>
        <v>1.09536934375</v>
      </c>
      <c r="BQ44" s="19" t="n">
        <f aca="false">(Parcel!$C$18*BJ44+BO44)*BK44</f>
        <v>328610.803125</v>
      </c>
      <c r="BR44" s="19" t="n">
        <f aca="false">BN44-BQ44</f>
        <v>-328610.803125</v>
      </c>
      <c r="BS44" s="32" t="n">
        <f aca="false">IF(AND(Use_Library!$AJ$43=1,U44=1),MAX(0,((1-Use_Library!$AI$43)*BN44-BO44*BK44)/BP44),0)</f>
        <v>0</v>
      </c>
      <c r="BT44" s="19" t="n">
        <f aca="false">BF44+BG44+BH44+BI44</f>
        <v>0</v>
      </c>
      <c r="BU44" s="23" t="n">
        <f aca="false">BJ44*BL44</f>
        <v>1.12605746875</v>
      </c>
      <c r="BV44" s="19" t="n">
        <f aca="false">(Parcel!$C$18*BJ44+BT44)*BL44</f>
        <v>337817.240625</v>
      </c>
      <c r="BW44" s="19" t="n">
        <f aca="false">IF(Use_Library!$C$43="Income",S44*Use_Library!$W$43,0)</f>
        <v>0</v>
      </c>
      <c r="BX44" s="19" t="n">
        <f aca="false">BW44*(1+Use_Library!$X$43)*(1-Use_Library!$Y$43)</f>
        <v>0</v>
      </c>
      <c r="BY44" s="19" t="n">
        <f aca="false">IF(Use_Library!$C$43="Income",S44*Use_Library!$Z$43,0)</f>
        <v>0</v>
      </c>
      <c r="BZ44" s="19" t="n">
        <f aca="false">IF(Use_Library!$C$43="Income",Assumptions!$C$19*Assumptions!$C$20*BV44,0)</f>
        <v>6317.1823996875</v>
      </c>
      <c r="CA44" s="19" t="n">
        <f aca="false">BX44*Use_Library!$AA$43</f>
        <v>0</v>
      </c>
      <c r="CB44" s="19" t="n">
        <f aca="false">(BY44+BZ44)*Use_Library!$AB$43</f>
        <v>6001.32327970312</v>
      </c>
      <c r="CC44" s="19" t="n">
        <f aca="false">BX44-BY44-BZ44-CA44+CB44</f>
        <v>-315.859119984375</v>
      </c>
      <c r="CD44" s="19" t="n">
        <f aca="false">IF(AND(Use_Library!$C$43="Income",Use_Library!$AE$43&gt;0),CC44/Use_Library!$AE$43,0)</f>
        <v>-4512.27314263393</v>
      </c>
      <c r="CE44" s="24" t="n">
        <f aca="false">IF(Use_Library!$C$43="Income",-Assumptions!$C$19*Assumptions!$C$20*(1-Use_Library!$AB$43)*BU44,0)</f>
        <v>-0.00105286373328125</v>
      </c>
      <c r="CF44" s="20" t="n">
        <f aca="false">IF(BV44=0,0,CC44/BV44)</f>
        <v>-0.000935</v>
      </c>
      <c r="CG44" s="19" t="n">
        <f aca="false">IF(Use_Library!$AK$43=1,IF(Use_Library!$C$43="Income",CD44*(1-Assumptions!$C$18),S44*Use_Library!$V$43*(1-Assumptions!$C$16))+BM44,0)*U44</f>
        <v>-0</v>
      </c>
      <c r="CH44" s="24" t="n">
        <f aca="false">IF(AND(Use_Library!$AK$43=1,Use_Library!$C$43="Income",Use_Library!$AE$43&gt;0),CE44/Use_Library!$AE$43*(1-Assumptions!$C$18),0)</f>
        <v>-0.0147400922659375</v>
      </c>
      <c r="CI44" s="19" t="n">
        <f aca="false">CG44-BV44</f>
        <v>-337817.240625</v>
      </c>
      <c r="CJ44" s="32" t="n">
        <f aca="false">IF(AND(Use_Library!$AK$43=1,U44=1),MAX(0,Parcel!$C$18-((1-Use_Library!$AI$43)*CG44-BV44)/((1-Use_Library!$AI$43)*CH44-BU44)),0)</f>
        <v>0</v>
      </c>
      <c r="CK44" s="19" t="n">
        <f aca="false">IF(Use_Library!$AL$43=1,IF(Use_Library!$C$43="Income",CD44,IF(Use_Library!$AE$43&gt;0,E44*Use_Library!$AG$43/Use_Library!$AE$43,0))+BM44,0)*U44</f>
        <v>-0</v>
      </c>
      <c r="CL44" s="19" t="n">
        <f aca="false">IF(Use_Library!$C$43="Income",BT44,BF44)</f>
        <v>0</v>
      </c>
      <c r="CM44" s="23" t="n">
        <f aca="false">IF(Use_Library!$C$43="Income",BU44,BJ44*BK44)</f>
        <v>1.12605746875</v>
      </c>
      <c r="CN44" s="19" t="n">
        <f aca="false">IF(Use_Library!$C$43="Income",BV44,(Parcel!$C$18*BJ44+BF44)*BK44)</f>
        <v>337817.240625</v>
      </c>
      <c r="CO44" s="24" t="n">
        <f aca="false">IF(AND(Use_Library!$AL$43=1,Use_Library!$C$43="Income",Use_Library!$AE$43&gt;0),CE44/Use_Library!$AE$43,0)</f>
        <v>-0.0150409104754464</v>
      </c>
      <c r="CP44" s="19" t="n">
        <f aca="false">CK44-CN44</f>
        <v>-337817.240625</v>
      </c>
      <c r="CQ44" s="32" t="n">
        <f aca="false">IF(AND(Use_Library!$AL$43=1,U44=1),MAX(0,Parcel!$C$18-((1-Use_Library!$AI$43)*CK44-CN44)/((1-Use_Library!$AI$43)*CO44-CM44)),0)</f>
        <v>0</v>
      </c>
      <c r="CR44" s="19" t="n">
        <f aca="false">IF(Use_Library!$C$43="Income",Assumptions!$C$21*(Parcel!$C$18*BJ44+BT44),0)</f>
        <v>204587.5</v>
      </c>
      <c r="CS44" s="19" t="n">
        <f aca="false">IF(AND(Use_Library!$C$43="Income",CC44&gt;0),MIN(Assumptions!$C$26*CD44,PV(Assumptions!$C$29/12,Assumptions!$C$30*12,-CC44/Assumptions!$C$27/12),CC44/Assumptions!$C$28),0)</f>
        <v>0</v>
      </c>
      <c r="CT44" s="25" t="n">
        <f aca="false">IF(CS44=0,0,CC44/(-PMT(Assumptions!$C$29/12,Assumptions!$C$30*12,CS44)*12))</f>
        <v>0</v>
      </c>
      <c r="CU44" s="19" t="n">
        <f aca="false">CS44-CR44</f>
        <v>-204587.5</v>
      </c>
      <c r="CV44" s="18" t="n">
        <f aca="false">MAX(BS44,CJ44,CQ44)</f>
        <v>0</v>
      </c>
      <c r="CW44" s="9" t="str">
        <f aca="false">IF(CV44&lt;=0,"None works",IF(BS44=CV44,"Land / pad sale",IF(CJ44=CV44,"Build &amp; sell","Build &amp; hold / lease")))</f>
        <v>None works</v>
      </c>
      <c r="CX44" s="19" t="n">
        <f aca="false">CV44*(1-Assumptions!$C$32)</f>
        <v>0</v>
      </c>
      <c r="CY44" s="19" t="n">
        <f aca="false">CV44-Parcel!$C$18</f>
        <v>-300000</v>
      </c>
      <c r="CZ44" s="19" t="n">
        <f aca="false">IF(Parcel!$C$8=0,0,CV44/Parcel!$C$8)</f>
        <v>0</v>
      </c>
      <c r="DA44" s="33" t="n">
        <f aca="false">IF(S44=0,0,CV44/S44)</f>
        <v>0</v>
      </c>
      <c r="DB44" s="9" t="str">
        <f aca="false">TRIM(M44&amp;" "&amp;IF(AND(U44=0,N44=1),"Nothing fits. ","")&amp;IF(Parcel!$C$12&lt;Use_Library!$AM$43,"Frontage under "&amp;Use_Library!$AM$43&amp;" LF. ","")&amp;IF(Parcel!$C$10&gt;0.15,"Slope over 15%. ","")&amp;IF(AND(U44=1,Use_Library!$M$43&gt;0,D44&gt;Use_Library!$M$43),"Only "&amp;Use_Library!$M$43&amp;" ac used - rest resold. ",""))</f>
        <v>Over 5 mi to highway.</v>
      </c>
      <c r="DC44" s="19" t="n">
        <f aca="false">CV44+ROW()/1000000</f>
        <v>4.4E-005</v>
      </c>
    </row>
    <row r="45" customFormat="false" ht="15" hidden="false" customHeight="false" outlineLevel="0" collapsed="false">
      <c r="A45" s="4" t="str">
        <f aca="false">Use_Library!$A$44</f>
        <v>Office / showroom / warehouse</v>
      </c>
      <c r="B45" s="9" t="str">
        <f aca="false">Use_Library!$C$44</f>
        <v>Income</v>
      </c>
      <c r="C45" s="9" t="str">
        <f aca="false">Use_Library!$D$44</f>
        <v>bldg SF</v>
      </c>
      <c r="D45" s="14" t="n">
        <f aca="false">MAX(0,Parcel!$C$26*(1-Use_Library!$N$44-Assumptions!$C$7))</f>
        <v>13.728</v>
      </c>
      <c r="E45" s="14" t="n">
        <f aca="false">IF(Use_Library!$M$44&gt;0,MIN(D45,Use_Library!$M$44),D45)</f>
        <v>10</v>
      </c>
      <c r="F45" s="20" t="n">
        <f aca="false">IF(D45=0,0,E45/D45)</f>
        <v>0.728438228438228</v>
      </c>
      <c r="G45" s="14" t="n">
        <f aca="false">Parcel!$C$26*F45</f>
        <v>11.3636363636364</v>
      </c>
      <c r="H45" s="14" t="n">
        <f aca="false">G45*Assumptions!$C$7</f>
        <v>0.454545454545455</v>
      </c>
      <c r="I45" s="14" t="n">
        <f aca="false">G45*(1-Use_Library!$N$44)</f>
        <v>10.4545454545455</v>
      </c>
      <c r="J45" s="14" t="n">
        <f aca="false">Parcel!$C$8*(1-F45)</f>
        <v>5.43123543123543</v>
      </c>
      <c r="K45" s="15" t="n">
        <f aca="false">IF(AND(Use_Library!$I$44="Y",Parcel!$C$28=0),0,1)</f>
        <v>1</v>
      </c>
      <c r="L45" s="15" t="n">
        <f aca="false">IF(AND(Use_Library!$J$44="Y",Parcel!$C$27=0),0,1)</f>
        <v>1</v>
      </c>
      <c r="M45" s="9" t="str">
        <f aca="false">TRIM(IF(AND(Use_Library!$AN$44&gt;0,Parcel!$C$19&lt;Use_Library!$AN$44),"Traffic under "&amp;TEXT(Use_Library!$AN$44,"#,##0")&amp;" VPD. ","")&amp;IF(AND(Use_Library!$AO$44&gt;0,Parcel!$C$20&lt;Use_Library!$AO$44),"Under "&amp;TEXT(Use_Library!$AO$44,"#,##0")&amp;" households in 3 mi. ","")&amp;IF(AND(Use_Library!$AP$44&gt;0,Parcel!$C$21&gt;Use_Library!$AP$44),"Over "&amp;Use_Library!$AP$44&amp;" mi to highway. ","")&amp;IF(AND(Use_Library!$AQ$44="Y",Parcel!$C$22&lt;&gt;"Y"),"Needs a corner. ","")&amp;IF(AND(Use_Library!$AR$44&gt;0,Parcel!$C$23&gt;Use_Library!$AR$44),"Over "&amp;Use_Library!$AR$44&amp;" mi to substation. ",""))</f>
        <v>Over 3 mi to highway.</v>
      </c>
      <c r="N45" s="15" t="n">
        <f aca="false">IF(M45="",1,0)</f>
        <v>0</v>
      </c>
      <c r="O45" s="15" t="n">
        <f aca="false">IF(D45&gt;=Use_Library!$L$44,1,0)</f>
        <v>1</v>
      </c>
      <c r="P45" s="14" t="n">
        <f aca="false">IF(Use_Library!$F$44&gt;0,G45*Use_Library!$F$44,1000000000)</f>
        <v>1000000000</v>
      </c>
      <c r="Q45" s="14" t="n">
        <f aca="false">IF(Use_Library!$G$44&gt;0,E45*43560/Use_Library!$G$44,1000000000)</f>
        <v>139392</v>
      </c>
      <c r="R45" s="14" t="n">
        <f aca="false">IF(AND(Use_Library!$H$44="Y",Parcel!$C$28=0),E45*(1-Assumptions!$C$8)/IF(Parcel!$C$27=1,Assumptions!$C$9,Assumptions!$C$10),1000000000)</f>
        <v>1000000000</v>
      </c>
      <c r="S45" s="21" t="n">
        <f aca="false">IF(K45*L45*O45*N45=0,0,IF(MIN(P45,Q45,R45)&gt;=1000000000,E45,IF(Use_Library!$E$44="Y",INT(MIN(P45,Q45,R45)),MIN(P45,Q45,R45))))</f>
        <v>0</v>
      </c>
      <c r="T45" s="9" t="str">
        <f aca="false">IF(N45=0,"Location fails",IF(O45=0,"Too small - needs "&amp;Use_Library!$L$44&amp;" usable ac",IF(K45=0,"Needs public sewer",IF(L45=0,"Needs public water",IF(R45&lt;=MIN(P45,Q45),"Septic lot size",IF(Q45&lt;=P45,"Site area / parking","Density"))))))</f>
        <v>Location fails</v>
      </c>
      <c r="U45" s="15" t="n">
        <f aca="false">IF(S45&gt;0,1,0)</f>
        <v>0</v>
      </c>
      <c r="V45" s="15" t="n">
        <f aca="false">IF(Use_Library!$K$44="Y",1,0)*U45</f>
        <v>0</v>
      </c>
      <c r="W45" s="15" t="n">
        <f aca="false">S45*Use_Library!$O$44*V45</f>
        <v>0</v>
      </c>
      <c r="X45" s="15" t="n">
        <f aca="false">S45*Use_Library!$P$44*V45</f>
        <v>0</v>
      </c>
      <c r="Y45" s="15" t="n">
        <f aca="false">IF(Parcel!$C$27=1,W45+Parcel!$C$29,0)*V45</f>
        <v>0</v>
      </c>
      <c r="Z45" s="14" t="n">
        <f aca="false">S45*Use_Library!$Q$44*Parcel!$C$27*V45</f>
        <v>0</v>
      </c>
      <c r="AA45" s="15" t="n">
        <f aca="false">IF(Parcel!$C$28=1,W45+Parcel!$C$30,0)*V45</f>
        <v>0</v>
      </c>
      <c r="AB45" s="14" t="n">
        <f aca="false">S45*Use_Library!$Q$44*Parcel!$C$28*V45</f>
        <v>0</v>
      </c>
      <c r="AC45" s="14" t="n">
        <f aca="false">IF(Parcel!$C$28=0,S45*Use_Library!$R$44,0)*V45</f>
        <v>0</v>
      </c>
      <c r="AD45" s="14" t="n">
        <f aca="false">IF(Parcel!$C$27=0,S45*Use_Library!$R$44,0)*V45</f>
        <v>0</v>
      </c>
      <c r="AE45" s="14" t="n">
        <f aca="false">I45*Parcel!$C$11*V45</f>
        <v>0</v>
      </c>
      <c r="AF45" s="14" t="n">
        <f aca="false">I45*V45</f>
        <v>0</v>
      </c>
      <c r="AG45" s="15" t="n">
        <f aca="false">IF(Use_Library!$C$44="For-Sale",IF(Use_Library!$E$44="Y",S45,1),1)*U45</f>
        <v>0</v>
      </c>
      <c r="AH45" s="19" t="n">
        <f aca="false">Cost_Library!$G$5*Parcel!$C$32*U45</f>
        <v>0</v>
      </c>
      <c r="AI45" s="19" t="n">
        <f aca="false">AG45*Cost_Library!$G$6*Parcel!$C$32</f>
        <v>0</v>
      </c>
      <c r="AJ45" s="19" t="n">
        <f aca="false">I45*Cost_Library!$G$7*Parcel!$C$32*V45</f>
        <v>0</v>
      </c>
      <c r="AK45" s="19" t="n">
        <f aca="false">Cost_Library!$G$8*Parcel!$C$32*V45</f>
        <v>0</v>
      </c>
      <c r="AL45" s="19" t="n">
        <f aca="false">AC45*Cost_Library!$G$9*Parcel!$C$32</f>
        <v>0</v>
      </c>
      <c r="AM45" s="19" t="n">
        <f aca="false">Cost_Library!$G$10*U45</f>
        <v>0</v>
      </c>
      <c r="AN45" s="19" t="n">
        <f aca="false">Cost_Library!$G$11*Parcel!$C$32*V45</f>
        <v>0</v>
      </c>
      <c r="AO45" s="19" t="n">
        <f aca="false">Use_Library!$S$44*U45</f>
        <v>0</v>
      </c>
      <c r="AP45" s="19" t="n">
        <f aca="false">Cost_Library!$G$12*U45</f>
        <v>0</v>
      </c>
      <c r="AQ45" s="19" t="n">
        <f aca="false">AE45*Cost_Library!$G$13*Parcel!$C$32</f>
        <v>0</v>
      </c>
      <c r="AR45" s="19" t="n">
        <f aca="false">AF45*Cost_Library!$G$14*Parcel!$C$32*Parcel!$C$33</f>
        <v>0</v>
      </c>
      <c r="AS45" s="19" t="n">
        <f aca="false">W45*Cost_Library!$G$15*Parcel!$C$32</f>
        <v>0</v>
      </c>
      <c r="AT45" s="19" t="n">
        <f aca="false">X45*Cost_Library!$G$16*Parcel!$C$32</f>
        <v>0</v>
      </c>
      <c r="AU45" s="19" t="n">
        <f aca="false">H45*Cost_Library!$G$17*Parcel!$C$32*V45</f>
        <v>0</v>
      </c>
      <c r="AV45" s="19" t="n">
        <f aca="false">G45*Cost_Library!$G$18*Parcel!$C$32*V45</f>
        <v>0</v>
      </c>
      <c r="AW45" s="19" t="n">
        <f aca="false">Y45*Cost_Library!$G$19*Parcel!$C$32</f>
        <v>0</v>
      </c>
      <c r="AX45" s="19" t="n">
        <f aca="false">Z45*Cost_Library!$G$20</f>
        <v>0</v>
      </c>
      <c r="AY45" s="19" t="n">
        <f aca="false">AA45*Cost_Library!$G$21*Parcel!$C$32</f>
        <v>0</v>
      </c>
      <c r="AZ45" s="19" t="n">
        <f aca="false">AB45*Cost_Library!$G$22</f>
        <v>0</v>
      </c>
      <c r="BA45" s="19" t="n">
        <f aca="false">AC45*Cost_Library!$G$23*Parcel!$C$32*Parcel!$C$34</f>
        <v>0</v>
      </c>
      <c r="BB45" s="19" t="n">
        <f aca="false">AD45*Cost_Library!$G$24*Parcel!$C$32</f>
        <v>0</v>
      </c>
      <c r="BC45" s="19" t="n">
        <f aca="false">W45*Cost_Library!$G$25*Parcel!$C$32</f>
        <v>0</v>
      </c>
      <c r="BD45" s="19" t="n">
        <f aca="false">SUM(AH45:BC45)</f>
        <v>0</v>
      </c>
      <c r="BE45" s="19" t="n">
        <f aca="false">BD45*Assumptions!$C$11</f>
        <v>0</v>
      </c>
      <c r="BF45" s="19" t="n">
        <f aca="false">BD45+BE45</f>
        <v>0</v>
      </c>
      <c r="BG45" s="19" t="n">
        <f aca="false">S45*Use_Library!$T$44</f>
        <v>0</v>
      </c>
      <c r="BH45" s="19" t="n">
        <f aca="false">BG45*(Assumptions!$C$12+Assumptions!$C$13)</f>
        <v>0</v>
      </c>
      <c r="BI45" s="19" t="n">
        <f aca="false">S45*Use_Library!$AC$44</f>
        <v>0</v>
      </c>
      <c r="BJ45" s="23" t="n">
        <f aca="false">1+Assumptions!$C$14+Assumptions!$C$15*Use_Library!$AH$44/12</f>
        <v>1.04916666666667</v>
      </c>
      <c r="BK45" s="23" t="n">
        <f aca="false">1+Assumptions!$C$21*(Assumptions!$C$22*Use_Library!$AH$44/12*Assumptions!$C$24+Assumptions!$C$23)</f>
        <v>1.0440375</v>
      </c>
      <c r="BL45" s="23" t="n">
        <f aca="false">1+Assumptions!$C$21*(Assumptions!$C$22*(Use_Library!$AH$44/12*Assumptions!$C$24+IF(Use_Library!$C$44="Income",Use_Library!$AD$44,0)/12*Assumptions!$C$25)+Assumptions!$C$23)</f>
        <v>1.0732875</v>
      </c>
      <c r="BM45" s="19" t="n">
        <f aca="false">J45*Assumptions!$C$31*(1-Assumptions!$C$17)*U45</f>
        <v>0</v>
      </c>
      <c r="BN45" s="19" t="n">
        <f aca="false">IF(Use_Library!$AJ$44=1,IF(Use_Library!$C$44="For-Sale",S45*Use_Library!$U$44,E45*Use_Library!$AF$44)*(1-Assumptions!$C$17)+BM45,0)*U45</f>
        <v>0</v>
      </c>
      <c r="BO45" s="19" t="n">
        <f aca="false">(BD45-AT45)*(1+Assumptions!$C$11)</f>
        <v>0</v>
      </c>
      <c r="BP45" s="23" t="n">
        <f aca="false">BJ45*BK45</f>
        <v>1.09536934375</v>
      </c>
      <c r="BQ45" s="19" t="n">
        <f aca="false">(Parcel!$C$18*BJ45+BO45)*BK45</f>
        <v>328610.803125</v>
      </c>
      <c r="BR45" s="19" t="n">
        <f aca="false">BN45-BQ45</f>
        <v>-328610.803125</v>
      </c>
      <c r="BS45" s="32" t="n">
        <f aca="false">IF(AND(Use_Library!$AJ$44=1,U45=1),MAX(0,((1-Use_Library!$AI$44)*BN45-BO45*BK45)/BP45),0)</f>
        <v>0</v>
      </c>
      <c r="BT45" s="19" t="n">
        <f aca="false">BF45+BG45+BH45+BI45</f>
        <v>0</v>
      </c>
      <c r="BU45" s="23" t="n">
        <f aca="false">BJ45*BL45</f>
        <v>1.12605746875</v>
      </c>
      <c r="BV45" s="19" t="n">
        <f aca="false">(Parcel!$C$18*BJ45+BT45)*BL45</f>
        <v>337817.240625</v>
      </c>
      <c r="BW45" s="19" t="n">
        <f aca="false">IF(Use_Library!$C$44="Income",S45*Use_Library!$W$44,0)</f>
        <v>0</v>
      </c>
      <c r="BX45" s="19" t="n">
        <f aca="false">BW45*(1+Use_Library!$X$44)*(1-Use_Library!$Y$44)</f>
        <v>0</v>
      </c>
      <c r="BY45" s="19" t="n">
        <f aca="false">IF(Use_Library!$C$44="Income",S45*Use_Library!$Z$44,0)</f>
        <v>0</v>
      </c>
      <c r="BZ45" s="19" t="n">
        <f aca="false">IF(Use_Library!$C$44="Income",Assumptions!$C$19*Assumptions!$C$20*BV45,0)</f>
        <v>6317.1823996875</v>
      </c>
      <c r="CA45" s="19" t="n">
        <f aca="false">BX45*Use_Library!$AA$44</f>
        <v>0</v>
      </c>
      <c r="CB45" s="19" t="n">
        <f aca="false">(BY45+BZ45)*Use_Library!$AB$44</f>
        <v>6001.32327970312</v>
      </c>
      <c r="CC45" s="19" t="n">
        <f aca="false">BX45-BY45-BZ45-CA45+CB45</f>
        <v>-315.859119984375</v>
      </c>
      <c r="CD45" s="19" t="n">
        <f aca="false">IF(AND(Use_Library!$C$44="Income",Use_Library!$AE$44&gt;0),CC45/Use_Library!$AE$44,0)</f>
        <v>-4512.27314263393</v>
      </c>
      <c r="CE45" s="24" t="n">
        <f aca="false">IF(Use_Library!$C$44="Income",-Assumptions!$C$19*Assumptions!$C$20*(1-Use_Library!$AB$44)*BU45,0)</f>
        <v>-0.00105286373328125</v>
      </c>
      <c r="CF45" s="20" t="n">
        <f aca="false">IF(BV45=0,0,CC45/BV45)</f>
        <v>-0.000935</v>
      </c>
      <c r="CG45" s="19" t="n">
        <f aca="false">IF(Use_Library!$AK$44=1,IF(Use_Library!$C$44="Income",CD45*(1-Assumptions!$C$18),S45*Use_Library!$V$44*(1-Assumptions!$C$16))+BM45,0)*U45</f>
        <v>-0</v>
      </c>
      <c r="CH45" s="24" t="n">
        <f aca="false">IF(AND(Use_Library!$AK$44=1,Use_Library!$C$44="Income",Use_Library!$AE$44&gt;0),CE45/Use_Library!$AE$44*(1-Assumptions!$C$18),0)</f>
        <v>-0.0147400922659375</v>
      </c>
      <c r="CI45" s="19" t="n">
        <f aca="false">CG45-BV45</f>
        <v>-337817.240625</v>
      </c>
      <c r="CJ45" s="32" t="n">
        <f aca="false">IF(AND(Use_Library!$AK$44=1,U45=1),MAX(0,Parcel!$C$18-((1-Use_Library!$AI$44)*CG45-BV45)/((1-Use_Library!$AI$44)*CH45-BU45)),0)</f>
        <v>0</v>
      </c>
      <c r="CK45" s="19" t="n">
        <f aca="false">IF(Use_Library!$AL$44=1,IF(Use_Library!$C$44="Income",CD45,IF(Use_Library!$AE$44&gt;0,E45*Use_Library!$AG$44/Use_Library!$AE$44,0))+BM45,0)*U45</f>
        <v>-0</v>
      </c>
      <c r="CL45" s="19" t="n">
        <f aca="false">IF(Use_Library!$C$44="Income",BT45,BF45)</f>
        <v>0</v>
      </c>
      <c r="CM45" s="23" t="n">
        <f aca="false">IF(Use_Library!$C$44="Income",BU45,BJ45*BK45)</f>
        <v>1.12605746875</v>
      </c>
      <c r="CN45" s="19" t="n">
        <f aca="false">IF(Use_Library!$C$44="Income",BV45,(Parcel!$C$18*BJ45+BF45)*BK45)</f>
        <v>337817.240625</v>
      </c>
      <c r="CO45" s="24" t="n">
        <f aca="false">IF(AND(Use_Library!$AL$44=1,Use_Library!$C$44="Income",Use_Library!$AE$44&gt;0),CE45/Use_Library!$AE$44,0)</f>
        <v>-0.0150409104754464</v>
      </c>
      <c r="CP45" s="19" t="n">
        <f aca="false">CK45-CN45</f>
        <v>-337817.240625</v>
      </c>
      <c r="CQ45" s="32" t="n">
        <f aca="false">IF(AND(Use_Library!$AL$44=1,U45=1),MAX(0,Parcel!$C$18-((1-Use_Library!$AI$44)*CK45-CN45)/((1-Use_Library!$AI$44)*CO45-CM45)),0)</f>
        <v>0</v>
      </c>
      <c r="CR45" s="19" t="n">
        <f aca="false">IF(Use_Library!$C$44="Income",Assumptions!$C$21*(Parcel!$C$18*BJ45+BT45),0)</f>
        <v>204587.5</v>
      </c>
      <c r="CS45" s="19" t="n">
        <f aca="false">IF(AND(Use_Library!$C$44="Income",CC45&gt;0),MIN(Assumptions!$C$26*CD45,PV(Assumptions!$C$29/12,Assumptions!$C$30*12,-CC45/Assumptions!$C$27/12),CC45/Assumptions!$C$28),0)</f>
        <v>0</v>
      </c>
      <c r="CT45" s="25" t="n">
        <f aca="false">IF(CS45=0,0,CC45/(-PMT(Assumptions!$C$29/12,Assumptions!$C$30*12,CS45)*12))</f>
        <v>0</v>
      </c>
      <c r="CU45" s="19" t="n">
        <f aca="false">CS45-CR45</f>
        <v>-204587.5</v>
      </c>
      <c r="CV45" s="18" t="n">
        <f aca="false">MAX(BS45,CJ45,CQ45)</f>
        <v>0</v>
      </c>
      <c r="CW45" s="9" t="str">
        <f aca="false">IF(CV45&lt;=0,"None works",IF(BS45=CV45,"Land / pad sale",IF(CJ45=CV45,"Build &amp; sell","Build &amp; hold / lease")))</f>
        <v>None works</v>
      </c>
      <c r="CX45" s="19" t="n">
        <f aca="false">CV45*(1-Assumptions!$C$32)</f>
        <v>0</v>
      </c>
      <c r="CY45" s="19" t="n">
        <f aca="false">CV45-Parcel!$C$18</f>
        <v>-300000</v>
      </c>
      <c r="CZ45" s="19" t="n">
        <f aca="false">IF(Parcel!$C$8=0,0,CV45/Parcel!$C$8)</f>
        <v>0</v>
      </c>
      <c r="DA45" s="33" t="n">
        <f aca="false">IF(S45=0,0,CV45/S45)</f>
        <v>0</v>
      </c>
      <c r="DB45" s="9" t="str">
        <f aca="false">TRIM(M45&amp;" "&amp;IF(AND(U45=0,N45=1),"Nothing fits. ","")&amp;IF(Parcel!$C$12&lt;Use_Library!$AM$44,"Frontage under "&amp;Use_Library!$AM$44&amp;" LF. ","")&amp;IF(Parcel!$C$10&gt;0.15,"Slope over 15%. ","")&amp;IF(AND(U45=1,Use_Library!$M$44&gt;0,D45&gt;Use_Library!$M$44),"Only "&amp;Use_Library!$M$44&amp;" ac used - rest resold. ",""))</f>
        <v>Over 3 mi to highway.</v>
      </c>
      <c r="DC45" s="19" t="n">
        <f aca="false">CV45+ROW()/1000000</f>
        <v>4.5E-005</v>
      </c>
    </row>
    <row r="46" customFormat="false" ht="15" hidden="false" customHeight="false" outlineLevel="0" collapsed="false">
      <c r="A46" s="4" t="str">
        <f aca="false">Use_Library!$A$45</f>
        <v>Supplier build-to-suit near major plants</v>
      </c>
      <c r="B46" s="9" t="str">
        <f aca="false">Use_Library!$C$45</f>
        <v>Income</v>
      </c>
      <c r="C46" s="9" t="str">
        <f aca="false">Use_Library!$D$45</f>
        <v>bldg SF</v>
      </c>
      <c r="D46" s="14" t="n">
        <f aca="false">MAX(0,Parcel!$C$26*(1-Use_Library!$N$45-Assumptions!$C$7))</f>
        <v>13.728</v>
      </c>
      <c r="E46" s="14" t="n">
        <f aca="false">IF(Use_Library!$M$45&gt;0,MIN(D46,Use_Library!$M$45),D46)</f>
        <v>13.728</v>
      </c>
      <c r="F46" s="20" t="n">
        <f aca="false">IF(D46=0,0,E46/D46)</f>
        <v>1</v>
      </c>
      <c r="G46" s="14" t="n">
        <f aca="false">Parcel!$C$26*F46</f>
        <v>15.6</v>
      </c>
      <c r="H46" s="14" t="n">
        <f aca="false">G46*Assumptions!$C$7</f>
        <v>0.624</v>
      </c>
      <c r="I46" s="14" t="n">
        <f aca="false">G46*(1-Use_Library!$N$45)</f>
        <v>14.352</v>
      </c>
      <c r="J46" s="14" t="n">
        <f aca="false">Parcel!$C$8*(1-F46)</f>
        <v>0</v>
      </c>
      <c r="K46" s="15" t="n">
        <f aca="false">IF(AND(Use_Library!$I$45="Y",Parcel!$C$28=0),0,1)</f>
        <v>1</v>
      </c>
      <c r="L46" s="15" t="n">
        <f aca="false">IF(AND(Use_Library!$J$45="Y",Parcel!$C$27=0),0,1)</f>
        <v>1</v>
      </c>
      <c r="M46" s="9" t="str">
        <f aca="false">TRIM(IF(AND(Use_Library!$AN$45&gt;0,Parcel!$C$19&lt;Use_Library!$AN$45),"Traffic under "&amp;TEXT(Use_Library!$AN$45,"#,##0")&amp;" VPD. ","")&amp;IF(AND(Use_Library!$AO$45&gt;0,Parcel!$C$20&lt;Use_Library!$AO$45),"Under "&amp;TEXT(Use_Library!$AO$45,"#,##0")&amp;" households in 3 mi. ","")&amp;IF(AND(Use_Library!$AP$45&gt;0,Parcel!$C$21&gt;Use_Library!$AP$45),"Over "&amp;Use_Library!$AP$45&amp;" mi to highway. ","")&amp;IF(AND(Use_Library!$AQ$45="Y",Parcel!$C$22&lt;&gt;"Y"),"Needs a corner. ","")&amp;IF(AND(Use_Library!$AR$45&gt;0,Parcel!$C$23&gt;Use_Library!$AR$45),"Over "&amp;Use_Library!$AR$45&amp;" mi to substation. ",""))</f>
        <v/>
      </c>
      <c r="N46" s="15" t="n">
        <f aca="false">IF(M46="",1,0)</f>
        <v>1</v>
      </c>
      <c r="O46" s="15" t="n">
        <f aca="false">IF(D46&gt;=Use_Library!$L$45,1,0)</f>
        <v>1</v>
      </c>
      <c r="P46" s="14" t="n">
        <f aca="false">IF(Use_Library!$F$45&gt;0,G46*Use_Library!$F$45,1000000000)</f>
        <v>1000000000</v>
      </c>
      <c r="Q46" s="14" t="n">
        <f aca="false">IF(Use_Library!$G$45&gt;0,E46*43560/Use_Library!$G$45,1000000000)</f>
        <v>239196.672</v>
      </c>
      <c r="R46" s="14" t="n">
        <f aca="false">IF(AND(Use_Library!$H$45="Y",Parcel!$C$28=0),E46*(1-Assumptions!$C$8)/IF(Parcel!$C$27=1,Assumptions!$C$9,Assumptions!$C$10),1000000000)</f>
        <v>1000000000</v>
      </c>
      <c r="S46" s="21" t="n">
        <f aca="false">IF(K46*L46*O46*N46=0,0,IF(MIN(P46,Q46,R46)&gt;=1000000000,E46,IF(Use_Library!$E$45="Y",INT(MIN(P46,Q46,R46)),MIN(P46,Q46,R46))))</f>
        <v>239196.672</v>
      </c>
      <c r="T46" s="9" t="str">
        <f aca="false">IF(N46=0,"Location fails",IF(O46=0,"Too small - needs "&amp;Use_Library!$L$45&amp;" usable ac",IF(K46=0,"Needs public sewer",IF(L46=0,"Needs public water",IF(R46&lt;=MIN(P46,Q46),"Septic lot size",IF(Q46&lt;=P46,"Site area / parking","Density"))))))</f>
        <v>Site area / parking</v>
      </c>
      <c r="U46" s="15" t="n">
        <f aca="false">IF(S46&gt;0,1,0)</f>
        <v>1</v>
      </c>
      <c r="V46" s="15" t="n">
        <f aca="false">IF(Use_Library!$K$45="Y",1,0)*U46</f>
        <v>1</v>
      </c>
      <c r="W46" s="15" t="n">
        <f aca="false">S46*Use_Library!$O$45*V46</f>
        <v>1435.180032</v>
      </c>
      <c r="X46" s="15" t="n">
        <f aca="false">S46*Use_Library!$P$45*V46</f>
        <v>287036.0064</v>
      </c>
      <c r="Y46" s="15" t="n">
        <f aca="false">IF(Parcel!$C$27=1,W46+Parcel!$C$29,0)*V46</f>
        <v>1435.180032</v>
      </c>
      <c r="Z46" s="14" t="n">
        <f aca="false">S46*Use_Library!$Q$45*Parcel!$C$27*V46</f>
        <v>23.9196672</v>
      </c>
      <c r="AA46" s="15" t="n">
        <f aca="false">IF(Parcel!$C$28=1,W46+Parcel!$C$30,0)*V46</f>
        <v>0</v>
      </c>
      <c r="AB46" s="14" t="n">
        <f aca="false">S46*Use_Library!$Q$45*Parcel!$C$28*V46</f>
        <v>0</v>
      </c>
      <c r="AC46" s="14" t="n">
        <f aca="false">IF(Parcel!$C$28=0,S46*Use_Library!$R$45,0)*V46</f>
        <v>23.9196672</v>
      </c>
      <c r="AD46" s="14" t="n">
        <f aca="false">IF(Parcel!$C$27=0,S46*Use_Library!$R$45,0)*V46</f>
        <v>0</v>
      </c>
      <c r="AE46" s="14" t="n">
        <f aca="false">I46*Parcel!$C$11*V46</f>
        <v>5.0232</v>
      </c>
      <c r="AF46" s="14" t="n">
        <f aca="false">I46*V46</f>
        <v>14.352</v>
      </c>
      <c r="AG46" s="15" t="n">
        <f aca="false">IF(Use_Library!$C$45="For-Sale",IF(Use_Library!$E$45="Y",S46,1),1)*U46</f>
        <v>1</v>
      </c>
      <c r="AH46" s="19" t="n">
        <f aca="false">Cost_Library!$G$5*Parcel!$C$32*U46</f>
        <v>6500</v>
      </c>
      <c r="AI46" s="19" t="n">
        <f aca="false">AG46*Cost_Library!$G$6*Parcel!$C$32</f>
        <v>900</v>
      </c>
      <c r="AJ46" s="19" t="n">
        <f aca="false">I46*Cost_Library!$G$7*Parcel!$C$32*V46</f>
        <v>71760</v>
      </c>
      <c r="AK46" s="19" t="n">
        <f aca="false">Cost_Library!$G$8*Parcel!$C$32*V46</f>
        <v>5000</v>
      </c>
      <c r="AL46" s="19" t="n">
        <f aca="false">AC46*Cost_Library!$G$9*Parcel!$C$32</f>
        <v>11959.8336</v>
      </c>
      <c r="AM46" s="19" t="n">
        <f aca="false">Cost_Library!$G$10*U46</f>
        <v>2800</v>
      </c>
      <c r="AN46" s="19" t="n">
        <f aca="false">Cost_Library!$G$11*Parcel!$C$32*V46</f>
        <v>7500</v>
      </c>
      <c r="AO46" s="19" t="n">
        <f aca="false">Use_Library!$S$45*U46</f>
        <v>40000</v>
      </c>
      <c r="AP46" s="19" t="n">
        <f aca="false">Cost_Library!$G$12*U46</f>
        <v>10000</v>
      </c>
      <c r="AQ46" s="19" t="n">
        <f aca="false">AE46*Cost_Library!$G$13*Parcel!$C$32</f>
        <v>20092.8</v>
      </c>
      <c r="AR46" s="19" t="n">
        <f aca="false">AF46*Cost_Library!$G$14*Parcel!$C$32*Parcel!$C$33</f>
        <v>71760</v>
      </c>
      <c r="AS46" s="19" t="n">
        <f aca="false">W46*Cost_Library!$G$15*Parcel!$C$32</f>
        <v>215277.0048</v>
      </c>
      <c r="AT46" s="19" t="n">
        <f aca="false">X46*Cost_Library!$G$16*Parcel!$C$32</f>
        <v>1722216.0384</v>
      </c>
      <c r="AU46" s="19" t="n">
        <f aca="false">H46*Cost_Library!$G$17*Parcel!$C$32*V46</f>
        <v>34320</v>
      </c>
      <c r="AV46" s="19" t="n">
        <f aca="false">G46*Cost_Library!$G$18*Parcel!$C$32*V46</f>
        <v>10920</v>
      </c>
      <c r="AW46" s="19" t="n">
        <f aca="false">Y46*Cost_Library!$G$19*Parcel!$C$32</f>
        <v>71759.0016</v>
      </c>
      <c r="AX46" s="19" t="n">
        <f aca="false">Z46*Cost_Library!$G$20</f>
        <v>59799.168</v>
      </c>
      <c r="AY46" s="19" t="n">
        <f aca="false">AA46*Cost_Library!$G$21*Parcel!$C$32</f>
        <v>0</v>
      </c>
      <c r="AZ46" s="19" t="n">
        <f aca="false">AB46*Cost_Library!$G$22</f>
        <v>0</v>
      </c>
      <c r="BA46" s="19" t="n">
        <f aca="false">AC46*Cost_Library!$G$23*Parcel!$C$32*Parcel!$C$34</f>
        <v>315739.60704</v>
      </c>
      <c r="BB46" s="19" t="n">
        <f aca="false">AD46*Cost_Library!$G$24*Parcel!$C$32</f>
        <v>0</v>
      </c>
      <c r="BC46" s="19" t="n">
        <f aca="false">W46*Cost_Library!$G$25*Parcel!$C$32</f>
        <v>35879.5008</v>
      </c>
      <c r="BD46" s="19" t="n">
        <f aca="false">SUM(AH46:BC46)</f>
        <v>2714182.95424</v>
      </c>
      <c r="BE46" s="19" t="n">
        <f aca="false">BD46*Assumptions!$C$11</f>
        <v>271418.295424</v>
      </c>
      <c r="BF46" s="19" t="n">
        <f aca="false">BD46+BE46</f>
        <v>2985601.249664</v>
      </c>
      <c r="BG46" s="19" t="n">
        <f aca="false">S46*Use_Library!$T$45</f>
        <v>33487534.08</v>
      </c>
      <c r="BH46" s="19" t="n">
        <f aca="false">BG46*(Assumptions!$C$12+Assumptions!$C$13)</f>
        <v>4353379.4304</v>
      </c>
      <c r="BI46" s="19" t="n">
        <f aca="false">S46*Use_Library!$AC$45</f>
        <v>0</v>
      </c>
      <c r="BJ46" s="23" t="n">
        <f aca="false">1+Assumptions!$C$14+Assumptions!$C$15*Use_Library!$AH$45/12</f>
        <v>1.04916666666667</v>
      </c>
      <c r="BK46" s="23" t="n">
        <f aca="false">1+Assumptions!$C$21*(Assumptions!$C$22*Use_Library!$AH$45/12*Assumptions!$C$24+Assumptions!$C$23)</f>
        <v>1.0440375</v>
      </c>
      <c r="BL46" s="23" t="n">
        <f aca="false">1+Assumptions!$C$21*(Assumptions!$C$22*(Use_Library!$AH$45/12*Assumptions!$C$24+IF(Use_Library!$C$45="Income",Use_Library!$AD$45,0)/12*Assumptions!$C$25)+Assumptions!$C$23)</f>
        <v>1.05135</v>
      </c>
      <c r="BM46" s="19" t="n">
        <f aca="false">J46*Assumptions!$C$31*(1-Assumptions!$C$17)*U46</f>
        <v>0</v>
      </c>
      <c r="BN46" s="19" t="n">
        <f aca="false">IF(Use_Library!$AJ$45=1,IF(Use_Library!$C$45="For-Sale",S46*Use_Library!$U$45,E46*Use_Library!$AF$45)*(1-Assumptions!$C$17)+BM46,0)*U46</f>
        <v>1976832</v>
      </c>
      <c r="BO46" s="19" t="n">
        <f aca="false">(BD46-AT46)*(1+Assumptions!$C$11)</f>
        <v>1091163.607424</v>
      </c>
      <c r="BP46" s="23" t="n">
        <f aca="false">BJ46*BK46</f>
        <v>1.09536934375</v>
      </c>
      <c r="BQ46" s="19" t="n">
        <f aca="false">(Parcel!$C$18*BJ46+BO46)*BK46</f>
        <v>1467826.52791093</v>
      </c>
      <c r="BR46" s="19" t="n">
        <f aca="false">BN46-BQ46</f>
        <v>509005.472089066</v>
      </c>
      <c r="BS46" s="32" t="n">
        <f aca="false">IF(AND(Use_Library!$AJ$45=1,U46=1),MAX(0,((1-Use_Library!$AI$45)*BN46-BO46*BK46)/BP46),0)</f>
        <v>493980.846096749</v>
      </c>
      <c r="BT46" s="19" t="n">
        <f aca="false">BF46+BG46+BH46+BI46</f>
        <v>40826514.760064</v>
      </c>
      <c r="BU46" s="23" t="n">
        <f aca="false">BJ46*BL46</f>
        <v>1.103041375</v>
      </c>
      <c r="BV46" s="19" t="n">
        <f aca="false">(Parcel!$C$18*BJ46+BT46)*BL46</f>
        <v>43253868.7054933</v>
      </c>
      <c r="BW46" s="19" t="n">
        <f aca="false">IF(Use_Library!$C$45="Income",S46*Use_Library!$W$45,0)</f>
        <v>2870360.064</v>
      </c>
      <c r="BX46" s="19" t="n">
        <f aca="false">BW46*(1+Use_Library!$X$45)*(1-Use_Library!$Y$45)</f>
        <v>2669434.85952</v>
      </c>
      <c r="BY46" s="19" t="n">
        <f aca="false">IF(Use_Library!$C$45="Income",S46*Use_Library!$Z$45,0)</f>
        <v>717590.016</v>
      </c>
      <c r="BZ46" s="19" t="n">
        <f aca="false">IF(Use_Library!$C$45="Income",Assumptions!$C$19*Assumptions!$C$20*BV46,0)</f>
        <v>808847.344792724</v>
      </c>
      <c r="CA46" s="19" t="n">
        <f aca="false">BX46*Use_Library!$AA$45</f>
        <v>80083.0457856</v>
      </c>
      <c r="CB46" s="19" t="n">
        <f aca="false">(BY46+BZ46)*Use_Library!$AB$45</f>
        <v>1526437.36079272</v>
      </c>
      <c r="CC46" s="19" t="n">
        <f aca="false">BX46-BY46-BZ46-CA46+CB46</f>
        <v>2589351.8137344</v>
      </c>
      <c r="CD46" s="19" t="n">
        <f aca="false">IF(AND(Use_Library!$C$45="Income",Use_Library!$AE$45&gt;0),CC46/Use_Library!$AE$45,0)</f>
        <v>39836181.74976</v>
      </c>
      <c r="CE46" s="24" t="n">
        <f aca="false">IF(Use_Library!$C$45="Income",-Assumptions!$C$19*Assumptions!$C$20*(1-Use_Library!$AB$45)*BU46,0)</f>
        <v>-0</v>
      </c>
      <c r="CF46" s="20" t="n">
        <f aca="false">IF(BV46=0,0,CC46/BV46)</f>
        <v>0.0598640512682175</v>
      </c>
      <c r="CG46" s="19" t="n">
        <f aca="false">IF(Use_Library!$AK$45=1,IF(Use_Library!$C$45="Income",CD46*(1-Assumptions!$C$18),S46*Use_Library!$V$45*(1-Assumptions!$C$16))+BM46,0)*U46</f>
        <v>39039458.1147648</v>
      </c>
      <c r="CH46" s="24" t="n">
        <f aca="false">IF(AND(Use_Library!$AK$45=1,Use_Library!$C$45="Income",Use_Library!$AE$45&gt;0),CE46/Use_Library!$AE$45*(1-Assumptions!$C$18),0)</f>
        <v>-0</v>
      </c>
      <c r="CI46" s="19" t="n">
        <f aca="false">CG46-BV46</f>
        <v>-4214410.59072848</v>
      </c>
      <c r="CJ46" s="32" t="n">
        <f aca="false">IF(AND(Use_Library!$AK$45=1,U46=1),MAX(0,Parcel!$C$18-((1-Use_Library!$AI$45)*CG46-BV46)/((1-Use_Library!$AI$45)*CH46-BU46)),0)</f>
        <v>0</v>
      </c>
      <c r="CK46" s="19" t="n">
        <f aca="false">IF(Use_Library!$AL$45=1,IF(Use_Library!$C$45="Income",CD46,IF(Use_Library!$AE$45&gt;0,E46*Use_Library!$AG$45/Use_Library!$AE$45,0))+BM46,0)*U46</f>
        <v>39836181.74976</v>
      </c>
      <c r="CL46" s="19" t="n">
        <f aca="false">IF(Use_Library!$C$45="Income",BT46,BF46)</f>
        <v>40826514.760064</v>
      </c>
      <c r="CM46" s="23" t="n">
        <f aca="false">IF(Use_Library!$C$45="Income",BU46,BJ46*BK46)</f>
        <v>1.103041375</v>
      </c>
      <c r="CN46" s="19" t="n">
        <f aca="false">IF(Use_Library!$C$45="Income",BV46,(Parcel!$C$18*BJ46+BF46)*BK46)</f>
        <v>43253868.7054933</v>
      </c>
      <c r="CO46" s="24" t="n">
        <f aca="false">IF(AND(Use_Library!$AL$45=1,Use_Library!$C$45="Income",Use_Library!$AE$45&gt;0),CE46/Use_Library!$AE$45,0)</f>
        <v>-0</v>
      </c>
      <c r="CP46" s="19" t="n">
        <f aca="false">CK46-CN46</f>
        <v>-3417686.95573328</v>
      </c>
      <c r="CQ46" s="32" t="n">
        <f aca="false">IF(AND(Use_Library!$AL$45=1,U46=1),MAX(0,Parcel!$C$18-((1-Use_Library!$AI$45)*CK46-CN46)/((1-Use_Library!$AI$45)*CO46-CM46)),0)</f>
        <v>0</v>
      </c>
      <c r="CR46" s="19" t="n">
        <f aca="false">IF(Use_Library!$C$45="Income",Assumptions!$C$21*(Parcel!$C$18*BJ46+BT46),0)</f>
        <v>26741822.0940416</v>
      </c>
      <c r="CS46" s="19" t="n">
        <f aca="false">IF(AND(Use_Library!$C$45="Income",CC46&gt;0),MIN(Assumptions!$C$26*CD46,PV(Assumptions!$C$29/12,Assumptions!$C$30*12,-CC46/Assumptions!$C$27/12),CC46/Assumptions!$C$28),0)</f>
        <v>26479028.1742103</v>
      </c>
      <c r="CT46" s="25" t="n">
        <f aca="false">IF(CS46=0,0,CC46/(-PMT(Assumptions!$C$29/12,Assumptions!$C$30*12,CS46)*12))</f>
        <v>1.25</v>
      </c>
      <c r="CU46" s="19" t="n">
        <f aca="false">CS46-CR46</f>
        <v>-262793.919831287</v>
      </c>
      <c r="CV46" s="18" t="n">
        <f aca="false">MAX(BS46,CJ46,CQ46)</f>
        <v>493980.846096749</v>
      </c>
      <c r="CW46" s="9" t="str">
        <f aca="false">IF(CV46&lt;=0,"None works",IF(BS46=CV46,"Land / pad sale",IF(CJ46=CV46,"Build &amp; sell","Build &amp; hold / lease")))</f>
        <v>Land / pad sale</v>
      </c>
      <c r="CX46" s="19" t="n">
        <f aca="false">CV46*(1-Assumptions!$C$32)</f>
        <v>419883.719182236</v>
      </c>
      <c r="CY46" s="19" t="n">
        <f aca="false">CV46-Parcel!$C$18</f>
        <v>193980.846096749</v>
      </c>
      <c r="CZ46" s="19" t="n">
        <f aca="false">IF(Parcel!$C$8=0,0,CV46/Parcel!$C$8)</f>
        <v>24699.0423048374</v>
      </c>
      <c r="DA46" s="33" t="n">
        <f aca="false">IF(S46=0,0,CV46/S46)</f>
        <v>2.06516604920301</v>
      </c>
      <c r="DB46" s="9" t="str">
        <f aca="false">TRIM(M46&amp;" "&amp;IF(AND(U46=0,N46=1),"Nothing fits. ","")&amp;IF(Parcel!$C$12&lt;Use_Library!$AM$45,"Frontage under "&amp;Use_Library!$AM$45&amp;" LF. ","")&amp;IF(Parcel!$C$10&gt;0.15,"Slope over 15%. ","")&amp;IF(AND(U46=1,Use_Library!$M$45&gt;0,D46&gt;Use_Library!$M$45),"Only "&amp;Use_Library!$M$45&amp;" ac used - rest resold. ",""))</f>
        <v/>
      </c>
      <c r="DC46" s="19" t="n">
        <f aca="false">CV46+ROW()/1000000</f>
        <v>493980.846142749</v>
      </c>
    </row>
    <row r="47" customFormat="false" ht="15" hidden="false" customHeight="false" outlineLevel="0" collapsed="false">
      <c r="A47" s="4" t="str">
        <f aca="false">Use_Library!$A$46</f>
        <v>Last-mile delivery station</v>
      </c>
      <c r="B47" s="9" t="str">
        <f aca="false">Use_Library!$C$46</f>
        <v>Income</v>
      </c>
      <c r="C47" s="9" t="str">
        <f aca="false">Use_Library!$D$46</f>
        <v>bldg SF</v>
      </c>
      <c r="D47" s="14" t="n">
        <f aca="false">MAX(0,Parcel!$C$26*(1-Use_Library!$N$46-Assumptions!$C$7))</f>
        <v>13.728</v>
      </c>
      <c r="E47" s="14" t="n">
        <f aca="false">IF(Use_Library!$M$46&gt;0,MIN(D47,Use_Library!$M$46),D47)</f>
        <v>13.728</v>
      </c>
      <c r="F47" s="20" t="n">
        <f aca="false">IF(D47=0,0,E47/D47)</f>
        <v>1</v>
      </c>
      <c r="G47" s="14" t="n">
        <f aca="false">Parcel!$C$26*F47</f>
        <v>15.6</v>
      </c>
      <c r="H47" s="14" t="n">
        <f aca="false">G47*Assumptions!$C$7</f>
        <v>0.624</v>
      </c>
      <c r="I47" s="14" t="n">
        <f aca="false">G47*(1-Use_Library!$N$46)</f>
        <v>14.352</v>
      </c>
      <c r="J47" s="14" t="n">
        <f aca="false">Parcel!$C$8*(1-F47)</f>
        <v>0</v>
      </c>
      <c r="K47" s="15" t="n">
        <f aca="false">IF(AND(Use_Library!$I$46="Y",Parcel!$C$28=0),0,1)</f>
        <v>1</v>
      </c>
      <c r="L47" s="15" t="n">
        <f aca="false">IF(AND(Use_Library!$J$46="Y",Parcel!$C$27=0),0,1)</f>
        <v>1</v>
      </c>
      <c r="M47" s="9" t="str">
        <f aca="false">TRIM(IF(AND(Use_Library!$AN$46&gt;0,Parcel!$C$19&lt;Use_Library!$AN$46),"Traffic under "&amp;TEXT(Use_Library!$AN$46,"#,##0")&amp;" VPD. ","")&amp;IF(AND(Use_Library!$AO$46&gt;0,Parcel!$C$20&lt;Use_Library!$AO$46),"Under "&amp;TEXT(Use_Library!$AO$46,"#,##0")&amp;" households in 3 mi. ","")&amp;IF(AND(Use_Library!$AP$46&gt;0,Parcel!$C$21&gt;Use_Library!$AP$46),"Over "&amp;Use_Library!$AP$46&amp;" mi to highway. ","")&amp;IF(AND(Use_Library!$AQ$46="Y",Parcel!$C$22&lt;&gt;"Y"),"Needs a corner. ","")&amp;IF(AND(Use_Library!$AR$46&gt;0,Parcel!$C$23&gt;Use_Library!$AR$46),"Over "&amp;Use_Library!$AR$46&amp;" mi to substation. ",""))</f>
        <v>Under 15,000 households in 3 mi. Over 3 mi to highway.</v>
      </c>
      <c r="N47" s="15" t="n">
        <f aca="false">IF(M47="",1,0)</f>
        <v>0</v>
      </c>
      <c r="O47" s="15" t="n">
        <f aca="false">IF(D47&gt;=Use_Library!$L$46,1,0)</f>
        <v>0</v>
      </c>
      <c r="P47" s="14" t="n">
        <f aca="false">IF(Use_Library!$F$46&gt;0,G47*Use_Library!$F$46,1000000000)</f>
        <v>1000000000</v>
      </c>
      <c r="Q47" s="14" t="n">
        <f aca="false">IF(Use_Library!$G$46&gt;0,E47*43560/Use_Library!$G$46,1000000000)</f>
        <v>149497.92</v>
      </c>
      <c r="R47" s="14" t="n">
        <f aca="false">IF(AND(Use_Library!$H$46="Y",Parcel!$C$28=0),E47*(1-Assumptions!$C$8)/IF(Parcel!$C$27=1,Assumptions!$C$9,Assumptions!$C$10),1000000000)</f>
        <v>1000000000</v>
      </c>
      <c r="S47" s="21" t="n">
        <f aca="false">IF(K47*L47*O47*N47=0,0,IF(MIN(P47,Q47,R47)&gt;=1000000000,E47,IF(Use_Library!$E$46="Y",INT(MIN(P47,Q47,R47)),MIN(P47,Q47,R47))))</f>
        <v>0</v>
      </c>
      <c r="T47" s="9" t="str">
        <f aca="false">IF(N47=0,"Location fails",IF(O47=0,"Too small - needs "&amp;Use_Library!$L$46&amp;" usable ac",IF(K47=0,"Needs public sewer",IF(L47=0,"Needs public water",IF(R47&lt;=MIN(P47,Q47),"Septic lot size",IF(Q47&lt;=P47,"Site area / parking","Density"))))))</f>
        <v>Location fails</v>
      </c>
      <c r="U47" s="15" t="n">
        <f aca="false">IF(S47&gt;0,1,0)</f>
        <v>0</v>
      </c>
      <c r="V47" s="15" t="n">
        <f aca="false">IF(Use_Library!$K$46="Y",1,0)*U47</f>
        <v>0</v>
      </c>
      <c r="W47" s="15" t="n">
        <f aca="false">S47*Use_Library!$O$46*V47</f>
        <v>0</v>
      </c>
      <c r="X47" s="15" t="n">
        <f aca="false">S47*Use_Library!$P$46*V47</f>
        <v>0</v>
      </c>
      <c r="Y47" s="15" t="n">
        <f aca="false">IF(Parcel!$C$27=1,W47+Parcel!$C$29,0)*V47</f>
        <v>0</v>
      </c>
      <c r="Z47" s="14" t="n">
        <f aca="false">S47*Use_Library!$Q$46*Parcel!$C$27*V47</f>
        <v>0</v>
      </c>
      <c r="AA47" s="15" t="n">
        <f aca="false">IF(Parcel!$C$28=1,W47+Parcel!$C$30,0)*V47</f>
        <v>0</v>
      </c>
      <c r="AB47" s="14" t="n">
        <f aca="false">S47*Use_Library!$Q$46*Parcel!$C$28*V47</f>
        <v>0</v>
      </c>
      <c r="AC47" s="14" t="n">
        <f aca="false">IF(Parcel!$C$28=0,S47*Use_Library!$R$46,0)*V47</f>
        <v>0</v>
      </c>
      <c r="AD47" s="14" t="n">
        <f aca="false">IF(Parcel!$C$27=0,S47*Use_Library!$R$46,0)*V47</f>
        <v>0</v>
      </c>
      <c r="AE47" s="14" t="n">
        <f aca="false">I47*Parcel!$C$11*V47</f>
        <v>0</v>
      </c>
      <c r="AF47" s="14" t="n">
        <f aca="false">I47*V47</f>
        <v>0</v>
      </c>
      <c r="AG47" s="15" t="n">
        <f aca="false">IF(Use_Library!$C$46="For-Sale",IF(Use_Library!$E$46="Y",S47,1),1)*U47</f>
        <v>0</v>
      </c>
      <c r="AH47" s="19" t="n">
        <f aca="false">Cost_Library!$G$5*Parcel!$C$32*U47</f>
        <v>0</v>
      </c>
      <c r="AI47" s="19" t="n">
        <f aca="false">AG47*Cost_Library!$G$6*Parcel!$C$32</f>
        <v>0</v>
      </c>
      <c r="AJ47" s="19" t="n">
        <f aca="false">I47*Cost_Library!$G$7*Parcel!$C$32*V47</f>
        <v>0</v>
      </c>
      <c r="AK47" s="19" t="n">
        <f aca="false">Cost_Library!$G$8*Parcel!$C$32*V47</f>
        <v>0</v>
      </c>
      <c r="AL47" s="19" t="n">
        <f aca="false">AC47*Cost_Library!$G$9*Parcel!$C$32</f>
        <v>0</v>
      </c>
      <c r="AM47" s="19" t="n">
        <f aca="false">Cost_Library!$G$10*U47</f>
        <v>0</v>
      </c>
      <c r="AN47" s="19" t="n">
        <f aca="false">Cost_Library!$G$11*Parcel!$C$32*V47</f>
        <v>0</v>
      </c>
      <c r="AO47" s="19" t="n">
        <f aca="false">Use_Library!$S$46*U47</f>
        <v>0</v>
      </c>
      <c r="AP47" s="19" t="n">
        <f aca="false">Cost_Library!$G$12*U47</f>
        <v>0</v>
      </c>
      <c r="AQ47" s="19" t="n">
        <f aca="false">AE47*Cost_Library!$G$13*Parcel!$C$32</f>
        <v>0</v>
      </c>
      <c r="AR47" s="19" t="n">
        <f aca="false">AF47*Cost_Library!$G$14*Parcel!$C$32*Parcel!$C$33</f>
        <v>0</v>
      </c>
      <c r="AS47" s="19" t="n">
        <f aca="false">W47*Cost_Library!$G$15*Parcel!$C$32</f>
        <v>0</v>
      </c>
      <c r="AT47" s="19" t="n">
        <f aca="false">X47*Cost_Library!$G$16*Parcel!$C$32</f>
        <v>0</v>
      </c>
      <c r="AU47" s="19" t="n">
        <f aca="false">H47*Cost_Library!$G$17*Parcel!$C$32*V47</f>
        <v>0</v>
      </c>
      <c r="AV47" s="19" t="n">
        <f aca="false">G47*Cost_Library!$G$18*Parcel!$C$32*V47</f>
        <v>0</v>
      </c>
      <c r="AW47" s="19" t="n">
        <f aca="false">Y47*Cost_Library!$G$19*Parcel!$C$32</f>
        <v>0</v>
      </c>
      <c r="AX47" s="19" t="n">
        <f aca="false">Z47*Cost_Library!$G$20</f>
        <v>0</v>
      </c>
      <c r="AY47" s="19" t="n">
        <f aca="false">AA47*Cost_Library!$G$21*Parcel!$C$32</f>
        <v>0</v>
      </c>
      <c r="AZ47" s="19" t="n">
        <f aca="false">AB47*Cost_Library!$G$22</f>
        <v>0</v>
      </c>
      <c r="BA47" s="19" t="n">
        <f aca="false">AC47*Cost_Library!$G$23*Parcel!$C$32*Parcel!$C$34</f>
        <v>0</v>
      </c>
      <c r="BB47" s="19" t="n">
        <f aca="false">AD47*Cost_Library!$G$24*Parcel!$C$32</f>
        <v>0</v>
      </c>
      <c r="BC47" s="19" t="n">
        <f aca="false">W47*Cost_Library!$G$25*Parcel!$C$32</f>
        <v>0</v>
      </c>
      <c r="BD47" s="19" t="n">
        <f aca="false">SUM(AH47:BC47)</f>
        <v>0</v>
      </c>
      <c r="BE47" s="19" t="n">
        <f aca="false">BD47*Assumptions!$C$11</f>
        <v>0</v>
      </c>
      <c r="BF47" s="19" t="n">
        <f aca="false">BD47+BE47</f>
        <v>0</v>
      </c>
      <c r="BG47" s="19" t="n">
        <f aca="false">S47*Use_Library!$T$46</f>
        <v>0</v>
      </c>
      <c r="BH47" s="19" t="n">
        <f aca="false">BG47*(Assumptions!$C$12+Assumptions!$C$13)</f>
        <v>0</v>
      </c>
      <c r="BI47" s="19" t="n">
        <f aca="false">S47*Use_Library!$AC$46</f>
        <v>0</v>
      </c>
      <c r="BJ47" s="23" t="n">
        <f aca="false">1+Assumptions!$C$14+Assumptions!$C$15*Use_Library!$AH$46/12</f>
        <v>1.04916666666667</v>
      </c>
      <c r="BK47" s="23" t="n">
        <f aca="false">1+Assumptions!$C$21*(Assumptions!$C$22*Use_Library!$AH$46/12*Assumptions!$C$24+Assumptions!$C$23)</f>
        <v>1.0440375</v>
      </c>
      <c r="BL47" s="23" t="n">
        <f aca="false">1+Assumptions!$C$21*(Assumptions!$C$22*(Use_Library!$AH$46/12*Assumptions!$C$24+IF(Use_Library!$C$46="Income",Use_Library!$AD$46,0)/12*Assumptions!$C$25)+Assumptions!$C$23)</f>
        <v>1.0586625</v>
      </c>
      <c r="BM47" s="19" t="n">
        <f aca="false">J47*Assumptions!$C$31*(1-Assumptions!$C$17)*U47</f>
        <v>0</v>
      </c>
      <c r="BN47" s="19" t="n">
        <f aca="false">IF(Use_Library!$AJ$46=1,IF(Use_Library!$C$46="For-Sale",S47*Use_Library!$U$46,E47*Use_Library!$AF$46)*(1-Assumptions!$C$17)+BM47,0)*U47</f>
        <v>0</v>
      </c>
      <c r="BO47" s="19" t="n">
        <f aca="false">(BD47-AT47)*(1+Assumptions!$C$11)</f>
        <v>0</v>
      </c>
      <c r="BP47" s="23" t="n">
        <f aca="false">BJ47*BK47</f>
        <v>1.09536934375</v>
      </c>
      <c r="BQ47" s="19" t="n">
        <f aca="false">(Parcel!$C$18*BJ47+BO47)*BK47</f>
        <v>328610.803125</v>
      </c>
      <c r="BR47" s="19" t="n">
        <f aca="false">BN47-BQ47</f>
        <v>-328610.803125</v>
      </c>
      <c r="BS47" s="32" t="n">
        <f aca="false">IF(AND(Use_Library!$AJ$46=1,U47=1),MAX(0,((1-Use_Library!$AI$46)*BN47-BO47*BK47)/BP47),0)</f>
        <v>0</v>
      </c>
      <c r="BT47" s="19" t="n">
        <f aca="false">BF47+BG47+BH47+BI47</f>
        <v>0</v>
      </c>
      <c r="BU47" s="23" t="n">
        <f aca="false">BJ47*BL47</f>
        <v>1.11071340625</v>
      </c>
      <c r="BV47" s="19" t="n">
        <f aca="false">(Parcel!$C$18*BJ47+BT47)*BL47</f>
        <v>333214.021875</v>
      </c>
      <c r="BW47" s="19" t="n">
        <f aca="false">IF(Use_Library!$C$46="Income",S47*Use_Library!$W$46,0)</f>
        <v>0</v>
      </c>
      <c r="BX47" s="19" t="n">
        <f aca="false">BW47*(1+Use_Library!$X$46)*(1-Use_Library!$Y$46)</f>
        <v>0</v>
      </c>
      <c r="BY47" s="19" t="n">
        <f aca="false">IF(Use_Library!$C$46="Income",S47*Use_Library!$Z$46,0)</f>
        <v>0</v>
      </c>
      <c r="BZ47" s="19" t="n">
        <f aca="false">IF(Use_Library!$C$46="Income",Assumptions!$C$19*Assumptions!$C$20*BV47,0)</f>
        <v>6231.1022090625</v>
      </c>
      <c r="CA47" s="19" t="n">
        <f aca="false">BX47*Use_Library!$AA$46</f>
        <v>0</v>
      </c>
      <c r="CB47" s="19" t="n">
        <f aca="false">(BY47+BZ47)*Use_Library!$AB$46</f>
        <v>6231.1022090625</v>
      </c>
      <c r="CC47" s="19" t="n">
        <f aca="false">BX47-BY47-BZ47-CA47+CB47</f>
        <v>0</v>
      </c>
      <c r="CD47" s="19" t="n">
        <f aca="false">IF(AND(Use_Library!$C$46="Income",Use_Library!$AE$46&gt;0),CC47/Use_Library!$AE$46,0)</f>
        <v>0</v>
      </c>
      <c r="CE47" s="24" t="n">
        <f aca="false">IF(Use_Library!$C$46="Income",-Assumptions!$C$19*Assumptions!$C$20*(1-Use_Library!$AB$46)*BU47,0)</f>
        <v>-0</v>
      </c>
      <c r="CF47" s="20" t="n">
        <f aca="false">IF(BV47=0,0,CC47/BV47)</f>
        <v>0</v>
      </c>
      <c r="CG47" s="19" t="n">
        <f aca="false">IF(Use_Library!$AK$46=1,IF(Use_Library!$C$46="Income",CD47*(1-Assumptions!$C$18),S47*Use_Library!$V$46*(1-Assumptions!$C$16))+BM47,0)*U47</f>
        <v>0</v>
      </c>
      <c r="CH47" s="24" t="n">
        <f aca="false">IF(AND(Use_Library!$AK$46=1,Use_Library!$C$46="Income",Use_Library!$AE$46&gt;0),CE47/Use_Library!$AE$46*(1-Assumptions!$C$18),0)</f>
        <v>-0</v>
      </c>
      <c r="CI47" s="19" t="n">
        <f aca="false">CG47-BV47</f>
        <v>-333214.021875</v>
      </c>
      <c r="CJ47" s="32" t="n">
        <f aca="false">IF(AND(Use_Library!$AK$46=1,U47=1),MAX(0,Parcel!$C$18-((1-Use_Library!$AI$46)*CG47-BV47)/((1-Use_Library!$AI$46)*CH47-BU47)),0)</f>
        <v>0</v>
      </c>
      <c r="CK47" s="19" t="n">
        <f aca="false">IF(Use_Library!$AL$46=1,IF(Use_Library!$C$46="Income",CD47,IF(Use_Library!$AE$46&gt;0,E47*Use_Library!$AG$46/Use_Library!$AE$46,0))+BM47,0)*U47</f>
        <v>0</v>
      </c>
      <c r="CL47" s="19" t="n">
        <f aca="false">IF(Use_Library!$C$46="Income",BT47,BF47)</f>
        <v>0</v>
      </c>
      <c r="CM47" s="23" t="n">
        <f aca="false">IF(Use_Library!$C$46="Income",BU47,BJ47*BK47)</f>
        <v>1.11071340625</v>
      </c>
      <c r="CN47" s="19" t="n">
        <f aca="false">IF(Use_Library!$C$46="Income",BV47,(Parcel!$C$18*BJ47+BF47)*BK47)</f>
        <v>333214.021875</v>
      </c>
      <c r="CO47" s="24" t="n">
        <f aca="false">IF(AND(Use_Library!$AL$46=1,Use_Library!$C$46="Income",Use_Library!$AE$46&gt;0),CE47/Use_Library!$AE$46,0)</f>
        <v>-0</v>
      </c>
      <c r="CP47" s="19" t="n">
        <f aca="false">CK47-CN47</f>
        <v>-333214.021875</v>
      </c>
      <c r="CQ47" s="32" t="n">
        <f aca="false">IF(AND(Use_Library!$AL$46=1,U47=1),MAX(0,Parcel!$C$18-((1-Use_Library!$AI$46)*CK47-CN47)/((1-Use_Library!$AI$46)*CO47-CM47)),0)</f>
        <v>0</v>
      </c>
      <c r="CR47" s="19" t="n">
        <f aca="false">IF(Use_Library!$C$46="Income",Assumptions!$C$21*(Parcel!$C$18*BJ47+BT47),0)</f>
        <v>204587.5</v>
      </c>
      <c r="CS47" s="19" t="n">
        <f aca="false">IF(AND(Use_Library!$C$46="Income",CC47&gt;0),MIN(Assumptions!$C$26*CD47,PV(Assumptions!$C$29/12,Assumptions!$C$30*12,-CC47/Assumptions!$C$27/12),CC47/Assumptions!$C$28),0)</f>
        <v>0</v>
      </c>
      <c r="CT47" s="25" t="n">
        <f aca="false">IF(CS47=0,0,CC47/(-PMT(Assumptions!$C$29/12,Assumptions!$C$30*12,CS47)*12))</f>
        <v>0</v>
      </c>
      <c r="CU47" s="19" t="n">
        <f aca="false">CS47-CR47</f>
        <v>-204587.5</v>
      </c>
      <c r="CV47" s="18" t="n">
        <f aca="false">MAX(BS47,CJ47,CQ47)</f>
        <v>0</v>
      </c>
      <c r="CW47" s="9" t="str">
        <f aca="false">IF(CV47&lt;=0,"None works",IF(BS47=CV47,"Land / pad sale",IF(CJ47=CV47,"Build &amp; sell","Build &amp; hold / lease")))</f>
        <v>None works</v>
      </c>
      <c r="CX47" s="19" t="n">
        <f aca="false">CV47*(1-Assumptions!$C$32)</f>
        <v>0</v>
      </c>
      <c r="CY47" s="19" t="n">
        <f aca="false">CV47-Parcel!$C$18</f>
        <v>-300000</v>
      </c>
      <c r="CZ47" s="19" t="n">
        <f aca="false">IF(Parcel!$C$8=0,0,CV47/Parcel!$C$8)</f>
        <v>0</v>
      </c>
      <c r="DA47" s="33" t="n">
        <f aca="false">IF(S47=0,0,CV47/S47)</f>
        <v>0</v>
      </c>
      <c r="DB47" s="9" t="str">
        <f aca="false">TRIM(M47&amp;" "&amp;IF(AND(U47=0,N47=1),"Nothing fits. ","")&amp;IF(Parcel!$C$12&lt;Use_Library!$AM$46,"Frontage under "&amp;Use_Library!$AM$46&amp;" LF. ","")&amp;IF(Parcel!$C$10&gt;0.15,"Slope over 15%. ","")&amp;IF(AND(U47=1,Use_Library!$M$46&gt;0,D47&gt;Use_Library!$M$46),"Only "&amp;Use_Library!$M$46&amp;" ac used - rest resold. ",""))</f>
        <v>Under 15,000 households in 3 mi. Over 3 mi to highway.</v>
      </c>
      <c r="DC47" s="19" t="n">
        <f aca="false">CV47+ROW()/1000000</f>
        <v>4.7E-005</v>
      </c>
    </row>
    <row r="48" customFormat="false" ht="15" hidden="false" customHeight="false" outlineLevel="0" collapsed="false">
      <c r="A48" s="4" t="str">
        <f aca="false">Use_Library!$A$47</f>
        <v>Bulk distribution</v>
      </c>
      <c r="B48" s="9" t="str">
        <f aca="false">Use_Library!$C$47</f>
        <v>Income</v>
      </c>
      <c r="C48" s="9" t="str">
        <f aca="false">Use_Library!$D$47</f>
        <v>bldg SF</v>
      </c>
      <c r="D48" s="14" t="n">
        <f aca="false">MAX(0,Parcel!$C$26*(1-Use_Library!$N$47-Assumptions!$C$7))</f>
        <v>13.728</v>
      </c>
      <c r="E48" s="14" t="n">
        <f aca="false">IF(Use_Library!$M$47&gt;0,MIN(D48,Use_Library!$M$47),D48)</f>
        <v>13.728</v>
      </c>
      <c r="F48" s="20" t="n">
        <f aca="false">IF(D48=0,0,E48/D48)</f>
        <v>1</v>
      </c>
      <c r="G48" s="14" t="n">
        <f aca="false">Parcel!$C$26*F48</f>
        <v>15.6</v>
      </c>
      <c r="H48" s="14" t="n">
        <f aca="false">G48*Assumptions!$C$7</f>
        <v>0.624</v>
      </c>
      <c r="I48" s="14" t="n">
        <f aca="false">G48*(1-Use_Library!$N$47)</f>
        <v>14.352</v>
      </c>
      <c r="J48" s="14" t="n">
        <f aca="false">Parcel!$C$8*(1-F48)</f>
        <v>0</v>
      </c>
      <c r="K48" s="15" t="n">
        <f aca="false">IF(AND(Use_Library!$I$47="Y",Parcel!$C$28=0),0,1)</f>
        <v>1</v>
      </c>
      <c r="L48" s="15" t="n">
        <f aca="false">IF(AND(Use_Library!$J$47="Y",Parcel!$C$27=0),0,1)</f>
        <v>1</v>
      </c>
      <c r="M48" s="9" t="str">
        <f aca="false">TRIM(IF(AND(Use_Library!$AN$47&gt;0,Parcel!$C$19&lt;Use_Library!$AN$47),"Traffic under "&amp;TEXT(Use_Library!$AN$47,"#,##0")&amp;" VPD. ","")&amp;IF(AND(Use_Library!$AO$47&gt;0,Parcel!$C$20&lt;Use_Library!$AO$47),"Under "&amp;TEXT(Use_Library!$AO$47,"#,##0")&amp;" households in 3 mi. ","")&amp;IF(AND(Use_Library!$AP$47&gt;0,Parcel!$C$21&gt;Use_Library!$AP$47),"Over "&amp;Use_Library!$AP$47&amp;" mi to highway. ","")&amp;IF(AND(Use_Library!$AQ$47="Y",Parcel!$C$22&lt;&gt;"Y"),"Needs a corner. ","")&amp;IF(AND(Use_Library!$AR$47&gt;0,Parcel!$C$23&gt;Use_Library!$AR$47),"Over "&amp;Use_Library!$AR$47&amp;" mi to substation. ",""))</f>
        <v>Over 2 mi to highway.</v>
      </c>
      <c r="N48" s="15" t="n">
        <f aca="false">IF(M48="",1,0)</f>
        <v>0</v>
      </c>
      <c r="O48" s="15" t="n">
        <f aca="false">IF(D48&gt;=Use_Library!$L$47,1,0)</f>
        <v>0</v>
      </c>
      <c r="P48" s="14" t="n">
        <f aca="false">IF(Use_Library!$F$47&gt;0,G48*Use_Library!$F$47,1000000000)</f>
        <v>1000000000</v>
      </c>
      <c r="Q48" s="14" t="n">
        <f aca="false">IF(Use_Library!$G$47&gt;0,E48*43560/Use_Library!$G$47,1000000000)</f>
        <v>269123.168316832</v>
      </c>
      <c r="R48" s="14" t="n">
        <f aca="false">IF(AND(Use_Library!$H$47="Y",Parcel!$C$28=0),E48*(1-Assumptions!$C$8)/IF(Parcel!$C$27=1,Assumptions!$C$9,Assumptions!$C$10),1000000000)</f>
        <v>1000000000</v>
      </c>
      <c r="S48" s="21" t="n">
        <f aca="false">IF(K48*L48*O48*N48=0,0,IF(MIN(P48,Q48,R48)&gt;=1000000000,E48,IF(Use_Library!$E$47="Y",INT(MIN(P48,Q48,R48)),MIN(P48,Q48,R48))))</f>
        <v>0</v>
      </c>
      <c r="T48" s="9" t="str">
        <f aca="false">IF(N48=0,"Location fails",IF(O48=0,"Too small - needs "&amp;Use_Library!$L$47&amp;" usable ac",IF(K48=0,"Needs public sewer",IF(L48=0,"Needs public water",IF(R48&lt;=MIN(P48,Q48),"Septic lot size",IF(Q48&lt;=P48,"Site area / parking","Density"))))))</f>
        <v>Location fails</v>
      </c>
      <c r="U48" s="15" t="n">
        <f aca="false">IF(S48&gt;0,1,0)</f>
        <v>0</v>
      </c>
      <c r="V48" s="15" t="n">
        <f aca="false">IF(Use_Library!$K$47="Y",1,0)*U48</f>
        <v>0</v>
      </c>
      <c r="W48" s="15" t="n">
        <f aca="false">S48*Use_Library!$O$47*V48</f>
        <v>0</v>
      </c>
      <c r="X48" s="15" t="n">
        <f aca="false">S48*Use_Library!$P$47*V48</f>
        <v>0</v>
      </c>
      <c r="Y48" s="15" t="n">
        <f aca="false">IF(Parcel!$C$27=1,W48+Parcel!$C$29,0)*V48</f>
        <v>0</v>
      </c>
      <c r="Z48" s="14" t="n">
        <f aca="false">S48*Use_Library!$Q$47*Parcel!$C$27*V48</f>
        <v>0</v>
      </c>
      <c r="AA48" s="15" t="n">
        <f aca="false">IF(Parcel!$C$28=1,W48+Parcel!$C$30,0)*V48</f>
        <v>0</v>
      </c>
      <c r="AB48" s="14" t="n">
        <f aca="false">S48*Use_Library!$Q$47*Parcel!$C$28*V48</f>
        <v>0</v>
      </c>
      <c r="AC48" s="14" t="n">
        <f aca="false">IF(Parcel!$C$28=0,S48*Use_Library!$R$47,0)*V48</f>
        <v>0</v>
      </c>
      <c r="AD48" s="14" t="n">
        <f aca="false">IF(Parcel!$C$27=0,S48*Use_Library!$R$47,0)*V48</f>
        <v>0</v>
      </c>
      <c r="AE48" s="14" t="n">
        <f aca="false">I48*Parcel!$C$11*V48</f>
        <v>0</v>
      </c>
      <c r="AF48" s="14" t="n">
        <f aca="false">I48*V48</f>
        <v>0</v>
      </c>
      <c r="AG48" s="15" t="n">
        <f aca="false">IF(Use_Library!$C$47="For-Sale",IF(Use_Library!$E$47="Y",S48,1),1)*U48</f>
        <v>0</v>
      </c>
      <c r="AH48" s="19" t="n">
        <f aca="false">Cost_Library!$G$5*Parcel!$C$32*U48</f>
        <v>0</v>
      </c>
      <c r="AI48" s="19" t="n">
        <f aca="false">AG48*Cost_Library!$G$6*Parcel!$C$32</f>
        <v>0</v>
      </c>
      <c r="AJ48" s="19" t="n">
        <f aca="false">I48*Cost_Library!$G$7*Parcel!$C$32*V48</f>
        <v>0</v>
      </c>
      <c r="AK48" s="19" t="n">
        <f aca="false">Cost_Library!$G$8*Parcel!$C$32*V48</f>
        <v>0</v>
      </c>
      <c r="AL48" s="19" t="n">
        <f aca="false">AC48*Cost_Library!$G$9*Parcel!$C$32</f>
        <v>0</v>
      </c>
      <c r="AM48" s="19" t="n">
        <f aca="false">Cost_Library!$G$10*U48</f>
        <v>0</v>
      </c>
      <c r="AN48" s="19" t="n">
        <f aca="false">Cost_Library!$G$11*Parcel!$C$32*V48</f>
        <v>0</v>
      </c>
      <c r="AO48" s="19" t="n">
        <f aca="false">Use_Library!$S$47*U48</f>
        <v>0</v>
      </c>
      <c r="AP48" s="19" t="n">
        <f aca="false">Cost_Library!$G$12*U48</f>
        <v>0</v>
      </c>
      <c r="AQ48" s="19" t="n">
        <f aca="false">AE48*Cost_Library!$G$13*Parcel!$C$32</f>
        <v>0</v>
      </c>
      <c r="AR48" s="19" t="n">
        <f aca="false">AF48*Cost_Library!$G$14*Parcel!$C$32*Parcel!$C$33</f>
        <v>0</v>
      </c>
      <c r="AS48" s="19" t="n">
        <f aca="false">W48*Cost_Library!$G$15*Parcel!$C$32</f>
        <v>0</v>
      </c>
      <c r="AT48" s="19" t="n">
        <f aca="false">X48*Cost_Library!$G$16*Parcel!$C$32</f>
        <v>0</v>
      </c>
      <c r="AU48" s="19" t="n">
        <f aca="false">H48*Cost_Library!$G$17*Parcel!$C$32*V48</f>
        <v>0</v>
      </c>
      <c r="AV48" s="19" t="n">
        <f aca="false">G48*Cost_Library!$G$18*Parcel!$C$32*V48</f>
        <v>0</v>
      </c>
      <c r="AW48" s="19" t="n">
        <f aca="false">Y48*Cost_Library!$G$19*Parcel!$C$32</f>
        <v>0</v>
      </c>
      <c r="AX48" s="19" t="n">
        <f aca="false">Z48*Cost_Library!$G$20</f>
        <v>0</v>
      </c>
      <c r="AY48" s="19" t="n">
        <f aca="false">AA48*Cost_Library!$G$21*Parcel!$C$32</f>
        <v>0</v>
      </c>
      <c r="AZ48" s="19" t="n">
        <f aca="false">AB48*Cost_Library!$G$22</f>
        <v>0</v>
      </c>
      <c r="BA48" s="19" t="n">
        <f aca="false">AC48*Cost_Library!$G$23*Parcel!$C$32*Parcel!$C$34</f>
        <v>0</v>
      </c>
      <c r="BB48" s="19" t="n">
        <f aca="false">AD48*Cost_Library!$G$24*Parcel!$C$32</f>
        <v>0</v>
      </c>
      <c r="BC48" s="19" t="n">
        <f aca="false">W48*Cost_Library!$G$25*Parcel!$C$32</f>
        <v>0</v>
      </c>
      <c r="BD48" s="19" t="n">
        <f aca="false">SUM(AH48:BC48)</f>
        <v>0</v>
      </c>
      <c r="BE48" s="19" t="n">
        <f aca="false">BD48*Assumptions!$C$11</f>
        <v>0</v>
      </c>
      <c r="BF48" s="19" t="n">
        <f aca="false">BD48+BE48</f>
        <v>0</v>
      </c>
      <c r="BG48" s="19" t="n">
        <f aca="false">S48*Use_Library!$T$47</f>
        <v>0</v>
      </c>
      <c r="BH48" s="19" t="n">
        <f aca="false">BG48*(Assumptions!$C$12+Assumptions!$C$13)</f>
        <v>0</v>
      </c>
      <c r="BI48" s="19" t="n">
        <f aca="false">S48*Use_Library!$AC$47</f>
        <v>0</v>
      </c>
      <c r="BJ48" s="23" t="n">
        <f aca="false">1+Assumptions!$C$14+Assumptions!$C$15*Use_Library!$AH$47/12</f>
        <v>1.04916666666667</v>
      </c>
      <c r="BK48" s="23" t="n">
        <f aca="false">1+Assumptions!$C$21*(Assumptions!$C$22*Use_Library!$AH$47/12*Assumptions!$C$24+Assumptions!$C$23)</f>
        <v>1.0440375</v>
      </c>
      <c r="BL48" s="23" t="n">
        <f aca="false">1+Assumptions!$C$21*(Assumptions!$C$22*(Use_Library!$AH$47/12*Assumptions!$C$24+IF(Use_Library!$C$47="Income",Use_Library!$AD$47,0)/12*Assumptions!$C$25)+Assumptions!$C$23)</f>
        <v>1.0732875</v>
      </c>
      <c r="BM48" s="19" t="n">
        <f aca="false">J48*Assumptions!$C$31*(1-Assumptions!$C$17)*U48</f>
        <v>0</v>
      </c>
      <c r="BN48" s="19" t="n">
        <f aca="false">IF(Use_Library!$AJ$47=1,IF(Use_Library!$C$47="For-Sale",S48*Use_Library!$U$47,E48*Use_Library!$AF$47)*(1-Assumptions!$C$17)+BM48,0)*U48</f>
        <v>0</v>
      </c>
      <c r="BO48" s="19" t="n">
        <f aca="false">(BD48-AT48)*(1+Assumptions!$C$11)</f>
        <v>0</v>
      </c>
      <c r="BP48" s="23" t="n">
        <f aca="false">BJ48*BK48</f>
        <v>1.09536934375</v>
      </c>
      <c r="BQ48" s="19" t="n">
        <f aca="false">(Parcel!$C$18*BJ48+BO48)*BK48</f>
        <v>328610.803125</v>
      </c>
      <c r="BR48" s="19" t="n">
        <f aca="false">BN48-BQ48</f>
        <v>-328610.803125</v>
      </c>
      <c r="BS48" s="32" t="n">
        <f aca="false">IF(AND(Use_Library!$AJ$47=1,U48=1),MAX(0,((1-Use_Library!$AI$47)*BN48-BO48*BK48)/BP48),0)</f>
        <v>0</v>
      </c>
      <c r="BT48" s="19" t="n">
        <f aca="false">BF48+BG48+BH48+BI48</f>
        <v>0</v>
      </c>
      <c r="BU48" s="23" t="n">
        <f aca="false">BJ48*BL48</f>
        <v>1.12605746875</v>
      </c>
      <c r="BV48" s="19" t="n">
        <f aca="false">(Parcel!$C$18*BJ48+BT48)*BL48</f>
        <v>337817.240625</v>
      </c>
      <c r="BW48" s="19" t="n">
        <f aca="false">IF(Use_Library!$C$47="Income",S48*Use_Library!$W$47,0)</f>
        <v>0</v>
      </c>
      <c r="BX48" s="19" t="n">
        <f aca="false">BW48*(1+Use_Library!$X$47)*(1-Use_Library!$Y$47)</f>
        <v>0</v>
      </c>
      <c r="BY48" s="19" t="n">
        <f aca="false">IF(Use_Library!$C$47="Income",S48*Use_Library!$Z$47,0)</f>
        <v>0</v>
      </c>
      <c r="BZ48" s="19" t="n">
        <f aca="false">IF(Use_Library!$C$47="Income",Assumptions!$C$19*Assumptions!$C$20*BV48,0)</f>
        <v>6317.1823996875</v>
      </c>
      <c r="CA48" s="19" t="n">
        <f aca="false">BX48*Use_Library!$AA$47</f>
        <v>0</v>
      </c>
      <c r="CB48" s="19" t="n">
        <f aca="false">(BY48+BZ48)*Use_Library!$AB$47</f>
        <v>6317.1823996875</v>
      </c>
      <c r="CC48" s="19" t="n">
        <f aca="false">BX48-BY48-BZ48-CA48+CB48</f>
        <v>0</v>
      </c>
      <c r="CD48" s="19" t="n">
        <f aca="false">IF(AND(Use_Library!$C$47="Income",Use_Library!$AE$47&gt;0),CC48/Use_Library!$AE$47,0)</f>
        <v>0</v>
      </c>
      <c r="CE48" s="24" t="n">
        <f aca="false">IF(Use_Library!$C$47="Income",-Assumptions!$C$19*Assumptions!$C$20*(1-Use_Library!$AB$47)*BU48,0)</f>
        <v>-0</v>
      </c>
      <c r="CF48" s="20" t="n">
        <f aca="false">IF(BV48=0,0,CC48/BV48)</f>
        <v>0</v>
      </c>
      <c r="CG48" s="19" t="n">
        <f aca="false">IF(Use_Library!$AK$47=1,IF(Use_Library!$C$47="Income",CD48*(1-Assumptions!$C$18),S48*Use_Library!$V$47*(1-Assumptions!$C$16))+BM48,0)*U48</f>
        <v>0</v>
      </c>
      <c r="CH48" s="24" t="n">
        <f aca="false">IF(AND(Use_Library!$AK$47=1,Use_Library!$C$47="Income",Use_Library!$AE$47&gt;0),CE48/Use_Library!$AE$47*(1-Assumptions!$C$18),0)</f>
        <v>-0</v>
      </c>
      <c r="CI48" s="19" t="n">
        <f aca="false">CG48-BV48</f>
        <v>-337817.240625</v>
      </c>
      <c r="CJ48" s="32" t="n">
        <f aca="false">IF(AND(Use_Library!$AK$47=1,U48=1),MAX(0,Parcel!$C$18-((1-Use_Library!$AI$47)*CG48-BV48)/((1-Use_Library!$AI$47)*CH48-BU48)),0)</f>
        <v>0</v>
      </c>
      <c r="CK48" s="19" t="n">
        <f aca="false">IF(Use_Library!$AL$47=1,IF(Use_Library!$C$47="Income",CD48,IF(Use_Library!$AE$47&gt;0,E48*Use_Library!$AG$47/Use_Library!$AE$47,0))+BM48,0)*U48</f>
        <v>0</v>
      </c>
      <c r="CL48" s="19" t="n">
        <f aca="false">IF(Use_Library!$C$47="Income",BT48,BF48)</f>
        <v>0</v>
      </c>
      <c r="CM48" s="23" t="n">
        <f aca="false">IF(Use_Library!$C$47="Income",BU48,BJ48*BK48)</f>
        <v>1.12605746875</v>
      </c>
      <c r="CN48" s="19" t="n">
        <f aca="false">IF(Use_Library!$C$47="Income",BV48,(Parcel!$C$18*BJ48+BF48)*BK48)</f>
        <v>337817.240625</v>
      </c>
      <c r="CO48" s="24" t="n">
        <f aca="false">IF(AND(Use_Library!$AL$47=1,Use_Library!$C$47="Income",Use_Library!$AE$47&gt;0),CE48/Use_Library!$AE$47,0)</f>
        <v>-0</v>
      </c>
      <c r="CP48" s="19" t="n">
        <f aca="false">CK48-CN48</f>
        <v>-337817.240625</v>
      </c>
      <c r="CQ48" s="32" t="n">
        <f aca="false">IF(AND(Use_Library!$AL$47=1,U48=1),MAX(0,Parcel!$C$18-((1-Use_Library!$AI$47)*CK48-CN48)/((1-Use_Library!$AI$47)*CO48-CM48)),0)</f>
        <v>0</v>
      </c>
      <c r="CR48" s="19" t="n">
        <f aca="false">IF(Use_Library!$C$47="Income",Assumptions!$C$21*(Parcel!$C$18*BJ48+BT48),0)</f>
        <v>204587.5</v>
      </c>
      <c r="CS48" s="19" t="n">
        <f aca="false">IF(AND(Use_Library!$C$47="Income",CC48&gt;0),MIN(Assumptions!$C$26*CD48,PV(Assumptions!$C$29/12,Assumptions!$C$30*12,-CC48/Assumptions!$C$27/12),CC48/Assumptions!$C$28),0)</f>
        <v>0</v>
      </c>
      <c r="CT48" s="25" t="n">
        <f aca="false">IF(CS48=0,0,CC48/(-PMT(Assumptions!$C$29/12,Assumptions!$C$30*12,CS48)*12))</f>
        <v>0</v>
      </c>
      <c r="CU48" s="19" t="n">
        <f aca="false">CS48-CR48</f>
        <v>-204587.5</v>
      </c>
      <c r="CV48" s="18" t="n">
        <f aca="false">MAX(BS48,CJ48,CQ48)</f>
        <v>0</v>
      </c>
      <c r="CW48" s="9" t="str">
        <f aca="false">IF(CV48&lt;=0,"None works",IF(BS48=CV48,"Land / pad sale",IF(CJ48=CV48,"Build &amp; sell","Build &amp; hold / lease")))</f>
        <v>None works</v>
      </c>
      <c r="CX48" s="19" t="n">
        <f aca="false">CV48*(1-Assumptions!$C$32)</f>
        <v>0</v>
      </c>
      <c r="CY48" s="19" t="n">
        <f aca="false">CV48-Parcel!$C$18</f>
        <v>-300000</v>
      </c>
      <c r="CZ48" s="19" t="n">
        <f aca="false">IF(Parcel!$C$8=0,0,CV48/Parcel!$C$8)</f>
        <v>0</v>
      </c>
      <c r="DA48" s="33" t="n">
        <f aca="false">IF(S48=0,0,CV48/S48)</f>
        <v>0</v>
      </c>
      <c r="DB48" s="9" t="str">
        <f aca="false">TRIM(M48&amp;" "&amp;IF(AND(U48=0,N48=1),"Nothing fits. ","")&amp;IF(Parcel!$C$12&lt;Use_Library!$AM$47,"Frontage under "&amp;Use_Library!$AM$47&amp;" LF. ","")&amp;IF(Parcel!$C$10&gt;0.15,"Slope over 15%. ","")&amp;IF(AND(U48=1,Use_Library!$M$47&gt;0,D48&gt;Use_Library!$M$47),"Only "&amp;Use_Library!$M$47&amp;" ac used - rest resold. ",""))</f>
        <v>Over 2 mi to highway.</v>
      </c>
      <c r="DC48" s="19" t="n">
        <f aca="false">CV48+ROW()/1000000</f>
        <v>4.8E-005</v>
      </c>
    </row>
    <row r="49" customFormat="false" ht="15" hidden="false" customHeight="false" outlineLevel="0" collapsed="false">
      <c r="A49" s="4" t="str">
        <f aca="false">Use_Library!$A$48</f>
        <v>Cold storage</v>
      </c>
      <c r="B49" s="9" t="str">
        <f aca="false">Use_Library!$C$48</f>
        <v>Income</v>
      </c>
      <c r="C49" s="9" t="str">
        <f aca="false">Use_Library!$D$48</f>
        <v>bldg SF</v>
      </c>
      <c r="D49" s="14" t="n">
        <f aca="false">MAX(0,Parcel!$C$26*(1-Use_Library!$N$48-Assumptions!$C$7))</f>
        <v>13.728</v>
      </c>
      <c r="E49" s="14" t="n">
        <f aca="false">IF(Use_Library!$M$48&gt;0,MIN(D49,Use_Library!$M$48),D49)</f>
        <v>13.728</v>
      </c>
      <c r="F49" s="20" t="n">
        <f aca="false">IF(D49=0,0,E49/D49)</f>
        <v>1</v>
      </c>
      <c r="G49" s="14" t="n">
        <f aca="false">Parcel!$C$26*F49</f>
        <v>15.6</v>
      </c>
      <c r="H49" s="14" t="n">
        <f aca="false">G49*Assumptions!$C$7</f>
        <v>0.624</v>
      </c>
      <c r="I49" s="14" t="n">
        <f aca="false">G49*(1-Use_Library!$N$48)</f>
        <v>14.352</v>
      </c>
      <c r="J49" s="14" t="n">
        <f aca="false">Parcel!$C$8*(1-F49)</f>
        <v>0</v>
      </c>
      <c r="K49" s="15" t="n">
        <f aca="false">IF(AND(Use_Library!$I$48="Y",Parcel!$C$28=0),0,1)</f>
        <v>1</v>
      </c>
      <c r="L49" s="15" t="n">
        <f aca="false">IF(AND(Use_Library!$J$48="Y",Parcel!$C$27=0),0,1)</f>
        <v>1</v>
      </c>
      <c r="M49" s="9" t="str">
        <f aca="false">TRIM(IF(AND(Use_Library!$AN$48&gt;0,Parcel!$C$19&lt;Use_Library!$AN$48),"Traffic under "&amp;TEXT(Use_Library!$AN$48,"#,##0")&amp;" VPD. ","")&amp;IF(AND(Use_Library!$AO$48&gt;0,Parcel!$C$20&lt;Use_Library!$AO$48),"Under "&amp;TEXT(Use_Library!$AO$48,"#,##0")&amp;" households in 3 mi. ","")&amp;IF(AND(Use_Library!$AP$48&gt;0,Parcel!$C$21&gt;Use_Library!$AP$48),"Over "&amp;Use_Library!$AP$48&amp;" mi to highway. ","")&amp;IF(AND(Use_Library!$AQ$48="Y",Parcel!$C$22&lt;&gt;"Y"),"Needs a corner. ","")&amp;IF(AND(Use_Library!$AR$48&gt;0,Parcel!$C$23&gt;Use_Library!$AR$48),"Over "&amp;Use_Library!$AR$48&amp;" mi to substation. ",""))</f>
        <v>Over 3 mi to highway.</v>
      </c>
      <c r="N49" s="15" t="n">
        <f aca="false">IF(M49="",1,0)</f>
        <v>0</v>
      </c>
      <c r="O49" s="15" t="n">
        <f aca="false">IF(D49&gt;=Use_Library!$L$48,1,0)</f>
        <v>1</v>
      </c>
      <c r="P49" s="14" t="n">
        <f aca="false">IF(Use_Library!$F$48&gt;0,G49*Use_Library!$F$48,1000000000)</f>
        <v>1000000000</v>
      </c>
      <c r="Q49" s="14" t="n">
        <f aca="false">IF(Use_Library!$G$48&gt;0,E49*43560/Use_Library!$G$48,1000000000)</f>
        <v>239196.672</v>
      </c>
      <c r="R49" s="14" t="n">
        <f aca="false">IF(AND(Use_Library!$H$48="Y",Parcel!$C$28=0),E49*(1-Assumptions!$C$8)/IF(Parcel!$C$27=1,Assumptions!$C$9,Assumptions!$C$10),1000000000)</f>
        <v>1000000000</v>
      </c>
      <c r="S49" s="21" t="n">
        <f aca="false">IF(K49*L49*O49*N49=0,0,IF(MIN(P49,Q49,R49)&gt;=1000000000,E49,IF(Use_Library!$E$48="Y",INT(MIN(P49,Q49,R49)),MIN(P49,Q49,R49))))</f>
        <v>0</v>
      </c>
      <c r="T49" s="9" t="str">
        <f aca="false">IF(N49=0,"Location fails",IF(O49=0,"Too small - needs "&amp;Use_Library!$L$48&amp;" usable ac",IF(K49=0,"Needs public sewer",IF(L49=0,"Needs public water",IF(R49&lt;=MIN(P49,Q49),"Septic lot size",IF(Q49&lt;=P49,"Site area / parking","Density"))))))</f>
        <v>Location fails</v>
      </c>
      <c r="U49" s="15" t="n">
        <f aca="false">IF(S49&gt;0,1,0)</f>
        <v>0</v>
      </c>
      <c r="V49" s="15" t="n">
        <f aca="false">IF(Use_Library!$K$48="Y",1,0)*U49</f>
        <v>0</v>
      </c>
      <c r="W49" s="15" t="n">
        <f aca="false">S49*Use_Library!$O$48*V49</f>
        <v>0</v>
      </c>
      <c r="X49" s="15" t="n">
        <f aca="false">S49*Use_Library!$P$48*V49</f>
        <v>0</v>
      </c>
      <c r="Y49" s="15" t="n">
        <f aca="false">IF(Parcel!$C$27=1,W49+Parcel!$C$29,0)*V49</f>
        <v>0</v>
      </c>
      <c r="Z49" s="14" t="n">
        <f aca="false">S49*Use_Library!$Q$48*Parcel!$C$27*V49</f>
        <v>0</v>
      </c>
      <c r="AA49" s="15" t="n">
        <f aca="false">IF(Parcel!$C$28=1,W49+Parcel!$C$30,0)*V49</f>
        <v>0</v>
      </c>
      <c r="AB49" s="14" t="n">
        <f aca="false">S49*Use_Library!$Q$48*Parcel!$C$28*V49</f>
        <v>0</v>
      </c>
      <c r="AC49" s="14" t="n">
        <f aca="false">IF(Parcel!$C$28=0,S49*Use_Library!$R$48,0)*V49</f>
        <v>0</v>
      </c>
      <c r="AD49" s="14" t="n">
        <f aca="false">IF(Parcel!$C$27=0,S49*Use_Library!$R$48,0)*V49</f>
        <v>0</v>
      </c>
      <c r="AE49" s="14" t="n">
        <f aca="false">I49*Parcel!$C$11*V49</f>
        <v>0</v>
      </c>
      <c r="AF49" s="14" t="n">
        <f aca="false">I49*V49</f>
        <v>0</v>
      </c>
      <c r="AG49" s="15" t="n">
        <f aca="false">IF(Use_Library!$C$48="For-Sale",IF(Use_Library!$E$48="Y",S49,1),1)*U49</f>
        <v>0</v>
      </c>
      <c r="AH49" s="19" t="n">
        <f aca="false">Cost_Library!$G$5*Parcel!$C$32*U49</f>
        <v>0</v>
      </c>
      <c r="AI49" s="19" t="n">
        <f aca="false">AG49*Cost_Library!$G$6*Parcel!$C$32</f>
        <v>0</v>
      </c>
      <c r="AJ49" s="19" t="n">
        <f aca="false">I49*Cost_Library!$G$7*Parcel!$C$32*V49</f>
        <v>0</v>
      </c>
      <c r="AK49" s="19" t="n">
        <f aca="false">Cost_Library!$G$8*Parcel!$C$32*V49</f>
        <v>0</v>
      </c>
      <c r="AL49" s="19" t="n">
        <f aca="false">AC49*Cost_Library!$G$9*Parcel!$C$32</f>
        <v>0</v>
      </c>
      <c r="AM49" s="19" t="n">
        <f aca="false">Cost_Library!$G$10*U49</f>
        <v>0</v>
      </c>
      <c r="AN49" s="19" t="n">
        <f aca="false">Cost_Library!$G$11*Parcel!$C$32*V49</f>
        <v>0</v>
      </c>
      <c r="AO49" s="19" t="n">
        <f aca="false">Use_Library!$S$48*U49</f>
        <v>0</v>
      </c>
      <c r="AP49" s="19" t="n">
        <f aca="false">Cost_Library!$G$12*U49</f>
        <v>0</v>
      </c>
      <c r="AQ49" s="19" t="n">
        <f aca="false">AE49*Cost_Library!$G$13*Parcel!$C$32</f>
        <v>0</v>
      </c>
      <c r="AR49" s="19" t="n">
        <f aca="false">AF49*Cost_Library!$G$14*Parcel!$C$32*Parcel!$C$33</f>
        <v>0</v>
      </c>
      <c r="AS49" s="19" t="n">
        <f aca="false">W49*Cost_Library!$G$15*Parcel!$C$32</f>
        <v>0</v>
      </c>
      <c r="AT49" s="19" t="n">
        <f aca="false">X49*Cost_Library!$G$16*Parcel!$C$32</f>
        <v>0</v>
      </c>
      <c r="AU49" s="19" t="n">
        <f aca="false">H49*Cost_Library!$G$17*Parcel!$C$32*V49</f>
        <v>0</v>
      </c>
      <c r="AV49" s="19" t="n">
        <f aca="false">G49*Cost_Library!$G$18*Parcel!$C$32*V49</f>
        <v>0</v>
      </c>
      <c r="AW49" s="19" t="n">
        <f aca="false">Y49*Cost_Library!$G$19*Parcel!$C$32</f>
        <v>0</v>
      </c>
      <c r="AX49" s="19" t="n">
        <f aca="false">Z49*Cost_Library!$G$20</f>
        <v>0</v>
      </c>
      <c r="AY49" s="19" t="n">
        <f aca="false">AA49*Cost_Library!$G$21*Parcel!$C$32</f>
        <v>0</v>
      </c>
      <c r="AZ49" s="19" t="n">
        <f aca="false">AB49*Cost_Library!$G$22</f>
        <v>0</v>
      </c>
      <c r="BA49" s="19" t="n">
        <f aca="false">AC49*Cost_Library!$G$23*Parcel!$C$32*Parcel!$C$34</f>
        <v>0</v>
      </c>
      <c r="BB49" s="19" t="n">
        <f aca="false">AD49*Cost_Library!$G$24*Parcel!$C$32</f>
        <v>0</v>
      </c>
      <c r="BC49" s="19" t="n">
        <f aca="false">W49*Cost_Library!$G$25*Parcel!$C$32</f>
        <v>0</v>
      </c>
      <c r="BD49" s="19" t="n">
        <f aca="false">SUM(AH49:BC49)</f>
        <v>0</v>
      </c>
      <c r="BE49" s="19" t="n">
        <f aca="false">BD49*Assumptions!$C$11</f>
        <v>0</v>
      </c>
      <c r="BF49" s="19" t="n">
        <f aca="false">BD49+BE49</f>
        <v>0</v>
      </c>
      <c r="BG49" s="19" t="n">
        <f aca="false">S49*Use_Library!$T$48</f>
        <v>0</v>
      </c>
      <c r="BH49" s="19" t="n">
        <f aca="false">BG49*(Assumptions!$C$12+Assumptions!$C$13)</f>
        <v>0</v>
      </c>
      <c r="BI49" s="19" t="n">
        <f aca="false">S49*Use_Library!$AC$48</f>
        <v>0</v>
      </c>
      <c r="BJ49" s="23" t="n">
        <f aca="false">1+Assumptions!$C$14+Assumptions!$C$15*Use_Library!$AH$48/12</f>
        <v>1.04916666666667</v>
      </c>
      <c r="BK49" s="23" t="n">
        <f aca="false">1+Assumptions!$C$21*(Assumptions!$C$22*Use_Library!$AH$48/12*Assumptions!$C$24+Assumptions!$C$23)</f>
        <v>1.0440375</v>
      </c>
      <c r="BL49" s="23" t="n">
        <f aca="false">1+Assumptions!$C$21*(Assumptions!$C$22*(Use_Library!$AH$48/12*Assumptions!$C$24+IF(Use_Library!$C$48="Income",Use_Library!$AD$48,0)/12*Assumptions!$C$25)+Assumptions!$C$23)</f>
        <v>1.0732875</v>
      </c>
      <c r="BM49" s="19" t="n">
        <f aca="false">J49*Assumptions!$C$31*(1-Assumptions!$C$17)*U49</f>
        <v>0</v>
      </c>
      <c r="BN49" s="19" t="n">
        <f aca="false">IF(Use_Library!$AJ$48=1,IF(Use_Library!$C$48="For-Sale",S49*Use_Library!$U$48,E49*Use_Library!$AF$48)*(1-Assumptions!$C$17)+BM49,0)*U49</f>
        <v>0</v>
      </c>
      <c r="BO49" s="19" t="n">
        <f aca="false">(BD49-AT49)*(1+Assumptions!$C$11)</f>
        <v>0</v>
      </c>
      <c r="BP49" s="23" t="n">
        <f aca="false">BJ49*BK49</f>
        <v>1.09536934375</v>
      </c>
      <c r="BQ49" s="19" t="n">
        <f aca="false">(Parcel!$C$18*BJ49+BO49)*BK49</f>
        <v>328610.803125</v>
      </c>
      <c r="BR49" s="19" t="n">
        <f aca="false">BN49-BQ49</f>
        <v>-328610.803125</v>
      </c>
      <c r="BS49" s="32" t="n">
        <f aca="false">IF(AND(Use_Library!$AJ$48=1,U49=1),MAX(0,((1-Use_Library!$AI$48)*BN49-BO49*BK49)/BP49),0)</f>
        <v>0</v>
      </c>
      <c r="BT49" s="19" t="n">
        <f aca="false">BF49+BG49+BH49+BI49</f>
        <v>0</v>
      </c>
      <c r="BU49" s="23" t="n">
        <f aca="false">BJ49*BL49</f>
        <v>1.12605746875</v>
      </c>
      <c r="BV49" s="19" t="n">
        <f aca="false">(Parcel!$C$18*BJ49+BT49)*BL49</f>
        <v>337817.240625</v>
      </c>
      <c r="BW49" s="19" t="n">
        <f aca="false">IF(Use_Library!$C$48="Income",S49*Use_Library!$W$48,0)</f>
        <v>0</v>
      </c>
      <c r="BX49" s="19" t="n">
        <f aca="false">BW49*(1+Use_Library!$X$48)*(1-Use_Library!$Y$48)</f>
        <v>0</v>
      </c>
      <c r="BY49" s="19" t="n">
        <f aca="false">IF(Use_Library!$C$48="Income",S49*Use_Library!$Z$48,0)</f>
        <v>0</v>
      </c>
      <c r="BZ49" s="19" t="n">
        <f aca="false">IF(Use_Library!$C$48="Income",Assumptions!$C$19*Assumptions!$C$20*BV49,0)</f>
        <v>6317.1823996875</v>
      </c>
      <c r="CA49" s="19" t="n">
        <f aca="false">BX49*Use_Library!$AA$48</f>
        <v>0</v>
      </c>
      <c r="CB49" s="19" t="n">
        <f aca="false">(BY49+BZ49)*Use_Library!$AB$48</f>
        <v>6317.1823996875</v>
      </c>
      <c r="CC49" s="19" t="n">
        <f aca="false">BX49-BY49-BZ49-CA49+CB49</f>
        <v>0</v>
      </c>
      <c r="CD49" s="19" t="n">
        <f aca="false">IF(AND(Use_Library!$C$48="Income",Use_Library!$AE$48&gt;0),CC49/Use_Library!$AE$48,0)</f>
        <v>0</v>
      </c>
      <c r="CE49" s="24" t="n">
        <f aca="false">IF(Use_Library!$C$48="Income",-Assumptions!$C$19*Assumptions!$C$20*(1-Use_Library!$AB$48)*BU49,0)</f>
        <v>-0</v>
      </c>
      <c r="CF49" s="20" t="n">
        <f aca="false">IF(BV49=0,0,CC49/BV49)</f>
        <v>0</v>
      </c>
      <c r="CG49" s="19" t="n">
        <f aca="false">IF(Use_Library!$AK$48=1,IF(Use_Library!$C$48="Income",CD49*(1-Assumptions!$C$18),S49*Use_Library!$V$48*(1-Assumptions!$C$16))+BM49,0)*U49</f>
        <v>0</v>
      </c>
      <c r="CH49" s="24" t="n">
        <f aca="false">IF(AND(Use_Library!$AK$48=1,Use_Library!$C$48="Income",Use_Library!$AE$48&gt;0),CE49/Use_Library!$AE$48*(1-Assumptions!$C$18),0)</f>
        <v>-0</v>
      </c>
      <c r="CI49" s="19" t="n">
        <f aca="false">CG49-BV49</f>
        <v>-337817.240625</v>
      </c>
      <c r="CJ49" s="32" t="n">
        <f aca="false">IF(AND(Use_Library!$AK$48=1,U49=1),MAX(0,Parcel!$C$18-((1-Use_Library!$AI$48)*CG49-BV49)/((1-Use_Library!$AI$48)*CH49-BU49)),0)</f>
        <v>0</v>
      </c>
      <c r="CK49" s="19" t="n">
        <f aca="false">IF(Use_Library!$AL$48=1,IF(Use_Library!$C$48="Income",CD49,IF(Use_Library!$AE$48&gt;0,E49*Use_Library!$AG$48/Use_Library!$AE$48,0))+BM49,0)*U49</f>
        <v>0</v>
      </c>
      <c r="CL49" s="19" t="n">
        <f aca="false">IF(Use_Library!$C$48="Income",BT49,BF49)</f>
        <v>0</v>
      </c>
      <c r="CM49" s="23" t="n">
        <f aca="false">IF(Use_Library!$C$48="Income",BU49,BJ49*BK49)</f>
        <v>1.12605746875</v>
      </c>
      <c r="CN49" s="19" t="n">
        <f aca="false">IF(Use_Library!$C$48="Income",BV49,(Parcel!$C$18*BJ49+BF49)*BK49)</f>
        <v>337817.240625</v>
      </c>
      <c r="CO49" s="24" t="n">
        <f aca="false">IF(AND(Use_Library!$AL$48=1,Use_Library!$C$48="Income",Use_Library!$AE$48&gt;0),CE49/Use_Library!$AE$48,0)</f>
        <v>-0</v>
      </c>
      <c r="CP49" s="19" t="n">
        <f aca="false">CK49-CN49</f>
        <v>-337817.240625</v>
      </c>
      <c r="CQ49" s="32" t="n">
        <f aca="false">IF(AND(Use_Library!$AL$48=1,U49=1),MAX(0,Parcel!$C$18-((1-Use_Library!$AI$48)*CK49-CN49)/((1-Use_Library!$AI$48)*CO49-CM49)),0)</f>
        <v>0</v>
      </c>
      <c r="CR49" s="19" t="n">
        <f aca="false">IF(Use_Library!$C$48="Income",Assumptions!$C$21*(Parcel!$C$18*BJ49+BT49),0)</f>
        <v>204587.5</v>
      </c>
      <c r="CS49" s="19" t="n">
        <f aca="false">IF(AND(Use_Library!$C$48="Income",CC49&gt;0),MIN(Assumptions!$C$26*CD49,PV(Assumptions!$C$29/12,Assumptions!$C$30*12,-CC49/Assumptions!$C$27/12),CC49/Assumptions!$C$28),0)</f>
        <v>0</v>
      </c>
      <c r="CT49" s="25" t="n">
        <f aca="false">IF(CS49=0,0,CC49/(-PMT(Assumptions!$C$29/12,Assumptions!$C$30*12,CS49)*12))</f>
        <v>0</v>
      </c>
      <c r="CU49" s="19" t="n">
        <f aca="false">CS49-CR49</f>
        <v>-204587.5</v>
      </c>
      <c r="CV49" s="18" t="n">
        <f aca="false">MAX(BS49,CJ49,CQ49)</f>
        <v>0</v>
      </c>
      <c r="CW49" s="9" t="str">
        <f aca="false">IF(CV49&lt;=0,"None works",IF(BS49=CV49,"Land / pad sale",IF(CJ49=CV49,"Build &amp; sell","Build &amp; hold / lease")))</f>
        <v>None works</v>
      </c>
      <c r="CX49" s="19" t="n">
        <f aca="false">CV49*(1-Assumptions!$C$32)</f>
        <v>0</v>
      </c>
      <c r="CY49" s="19" t="n">
        <f aca="false">CV49-Parcel!$C$18</f>
        <v>-300000</v>
      </c>
      <c r="CZ49" s="19" t="n">
        <f aca="false">IF(Parcel!$C$8=0,0,CV49/Parcel!$C$8)</f>
        <v>0</v>
      </c>
      <c r="DA49" s="33" t="n">
        <f aca="false">IF(S49=0,0,CV49/S49)</f>
        <v>0</v>
      </c>
      <c r="DB49" s="9" t="str">
        <f aca="false">TRIM(M49&amp;" "&amp;IF(AND(U49=0,N49=1),"Nothing fits. ","")&amp;IF(Parcel!$C$12&lt;Use_Library!$AM$48,"Frontage under "&amp;Use_Library!$AM$48&amp;" LF. ","")&amp;IF(Parcel!$C$10&gt;0.15,"Slope over 15%. ","")&amp;IF(AND(U49=1,Use_Library!$M$48&gt;0,D49&gt;Use_Library!$M$48),"Only "&amp;Use_Library!$M$48&amp;" ac used - rest resold. ",""))</f>
        <v>Over 3 mi to highway.</v>
      </c>
      <c r="DC49" s="19" t="n">
        <f aca="false">CV49+ROW()/1000000</f>
        <v>4.9E-005</v>
      </c>
    </row>
    <row r="50" customFormat="false" ht="15" hidden="false" customHeight="false" outlineLevel="0" collapsed="false">
      <c r="A50" s="4" t="str">
        <f aca="false">Use_Library!$A$49</f>
        <v>Industrial outdoor storage (IOS)</v>
      </c>
      <c r="B50" s="9" t="str">
        <f aca="false">Use_Library!$C$49</f>
        <v>Income</v>
      </c>
      <c r="C50" s="9" t="str">
        <f aca="false">Use_Library!$D$49</f>
        <v>acre</v>
      </c>
      <c r="D50" s="14" t="n">
        <f aca="false">MAX(0,Parcel!$C$26*(1-Use_Library!$N$49-Assumptions!$C$7))</f>
        <v>14.196</v>
      </c>
      <c r="E50" s="14" t="n">
        <f aca="false">IF(Use_Library!$M$49&gt;0,MIN(D50,Use_Library!$M$49),D50)</f>
        <v>8</v>
      </c>
      <c r="F50" s="20" t="n">
        <f aca="false">IF(D50=0,0,E50/D50)</f>
        <v>0.563539025077487</v>
      </c>
      <c r="G50" s="14" t="n">
        <f aca="false">Parcel!$C$26*F50</f>
        <v>8.79120879120879</v>
      </c>
      <c r="H50" s="14" t="n">
        <f aca="false">G50*Assumptions!$C$7</f>
        <v>0.351648351648352</v>
      </c>
      <c r="I50" s="14" t="n">
        <f aca="false">G50*(1-Use_Library!$N$49)</f>
        <v>8.35164835164835</v>
      </c>
      <c r="J50" s="14" t="n">
        <f aca="false">Parcel!$C$8*(1-F50)</f>
        <v>8.72921949845027</v>
      </c>
      <c r="K50" s="15" t="n">
        <f aca="false">IF(AND(Use_Library!$I$49="Y",Parcel!$C$28=0),0,1)</f>
        <v>1</v>
      </c>
      <c r="L50" s="15" t="n">
        <f aca="false">IF(AND(Use_Library!$J$49="Y",Parcel!$C$27=0),0,1)</f>
        <v>1</v>
      </c>
      <c r="M50" s="9" t="str">
        <f aca="false">TRIM(IF(AND(Use_Library!$AN$49&gt;0,Parcel!$C$19&lt;Use_Library!$AN$49),"Traffic under "&amp;TEXT(Use_Library!$AN$49,"#,##0")&amp;" VPD. ","")&amp;IF(AND(Use_Library!$AO$49&gt;0,Parcel!$C$20&lt;Use_Library!$AO$49),"Under "&amp;TEXT(Use_Library!$AO$49,"#,##0")&amp;" households in 3 mi. ","")&amp;IF(AND(Use_Library!$AP$49&gt;0,Parcel!$C$21&gt;Use_Library!$AP$49),"Over "&amp;Use_Library!$AP$49&amp;" mi to highway. ","")&amp;IF(AND(Use_Library!$AQ$49="Y",Parcel!$C$22&lt;&gt;"Y"),"Needs a corner. ","")&amp;IF(AND(Use_Library!$AR$49&gt;0,Parcel!$C$23&gt;Use_Library!$AR$49),"Over "&amp;Use_Library!$AR$49&amp;" mi to substation. ",""))</f>
        <v>Over 5 mi to highway.</v>
      </c>
      <c r="N50" s="15" t="n">
        <f aca="false">IF(M50="",1,0)</f>
        <v>0</v>
      </c>
      <c r="O50" s="15" t="n">
        <f aca="false">IF(D50&gt;=Use_Library!$L$49,1,0)</f>
        <v>1</v>
      </c>
      <c r="P50" s="14" t="n">
        <f aca="false">IF(Use_Library!$F$49&gt;0,G50*Use_Library!$F$49,1000000000)</f>
        <v>1000000000</v>
      </c>
      <c r="Q50" s="14" t="n">
        <f aca="false">IF(Use_Library!$G$49&gt;0,E50*43560/Use_Library!$G$49,1000000000)</f>
        <v>8</v>
      </c>
      <c r="R50" s="14" t="n">
        <f aca="false">IF(AND(Use_Library!$H$49="Y",Parcel!$C$28=0),E50*(1-Assumptions!$C$8)/IF(Parcel!$C$27=1,Assumptions!$C$9,Assumptions!$C$10),1000000000)</f>
        <v>1000000000</v>
      </c>
      <c r="S50" s="21" t="n">
        <f aca="false">IF(K50*L50*O50*N50=0,0,IF(MIN(P50,Q50,R50)&gt;=1000000000,E50,IF(Use_Library!$E$49="Y",INT(MIN(P50,Q50,R50)),MIN(P50,Q50,R50))))</f>
        <v>0</v>
      </c>
      <c r="T50" s="9" t="str">
        <f aca="false">IF(N50=0,"Location fails",IF(O50=0,"Too small - needs "&amp;Use_Library!$L$49&amp;" usable ac",IF(K50=0,"Needs public sewer",IF(L50=0,"Needs public water",IF(R50&lt;=MIN(P50,Q50),"Septic lot size",IF(Q50&lt;=P50,"Site area / parking","Density"))))))</f>
        <v>Location fails</v>
      </c>
      <c r="U50" s="15" t="n">
        <f aca="false">IF(S50&gt;0,1,0)</f>
        <v>0</v>
      </c>
      <c r="V50" s="15" t="n">
        <f aca="false">IF(Use_Library!$K$49="Y",1,0)*U50</f>
        <v>0</v>
      </c>
      <c r="W50" s="15" t="n">
        <f aca="false">S50*Use_Library!$O$49*V50</f>
        <v>0</v>
      </c>
      <c r="X50" s="15" t="n">
        <f aca="false">S50*Use_Library!$P$49*V50</f>
        <v>0</v>
      </c>
      <c r="Y50" s="15" t="n">
        <f aca="false">IF(Parcel!$C$27=1,W50+Parcel!$C$29,0)*V50</f>
        <v>0</v>
      </c>
      <c r="Z50" s="14" t="n">
        <f aca="false">S50*Use_Library!$Q$49*Parcel!$C$27*V50</f>
        <v>0</v>
      </c>
      <c r="AA50" s="15" t="n">
        <f aca="false">IF(Parcel!$C$28=1,W50+Parcel!$C$30,0)*V50</f>
        <v>0</v>
      </c>
      <c r="AB50" s="14" t="n">
        <f aca="false">S50*Use_Library!$Q$49*Parcel!$C$28*V50</f>
        <v>0</v>
      </c>
      <c r="AC50" s="14" t="n">
        <f aca="false">IF(Parcel!$C$28=0,S50*Use_Library!$R$49,0)*V50</f>
        <v>0</v>
      </c>
      <c r="AD50" s="14" t="n">
        <f aca="false">IF(Parcel!$C$27=0,S50*Use_Library!$R$49,0)*V50</f>
        <v>0</v>
      </c>
      <c r="AE50" s="14" t="n">
        <f aca="false">I50*Parcel!$C$11*V50</f>
        <v>0</v>
      </c>
      <c r="AF50" s="14" t="n">
        <f aca="false">I50*V50</f>
        <v>0</v>
      </c>
      <c r="AG50" s="15" t="n">
        <f aca="false">IF(Use_Library!$C$49="For-Sale",IF(Use_Library!$E$49="Y",S50,1),1)*U50</f>
        <v>0</v>
      </c>
      <c r="AH50" s="19" t="n">
        <f aca="false">Cost_Library!$G$5*Parcel!$C$32*U50</f>
        <v>0</v>
      </c>
      <c r="AI50" s="19" t="n">
        <f aca="false">AG50*Cost_Library!$G$6*Parcel!$C$32</f>
        <v>0</v>
      </c>
      <c r="AJ50" s="19" t="n">
        <f aca="false">I50*Cost_Library!$G$7*Parcel!$C$32*V50</f>
        <v>0</v>
      </c>
      <c r="AK50" s="19" t="n">
        <f aca="false">Cost_Library!$G$8*Parcel!$C$32*V50</f>
        <v>0</v>
      </c>
      <c r="AL50" s="19" t="n">
        <f aca="false">AC50*Cost_Library!$G$9*Parcel!$C$32</f>
        <v>0</v>
      </c>
      <c r="AM50" s="19" t="n">
        <f aca="false">Cost_Library!$G$10*U50</f>
        <v>0</v>
      </c>
      <c r="AN50" s="19" t="n">
        <f aca="false">Cost_Library!$G$11*Parcel!$C$32*V50</f>
        <v>0</v>
      </c>
      <c r="AO50" s="19" t="n">
        <f aca="false">Use_Library!$S$49*U50</f>
        <v>0</v>
      </c>
      <c r="AP50" s="19" t="n">
        <f aca="false">Cost_Library!$G$12*U50</f>
        <v>0</v>
      </c>
      <c r="AQ50" s="19" t="n">
        <f aca="false">AE50*Cost_Library!$G$13*Parcel!$C$32</f>
        <v>0</v>
      </c>
      <c r="AR50" s="19" t="n">
        <f aca="false">AF50*Cost_Library!$G$14*Parcel!$C$32*Parcel!$C$33</f>
        <v>0</v>
      </c>
      <c r="AS50" s="19" t="n">
        <f aca="false">W50*Cost_Library!$G$15*Parcel!$C$32</f>
        <v>0</v>
      </c>
      <c r="AT50" s="19" t="n">
        <f aca="false">X50*Cost_Library!$G$16*Parcel!$C$32</f>
        <v>0</v>
      </c>
      <c r="AU50" s="19" t="n">
        <f aca="false">H50*Cost_Library!$G$17*Parcel!$C$32*V50</f>
        <v>0</v>
      </c>
      <c r="AV50" s="19" t="n">
        <f aca="false">G50*Cost_Library!$G$18*Parcel!$C$32*V50</f>
        <v>0</v>
      </c>
      <c r="AW50" s="19" t="n">
        <f aca="false">Y50*Cost_Library!$G$19*Parcel!$C$32</f>
        <v>0</v>
      </c>
      <c r="AX50" s="19" t="n">
        <f aca="false">Z50*Cost_Library!$G$20</f>
        <v>0</v>
      </c>
      <c r="AY50" s="19" t="n">
        <f aca="false">AA50*Cost_Library!$G$21*Parcel!$C$32</f>
        <v>0</v>
      </c>
      <c r="AZ50" s="19" t="n">
        <f aca="false">AB50*Cost_Library!$G$22</f>
        <v>0</v>
      </c>
      <c r="BA50" s="19" t="n">
        <f aca="false">AC50*Cost_Library!$G$23*Parcel!$C$32*Parcel!$C$34</f>
        <v>0</v>
      </c>
      <c r="BB50" s="19" t="n">
        <f aca="false">AD50*Cost_Library!$G$24*Parcel!$C$32</f>
        <v>0</v>
      </c>
      <c r="BC50" s="19" t="n">
        <f aca="false">W50*Cost_Library!$G$25*Parcel!$C$32</f>
        <v>0</v>
      </c>
      <c r="BD50" s="19" t="n">
        <f aca="false">SUM(AH50:BC50)</f>
        <v>0</v>
      </c>
      <c r="BE50" s="19" t="n">
        <f aca="false">BD50*Assumptions!$C$11</f>
        <v>0</v>
      </c>
      <c r="BF50" s="19" t="n">
        <f aca="false">BD50+BE50</f>
        <v>0</v>
      </c>
      <c r="BG50" s="19" t="n">
        <f aca="false">S50*Use_Library!$T$49</f>
        <v>0</v>
      </c>
      <c r="BH50" s="19" t="n">
        <f aca="false">BG50*(Assumptions!$C$12+Assumptions!$C$13)</f>
        <v>0</v>
      </c>
      <c r="BI50" s="19" t="n">
        <f aca="false">S50*Use_Library!$AC$49</f>
        <v>0</v>
      </c>
      <c r="BJ50" s="23" t="n">
        <f aca="false">1+Assumptions!$C$14+Assumptions!$C$15*Use_Library!$AH$49/12</f>
        <v>1.03666666666667</v>
      </c>
      <c r="BK50" s="23" t="n">
        <f aca="false">1+Assumptions!$C$21*(Assumptions!$C$22*Use_Library!$AH$49/12*Assumptions!$C$24+Assumptions!$C$23)</f>
        <v>1.02795</v>
      </c>
      <c r="BL50" s="23" t="n">
        <f aca="false">1+Assumptions!$C$21*(Assumptions!$C$22*(Use_Library!$AH$49/12*Assumptions!$C$24+IF(Use_Library!$C$49="Income",Use_Library!$AD$49,0)/12*Assumptions!$C$25)+Assumptions!$C$23)</f>
        <v>1.042575</v>
      </c>
      <c r="BM50" s="19" t="n">
        <f aca="false">J50*Assumptions!$C$31*(1-Assumptions!$C$17)*U50</f>
        <v>0</v>
      </c>
      <c r="BN50" s="19" t="n">
        <f aca="false">IF(Use_Library!$AJ$49=1,IF(Use_Library!$C$49="For-Sale",S50*Use_Library!$U$49,E50*Use_Library!$AF$49)*(1-Assumptions!$C$17)+BM50,0)*U50</f>
        <v>0</v>
      </c>
      <c r="BO50" s="19" t="n">
        <f aca="false">(BD50-AT50)*(1+Assumptions!$C$11)</f>
        <v>0</v>
      </c>
      <c r="BP50" s="23" t="n">
        <f aca="false">BJ50*BK50</f>
        <v>1.0656415</v>
      </c>
      <c r="BQ50" s="19" t="n">
        <f aca="false">(Parcel!$C$18*BJ50+BO50)*BK50</f>
        <v>319692.45</v>
      </c>
      <c r="BR50" s="19" t="n">
        <f aca="false">BN50-BQ50</f>
        <v>-319692.45</v>
      </c>
      <c r="BS50" s="32" t="n">
        <f aca="false">IF(AND(Use_Library!$AJ$49=1,U50=1),MAX(0,((1-Use_Library!$AI$49)*BN50-BO50*BK50)/BP50),0)</f>
        <v>0</v>
      </c>
      <c r="BT50" s="19" t="n">
        <f aca="false">BF50+BG50+BH50+BI50</f>
        <v>0</v>
      </c>
      <c r="BU50" s="23" t="n">
        <f aca="false">BJ50*BL50</f>
        <v>1.08080275</v>
      </c>
      <c r="BV50" s="19" t="n">
        <f aca="false">(Parcel!$C$18*BJ50+BT50)*BL50</f>
        <v>324240.825</v>
      </c>
      <c r="BW50" s="19" t="n">
        <f aca="false">IF(Use_Library!$C$49="Income",S50*Use_Library!$W$49,0)</f>
        <v>0</v>
      </c>
      <c r="BX50" s="19" t="n">
        <f aca="false">BW50*(1+Use_Library!$X$49)*(1-Use_Library!$Y$49)</f>
        <v>0</v>
      </c>
      <c r="BY50" s="19" t="n">
        <f aca="false">IF(Use_Library!$C$49="Income",S50*Use_Library!$Z$49,0)</f>
        <v>0</v>
      </c>
      <c r="BZ50" s="19" t="n">
        <f aca="false">IF(Use_Library!$C$49="Income",Assumptions!$C$19*Assumptions!$C$20*BV50,0)</f>
        <v>6063.3034275</v>
      </c>
      <c r="CA50" s="19" t="n">
        <f aca="false">BX50*Use_Library!$AA$49</f>
        <v>0</v>
      </c>
      <c r="CB50" s="19" t="n">
        <f aca="false">(BY50+BZ50)*Use_Library!$AB$49</f>
        <v>4850.642742</v>
      </c>
      <c r="CC50" s="19" t="n">
        <f aca="false">BX50-BY50-BZ50-CA50+CB50</f>
        <v>-1212.6606855</v>
      </c>
      <c r="CD50" s="19" t="n">
        <f aca="false">IF(AND(Use_Library!$C$49="Income",Use_Library!$AE$49&gt;0),CC50/Use_Library!$AE$49,0)</f>
        <v>-17965.3434888889</v>
      </c>
      <c r="CE50" s="24" t="n">
        <f aca="false">IF(Use_Library!$C$49="Income",-Assumptions!$C$19*Assumptions!$C$20*(1-Use_Library!$AB$49)*BU50,0)</f>
        <v>-0.004042202285</v>
      </c>
      <c r="CF50" s="20" t="n">
        <f aca="false">IF(BV50=0,0,CC50/BV50)</f>
        <v>-0.00374</v>
      </c>
      <c r="CG50" s="19" t="n">
        <f aca="false">IF(Use_Library!$AK$49=1,IF(Use_Library!$C$49="Income",CD50*(1-Assumptions!$C$18),S50*Use_Library!$V$49*(1-Assumptions!$C$16))+BM50,0)*U50</f>
        <v>-0</v>
      </c>
      <c r="CH50" s="24" t="n">
        <f aca="false">IF(AND(Use_Library!$AK$49=1,Use_Library!$C$49="Income",Use_Library!$AE$49&gt;0),CE50/Use_Library!$AE$49*(1-Assumptions!$C$18),0)</f>
        <v>-0.0586867887303703</v>
      </c>
      <c r="CI50" s="19" t="n">
        <f aca="false">CG50-BV50</f>
        <v>-324240.825</v>
      </c>
      <c r="CJ50" s="32" t="n">
        <f aca="false">IF(AND(Use_Library!$AK$49=1,U50=1),MAX(0,Parcel!$C$18-((1-Use_Library!$AI$49)*CG50-BV50)/((1-Use_Library!$AI$49)*CH50-BU50)),0)</f>
        <v>0</v>
      </c>
      <c r="CK50" s="19" t="n">
        <f aca="false">IF(Use_Library!$AL$49=1,IF(Use_Library!$C$49="Income",CD50,IF(Use_Library!$AE$49&gt;0,E50*Use_Library!$AG$49/Use_Library!$AE$49,0))+BM50,0)*U50</f>
        <v>-0</v>
      </c>
      <c r="CL50" s="19" t="n">
        <f aca="false">IF(Use_Library!$C$49="Income",BT50,BF50)</f>
        <v>0</v>
      </c>
      <c r="CM50" s="23" t="n">
        <f aca="false">IF(Use_Library!$C$49="Income",BU50,BJ50*BK50)</f>
        <v>1.08080275</v>
      </c>
      <c r="CN50" s="19" t="n">
        <f aca="false">IF(Use_Library!$C$49="Income",BV50,(Parcel!$C$18*BJ50+BF50)*BK50)</f>
        <v>324240.825</v>
      </c>
      <c r="CO50" s="24" t="n">
        <f aca="false">IF(AND(Use_Library!$AL$49=1,Use_Library!$C$49="Income",Use_Library!$AE$49&gt;0),CE50/Use_Library!$AE$49,0)</f>
        <v>-0.0598844782962963</v>
      </c>
      <c r="CP50" s="19" t="n">
        <f aca="false">CK50-CN50</f>
        <v>-324240.825</v>
      </c>
      <c r="CQ50" s="32" t="n">
        <f aca="false">IF(AND(Use_Library!$AL$49=1,U50=1),MAX(0,Parcel!$C$18-((1-Use_Library!$AI$49)*CK50-CN50)/((1-Use_Library!$AI$49)*CO50-CM50)),0)</f>
        <v>0</v>
      </c>
      <c r="CR50" s="19" t="n">
        <f aca="false">IF(Use_Library!$C$49="Income",Assumptions!$C$21*(Parcel!$C$18*BJ50+BT50),0)</f>
        <v>202150</v>
      </c>
      <c r="CS50" s="19" t="n">
        <f aca="false">IF(AND(Use_Library!$C$49="Income",CC50&gt;0),MIN(Assumptions!$C$26*CD50,PV(Assumptions!$C$29/12,Assumptions!$C$30*12,-CC50/Assumptions!$C$27/12),CC50/Assumptions!$C$28),0)</f>
        <v>0</v>
      </c>
      <c r="CT50" s="25" t="n">
        <f aca="false">IF(CS50=0,0,CC50/(-PMT(Assumptions!$C$29/12,Assumptions!$C$30*12,CS50)*12))</f>
        <v>0</v>
      </c>
      <c r="CU50" s="19" t="n">
        <f aca="false">CS50-CR50</f>
        <v>-202150</v>
      </c>
      <c r="CV50" s="18" t="n">
        <f aca="false">MAX(BS50,CJ50,CQ50)</f>
        <v>0</v>
      </c>
      <c r="CW50" s="9" t="str">
        <f aca="false">IF(CV50&lt;=0,"None works",IF(BS50=CV50,"Land / pad sale",IF(CJ50=CV50,"Build &amp; sell","Build &amp; hold / lease")))</f>
        <v>None works</v>
      </c>
      <c r="CX50" s="19" t="n">
        <f aca="false">CV50*(1-Assumptions!$C$32)</f>
        <v>0</v>
      </c>
      <c r="CY50" s="19" t="n">
        <f aca="false">CV50-Parcel!$C$18</f>
        <v>-300000</v>
      </c>
      <c r="CZ50" s="19" t="n">
        <f aca="false">IF(Parcel!$C$8=0,0,CV50/Parcel!$C$8)</f>
        <v>0</v>
      </c>
      <c r="DA50" s="33" t="n">
        <f aca="false">IF(S50=0,0,CV50/S50)</f>
        <v>0</v>
      </c>
      <c r="DB50" s="9" t="str">
        <f aca="false">TRIM(M50&amp;" "&amp;IF(AND(U50=0,N50=1),"Nothing fits. ","")&amp;IF(Parcel!$C$12&lt;Use_Library!$AM$49,"Frontage under "&amp;Use_Library!$AM$49&amp;" LF. ","")&amp;IF(Parcel!$C$10&gt;0.15,"Slope over 15%. ","")&amp;IF(AND(U50=1,Use_Library!$M$49&gt;0,D50&gt;Use_Library!$M$49),"Only "&amp;Use_Library!$M$49&amp;" ac used - rest resold. ",""))</f>
        <v>Over 5 mi to highway.</v>
      </c>
      <c r="DC50" s="19" t="n">
        <f aca="false">CV50+ROW()/1000000</f>
        <v>5E-005</v>
      </c>
    </row>
    <row r="51" customFormat="false" ht="15" hidden="false" customHeight="false" outlineLevel="0" collapsed="false">
      <c r="A51" s="4" t="str">
        <f aca="false">Use_Library!$A$50</f>
        <v>Equipment rental yard</v>
      </c>
      <c r="B51" s="9" t="str">
        <f aca="false">Use_Library!$C$50</f>
        <v>Income</v>
      </c>
      <c r="C51" s="9" t="str">
        <f aca="false">Use_Library!$D$50</f>
        <v>acre</v>
      </c>
      <c r="D51" s="14" t="n">
        <f aca="false">MAX(0,Parcel!$C$26*(1-Use_Library!$N$50-Assumptions!$C$7))</f>
        <v>14.196</v>
      </c>
      <c r="E51" s="14" t="n">
        <f aca="false">IF(Use_Library!$M$50&gt;0,MIN(D51,Use_Library!$M$50),D51)</f>
        <v>8</v>
      </c>
      <c r="F51" s="20" t="n">
        <f aca="false">IF(D51=0,0,E51/D51)</f>
        <v>0.563539025077487</v>
      </c>
      <c r="G51" s="14" t="n">
        <f aca="false">Parcel!$C$26*F51</f>
        <v>8.79120879120879</v>
      </c>
      <c r="H51" s="14" t="n">
        <f aca="false">G51*Assumptions!$C$7</f>
        <v>0.351648351648352</v>
      </c>
      <c r="I51" s="14" t="n">
        <f aca="false">G51*(1-Use_Library!$N$50)</f>
        <v>8.35164835164835</v>
      </c>
      <c r="J51" s="14" t="n">
        <f aca="false">Parcel!$C$8*(1-F51)</f>
        <v>8.72921949845027</v>
      </c>
      <c r="K51" s="15" t="n">
        <f aca="false">IF(AND(Use_Library!$I$50="Y",Parcel!$C$28=0),0,1)</f>
        <v>1</v>
      </c>
      <c r="L51" s="15" t="n">
        <f aca="false">IF(AND(Use_Library!$J$50="Y",Parcel!$C$27=0),0,1)</f>
        <v>1</v>
      </c>
      <c r="M51" s="9" t="str">
        <f aca="false">TRIM(IF(AND(Use_Library!$AN$50&gt;0,Parcel!$C$19&lt;Use_Library!$AN$50),"Traffic under "&amp;TEXT(Use_Library!$AN$50,"#,##0")&amp;" VPD. ","")&amp;IF(AND(Use_Library!$AO$50&gt;0,Parcel!$C$20&lt;Use_Library!$AO$50),"Under "&amp;TEXT(Use_Library!$AO$50,"#,##0")&amp;" households in 3 mi. ","")&amp;IF(AND(Use_Library!$AP$50&gt;0,Parcel!$C$21&gt;Use_Library!$AP$50),"Over "&amp;Use_Library!$AP$50&amp;" mi to highway. ","")&amp;IF(AND(Use_Library!$AQ$50="Y",Parcel!$C$22&lt;&gt;"Y"),"Needs a corner. ","")&amp;IF(AND(Use_Library!$AR$50&gt;0,Parcel!$C$23&gt;Use_Library!$AR$50),"Over "&amp;Use_Library!$AR$50&amp;" mi to substation. ",""))</f>
        <v>Traffic under 8,000 VPD.</v>
      </c>
      <c r="N51" s="15" t="n">
        <f aca="false">IF(M51="",1,0)</f>
        <v>0</v>
      </c>
      <c r="O51" s="15" t="n">
        <f aca="false">IF(D51&gt;=Use_Library!$L$50,1,0)</f>
        <v>1</v>
      </c>
      <c r="P51" s="14" t="n">
        <f aca="false">IF(Use_Library!$F$50&gt;0,G51*Use_Library!$F$50,1000000000)</f>
        <v>1000000000</v>
      </c>
      <c r="Q51" s="14" t="n">
        <f aca="false">IF(Use_Library!$G$50&gt;0,E51*43560/Use_Library!$G$50,1000000000)</f>
        <v>8</v>
      </c>
      <c r="R51" s="14" t="n">
        <f aca="false">IF(AND(Use_Library!$H$50="Y",Parcel!$C$28=0),E51*(1-Assumptions!$C$8)/IF(Parcel!$C$27=1,Assumptions!$C$9,Assumptions!$C$10),1000000000)</f>
        <v>1000000000</v>
      </c>
      <c r="S51" s="21" t="n">
        <f aca="false">IF(K51*L51*O51*N51=0,0,IF(MIN(P51,Q51,R51)&gt;=1000000000,E51,IF(Use_Library!$E$50="Y",INT(MIN(P51,Q51,R51)),MIN(P51,Q51,R51))))</f>
        <v>0</v>
      </c>
      <c r="T51" s="9" t="str">
        <f aca="false">IF(N51=0,"Location fails",IF(O51=0,"Too small - needs "&amp;Use_Library!$L$50&amp;" usable ac",IF(K51=0,"Needs public sewer",IF(L51=0,"Needs public water",IF(R51&lt;=MIN(P51,Q51),"Septic lot size",IF(Q51&lt;=P51,"Site area / parking","Density"))))))</f>
        <v>Location fails</v>
      </c>
      <c r="U51" s="15" t="n">
        <f aca="false">IF(S51&gt;0,1,0)</f>
        <v>0</v>
      </c>
      <c r="V51" s="15" t="n">
        <f aca="false">IF(Use_Library!$K$50="Y",1,0)*U51</f>
        <v>0</v>
      </c>
      <c r="W51" s="15" t="n">
        <f aca="false">S51*Use_Library!$O$50*V51</f>
        <v>0</v>
      </c>
      <c r="X51" s="15" t="n">
        <f aca="false">S51*Use_Library!$P$50*V51</f>
        <v>0</v>
      </c>
      <c r="Y51" s="15" t="n">
        <f aca="false">IF(Parcel!$C$27=1,W51+Parcel!$C$29,0)*V51</f>
        <v>0</v>
      </c>
      <c r="Z51" s="14" t="n">
        <f aca="false">S51*Use_Library!$Q$50*Parcel!$C$27*V51</f>
        <v>0</v>
      </c>
      <c r="AA51" s="15" t="n">
        <f aca="false">IF(Parcel!$C$28=1,W51+Parcel!$C$30,0)*V51</f>
        <v>0</v>
      </c>
      <c r="AB51" s="14" t="n">
        <f aca="false">S51*Use_Library!$Q$50*Parcel!$C$28*V51</f>
        <v>0</v>
      </c>
      <c r="AC51" s="14" t="n">
        <f aca="false">IF(Parcel!$C$28=0,S51*Use_Library!$R$50,0)*V51</f>
        <v>0</v>
      </c>
      <c r="AD51" s="14" t="n">
        <f aca="false">IF(Parcel!$C$27=0,S51*Use_Library!$R$50,0)*V51</f>
        <v>0</v>
      </c>
      <c r="AE51" s="14" t="n">
        <f aca="false">I51*Parcel!$C$11*V51</f>
        <v>0</v>
      </c>
      <c r="AF51" s="14" t="n">
        <f aca="false">I51*V51</f>
        <v>0</v>
      </c>
      <c r="AG51" s="15" t="n">
        <f aca="false">IF(Use_Library!$C$50="For-Sale",IF(Use_Library!$E$50="Y",S51,1),1)*U51</f>
        <v>0</v>
      </c>
      <c r="AH51" s="19" t="n">
        <f aca="false">Cost_Library!$G$5*Parcel!$C$32*U51</f>
        <v>0</v>
      </c>
      <c r="AI51" s="19" t="n">
        <f aca="false">AG51*Cost_Library!$G$6*Parcel!$C$32</f>
        <v>0</v>
      </c>
      <c r="AJ51" s="19" t="n">
        <f aca="false">I51*Cost_Library!$G$7*Parcel!$C$32*V51</f>
        <v>0</v>
      </c>
      <c r="AK51" s="19" t="n">
        <f aca="false">Cost_Library!$G$8*Parcel!$C$32*V51</f>
        <v>0</v>
      </c>
      <c r="AL51" s="19" t="n">
        <f aca="false">AC51*Cost_Library!$G$9*Parcel!$C$32</f>
        <v>0</v>
      </c>
      <c r="AM51" s="19" t="n">
        <f aca="false">Cost_Library!$G$10*U51</f>
        <v>0</v>
      </c>
      <c r="AN51" s="19" t="n">
        <f aca="false">Cost_Library!$G$11*Parcel!$C$32*V51</f>
        <v>0</v>
      </c>
      <c r="AO51" s="19" t="n">
        <f aca="false">Use_Library!$S$50*U51</f>
        <v>0</v>
      </c>
      <c r="AP51" s="19" t="n">
        <f aca="false">Cost_Library!$G$12*U51</f>
        <v>0</v>
      </c>
      <c r="AQ51" s="19" t="n">
        <f aca="false">AE51*Cost_Library!$G$13*Parcel!$C$32</f>
        <v>0</v>
      </c>
      <c r="AR51" s="19" t="n">
        <f aca="false">AF51*Cost_Library!$G$14*Parcel!$C$32*Parcel!$C$33</f>
        <v>0</v>
      </c>
      <c r="AS51" s="19" t="n">
        <f aca="false">W51*Cost_Library!$G$15*Parcel!$C$32</f>
        <v>0</v>
      </c>
      <c r="AT51" s="19" t="n">
        <f aca="false">X51*Cost_Library!$G$16*Parcel!$C$32</f>
        <v>0</v>
      </c>
      <c r="AU51" s="19" t="n">
        <f aca="false">H51*Cost_Library!$G$17*Parcel!$C$32*V51</f>
        <v>0</v>
      </c>
      <c r="AV51" s="19" t="n">
        <f aca="false">G51*Cost_Library!$G$18*Parcel!$C$32*V51</f>
        <v>0</v>
      </c>
      <c r="AW51" s="19" t="n">
        <f aca="false">Y51*Cost_Library!$G$19*Parcel!$C$32</f>
        <v>0</v>
      </c>
      <c r="AX51" s="19" t="n">
        <f aca="false">Z51*Cost_Library!$G$20</f>
        <v>0</v>
      </c>
      <c r="AY51" s="19" t="n">
        <f aca="false">AA51*Cost_Library!$G$21*Parcel!$C$32</f>
        <v>0</v>
      </c>
      <c r="AZ51" s="19" t="n">
        <f aca="false">AB51*Cost_Library!$G$22</f>
        <v>0</v>
      </c>
      <c r="BA51" s="19" t="n">
        <f aca="false">AC51*Cost_Library!$G$23*Parcel!$C$32*Parcel!$C$34</f>
        <v>0</v>
      </c>
      <c r="BB51" s="19" t="n">
        <f aca="false">AD51*Cost_Library!$G$24*Parcel!$C$32</f>
        <v>0</v>
      </c>
      <c r="BC51" s="19" t="n">
        <f aca="false">W51*Cost_Library!$G$25*Parcel!$C$32</f>
        <v>0</v>
      </c>
      <c r="BD51" s="19" t="n">
        <f aca="false">SUM(AH51:BC51)</f>
        <v>0</v>
      </c>
      <c r="BE51" s="19" t="n">
        <f aca="false">BD51*Assumptions!$C$11</f>
        <v>0</v>
      </c>
      <c r="BF51" s="19" t="n">
        <f aca="false">BD51+BE51</f>
        <v>0</v>
      </c>
      <c r="BG51" s="19" t="n">
        <f aca="false">S51*Use_Library!$T$50</f>
        <v>0</v>
      </c>
      <c r="BH51" s="19" t="n">
        <f aca="false">BG51*(Assumptions!$C$12+Assumptions!$C$13)</f>
        <v>0</v>
      </c>
      <c r="BI51" s="19" t="n">
        <f aca="false">S51*Use_Library!$AC$50</f>
        <v>0</v>
      </c>
      <c r="BJ51" s="23" t="n">
        <f aca="false">1+Assumptions!$C$14+Assumptions!$C$15*Use_Library!$AH$50/12</f>
        <v>1.04083333333333</v>
      </c>
      <c r="BK51" s="23" t="n">
        <f aca="false">1+Assumptions!$C$21*(Assumptions!$C$22*Use_Library!$AH$50/12*Assumptions!$C$24+Assumptions!$C$23)</f>
        <v>1.0333125</v>
      </c>
      <c r="BL51" s="23" t="n">
        <f aca="false">1+Assumptions!$C$21*(Assumptions!$C$22*(Use_Library!$AH$50/12*Assumptions!$C$24+IF(Use_Library!$C$50="Income",Use_Library!$AD$50,0)/12*Assumptions!$C$25)+Assumptions!$C$23)</f>
        <v>1.0479375</v>
      </c>
      <c r="BM51" s="19" t="n">
        <f aca="false">J51*Assumptions!$C$31*(1-Assumptions!$C$17)*U51</f>
        <v>0</v>
      </c>
      <c r="BN51" s="19" t="n">
        <f aca="false">IF(Use_Library!$AJ$50=1,IF(Use_Library!$C$50="For-Sale",S51*Use_Library!$U$50,E51*Use_Library!$AF$50)*(1-Assumptions!$C$17)+BM51,0)*U51</f>
        <v>0</v>
      </c>
      <c r="BO51" s="19" t="n">
        <f aca="false">(BD51-AT51)*(1+Assumptions!$C$11)</f>
        <v>0</v>
      </c>
      <c r="BP51" s="23" t="n">
        <f aca="false">BJ51*BK51</f>
        <v>1.07550609375</v>
      </c>
      <c r="BQ51" s="19" t="n">
        <f aca="false">(Parcel!$C$18*BJ51+BO51)*BK51</f>
        <v>322651.828125</v>
      </c>
      <c r="BR51" s="19" t="n">
        <f aca="false">BN51-BQ51</f>
        <v>-322651.828125</v>
      </c>
      <c r="BS51" s="32" t="n">
        <f aca="false">IF(AND(Use_Library!$AJ$50=1,U51=1),MAX(0,((1-Use_Library!$AI$50)*BN51-BO51*BK51)/BP51),0)</f>
        <v>0</v>
      </c>
      <c r="BT51" s="19" t="n">
        <f aca="false">BF51+BG51+BH51+BI51</f>
        <v>0</v>
      </c>
      <c r="BU51" s="23" t="n">
        <f aca="false">BJ51*BL51</f>
        <v>1.09072828125</v>
      </c>
      <c r="BV51" s="19" t="n">
        <f aca="false">(Parcel!$C$18*BJ51+BT51)*BL51</f>
        <v>327218.484375</v>
      </c>
      <c r="BW51" s="19" t="n">
        <f aca="false">IF(Use_Library!$C$50="Income",S51*Use_Library!$W$50,0)</f>
        <v>0</v>
      </c>
      <c r="BX51" s="19" t="n">
        <f aca="false">BW51*(1+Use_Library!$X$50)*(1-Use_Library!$Y$50)</f>
        <v>0</v>
      </c>
      <c r="BY51" s="19" t="n">
        <f aca="false">IF(Use_Library!$C$50="Income",S51*Use_Library!$Z$50,0)</f>
        <v>0</v>
      </c>
      <c r="BZ51" s="19" t="n">
        <f aca="false">IF(Use_Library!$C$50="Income",Assumptions!$C$19*Assumptions!$C$20*BV51,0)</f>
        <v>6118.9856578125</v>
      </c>
      <c r="CA51" s="19" t="n">
        <f aca="false">BX51*Use_Library!$AA$50</f>
        <v>0</v>
      </c>
      <c r="CB51" s="19" t="n">
        <f aca="false">(BY51+BZ51)*Use_Library!$AB$50</f>
        <v>6118.9856578125</v>
      </c>
      <c r="CC51" s="19" t="n">
        <f aca="false">BX51-BY51-BZ51-CA51+CB51</f>
        <v>0</v>
      </c>
      <c r="CD51" s="19" t="n">
        <f aca="false">IF(AND(Use_Library!$C$50="Income",Use_Library!$AE$50&gt;0),CC51/Use_Library!$AE$50,0)</f>
        <v>0</v>
      </c>
      <c r="CE51" s="24" t="n">
        <f aca="false">IF(Use_Library!$C$50="Income",-Assumptions!$C$19*Assumptions!$C$20*(1-Use_Library!$AB$50)*BU51,0)</f>
        <v>-0</v>
      </c>
      <c r="CF51" s="20" t="n">
        <f aca="false">IF(BV51=0,0,CC51/BV51)</f>
        <v>0</v>
      </c>
      <c r="CG51" s="19" t="n">
        <f aca="false">IF(Use_Library!$AK$50=1,IF(Use_Library!$C$50="Income",CD51*(1-Assumptions!$C$18),S51*Use_Library!$V$50*(1-Assumptions!$C$16))+BM51,0)*U51</f>
        <v>0</v>
      </c>
      <c r="CH51" s="24" t="n">
        <f aca="false">IF(AND(Use_Library!$AK$50=1,Use_Library!$C$50="Income",Use_Library!$AE$50&gt;0),CE51/Use_Library!$AE$50*(1-Assumptions!$C$18),0)</f>
        <v>-0</v>
      </c>
      <c r="CI51" s="19" t="n">
        <f aca="false">CG51-BV51</f>
        <v>-327218.484375</v>
      </c>
      <c r="CJ51" s="32" t="n">
        <f aca="false">IF(AND(Use_Library!$AK$50=1,U51=1),MAX(0,Parcel!$C$18-((1-Use_Library!$AI$50)*CG51-BV51)/((1-Use_Library!$AI$50)*CH51-BU51)),0)</f>
        <v>0</v>
      </c>
      <c r="CK51" s="19" t="n">
        <f aca="false">IF(Use_Library!$AL$50=1,IF(Use_Library!$C$50="Income",CD51,IF(Use_Library!$AE$50&gt;0,E51*Use_Library!$AG$50/Use_Library!$AE$50,0))+BM51,0)*U51</f>
        <v>0</v>
      </c>
      <c r="CL51" s="19" t="n">
        <f aca="false">IF(Use_Library!$C$50="Income",BT51,BF51)</f>
        <v>0</v>
      </c>
      <c r="CM51" s="23" t="n">
        <f aca="false">IF(Use_Library!$C$50="Income",BU51,BJ51*BK51)</f>
        <v>1.09072828125</v>
      </c>
      <c r="CN51" s="19" t="n">
        <f aca="false">IF(Use_Library!$C$50="Income",BV51,(Parcel!$C$18*BJ51+BF51)*BK51)</f>
        <v>327218.484375</v>
      </c>
      <c r="CO51" s="24" t="n">
        <f aca="false">IF(AND(Use_Library!$AL$50=1,Use_Library!$C$50="Income",Use_Library!$AE$50&gt;0),CE51/Use_Library!$AE$50,0)</f>
        <v>-0</v>
      </c>
      <c r="CP51" s="19" t="n">
        <f aca="false">CK51-CN51</f>
        <v>-327218.484375</v>
      </c>
      <c r="CQ51" s="32" t="n">
        <f aca="false">IF(AND(Use_Library!$AL$50=1,U51=1),MAX(0,Parcel!$C$18-((1-Use_Library!$AI$50)*CK51-CN51)/((1-Use_Library!$AI$50)*CO51-CM51)),0)</f>
        <v>0</v>
      </c>
      <c r="CR51" s="19" t="n">
        <f aca="false">IF(Use_Library!$C$50="Income",Assumptions!$C$21*(Parcel!$C$18*BJ51+BT51),0)</f>
        <v>202962.5</v>
      </c>
      <c r="CS51" s="19" t="n">
        <f aca="false">IF(AND(Use_Library!$C$50="Income",CC51&gt;0),MIN(Assumptions!$C$26*CD51,PV(Assumptions!$C$29/12,Assumptions!$C$30*12,-CC51/Assumptions!$C$27/12),CC51/Assumptions!$C$28),0)</f>
        <v>0</v>
      </c>
      <c r="CT51" s="25" t="n">
        <f aca="false">IF(CS51=0,0,CC51/(-PMT(Assumptions!$C$29/12,Assumptions!$C$30*12,CS51)*12))</f>
        <v>0</v>
      </c>
      <c r="CU51" s="19" t="n">
        <f aca="false">CS51-CR51</f>
        <v>-202962.5</v>
      </c>
      <c r="CV51" s="18" t="n">
        <f aca="false">MAX(BS51,CJ51,CQ51)</f>
        <v>0</v>
      </c>
      <c r="CW51" s="9" t="str">
        <f aca="false">IF(CV51&lt;=0,"None works",IF(BS51=CV51,"Land / pad sale",IF(CJ51=CV51,"Build &amp; sell","Build &amp; hold / lease")))</f>
        <v>None works</v>
      </c>
      <c r="CX51" s="19" t="n">
        <f aca="false">CV51*(1-Assumptions!$C$32)</f>
        <v>0</v>
      </c>
      <c r="CY51" s="19" t="n">
        <f aca="false">CV51-Parcel!$C$18</f>
        <v>-300000</v>
      </c>
      <c r="CZ51" s="19" t="n">
        <f aca="false">IF(Parcel!$C$8=0,0,CV51/Parcel!$C$8)</f>
        <v>0</v>
      </c>
      <c r="DA51" s="33" t="n">
        <f aca="false">IF(S51=0,0,CV51/S51)</f>
        <v>0</v>
      </c>
      <c r="DB51" s="9" t="str">
        <f aca="false">TRIM(M51&amp;" "&amp;IF(AND(U51=0,N51=1),"Nothing fits. ","")&amp;IF(Parcel!$C$12&lt;Use_Library!$AM$50,"Frontage under "&amp;Use_Library!$AM$50&amp;" LF. ","")&amp;IF(Parcel!$C$10&gt;0.15,"Slope over 15%. ","")&amp;IF(AND(U51=1,Use_Library!$M$50&gt;0,D51&gt;Use_Library!$M$50),"Only "&amp;Use_Library!$M$50&amp;" ac used - rest resold. ",""))</f>
        <v>Traffic under 8,000 VPD.</v>
      </c>
      <c r="DC51" s="19" t="n">
        <f aca="false">CV51+ROW()/1000000</f>
        <v>5.1E-005</v>
      </c>
    </row>
    <row r="52" customFormat="false" ht="15" hidden="false" customHeight="false" outlineLevel="0" collapsed="false">
      <c r="A52" s="4" t="str">
        <f aca="false">Use_Library!$A$51</f>
        <v>Truck parking / terminal</v>
      </c>
      <c r="B52" s="9" t="str">
        <f aca="false">Use_Library!$C$51</f>
        <v>Income</v>
      </c>
      <c r="C52" s="9" t="str">
        <f aca="false">Use_Library!$D$51</f>
        <v>stall</v>
      </c>
      <c r="D52" s="14" t="n">
        <f aca="false">MAX(0,Parcel!$C$26*(1-Use_Library!$N$51-Assumptions!$C$7))</f>
        <v>14.196</v>
      </c>
      <c r="E52" s="14" t="n">
        <f aca="false">IF(Use_Library!$M$51&gt;0,MIN(D52,Use_Library!$M$51),D52)</f>
        <v>5</v>
      </c>
      <c r="F52" s="20" t="n">
        <f aca="false">IF(D52=0,0,E52/D52)</f>
        <v>0.352211890673429</v>
      </c>
      <c r="G52" s="14" t="n">
        <f aca="false">Parcel!$C$26*F52</f>
        <v>5.49450549450549</v>
      </c>
      <c r="H52" s="14" t="n">
        <f aca="false">G52*Assumptions!$C$7</f>
        <v>0.21978021978022</v>
      </c>
      <c r="I52" s="14" t="n">
        <f aca="false">G52*(1-Use_Library!$N$51)</f>
        <v>5.21978021978022</v>
      </c>
      <c r="J52" s="14" t="n">
        <f aca="false">Parcel!$C$8*(1-F52)</f>
        <v>12.9557621865314</v>
      </c>
      <c r="K52" s="15" t="n">
        <f aca="false">IF(AND(Use_Library!$I$51="Y",Parcel!$C$28=0),0,1)</f>
        <v>1</v>
      </c>
      <c r="L52" s="15" t="n">
        <f aca="false">IF(AND(Use_Library!$J$51="Y",Parcel!$C$27=0),0,1)</f>
        <v>1</v>
      </c>
      <c r="M52" s="9" t="str">
        <f aca="false">TRIM(IF(AND(Use_Library!$AN$51&gt;0,Parcel!$C$19&lt;Use_Library!$AN$51),"Traffic under "&amp;TEXT(Use_Library!$AN$51,"#,##0")&amp;" VPD. ","")&amp;IF(AND(Use_Library!$AO$51&gt;0,Parcel!$C$20&lt;Use_Library!$AO$51),"Under "&amp;TEXT(Use_Library!$AO$51,"#,##0")&amp;" households in 3 mi. ","")&amp;IF(AND(Use_Library!$AP$51&gt;0,Parcel!$C$21&gt;Use_Library!$AP$51),"Over "&amp;Use_Library!$AP$51&amp;" mi to highway. ","")&amp;IF(AND(Use_Library!$AQ$51="Y",Parcel!$C$22&lt;&gt;"Y"),"Needs a corner. ","")&amp;IF(AND(Use_Library!$AR$51&gt;0,Parcel!$C$23&gt;Use_Library!$AR$51),"Over "&amp;Use_Library!$AR$51&amp;" mi to substation. ",""))</f>
        <v>Over 2 mi to highway.</v>
      </c>
      <c r="N52" s="15" t="n">
        <f aca="false">IF(M52="",1,0)</f>
        <v>0</v>
      </c>
      <c r="O52" s="15" t="n">
        <f aca="false">IF(D52&gt;=Use_Library!$L$51,1,0)</f>
        <v>1</v>
      </c>
      <c r="P52" s="14" t="n">
        <f aca="false">IF(Use_Library!$F$51&gt;0,G52*Use_Library!$F$51,1000000000)</f>
        <v>1000000000</v>
      </c>
      <c r="Q52" s="14" t="n">
        <f aca="false">IF(Use_Library!$G$51&gt;0,E52*43560/Use_Library!$G$51,1000000000)</f>
        <v>155.571428571429</v>
      </c>
      <c r="R52" s="14" t="n">
        <f aca="false">IF(AND(Use_Library!$H$51="Y",Parcel!$C$28=0),E52*(1-Assumptions!$C$8)/IF(Parcel!$C$27=1,Assumptions!$C$9,Assumptions!$C$10),1000000000)</f>
        <v>1000000000</v>
      </c>
      <c r="S52" s="21" t="n">
        <f aca="false">IF(K52*L52*O52*N52=0,0,IF(MIN(P52,Q52,R52)&gt;=1000000000,E52,IF(Use_Library!$E$51="Y",INT(MIN(P52,Q52,R52)),MIN(P52,Q52,R52))))</f>
        <v>0</v>
      </c>
      <c r="T52" s="9" t="str">
        <f aca="false">IF(N52=0,"Location fails",IF(O52=0,"Too small - needs "&amp;Use_Library!$L$51&amp;" usable ac",IF(K52=0,"Needs public sewer",IF(L52=0,"Needs public water",IF(R52&lt;=MIN(P52,Q52),"Septic lot size",IF(Q52&lt;=P52,"Site area / parking","Density"))))))</f>
        <v>Location fails</v>
      </c>
      <c r="U52" s="15" t="n">
        <f aca="false">IF(S52&gt;0,1,0)</f>
        <v>0</v>
      </c>
      <c r="V52" s="15" t="n">
        <f aca="false">IF(Use_Library!$K$51="Y",1,0)*U52</f>
        <v>0</v>
      </c>
      <c r="W52" s="15" t="n">
        <f aca="false">S52*Use_Library!$O$51*V52</f>
        <v>0</v>
      </c>
      <c r="X52" s="15" t="n">
        <f aca="false">S52*Use_Library!$P$51*V52</f>
        <v>0</v>
      </c>
      <c r="Y52" s="15" t="n">
        <f aca="false">IF(Parcel!$C$27=1,W52+Parcel!$C$29,0)*V52</f>
        <v>0</v>
      </c>
      <c r="Z52" s="14" t="n">
        <f aca="false">S52*Use_Library!$Q$51*Parcel!$C$27*V52</f>
        <v>0</v>
      </c>
      <c r="AA52" s="15" t="n">
        <f aca="false">IF(Parcel!$C$28=1,W52+Parcel!$C$30,0)*V52</f>
        <v>0</v>
      </c>
      <c r="AB52" s="14" t="n">
        <f aca="false">S52*Use_Library!$Q$51*Parcel!$C$28*V52</f>
        <v>0</v>
      </c>
      <c r="AC52" s="14" t="n">
        <f aca="false">IF(Parcel!$C$28=0,S52*Use_Library!$R$51,0)*V52</f>
        <v>0</v>
      </c>
      <c r="AD52" s="14" t="n">
        <f aca="false">IF(Parcel!$C$27=0,S52*Use_Library!$R$51,0)*V52</f>
        <v>0</v>
      </c>
      <c r="AE52" s="14" t="n">
        <f aca="false">I52*Parcel!$C$11*V52</f>
        <v>0</v>
      </c>
      <c r="AF52" s="14" t="n">
        <f aca="false">I52*V52</f>
        <v>0</v>
      </c>
      <c r="AG52" s="15" t="n">
        <f aca="false">IF(Use_Library!$C$51="For-Sale",IF(Use_Library!$E$51="Y",S52,1),1)*U52</f>
        <v>0</v>
      </c>
      <c r="AH52" s="19" t="n">
        <f aca="false">Cost_Library!$G$5*Parcel!$C$32*U52</f>
        <v>0</v>
      </c>
      <c r="AI52" s="19" t="n">
        <f aca="false">AG52*Cost_Library!$G$6*Parcel!$C$32</f>
        <v>0</v>
      </c>
      <c r="AJ52" s="19" t="n">
        <f aca="false">I52*Cost_Library!$G$7*Parcel!$C$32*V52</f>
        <v>0</v>
      </c>
      <c r="AK52" s="19" t="n">
        <f aca="false">Cost_Library!$G$8*Parcel!$C$32*V52</f>
        <v>0</v>
      </c>
      <c r="AL52" s="19" t="n">
        <f aca="false">AC52*Cost_Library!$G$9*Parcel!$C$32</f>
        <v>0</v>
      </c>
      <c r="AM52" s="19" t="n">
        <f aca="false">Cost_Library!$G$10*U52</f>
        <v>0</v>
      </c>
      <c r="AN52" s="19" t="n">
        <f aca="false">Cost_Library!$G$11*Parcel!$C$32*V52</f>
        <v>0</v>
      </c>
      <c r="AO52" s="19" t="n">
        <f aca="false">Use_Library!$S$51*U52</f>
        <v>0</v>
      </c>
      <c r="AP52" s="19" t="n">
        <f aca="false">Cost_Library!$G$12*U52</f>
        <v>0</v>
      </c>
      <c r="AQ52" s="19" t="n">
        <f aca="false">AE52*Cost_Library!$G$13*Parcel!$C$32</f>
        <v>0</v>
      </c>
      <c r="AR52" s="19" t="n">
        <f aca="false">AF52*Cost_Library!$G$14*Parcel!$C$32*Parcel!$C$33</f>
        <v>0</v>
      </c>
      <c r="AS52" s="19" t="n">
        <f aca="false">W52*Cost_Library!$G$15*Parcel!$C$32</f>
        <v>0</v>
      </c>
      <c r="AT52" s="19" t="n">
        <f aca="false">X52*Cost_Library!$G$16*Parcel!$C$32</f>
        <v>0</v>
      </c>
      <c r="AU52" s="19" t="n">
        <f aca="false">H52*Cost_Library!$G$17*Parcel!$C$32*V52</f>
        <v>0</v>
      </c>
      <c r="AV52" s="19" t="n">
        <f aca="false">G52*Cost_Library!$G$18*Parcel!$C$32*V52</f>
        <v>0</v>
      </c>
      <c r="AW52" s="19" t="n">
        <f aca="false">Y52*Cost_Library!$G$19*Parcel!$C$32</f>
        <v>0</v>
      </c>
      <c r="AX52" s="19" t="n">
        <f aca="false">Z52*Cost_Library!$G$20</f>
        <v>0</v>
      </c>
      <c r="AY52" s="19" t="n">
        <f aca="false">AA52*Cost_Library!$G$21*Parcel!$C$32</f>
        <v>0</v>
      </c>
      <c r="AZ52" s="19" t="n">
        <f aca="false">AB52*Cost_Library!$G$22</f>
        <v>0</v>
      </c>
      <c r="BA52" s="19" t="n">
        <f aca="false">AC52*Cost_Library!$G$23*Parcel!$C$32*Parcel!$C$34</f>
        <v>0</v>
      </c>
      <c r="BB52" s="19" t="n">
        <f aca="false">AD52*Cost_Library!$G$24*Parcel!$C$32</f>
        <v>0</v>
      </c>
      <c r="BC52" s="19" t="n">
        <f aca="false">W52*Cost_Library!$G$25*Parcel!$C$32</f>
        <v>0</v>
      </c>
      <c r="BD52" s="19" t="n">
        <f aca="false">SUM(AH52:BC52)</f>
        <v>0</v>
      </c>
      <c r="BE52" s="19" t="n">
        <f aca="false">BD52*Assumptions!$C$11</f>
        <v>0</v>
      </c>
      <c r="BF52" s="19" t="n">
        <f aca="false">BD52+BE52</f>
        <v>0</v>
      </c>
      <c r="BG52" s="19" t="n">
        <f aca="false">S52*Use_Library!$T$51</f>
        <v>0</v>
      </c>
      <c r="BH52" s="19" t="n">
        <f aca="false">BG52*(Assumptions!$C$12+Assumptions!$C$13)</f>
        <v>0</v>
      </c>
      <c r="BI52" s="19" t="n">
        <f aca="false">S52*Use_Library!$AC$51</f>
        <v>0</v>
      </c>
      <c r="BJ52" s="23" t="n">
        <f aca="false">1+Assumptions!$C$14+Assumptions!$C$15*Use_Library!$AH$51/12</f>
        <v>1.03666666666667</v>
      </c>
      <c r="BK52" s="23" t="n">
        <f aca="false">1+Assumptions!$C$21*(Assumptions!$C$22*Use_Library!$AH$51/12*Assumptions!$C$24+Assumptions!$C$23)</f>
        <v>1.02795</v>
      </c>
      <c r="BL52" s="23" t="n">
        <f aca="false">1+Assumptions!$C$21*(Assumptions!$C$22*(Use_Library!$AH$51/12*Assumptions!$C$24+IF(Use_Library!$C$51="Income",Use_Library!$AD$51,0)/12*Assumptions!$C$25)+Assumptions!$C$23)</f>
        <v>1.0572</v>
      </c>
      <c r="BM52" s="19" t="n">
        <f aca="false">J52*Assumptions!$C$31*(1-Assumptions!$C$17)*U52</f>
        <v>0</v>
      </c>
      <c r="BN52" s="19" t="n">
        <f aca="false">IF(Use_Library!$AJ$51=1,IF(Use_Library!$C$51="For-Sale",S52*Use_Library!$U$51,E52*Use_Library!$AF$51)*(1-Assumptions!$C$17)+BM52,0)*U52</f>
        <v>0</v>
      </c>
      <c r="BO52" s="19" t="n">
        <f aca="false">(BD52-AT52)*(1+Assumptions!$C$11)</f>
        <v>0</v>
      </c>
      <c r="BP52" s="23" t="n">
        <f aca="false">BJ52*BK52</f>
        <v>1.0656415</v>
      </c>
      <c r="BQ52" s="19" t="n">
        <f aca="false">(Parcel!$C$18*BJ52+BO52)*BK52</f>
        <v>319692.45</v>
      </c>
      <c r="BR52" s="19" t="n">
        <f aca="false">BN52-BQ52</f>
        <v>-319692.45</v>
      </c>
      <c r="BS52" s="32" t="n">
        <f aca="false">IF(AND(Use_Library!$AJ$51=1,U52=1),MAX(0,((1-Use_Library!$AI$51)*BN52-BO52*BK52)/BP52),0)</f>
        <v>0</v>
      </c>
      <c r="BT52" s="19" t="n">
        <f aca="false">BF52+BG52+BH52+BI52</f>
        <v>0</v>
      </c>
      <c r="BU52" s="23" t="n">
        <f aca="false">BJ52*BL52</f>
        <v>1.095964</v>
      </c>
      <c r="BV52" s="19" t="n">
        <f aca="false">(Parcel!$C$18*BJ52+BT52)*BL52</f>
        <v>328789.2</v>
      </c>
      <c r="BW52" s="19" t="n">
        <f aca="false">IF(Use_Library!$C$51="Income",S52*Use_Library!$W$51,0)</f>
        <v>0</v>
      </c>
      <c r="BX52" s="19" t="n">
        <f aca="false">BW52*(1+Use_Library!$X$51)*(1-Use_Library!$Y$51)</f>
        <v>0</v>
      </c>
      <c r="BY52" s="19" t="n">
        <f aca="false">IF(Use_Library!$C$51="Income",S52*Use_Library!$Z$51,0)</f>
        <v>0</v>
      </c>
      <c r="BZ52" s="19" t="n">
        <f aca="false">IF(Use_Library!$C$51="Income",Assumptions!$C$19*Assumptions!$C$20*BV52,0)</f>
        <v>6148.35804</v>
      </c>
      <c r="CA52" s="19" t="n">
        <f aca="false">BX52*Use_Library!$AA$51</f>
        <v>0</v>
      </c>
      <c r="CB52" s="19" t="n">
        <f aca="false">(BY52+BZ52)*Use_Library!$AB$51</f>
        <v>0</v>
      </c>
      <c r="CC52" s="19" t="n">
        <f aca="false">BX52-BY52-BZ52-CA52+CB52</f>
        <v>-6148.35804</v>
      </c>
      <c r="CD52" s="19" t="n">
        <f aca="false">IF(AND(Use_Library!$C$51="Income",Use_Library!$AE$51&gt;0),CC52/Use_Library!$AE$51,0)</f>
        <v>-76854.4755</v>
      </c>
      <c r="CE52" s="24" t="n">
        <f aca="false">IF(Use_Library!$C$51="Income",-Assumptions!$C$19*Assumptions!$C$20*(1-Use_Library!$AB$51)*BU52,0)</f>
        <v>-0.0204945268</v>
      </c>
      <c r="CF52" s="20" t="n">
        <f aca="false">IF(BV52=0,0,CC52/BV52)</f>
        <v>-0.0187</v>
      </c>
      <c r="CG52" s="19" t="n">
        <f aca="false">IF(Use_Library!$AK$51=1,IF(Use_Library!$C$51="Income",CD52*(1-Assumptions!$C$18),S52*Use_Library!$V$51*(1-Assumptions!$C$16))+BM52,0)*U52</f>
        <v>-0</v>
      </c>
      <c r="CH52" s="24" t="n">
        <f aca="false">IF(AND(Use_Library!$AK$51=1,Use_Library!$C$51="Income",Use_Library!$AE$51&gt;0),CE52/Use_Library!$AE$51*(1-Assumptions!$C$18),0)</f>
        <v>-0.2510579533</v>
      </c>
      <c r="CI52" s="19" t="n">
        <f aca="false">CG52-BV52</f>
        <v>-328789.2</v>
      </c>
      <c r="CJ52" s="32" t="n">
        <f aca="false">IF(AND(Use_Library!$AK$51=1,U52=1),MAX(0,Parcel!$C$18-((1-Use_Library!$AI$51)*CG52-BV52)/((1-Use_Library!$AI$51)*CH52-BU52)),0)</f>
        <v>0</v>
      </c>
      <c r="CK52" s="19" t="n">
        <f aca="false">IF(Use_Library!$AL$51=1,IF(Use_Library!$C$51="Income",CD52,IF(Use_Library!$AE$51&gt;0,E52*Use_Library!$AG$51/Use_Library!$AE$51,0))+BM52,0)*U52</f>
        <v>-0</v>
      </c>
      <c r="CL52" s="19" t="n">
        <f aca="false">IF(Use_Library!$C$51="Income",BT52,BF52)</f>
        <v>0</v>
      </c>
      <c r="CM52" s="23" t="n">
        <f aca="false">IF(Use_Library!$C$51="Income",BU52,BJ52*BK52)</f>
        <v>1.095964</v>
      </c>
      <c r="CN52" s="19" t="n">
        <f aca="false">IF(Use_Library!$C$51="Income",BV52,(Parcel!$C$18*BJ52+BF52)*BK52)</f>
        <v>328789.2</v>
      </c>
      <c r="CO52" s="24" t="n">
        <f aca="false">IF(AND(Use_Library!$AL$51=1,Use_Library!$C$51="Income",Use_Library!$AE$51&gt;0),CE52/Use_Library!$AE$51,0)</f>
        <v>-0.256181585</v>
      </c>
      <c r="CP52" s="19" t="n">
        <f aca="false">CK52-CN52</f>
        <v>-328789.2</v>
      </c>
      <c r="CQ52" s="32" t="n">
        <f aca="false">IF(AND(Use_Library!$AL$51=1,U52=1),MAX(0,Parcel!$C$18-((1-Use_Library!$AI$51)*CK52-CN52)/((1-Use_Library!$AI$51)*CO52-CM52)),0)</f>
        <v>0</v>
      </c>
      <c r="CR52" s="19" t="n">
        <f aca="false">IF(Use_Library!$C$51="Income",Assumptions!$C$21*(Parcel!$C$18*BJ52+BT52),0)</f>
        <v>202150</v>
      </c>
      <c r="CS52" s="19" t="n">
        <f aca="false">IF(AND(Use_Library!$C$51="Income",CC52&gt;0),MIN(Assumptions!$C$26*CD52,PV(Assumptions!$C$29/12,Assumptions!$C$30*12,-CC52/Assumptions!$C$27/12),CC52/Assumptions!$C$28),0)</f>
        <v>0</v>
      </c>
      <c r="CT52" s="25" t="n">
        <f aca="false">IF(CS52=0,0,CC52/(-PMT(Assumptions!$C$29/12,Assumptions!$C$30*12,CS52)*12))</f>
        <v>0</v>
      </c>
      <c r="CU52" s="19" t="n">
        <f aca="false">CS52-CR52</f>
        <v>-202150</v>
      </c>
      <c r="CV52" s="18" t="n">
        <f aca="false">MAX(BS52,CJ52,CQ52)</f>
        <v>0</v>
      </c>
      <c r="CW52" s="9" t="str">
        <f aca="false">IF(CV52&lt;=0,"None works",IF(BS52=CV52,"Land / pad sale",IF(CJ52=CV52,"Build &amp; sell","Build &amp; hold / lease")))</f>
        <v>None works</v>
      </c>
      <c r="CX52" s="19" t="n">
        <f aca="false">CV52*(1-Assumptions!$C$32)</f>
        <v>0</v>
      </c>
      <c r="CY52" s="19" t="n">
        <f aca="false">CV52-Parcel!$C$18</f>
        <v>-300000</v>
      </c>
      <c r="CZ52" s="19" t="n">
        <f aca="false">IF(Parcel!$C$8=0,0,CV52/Parcel!$C$8)</f>
        <v>0</v>
      </c>
      <c r="DA52" s="33" t="n">
        <f aca="false">IF(S52=0,0,CV52/S52)</f>
        <v>0</v>
      </c>
      <c r="DB52" s="9" t="str">
        <f aca="false">TRIM(M52&amp;" "&amp;IF(AND(U52=0,N52=1),"Nothing fits. ","")&amp;IF(Parcel!$C$12&lt;Use_Library!$AM$51,"Frontage under "&amp;Use_Library!$AM$51&amp;" LF. ","")&amp;IF(Parcel!$C$10&gt;0.15,"Slope over 15%. ","")&amp;IF(AND(U52=1,Use_Library!$M$51&gt;0,D52&gt;Use_Library!$M$51),"Only "&amp;Use_Library!$M$51&amp;" ac used - rest resold. ",""))</f>
        <v>Over 2 mi to highway.</v>
      </c>
      <c r="DC52" s="19" t="n">
        <f aca="false">CV52+ROW()/1000000</f>
        <v>5.2E-005</v>
      </c>
    </row>
    <row r="53" customFormat="false" ht="15" hidden="false" customHeight="false" outlineLevel="0" collapsed="false">
      <c r="A53" s="4" t="str">
        <f aca="false">Use_Library!$A$52</f>
        <v>Boat &amp; RV storage</v>
      </c>
      <c r="B53" s="9" t="str">
        <f aca="false">Use_Library!$C$52</f>
        <v>Income</v>
      </c>
      <c r="C53" s="9" t="str">
        <f aca="false">Use_Library!$D$52</f>
        <v>stall</v>
      </c>
      <c r="D53" s="14" t="n">
        <f aca="false">MAX(0,Parcel!$C$26*(1-Use_Library!$N$52-Assumptions!$C$7))</f>
        <v>14.196</v>
      </c>
      <c r="E53" s="14" t="n">
        <f aca="false">IF(Use_Library!$M$52&gt;0,MIN(D53,Use_Library!$M$52),D53)</f>
        <v>6</v>
      </c>
      <c r="F53" s="20" t="n">
        <f aca="false">IF(D53=0,0,E53/D53)</f>
        <v>0.422654268808115</v>
      </c>
      <c r="G53" s="14" t="n">
        <f aca="false">Parcel!$C$26*F53</f>
        <v>6.59340659340659</v>
      </c>
      <c r="H53" s="14" t="n">
        <f aca="false">G53*Assumptions!$C$7</f>
        <v>0.263736263736264</v>
      </c>
      <c r="I53" s="14" t="n">
        <f aca="false">G53*(1-Use_Library!$N$52)</f>
        <v>6.26373626373626</v>
      </c>
      <c r="J53" s="14" t="n">
        <f aca="false">Parcel!$C$8*(1-F53)</f>
        <v>11.5469146238377</v>
      </c>
      <c r="K53" s="15" t="n">
        <f aca="false">IF(AND(Use_Library!$I$52="Y",Parcel!$C$28=0),0,1)</f>
        <v>1</v>
      </c>
      <c r="L53" s="15" t="n">
        <f aca="false">IF(AND(Use_Library!$J$52="Y",Parcel!$C$27=0),0,1)</f>
        <v>1</v>
      </c>
      <c r="M53" s="9" t="str">
        <f aca="false">TRIM(IF(AND(Use_Library!$AN$52&gt;0,Parcel!$C$19&lt;Use_Library!$AN$52),"Traffic under "&amp;TEXT(Use_Library!$AN$52,"#,##0")&amp;" VPD. ","")&amp;IF(AND(Use_Library!$AO$52&gt;0,Parcel!$C$20&lt;Use_Library!$AO$52),"Under "&amp;TEXT(Use_Library!$AO$52,"#,##0")&amp;" households in 3 mi. ","")&amp;IF(AND(Use_Library!$AP$52&gt;0,Parcel!$C$21&gt;Use_Library!$AP$52),"Over "&amp;Use_Library!$AP$52&amp;" mi to highway. ","")&amp;IF(AND(Use_Library!$AQ$52="Y",Parcel!$C$22&lt;&gt;"Y"),"Needs a corner. ","")&amp;IF(AND(Use_Library!$AR$52&gt;0,Parcel!$C$23&gt;Use_Library!$AR$52),"Over "&amp;Use_Library!$AR$52&amp;" mi to substation. ",""))</f>
        <v/>
      </c>
      <c r="N53" s="15" t="n">
        <f aca="false">IF(M53="",1,0)</f>
        <v>1</v>
      </c>
      <c r="O53" s="15" t="n">
        <f aca="false">IF(D53&gt;=Use_Library!$L$52,1,0)</f>
        <v>1</v>
      </c>
      <c r="P53" s="14" t="n">
        <f aca="false">IF(Use_Library!$F$52&gt;0,G53*Use_Library!$F$52,1000000000)</f>
        <v>1000000000</v>
      </c>
      <c r="Q53" s="14" t="n">
        <f aca="false">IF(Use_Library!$G$52&gt;0,E53*43560/Use_Library!$G$52,1000000000)</f>
        <v>373.371428571429</v>
      </c>
      <c r="R53" s="14" t="n">
        <f aca="false">IF(AND(Use_Library!$H$52="Y",Parcel!$C$28=0),E53*(1-Assumptions!$C$8)/IF(Parcel!$C$27=1,Assumptions!$C$9,Assumptions!$C$10),1000000000)</f>
        <v>1000000000</v>
      </c>
      <c r="S53" s="21" t="n">
        <f aca="false">IF(K53*L53*O53*N53=0,0,IF(MIN(P53,Q53,R53)&gt;=1000000000,E53,IF(Use_Library!$E$52="Y",INT(MIN(P53,Q53,R53)),MIN(P53,Q53,R53))))</f>
        <v>373</v>
      </c>
      <c r="T53" s="9" t="str">
        <f aca="false">IF(N53=0,"Location fails",IF(O53=0,"Too small - needs "&amp;Use_Library!$L$52&amp;" usable ac",IF(K53=0,"Needs public sewer",IF(L53=0,"Needs public water",IF(R53&lt;=MIN(P53,Q53),"Septic lot size",IF(Q53&lt;=P53,"Site area / parking","Density"))))))</f>
        <v>Site area / parking</v>
      </c>
      <c r="U53" s="15" t="n">
        <f aca="false">IF(S53&gt;0,1,0)</f>
        <v>1</v>
      </c>
      <c r="V53" s="15" t="n">
        <f aca="false">IF(Use_Library!$K$52="Y",1,0)*U53</f>
        <v>1</v>
      </c>
      <c r="W53" s="15" t="n">
        <f aca="false">S53*Use_Library!$O$52*V53</f>
        <v>0</v>
      </c>
      <c r="X53" s="15" t="n">
        <f aca="false">S53*Use_Library!$P$52*V53</f>
        <v>0</v>
      </c>
      <c r="Y53" s="15" t="n">
        <f aca="false">IF(Parcel!$C$27=1,W53+Parcel!$C$29,0)*V53</f>
        <v>0</v>
      </c>
      <c r="Z53" s="14" t="n">
        <f aca="false">S53*Use_Library!$Q$52*Parcel!$C$27*V53</f>
        <v>0</v>
      </c>
      <c r="AA53" s="15" t="n">
        <f aca="false">IF(Parcel!$C$28=1,W53+Parcel!$C$30,0)*V53</f>
        <v>0</v>
      </c>
      <c r="AB53" s="14" t="n">
        <f aca="false">S53*Use_Library!$Q$52*Parcel!$C$28*V53</f>
        <v>0</v>
      </c>
      <c r="AC53" s="14" t="n">
        <f aca="false">IF(Parcel!$C$28=0,S53*Use_Library!$R$52,0)*V53</f>
        <v>0</v>
      </c>
      <c r="AD53" s="14" t="n">
        <f aca="false">IF(Parcel!$C$27=0,S53*Use_Library!$R$52,0)*V53</f>
        <v>0</v>
      </c>
      <c r="AE53" s="14" t="n">
        <f aca="false">I53*Parcel!$C$11*V53</f>
        <v>2.19230769230769</v>
      </c>
      <c r="AF53" s="14" t="n">
        <f aca="false">I53*V53</f>
        <v>6.26373626373626</v>
      </c>
      <c r="AG53" s="15" t="n">
        <f aca="false">IF(Use_Library!$C$52="For-Sale",IF(Use_Library!$E$52="Y",S53,1),1)*U53</f>
        <v>1</v>
      </c>
      <c r="AH53" s="19" t="n">
        <f aca="false">Cost_Library!$G$5*Parcel!$C$32*U53</f>
        <v>6500</v>
      </c>
      <c r="AI53" s="19" t="n">
        <f aca="false">AG53*Cost_Library!$G$6*Parcel!$C$32</f>
        <v>900</v>
      </c>
      <c r="AJ53" s="19" t="n">
        <f aca="false">I53*Cost_Library!$G$7*Parcel!$C$32*V53</f>
        <v>31318.6813186813</v>
      </c>
      <c r="AK53" s="19" t="n">
        <f aca="false">Cost_Library!$G$8*Parcel!$C$32*V53</f>
        <v>5000</v>
      </c>
      <c r="AL53" s="19" t="n">
        <f aca="false">AC53*Cost_Library!$G$9*Parcel!$C$32</f>
        <v>0</v>
      </c>
      <c r="AM53" s="19" t="n">
        <f aca="false">Cost_Library!$G$10*U53</f>
        <v>2800</v>
      </c>
      <c r="AN53" s="19" t="n">
        <f aca="false">Cost_Library!$G$11*Parcel!$C$32*V53</f>
        <v>7500</v>
      </c>
      <c r="AO53" s="19" t="n">
        <f aca="false">Use_Library!$S$52*U53</f>
        <v>25000</v>
      </c>
      <c r="AP53" s="19" t="n">
        <f aca="false">Cost_Library!$G$12*U53</f>
        <v>10000</v>
      </c>
      <c r="AQ53" s="19" t="n">
        <f aca="false">AE53*Cost_Library!$G$13*Parcel!$C$32</f>
        <v>8769.23076923077</v>
      </c>
      <c r="AR53" s="19" t="n">
        <f aca="false">AF53*Cost_Library!$G$14*Parcel!$C$32*Parcel!$C$33</f>
        <v>31318.6813186813</v>
      </c>
      <c r="AS53" s="19" t="n">
        <f aca="false">W53*Cost_Library!$G$15*Parcel!$C$32</f>
        <v>0</v>
      </c>
      <c r="AT53" s="19" t="n">
        <f aca="false">X53*Cost_Library!$G$16*Parcel!$C$32</f>
        <v>0</v>
      </c>
      <c r="AU53" s="19" t="n">
        <f aca="false">H53*Cost_Library!$G$17*Parcel!$C$32*V53</f>
        <v>14505.4945054945</v>
      </c>
      <c r="AV53" s="19" t="n">
        <f aca="false">G53*Cost_Library!$G$18*Parcel!$C$32*V53</f>
        <v>4615.38461538462</v>
      </c>
      <c r="AW53" s="19" t="n">
        <f aca="false">Y53*Cost_Library!$G$19*Parcel!$C$32</f>
        <v>0</v>
      </c>
      <c r="AX53" s="19" t="n">
        <f aca="false">Z53*Cost_Library!$G$20</f>
        <v>0</v>
      </c>
      <c r="AY53" s="19" t="n">
        <f aca="false">AA53*Cost_Library!$G$21*Parcel!$C$32</f>
        <v>0</v>
      </c>
      <c r="AZ53" s="19" t="n">
        <f aca="false">AB53*Cost_Library!$G$22</f>
        <v>0</v>
      </c>
      <c r="BA53" s="19" t="n">
        <f aca="false">AC53*Cost_Library!$G$23*Parcel!$C$32*Parcel!$C$34</f>
        <v>0</v>
      </c>
      <c r="BB53" s="19" t="n">
        <f aca="false">AD53*Cost_Library!$G$24*Parcel!$C$32</f>
        <v>0</v>
      </c>
      <c r="BC53" s="19" t="n">
        <f aca="false">W53*Cost_Library!$G$25*Parcel!$C$32</f>
        <v>0</v>
      </c>
      <c r="BD53" s="19" t="n">
        <f aca="false">SUM(AH53:BC53)</f>
        <v>148227.472527473</v>
      </c>
      <c r="BE53" s="19" t="n">
        <f aca="false">BD53*Assumptions!$C$11</f>
        <v>14822.7472527473</v>
      </c>
      <c r="BF53" s="19" t="n">
        <f aca="false">BD53+BE53</f>
        <v>163050.21978022</v>
      </c>
      <c r="BG53" s="19" t="n">
        <f aca="false">S53*Use_Library!$T$52</f>
        <v>1678500</v>
      </c>
      <c r="BH53" s="19" t="n">
        <f aca="false">BG53*(Assumptions!$C$12+Assumptions!$C$13)</f>
        <v>218205</v>
      </c>
      <c r="BI53" s="19" t="n">
        <f aca="false">S53*Use_Library!$AC$52</f>
        <v>0</v>
      </c>
      <c r="BJ53" s="23" t="n">
        <f aca="false">1+Assumptions!$C$14+Assumptions!$C$15*Use_Library!$AH$52/12</f>
        <v>1.03666666666667</v>
      </c>
      <c r="BK53" s="23" t="n">
        <f aca="false">1+Assumptions!$C$21*(Assumptions!$C$22*Use_Library!$AH$52/12*Assumptions!$C$24+Assumptions!$C$23)</f>
        <v>1.02795</v>
      </c>
      <c r="BL53" s="23" t="n">
        <f aca="false">1+Assumptions!$C$21*(Assumptions!$C$22*(Use_Library!$AH$52/12*Assumptions!$C$24+IF(Use_Library!$C$52="Income",Use_Library!$AD$52,0)/12*Assumptions!$C$25)+Assumptions!$C$23)</f>
        <v>1.08645</v>
      </c>
      <c r="BM53" s="19" t="n">
        <f aca="false">J53*Assumptions!$C$31*(1-Assumptions!$C$17)*U53</f>
        <v>133020.45646661</v>
      </c>
      <c r="BN53" s="19" t="n">
        <f aca="false">IF(Use_Library!$AJ$52=1,IF(Use_Library!$C$52="For-Sale",S53*Use_Library!$U$52,E53*Use_Library!$AF$52)*(1-Assumptions!$C$17)+BM53,0)*U53</f>
        <v>824220.45646661</v>
      </c>
      <c r="BO53" s="19" t="n">
        <f aca="false">(BD53-AT53)*(1+Assumptions!$C$11)</f>
        <v>163050.21978022</v>
      </c>
      <c r="BP53" s="23" t="n">
        <f aca="false">BJ53*BK53</f>
        <v>1.0656415</v>
      </c>
      <c r="BQ53" s="19" t="n">
        <f aca="false">(Parcel!$C$18*BJ53+BO53)*BK53</f>
        <v>487299.923423077</v>
      </c>
      <c r="BR53" s="19" t="n">
        <f aca="false">BN53-BQ53</f>
        <v>336920.533043533</v>
      </c>
      <c r="BS53" s="32" t="n">
        <f aca="false">IF(AND(Use_Library!$AJ$52=1,U53=1),MAX(0,((1-Use_Library!$AI$52)*BN53-BO53*BK53)/BP53),0)</f>
        <v>500149.360336982</v>
      </c>
      <c r="BT53" s="19" t="n">
        <f aca="false">BF53+BG53+BH53+BI53</f>
        <v>2059755.21978022</v>
      </c>
      <c r="BU53" s="23" t="n">
        <f aca="false">BJ53*BL53</f>
        <v>1.1262865</v>
      </c>
      <c r="BV53" s="19" t="n">
        <f aca="false">(Parcel!$C$18*BJ53+BT53)*BL53</f>
        <v>2575707.00853022</v>
      </c>
      <c r="BW53" s="19" t="n">
        <f aca="false">IF(Use_Library!$C$52="Income",S53*Use_Library!$W$52,0)</f>
        <v>559500</v>
      </c>
      <c r="BX53" s="19" t="n">
        <f aca="false">BW53*(1+Use_Library!$X$52)*(1-Use_Library!$Y$52)</f>
        <v>492360</v>
      </c>
      <c r="BY53" s="19" t="n">
        <f aca="false">IF(Use_Library!$C$52="Income",S53*Use_Library!$Z$52,0)</f>
        <v>55950</v>
      </c>
      <c r="BZ53" s="19" t="n">
        <f aca="false">IF(Use_Library!$C$52="Income",Assumptions!$C$19*Assumptions!$C$20*BV53,0)</f>
        <v>48165.7210595151</v>
      </c>
      <c r="CA53" s="19" t="n">
        <f aca="false">BX53*Use_Library!$AA$52</f>
        <v>39388.8</v>
      </c>
      <c r="CB53" s="19" t="n">
        <f aca="false">(BY53+BZ53)*Use_Library!$AB$52</f>
        <v>0</v>
      </c>
      <c r="CC53" s="19" t="n">
        <f aca="false">BX53-BY53-BZ53-CA53+CB53</f>
        <v>348855.478940485</v>
      </c>
      <c r="CD53" s="19" t="n">
        <f aca="false">IF(AND(Use_Library!$C$52="Income",Use_Library!$AE$52&gt;0),CC53/Use_Library!$AE$52,0)</f>
        <v>4811799.70952393</v>
      </c>
      <c r="CE53" s="24" t="n">
        <f aca="false">IF(Use_Library!$C$52="Income",-Assumptions!$C$19*Assumptions!$C$20*(1-Use_Library!$AB$52)*BU53,0)</f>
        <v>-0.02106155755</v>
      </c>
      <c r="CF53" s="20" t="n">
        <f aca="false">IF(BV53=0,0,CC53/BV53)</f>
        <v>0.135440668439829</v>
      </c>
      <c r="CG53" s="19" t="n">
        <f aca="false">IF(Use_Library!$AK$52=1,IF(Use_Library!$C$52="Income",CD53*(1-Assumptions!$C$18),S53*Use_Library!$V$52*(1-Assumptions!$C$16))+BM53,0)*U53</f>
        <v>4848584.17180006</v>
      </c>
      <c r="CH53" s="24" t="n">
        <f aca="false">IF(AND(Use_Library!$AK$52=1,Use_Library!$C$52="Income",Use_Library!$AE$52&gt;0),CE53/Use_Library!$AE$52*(1-Assumptions!$C$18),0)</f>
        <v>-0.284694157227586</v>
      </c>
      <c r="CI53" s="19" t="n">
        <f aca="false">CG53-BV53</f>
        <v>2272877.16326984</v>
      </c>
      <c r="CJ53" s="32" t="n">
        <f aca="false">IF(AND(Use_Library!$AK$52=1,U53=1),MAX(0,Parcel!$C$18-((1-Use_Library!$AI$52)*CG53-BV53)/((1-Use_Library!$AI$52)*CH53-BU53)),0)</f>
        <v>1429588.5732866</v>
      </c>
      <c r="CK53" s="19" t="n">
        <f aca="false">IF(Use_Library!$AL$52=1,IF(Use_Library!$C$52="Income",CD53,IF(Use_Library!$AE$52&gt;0,E53*Use_Library!$AG$52/Use_Library!$AE$52,0))+BM53,0)*U53</f>
        <v>4944820.16599054</v>
      </c>
      <c r="CL53" s="19" t="n">
        <f aca="false">IF(Use_Library!$C$52="Income",BT53,BF53)</f>
        <v>2059755.21978022</v>
      </c>
      <c r="CM53" s="23" t="n">
        <f aca="false">IF(Use_Library!$C$52="Income",BU53,BJ53*BK53)</f>
        <v>1.1262865</v>
      </c>
      <c r="CN53" s="19" t="n">
        <f aca="false">IF(Use_Library!$C$52="Income",BV53,(Parcel!$C$18*BJ53+BF53)*BK53)</f>
        <v>2575707.00853022</v>
      </c>
      <c r="CO53" s="24" t="n">
        <f aca="false">IF(AND(Use_Library!$AL$52=1,Use_Library!$C$52="Income",Use_Library!$AE$52&gt;0),CE53/Use_Library!$AE$52,0)</f>
        <v>-0.290504242068966</v>
      </c>
      <c r="CP53" s="19" t="n">
        <f aca="false">CK53-CN53</f>
        <v>2369113.15746032</v>
      </c>
      <c r="CQ53" s="32" t="n">
        <f aca="false">IF(AND(Use_Library!$AL$52=1,U53=1),MAX(0,Parcel!$C$18-((1-Use_Library!$AI$52)*CK53-CN53)/((1-Use_Library!$AI$52)*CO53-CM53)),0)</f>
        <v>1485094.83746372</v>
      </c>
      <c r="CR53" s="19" t="n">
        <f aca="false">IF(Use_Library!$C$52="Income",Assumptions!$C$21*(Parcel!$C$18*BJ53+BT53),0)</f>
        <v>1540990.89285714</v>
      </c>
      <c r="CS53" s="19" t="n">
        <f aca="false">IF(AND(Use_Library!$C$52="Income",CC53&gt;0),MIN(Assumptions!$C$26*CD53,PV(Assumptions!$C$29/12,Assumptions!$C$30*12,-CC53/Assumptions!$C$27/12),CC53/Assumptions!$C$28),0)</f>
        <v>3368259.79666675</v>
      </c>
      <c r="CT53" s="25" t="n">
        <f aca="false">IF(CS53=0,0,CC53/(-PMT(Assumptions!$C$29/12,Assumptions!$C$30*12,CS53)*12))</f>
        <v>1.32391761165839</v>
      </c>
      <c r="CU53" s="19" t="n">
        <f aca="false">CS53-CR53</f>
        <v>1827268.90380961</v>
      </c>
      <c r="CV53" s="18" t="n">
        <f aca="false">MAX(BS53,CJ53,CQ53)</f>
        <v>1485094.83746372</v>
      </c>
      <c r="CW53" s="9" t="str">
        <f aca="false">IF(CV53&lt;=0,"None works",IF(BS53=CV53,"Land / pad sale",IF(CJ53=CV53,"Build &amp; sell","Build &amp; hold / lease")))</f>
        <v>Build &amp; hold / lease</v>
      </c>
      <c r="CX53" s="19" t="n">
        <f aca="false">CV53*(1-Assumptions!$C$32)</f>
        <v>1262330.61184416</v>
      </c>
      <c r="CY53" s="19" t="n">
        <f aca="false">CV53-Parcel!$C$18</f>
        <v>1185094.83746372</v>
      </c>
      <c r="CZ53" s="19" t="n">
        <f aca="false">IF(Parcel!$C$8=0,0,CV53/Parcel!$C$8)</f>
        <v>74254.7418731861</v>
      </c>
      <c r="DA53" s="33" t="n">
        <f aca="false">IF(S53=0,0,CV53/S53)</f>
        <v>3981.48749990274</v>
      </c>
      <c r="DB53" s="9" t="str">
        <f aca="false">TRIM(M53&amp;" "&amp;IF(AND(U53=0,N53=1),"Nothing fits. ","")&amp;IF(Parcel!$C$12&lt;Use_Library!$AM$52,"Frontage under "&amp;Use_Library!$AM$52&amp;" LF. ","")&amp;IF(Parcel!$C$10&gt;0.15,"Slope over 15%. ","")&amp;IF(AND(U53=1,Use_Library!$M$52&gt;0,D53&gt;Use_Library!$M$52),"Only "&amp;Use_Library!$M$52&amp;" ac used - rest resold. ",""))</f>
        <v>Only 6 ac used - rest resold.</v>
      </c>
      <c r="DC53" s="19" t="n">
        <f aca="false">CV53+ROW()/1000000</f>
        <v>1485094.83751672</v>
      </c>
    </row>
    <row r="54" customFormat="false" ht="15" hidden="false" customHeight="false" outlineLevel="0" collapsed="false">
      <c r="A54" s="4" t="str">
        <f aca="false">Use_Library!$A$53</f>
        <v>Self-storage</v>
      </c>
      <c r="B54" s="9" t="str">
        <f aca="false">Use_Library!$C$53</f>
        <v>Income</v>
      </c>
      <c r="C54" s="9" t="str">
        <f aca="false">Use_Library!$D$53</f>
        <v>bldg SF</v>
      </c>
      <c r="D54" s="14" t="n">
        <f aca="false">MAX(0,Parcel!$C$26*(1-Use_Library!$N$53-Assumptions!$C$7))</f>
        <v>13.728</v>
      </c>
      <c r="E54" s="14" t="n">
        <f aca="false">IF(Use_Library!$M$53&gt;0,MIN(D54,Use_Library!$M$53),D54)</f>
        <v>6</v>
      </c>
      <c r="F54" s="20" t="n">
        <f aca="false">IF(D54=0,0,E54/D54)</f>
        <v>0.437062937062937</v>
      </c>
      <c r="G54" s="14" t="n">
        <f aca="false">Parcel!$C$26*F54</f>
        <v>6.81818181818182</v>
      </c>
      <c r="H54" s="14" t="n">
        <f aca="false">G54*Assumptions!$C$7</f>
        <v>0.272727272727273</v>
      </c>
      <c r="I54" s="14" t="n">
        <f aca="false">G54*(1-Use_Library!$N$53)</f>
        <v>6.27272727272727</v>
      </c>
      <c r="J54" s="14" t="n">
        <f aca="false">Parcel!$C$8*(1-F54)</f>
        <v>11.2587412587413</v>
      </c>
      <c r="K54" s="15" t="n">
        <f aca="false">IF(AND(Use_Library!$I$53="Y",Parcel!$C$28=0),0,1)</f>
        <v>1</v>
      </c>
      <c r="L54" s="15" t="n">
        <f aca="false">IF(AND(Use_Library!$J$53="Y",Parcel!$C$27=0),0,1)</f>
        <v>1</v>
      </c>
      <c r="M54" s="9" t="str">
        <f aca="false">TRIM(IF(AND(Use_Library!$AN$53&gt;0,Parcel!$C$19&lt;Use_Library!$AN$53),"Traffic under "&amp;TEXT(Use_Library!$AN$53,"#,##0")&amp;" VPD. ","")&amp;IF(AND(Use_Library!$AO$53&gt;0,Parcel!$C$20&lt;Use_Library!$AO$53),"Under "&amp;TEXT(Use_Library!$AO$53,"#,##0")&amp;" households in 3 mi. ","")&amp;IF(AND(Use_Library!$AP$53&gt;0,Parcel!$C$21&gt;Use_Library!$AP$53),"Over "&amp;Use_Library!$AP$53&amp;" mi to highway. ","")&amp;IF(AND(Use_Library!$AQ$53="Y",Parcel!$C$22&lt;&gt;"Y"),"Needs a corner. ","")&amp;IF(AND(Use_Library!$AR$53&gt;0,Parcel!$C$23&gt;Use_Library!$AR$53),"Over "&amp;Use_Library!$AR$53&amp;" mi to substation. ",""))</f>
        <v>Under 5,000 households in 3 mi.</v>
      </c>
      <c r="N54" s="15" t="n">
        <f aca="false">IF(M54="",1,0)</f>
        <v>0</v>
      </c>
      <c r="O54" s="15" t="n">
        <f aca="false">IF(D54&gt;=Use_Library!$L$53,1,0)</f>
        <v>1</v>
      </c>
      <c r="P54" s="14" t="n">
        <f aca="false">IF(Use_Library!$F$53&gt;0,G54*Use_Library!$F$53,1000000000)</f>
        <v>1000000000</v>
      </c>
      <c r="Q54" s="14" t="n">
        <f aca="false">IF(Use_Library!$G$53&gt;0,E54*43560/Use_Library!$G$53,1000000000)</f>
        <v>91480.5740287014</v>
      </c>
      <c r="R54" s="14" t="n">
        <f aca="false">IF(AND(Use_Library!$H$53="Y",Parcel!$C$28=0),E54*(1-Assumptions!$C$8)/IF(Parcel!$C$27=1,Assumptions!$C$9,Assumptions!$C$10),1000000000)</f>
        <v>1000000000</v>
      </c>
      <c r="S54" s="21" t="n">
        <f aca="false">IF(K54*L54*O54*N54=0,0,IF(MIN(P54,Q54,R54)&gt;=1000000000,E54,IF(Use_Library!$E$53="Y",INT(MIN(P54,Q54,R54)),MIN(P54,Q54,R54))))</f>
        <v>0</v>
      </c>
      <c r="T54" s="9" t="str">
        <f aca="false">IF(N54=0,"Location fails",IF(O54=0,"Too small - needs "&amp;Use_Library!$L$53&amp;" usable ac",IF(K54=0,"Needs public sewer",IF(L54=0,"Needs public water",IF(R54&lt;=MIN(P54,Q54),"Septic lot size",IF(Q54&lt;=P54,"Site area / parking","Density"))))))</f>
        <v>Location fails</v>
      </c>
      <c r="U54" s="15" t="n">
        <f aca="false">IF(S54&gt;0,1,0)</f>
        <v>0</v>
      </c>
      <c r="V54" s="15" t="n">
        <f aca="false">IF(Use_Library!$K$53="Y",1,0)*U54</f>
        <v>0</v>
      </c>
      <c r="W54" s="15" t="n">
        <f aca="false">S54*Use_Library!$O$53*V54</f>
        <v>0</v>
      </c>
      <c r="X54" s="15" t="n">
        <f aca="false">S54*Use_Library!$P$53*V54</f>
        <v>0</v>
      </c>
      <c r="Y54" s="15" t="n">
        <f aca="false">IF(Parcel!$C$27=1,W54+Parcel!$C$29,0)*V54</f>
        <v>0</v>
      </c>
      <c r="Z54" s="14" t="n">
        <f aca="false">S54*Use_Library!$Q$53*Parcel!$C$27*V54</f>
        <v>0</v>
      </c>
      <c r="AA54" s="15" t="n">
        <f aca="false">IF(Parcel!$C$28=1,W54+Parcel!$C$30,0)*V54</f>
        <v>0</v>
      </c>
      <c r="AB54" s="14" t="n">
        <f aca="false">S54*Use_Library!$Q$53*Parcel!$C$28*V54</f>
        <v>0</v>
      </c>
      <c r="AC54" s="14" t="n">
        <f aca="false">IF(Parcel!$C$28=0,S54*Use_Library!$R$53,0)*V54</f>
        <v>0</v>
      </c>
      <c r="AD54" s="14" t="n">
        <f aca="false">IF(Parcel!$C$27=0,S54*Use_Library!$R$53,0)*V54</f>
        <v>0</v>
      </c>
      <c r="AE54" s="14" t="n">
        <f aca="false">I54*Parcel!$C$11*V54</f>
        <v>0</v>
      </c>
      <c r="AF54" s="14" t="n">
        <f aca="false">I54*V54</f>
        <v>0</v>
      </c>
      <c r="AG54" s="15" t="n">
        <f aca="false">IF(Use_Library!$C$53="For-Sale",IF(Use_Library!$E$53="Y",S54,1),1)*U54</f>
        <v>0</v>
      </c>
      <c r="AH54" s="19" t="n">
        <f aca="false">Cost_Library!$G$5*Parcel!$C$32*U54</f>
        <v>0</v>
      </c>
      <c r="AI54" s="19" t="n">
        <f aca="false">AG54*Cost_Library!$G$6*Parcel!$C$32</f>
        <v>0</v>
      </c>
      <c r="AJ54" s="19" t="n">
        <f aca="false">I54*Cost_Library!$G$7*Parcel!$C$32*V54</f>
        <v>0</v>
      </c>
      <c r="AK54" s="19" t="n">
        <f aca="false">Cost_Library!$G$8*Parcel!$C$32*V54</f>
        <v>0</v>
      </c>
      <c r="AL54" s="19" t="n">
        <f aca="false">AC54*Cost_Library!$G$9*Parcel!$C$32</f>
        <v>0</v>
      </c>
      <c r="AM54" s="19" t="n">
        <f aca="false">Cost_Library!$G$10*U54</f>
        <v>0</v>
      </c>
      <c r="AN54" s="19" t="n">
        <f aca="false">Cost_Library!$G$11*Parcel!$C$32*V54</f>
        <v>0</v>
      </c>
      <c r="AO54" s="19" t="n">
        <f aca="false">Use_Library!$S$53*U54</f>
        <v>0</v>
      </c>
      <c r="AP54" s="19" t="n">
        <f aca="false">Cost_Library!$G$12*U54</f>
        <v>0</v>
      </c>
      <c r="AQ54" s="19" t="n">
        <f aca="false">AE54*Cost_Library!$G$13*Parcel!$C$32</f>
        <v>0</v>
      </c>
      <c r="AR54" s="19" t="n">
        <f aca="false">AF54*Cost_Library!$G$14*Parcel!$C$32*Parcel!$C$33</f>
        <v>0</v>
      </c>
      <c r="AS54" s="19" t="n">
        <f aca="false">W54*Cost_Library!$G$15*Parcel!$C$32</f>
        <v>0</v>
      </c>
      <c r="AT54" s="19" t="n">
        <f aca="false">X54*Cost_Library!$G$16*Parcel!$C$32</f>
        <v>0</v>
      </c>
      <c r="AU54" s="19" t="n">
        <f aca="false">H54*Cost_Library!$G$17*Parcel!$C$32*V54</f>
        <v>0</v>
      </c>
      <c r="AV54" s="19" t="n">
        <f aca="false">G54*Cost_Library!$G$18*Parcel!$C$32*V54</f>
        <v>0</v>
      </c>
      <c r="AW54" s="19" t="n">
        <f aca="false">Y54*Cost_Library!$G$19*Parcel!$C$32</f>
        <v>0</v>
      </c>
      <c r="AX54" s="19" t="n">
        <f aca="false">Z54*Cost_Library!$G$20</f>
        <v>0</v>
      </c>
      <c r="AY54" s="19" t="n">
        <f aca="false">AA54*Cost_Library!$G$21*Parcel!$C$32</f>
        <v>0</v>
      </c>
      <c r="AZ54" s="19" t="n">
        <f aca="false">AB54*Cost_Library!$G$22</f>
        <v>0</v>
      </c>
      <c r="BA54" s="19" t="n">
        <f aca="false">AC54*Cost_Library!$G$23*Parcel!$C$32*Parcel!$C$34</f>
        <v>0</v>
      </c>
      <c r="BB54" s="19" t="n">
        <f aca="false">AD54*Cost_Library!$G$24*Parcel!$C$32</f>
        <v>0</v>
      </c>
      <c r="BC54" s="19" t="n">
        <f aca="false">W54*Cost_Library!$G$25*Parcel!$C$32</f>
        <v>0</v>
      </c>
      <c r="BD54" s="19" t="n">
        <f aca="false">SUM(AH54:BC54)</f>
        <v>0</v>
      </c>
      <c r="BE54" s="19" t="n">
        <f aca="false">BD54*Assumptions!$C$11</f>
        <v>0</v>
      </c>
      <c r="BF54" s="19" t="n">
        <f aca="false">BD54+BE54</f>
        <v>0</v>
      </c>
      <c r="BG54" s="19" t="n">
        <f aca="false">S54*Use_Library!$T$53</f>
        <v>0</v>
      </c>
      <c r="BH54" s="19" t="n">
        <f aca="false">BG54*(Assumptions!$C$12+Assumptions!$C$13)</f>
        <v>0</v>
      </c>
      <c r="BI54" s="19" t="n">
        <f aca="false">S54*Use_Library!$AC$53</f>
        <v>0</v>
      </c>
      <c r="BJ54" s="23" t="n">
        <f aca="false">1+Assumptions!$C$14+Assumptions!$C$15*Use_Library!$AH$53/12</f>
        <v>1.04916666666667</v>
      </c>
      <c r="BK54" s="23" t="n">
        <f aca="false">1+Assumptions!$C$21*(Assumptions!$C$22*Use_Library!$AH$53/12*Assumptions!$C$24+Assumptions!$C$23)</f>
        <v>1.0440375</v>
      </c>
      <c r="BL54" s="23" t="n">
        <f aca="false">1+Assumptions!$C$21*(Assumptions!$C$22*(Use_Library!$AH$53/12*Assumptions!$C$24+IF(Use_Library!$C$53="Income",Use_Library!$AD$53,0)/12*Assumptions!$C$25)+Assumptions!$C$23)</f>
        <v>1.1171625</v>
      </c>
      <c r="BM54" s="19" t="n">
        <f aca="false">J54*Assumptions!$C$31*(1-Assumptions!$C$17)*U54</f>
        <v>0</v>
      </c>
      <c r="BN54" s="19" t="n">
        <f aca="false">IF(Use_Library!$AJ$53=1,IF(Use_Library!$C$53="For-Sale",S54*Use_Library!$U$53,E54*Use_Library!$AF$53)*(1-Assumptions!$C$17)+BM54,0)*U54</f>
        <v>0</v>
      </c>
      <c r="BO54" s="19" t="n">
        <f aca="false">(BD54-AT54)*(1+Assumptions!$C$11)</f>
        <v>0</v>
      </c>
      <c r="BP54" s="23" t="n">
        <f aca="false">BJ54*BK54</f>
        <v>1.09536934375</v>
      </c>
      <c r="BQ54" s="19" t="n">
        <f aca="false">(Parcel!$C$18*BJ54+BO54)*BK54</f>
        <v>328610.803125</v>
      </c>
      <c r="BR54" s="19" t="n">
        <f aca="false">BN54-BQ54</f>
        <v>-328610.803125</v>
      </c>
      <c r="BS54" s="32" t="n">
        <f aca="false">IF(AND(Use_Library!$AJ$53=1,U54=1),MAX(0,((1-Use_Library!$AI$53)*BN54-BO54*BK54)/BP54),0)</f>
        <v>0</v>
      </c>
      <c r="BT54" s="19" t="n">
        <f aca="false">BF54+BG54+BH54+BI54</f>
        <v>0</v>
      </c>
      <c r="BU54" s="23" t="n">
        <f aca="false">BJ54*BL54</f>
        <v>1.17208965625</v>
      </c>
      <c r="BV54" s="19" t="n">
        <f aca="false">(Parcel!$C$18*BJ54+BT54)*BL54</f>
        <v>351626.896875</v>
      </c>
      <c r="BW54" s="19" t="n">
        <f aca="false">IF(Use_Library!$C$53="Income",S54*Use_Library!$W$53,0)</f>
        <v>0</v>
      </c>
      <c r="BX54" s="19" t="n">
        <f aca="false">BW54*(1+Use_Library!$X$53)*(1-Use_Library!$Y$53)</f>
        <v>0</v>
      </c>
      <c r="BY54" s="19" t="n">
        <f aca="false">IF(Use_Library!$C$53="Income",S54*Use_Library!$Z$53,0)</f>
        <v>0</v>
      </c>
      <c r="BZ54" s="19" t="n">
        <f aca="false">IF(Use_Library!$C$53="Income",Assumptions!$C$19*Assumptions!$C$20*BV54,0)</f>
        <v>6575.4229715625</v>
      </c>
      <c r="CA54" s="19" t="n">
        <f aca="false">BX54*Use_Library!$AA$53</f>
        <v>0</v>
      </c>
      <c r="CB54" s="19" t="n">
        <f aca="false">(BY54+BZ54)*Use_Library!$AB$53</f>
        <v>0</v>
      </c>
      <c r="CC54" s="19" t="n">
        <f aca="false">BX54-BY54-BZ54-CA54+CB54</f>
        <v>-6575.4229715625</v>
      </c>
      <c r="CD54" s="19" t="n">
        <f aca="false">IF(AND(Use_Library!$C$53="Income",Use_Library!$AE$53&gt;0),CC54/Use_Library!$AE$53,0)</f>
        <v>-105206.767545</v>
      </c>
      <c r="CE54" s="24" t="n">
        <f aca="false">IF(Use_Library!$C$53="Income",-Assumptions!$C$19*Assumptions!$C$20*(1-Use_Library!$AB$53)*BU54,0)</f>
        <v>-0.021918076571875</v>
      </c>
      <c r="CF54" s="20" t="n">
        <f aca="false">IF(BV54=0,0,CC54/BV54)</f>
        <v>-0.0187</v>
      </c>
      <c r="CG54" s="19" t="n">
        <f aca="false">IF(Use_Library!$AK$53=1,IF(Use_Library!$C$53="Income",CD54*(1-Assumptions!$C$18),S54*Use_Library!$V$53*(1-Assumptions!$C$16))+BM54,0)*U54</f>
        <v>-0</v>
      </c>
      <c r="CH54" s="24" t="n">
        <f aca="false">IF(AND(Use_Library!$AK$53=1,Use_Library!$C$53="Income",Use_Library!$AE$53&gt;0),CE54/Use_Library!$AE$53*(1-Assumptions!$C$18),0)</f>
        <v>-0.343675440647</v>
      </c>
      <c r="CI54" s="19" t="n">
        <f aca="false">CG54-BV54</f>
        <v>-351626.896875</v>
      </c>
      <c r="CJ54" s="32" t="n">
        <f aca="false">IF(AND(Use_Library!$AK$53=1,U54=1),MAX(0,Parcel!$C$18-((1-Use_Library!$AI$53)*CG54-BV54)/((1-Use_Library!$AI$53)*CH54-BU54)),0)</f>
        <v>0</v>
      </c>
      <c r="CK54" s="19" t="n">
        <f aca="false">IF(Use_Library!$AL$53=1,IF(Use_Library!$C$53="Income",CD54,IF(Use_Library!$AE$53&gt;0,E54*Use_Library!$AG$53/Use_Library!$AE$53,0))+BM54,0)*U54</f>
        <v>-0</v>
      </c>
      <c r="CL54" s="19" t="n">
        <f aca="false">IF(Use_Library!$C$53="Income",BT54,BF54)</f>
        <v>0</v>
      </c>
      <c r="CM54" s="23" t="n">
        <f aca="false">IF(Use_Library!$C$53="Income",BU54,BJ54*BK54)</f>
        <v>1.17208965625</v>
      </c>
      <c r="CN54" s="19" t="n">
        <f aca="false">IF(Use_Library!$C$53="Income",BV54,(Parcel!$C$18*BJ54+BF54)*BK54)</f>
        <v>351626.896875</v>
      </c>
      <c r="CO54" s="24" t="n">
        <f aca="false">IF(AND(Use_Library!$AL$53=1,Use_Library!$C$53="Income",Use_Library!$AE$53&gt;0),CE54/Use_Library!$AE$53,0)</f>
        <v>-0.35068922515</v>
      </c>
      <c r="CP54" s="19" t="n">
        <f aca="false">CK54-CN54</f>
        <v>-351626.896875</v>
      </c>
      <c r="CQ54" s="32" t="n">
        <f aca="false">IF(AND(Use_Library!$AL$53=1,U54=1),MAX(0,Parcel!$C$18-((1-Use_Library!$AI$53)*CK54-CN54)/((1-Use_Library!$AI$53)*CO54-CM54)),0)</f>
        <v>0</v>
      </c>
      <c r="CR54" s="19" t="n">
        <f aca="false">IF(Use_Library!$C$53="Income",Assumptions!$C$21*(Parcel!$C$18*BJ54+BT54),0)</f>
        <v>204587.5</v>
      </c>
      <c r="CS54" s="19" t="n">
        <f aca="false">IF(AND(Use_Library!$C$53="Income",CC54&gt;0),MIN(Assumptions!$C$26*CD54,PV(Assumptions!$C$29/12,Assumptions!$C$30*12,-CC54/Assumptions!$C$27/12),CC54/Assumptions!$C$28),0)</f>
        <v>0</v>
      </c>
      <c r="CT54" s="25" t="n">
        <f aca="false">IF(CS54=0,0,CC54/(-PMT(Assumptions!$C$29/12,Assumptions!$C$30*12,CS54)*12))</f>
        <v>0</v>
      </c>
      <c r="CU54" s="19" t="n">
        <f aca="false">CS54-CR54</f>
        <v>-204587.5</v>
      </c>
      <c r="CV54" s="18" t="n">
        <f aca="false">MAX(BS54,CJ54,CQ54)</f>
        <v>0</v>
      </c>
      <c r="CW54" s="9" t="str">
        <f aca="false">IF(CV54&lt;=0,"None works",IF(BS54=CV54,"Land / pad sale",IF(CJ54=CV54,"Build &amp; sell","Build &amp; hold / lease")))</f>
        <v>None works</v>
      </c>
      <c r="CX54" s="19" t="n">
        <f aca="false">CV54*(1-Assumptions!$C$32)</f>
        <v>0</v>
      </c>
      <c r="CY54" s="19" t="n">
        <f aca="false">CV54-Parcel!$C$18</f>
        <v>-300000</v>
      </c>
      <c r="CZ54" s="19" t="n">
        <f aca="false">IF(Parcel!$C$8=0,0,CV54/Parcel!$C$8)</f>
        <v>0</v>
      </c>
      <c r="DA54" s="33" t="n">
        <f aca="false">IF(S54=0,0,CV54/S54)</f>
        <v>0</v>
      </c>
      <c r="DB54" s="9" t="str">
        <f aca="false">TRIM(M54&amp;" "&amp;IF(AND(U54=0,N54=1),"Nothing fits. ","")&amp;IF(Parcel!$C$12&lt;Use_Library!$AM$53,"Frontage under "&amp;Use_Library!$AM$53&amp;" LF. ","")&amp;IF(Parcel!$C$10&gt;0.15,"Slope over 15%. ","")&amp;IF(AND(U54=1,Use_Library!$M$53&gt;0,D54&gt;Use_Library!$M$53),"Only "&amp;Use_Library!$M$53&amp;" ac used - rest resold. ",""))</f>
        <v>Under 5,000 households in 3 mi.</v>
      </c>
      <c r="DC54" s="19" t="n">
        <f aca="false">CV54+ROW()/1000000</f>
        <v>5.4E-005</v>
      </c>
    </row>
    <row r="55" customFormat="false" ht="15" hidden="false" customHeight="false" outlineLevel="0" collapsed="false">
      <c r="A55" s="4" t="str">
        <f aca="false">Use_Library!$A$54</f>
        <v>Extended-stay hotel</v>
      </c>
      <c r="B55" s="9" t="str">
        <f aca="false">Use_Library!$C$54</f>
        <v>Operator Pad</v>
      </c>
      <c r="C55" s="9" t="str">
        <f aca="false">Use_Library!$D$54</f>
        <v>acre</v>
      </c>
      <c r="D55" s="14" t="n">
        <f aca="false">MAX(0,Parcel!$C$26*(1-Use_Library!$N$54-Assumptions!$C$7))</f>
        <v>14.196</v>
      </c>
      <c r="E55" s="14" t="n">
        <f aca="false">IF(Use_Library!$M$54&gt;0,MIN(D55,Use_Library!$M$54),D55)</f>
        <v>3</v>
      </c>
      <c r="F55" s="20" t="n">
        <f aca="false">IF(D55=0,0,E55/D55)</f>
        <v>0.211327134404057</v>
      </c>
      <c r="G55" s="14" t="n">
        <f aca="false">Parcel!$C$26*F55</f>
        <v>3.2967032967033</v>
      </c>
      <c r="H55" s="14" t="n">
        <f aca="false">G55*Assumptions!$C$7</f>
        <v>0.131868131868132</v>
      </c>
      <c r="I55" s="14" t="n">
        <f aca="false">G55*(1-Use_Library!$N$54)</f>
        <v>3.13186813186813</v>
      </c>
      <c r="J55" s="14" t="n">
        <f aca="false">Parcel!$C$8*(1-F55)</f>
        <v>15.7734573119189</v>
      </c>
      <c r="K55" s="15" t="n">
        <f aca="false">IF(AND(Use_Library!$I$54="Y",Parcel!$C$28=0),0,1)</f>
        <v>1</v>
      </c>
      <c r="L55" s="15" t="n">
        <f aca="false">IF(AND(Use_Library!$J$54="Y",Parcel!$C$27=0),0,1)</f>
        <v>1</v>
      </c>
      <c r="M55" s="9" t="str">
        <f aca="false">TRIM(IF(AND(Use_Library!$AN$54&gt;0,Parcel!$C$19&lt;Use_Library!$AN$54),"Traffic under "&amp;TEXT(Use_Library!$AN$54,"#,##0")&amp;" VPD. ","")&amp;IF(AND(Use_Library!$AO$54&gt;0,Parcel!$C$20&lt;Use_Library!$AO$54),"Under "&amp;TEXT(Use_Library!$AO$54,"#,##0")&amp;" households in 3 mi. ","")&amp;IF(AND(Use_Library!$AP$54&gt;0,Parcel!$C$21&gt;Use_Library!$AP$54),"Over "&amp;Use_Library!$AP$54&amp;" mi to highway. ","")&amp;IF(AND(Use_Library!$AQ$54="Y",Parcel!$C$22&lt;&gt;"Y"),"Needs a corner. ","")&amp;IF(AND(Use_Library!$AR$54&gt;0,Parcel!$C$23&gt;Use_Library!$AR$54),"Over "&amp;Use_Library!$AR$54&amp;" mi to substation. ",""))</f>
        <v>Under 5,000 households in 3 mi. Over 2 mi to highway.</v>
      </c>
      <c r="N55" s="15" t="n">
        <f aca="false">IF(M55="",1,0)</f>
        <v>0</v>
      </c>
      <c r="O55" s="15" t="n">
        <f aca="false">IF(D55&gt;=Use_Library!$L$54,1,0)</f>
        <v>1</v>
      </c>
      <c r="P55" s="14" t="n">
        <f aca="false">IF(Use_Library!$F$54&gt;0,G55*Use_Library!$F$54,1000000000)</f>
        <v>1000000000</v>
      </c>
      <c r="Q55" s="14" t="n">
        <f aca="false">IF(Use_Library!$G$54&gt;0,E55*43560/Use_Library!$G$54,1000000000)</f>
        <v>3</v>
      </c>
      <c r="R55" s="14" t="n">
        <f aca="false">IF(AND(Use_Library!$H$54="Y",Parcel!$C$28=0),E55*(1-Assumptions!$C$8)/IF(Parcel!$C$27=1,Assumptions!$C$9,Assumptions!$C$10),1000000000)</f>
        <v>1000000000</v>
      </c>
      <c r="S55" s="21" t="n">
        <f aca="false">IF(K55*L55*O55*N55=0,0,IF(MIN(P55,Q55,R55)&gt;=1000000000,E55,IF(Use_Library!$E$54="Y",INT(MIN(P55,Q55,R55)),MIN(P55,Q55,R55))))</f>
        <v>0</v>
      </c>
      <c r="T55" s="9" t="str">
        <f aca="false">IF(N55=0,"Location fails",IF(O55=0,"Too small - needs "&amp;Use_Library!$L$54&amp;" usable ac",IF(K55=0,"Needs public sewer",IF(L55=0,"Needs public water",IF(R55&lt;=MIN(P55,Q55),"Septic lot size",IF(Q55&lt;=P55,"Site area / parking","Density"))))))</f>
        <v>Location fails</v>
      </c>
      <c r="U55" s="15" t="n">
        <f aca="false">IF(S55&gt;0,1,0)</f>
        <v>0</v>
      </c>
      <c r="V55" s="15" t="n">
        <f aca="false">IF(Use_Library!$K$54="Y",1,0)*U55</f>
        <v>0</v>
      </c>
      <c r="W55" s="15" t="n">
        <f aca="false">S55*Use_Library!$O$54*V55</f>
        <v>0</v>
      </c>
      <c r="X55" s="15" t="n">
        <f aca="false">S55*Use_Library!$P$54*V55</f>
        <v>0</v>
      </c>
      <c r="Y55" s="15" t="n">
        <f aca="false">IF(Parcel!$C$27=1,W55+Parcel!$C$29,0)*V55</f>
        <v>0</v>
      </c>
      <c r="Z55" s="14" t="n">
        <f aca="false">S55*Use_Library!$Q$54*Parcel!$C$27*V55</f>
        <v>0</v>
      </c>
      <c r="AA55" s="15" t="n">
        <f aca="false">IF(Parcel!$C$28=1,W55+Parcel!$C$30,0)*V55</f>
        <v>0</v>
      </c>
      <c r="AB55" s="14" t="n">
        <f aca="false">S55*Use_Library!$Q$54*Parcel!$C$28*V55</f>
        <v>0</v>
      </c>
      <c r="AC55" s="14" t="n">
        <f aca="false">IF(Parcel!$C$28=0,S55*Use_Library!$R$54,0)*V55</f>
        <v>0</v>
      </c>
      <c r="AD55" s="14" t="n">
        <f aca="false">IF(Parcel!$C$27=0,S55*Use_Library!$R$54,0)*V55</f>
        <v>0</v>
      </c>
      <c r="AE55" s="14" t="n">
        <f aca="false">I55*Parcel!$C$11*V55</f>
        <v>0</v>
      </c>
      <c r="AF55" s="14" t="n">
        <f aca="false">I55*V55</f>
        <v>0</v>
      </c>
      <c r="AG55" s="15" t="n">
        <f aca="false">IF(Use_Library!$C$54="For-Sale",IF(Use_Library!$E$54="Y",S55,1),1)*U55</f>
        <v>0</v>
      </c>
      <c r="AH55" s="19" t="n">
        <f aca="false">Cost_Library!$G$5*Parcel!$C$32*U55</f>
        <v>0</v>
      </c>
      <c r="AI55" s="19" t="n">
        <f aca="false">AG55*Cost_Library!$G$6*Parcel!$C$32</f>
        <v>0</v>
      </c>
      <c r="AJ55" s="19" t="n">
        <f aca="false">I55*Cost_Library!$G$7*Parcel!$C$32*V55</f>
        <v>0</v>
      </c>
      <c r="AK55" s="19" t="n">
        <f aca="false">Cost_Library!$G$8*Parcel!$C$32*V55</f>
        <v>0</v>
      </c>
      <c r="AL55" s="19" t="n">
        <f aca="false">AC55*Cost_Library!$G$9*Parcel!$C$32</f>
        <v>0</v>
      </c>
      <c r="AM55" s="19" t="n">
        <f aca="false">Cost_Library!$G$10*U55</f>
        <v>0</v>
      </c>
      <c r="AN55" s="19" t="n">
        <f aca="false">Cost_Library!$G$11*Parcel!$C$32*V55</f>
        <v>0</v>
      </c>
      <c r="AO55" s="19" t="n">
        <f aca="false">Use_Library!$S$54*U55</f>
        <v>0</v>
      </c>
      <c r="AP55" s="19" t="n">
        <f aca="false">Cost_Library!$G$12*U55</f>
        <v>0</v>
      </c>
      <c r="AQ55" s="19" t="n">
        <f aca="false">AE55*Cost_Library!$G$13*Parcel!$C$32</f>
        <v>0</v>
      </c>
      <c r="AR55" s="19" t="n">
        <f aca="false">AF55*Cost_Library!$G$14*Parcel!$C$32*Parcel!$C$33</f>
        <v>0</v>
      </c>
      <c r="AS55" s="19" t="n">
        <f aca="false">W55*Cost_Library!$G$15*Parcel!$C$32</f>
        <v>0</v>
      </c>
      <c r="AT55" s="19" t="n">
        <f aca="false">X55*Cost_Library!$G$16*Parcel!$C$32</f>
        <v>0</v>
      </c>
      <c r="AU55" s="19" t="n">
        <f aca="false">H55*Cost_Library!$G$17*Parcel!$C$32*V55</f>
        <v>0</v>
      </c>
      <c r="AV55" s="19" t="n">
        <f aca="false">G55*Cost_Library!$G$18*Parcel!$C$32*V55</f>
        <v>0</v>
      </c>
      <c r="AW55" s="19" t="n">
        <f aca="false">Y55*Cost_Library!$G$19*Parcel!$C$32</f>
        <v>0</v>
      </c>
      <c r="AX55" s="19" t="n">
        <f aca="false">Z55*Cost_Library!$G$20</f>
        <v>0</v>
      </c>
      <c r="AY55" s="19" t="n">
        <f aca="false">AA55*Cost_Library!$G$21*Parcel!$C$32</f>
        <v>0</v>
      </c>
      <c r="AZ55" s="19" t="n">
        <f aca="false">AB55*Cost_Library!$G$22</f>
        <v>0</v>
      </c>
      <c r="BA55" s="19" t="n">
        <f aca="false">AC55*Cost_Library!$G$23*Parcel!$C$32*Parcel!$C$34</f>
        <v>0</v>
      </c>
      <c r="BB55" s="19" t="n">
        <f aca="false">AD55*Cost_Library!$G$24*Parcel!$C$32</f>
        <v>0</v>
      </c>
      <c r="BC55" s="19" t="n">
        <f aca="false">W55*Cost_Library!$G$25*Parcel!$C$32</f>
        <v>0</v>
      </c>
      <c r="BD55" s="19" t="n">
        <f aca="false">SUM(AH55:BC55)</f>
        <v>0</v>
      </c>
      <c r="BE55" s="19" t="n">
        <f aca="false">BD55*Assumptions!$C$11</f>
        <v>0</v>
      </c>
      <c r="BF55" s="19" t="n">
        <f aca="false">BD55+BE55</f>
        <v>0</v>
      </c>
      <c r="BG55" s="19" t="n">
        <f aca="false">S55*Use_Library!$T$54</f>
        <v>0</v>
      </c>
      <c r="BH55" s="19" t="n">
        <f aca="false">BG55*(Assumptions!$C$12+Assumptions!$C$13)</f>
        <v>0</v>
      </c>
      <c r="BI55" s="19" t="n">
        <f aca="false">S55*Use_Library!$AC$54</f>
        <v>0</v>
      </c>
      <c r="BJ55" s="23" t="n">
        <f aca="false">1+Assumptions!$C$14+Assumptions!$C$15*Use_Library!$AH$54/12</f>
        <v>1.045</v>
      </c>
      <c r="BK55" s="23" t="n">
        <f aca="false">1+Assumptions!$C$21*(Assumptions!$C$22*Use_Library!$AH$54/12*Assumptions!$C$24+Assumptions!$C$23)</f>
        <v>1.038675</v>
      </c>
      <c r="BL55" s="23" t="n">
        <f aca="false">1+Assumptions!$C$21*(Assumptions!$C$22*(Use_Library!$AH$54/12*Assumptions!$C$24+IF(Use_Library!$C$54="Income",Use_Library!$AD$54,0)/12*Assumptions!$C$25)+Assumptions!$C$23)</f>
        <v>1.038675</v>
      </c>
      <c r="BM55" s="19" t="n">
        <f aca="false">J55*Assumptions!$C$31*(1-Assumptions!$C$17)*U55</f>
        <v>0</v>
      </c>
      <c r="BN55" s="19" t="n">
        <f aca="false">IF(Use_Library!$AJ$54=1,IF(Use_Library!$C$54="For-Sale",S55*Use_Library!$U$54,E55*Use_Library!$AF$54)*(1-Assumptions!$C$17)+BM55,0)*U55</f>
        <v>0</v>
      </c>
      <c r="BO55" s="19" t="n">
        <f aca="false">(BD55-AT55)*(1+Assumptions!$C$11)</f>
        <v>0</v>
      </c>
      <c r="BP55" s="23" t="n">
        <f aca="false">BJ55*BK55</f>
        <v>1.085415375</v>
      </c>
      <c r="BQ55" s="19" t="n">
        <f aca="false">(Parcel!$C$18*BJ55+BO55)*BK55</f>
        <v>325624.6125</v>
      </c>
      <c r="BR55" s="19" t="n">
        <f aca="false">BN55-BQ55</f>
        <v>-325624.6125</v>
      </c>
      <c r="BS55" s="32" t="n">
        <f aca="false">IF(AND(Use_Library!$AJ$54=1,U55=1),MAX(0,((1-Use_Library!$AI$54)*BN55-BO55*BK55)/BP55),0)</f>
        <v>0</v>
      </c>
      <c r="BT55" s="19" t="n">
        <f aca="false">BF55+BG55+BH55+BI55</f>
        <v>0</v>
      </c>
      <c r="BU55" s="23" t="n">
        <f aca="false">BJ55*BL55</f>
        <v>1.085415375</v>
      </c>
      <c r="BV55" s="19" t="n">
        <f aca="false">(Parcel!$C$18*BJ55+BT55)*BL55</f>
        <v>325624.6125</v>
      </c>
      <c r="BW55" s="19" t="n">
        <f aca="false">IF(Use_Library!$C$54="Income",S55*Use_Library!$W$54,0)</f>
        <v>0</v>
      </c>
      <c r="BX55" s="19" t="n">
        <f aca="false">BW55*(1+Use_Library!$X$54)*(1-Use_Library!$Y$54)</f>
        <v>0</v>
      </c>
      <c r="BY55" s="19" t="n">
        <f aca="false">IF(Use_Library!$C$54="Income",S55*Use_Library!$Z$54,0)</f>
        <v>0</v>
      </c>
      <c r="BZ55" s="19" t="n">
        <f aca="false">IF(Use_Library!$C$54="Income",Assumptions!$C$19*Assumptions!$C$20*BV55,0)</f>
        <v>0</v>
      </c>
      <c r="CA55" s="19" t="n">
        <f aca="false">BX55*Use_Library!$AA$54</f>
        <v>0</v>
      </c>
      <c r="CB55" s="19" t="n">
        <f aca="false">(BY55+BZ55)*Use_Library!$AB$54</f>
        <v>0</v>
      </c>
      <c r="CC55" s="19" t="n">
        <f aca="false">BX55-BY55-BZ55-CA55+CB55</f>
        <v>0</v>
      </c>
      <c r="CD55" s="19" t="n">
        <f aca="false">IF(AND(Use_Library!$C$54="Income",Use_Library!$AE$54&gt;0),CC55/Use_Library!$AE$54,0)</f>
        <v>0</v>
      </c>
      <c r="CE55" s="24" t="n">
        <f aca="false">IF(Use_Library!$C$54="Income",-Assumptions!$C$19*Assumptions!$C$20*(1-Use_Library!$AB$54)*BU55,0)</f>
        <v>0</v>
      </c>
      <c r="CF55" s="20" t="n">
        <f aca="false">IF(BV55=0,0,CC55/BV55)</f>
        <v>0</v>
      </c>
      <c r="CG55" s="19" t="n">
        <f aca="false">IF(Use_Library!$AK$54=1,IF(Use_Library!$C$54="Income",CD55*(1-Assumptions!$C$18),S55*Use_Library!$V$54*(1-Assumptions!$C$16))+BM55,0)*U55</f>
        <v>0</v>
      </c>
      <c r="CH55" s="24" t="n">
        <f aca="false">IF(AND(Use_Library!$AK$54=1,Use_Library!$C$54="Income",Use_Library!$AE$54&gt;0),CE55/Use_Library!$AE$54*(1-Assumptions!$C$18),0)</f>
        <v>0</v>
      </c>
      <c r="CI55" s="19" t="n">
        <f aca="false">CG55-BV55</f>
        <v>-325624.6125</v>
      </c>
      <c r="CJ55" s="32" t="n">
        <f aca="false">IF(AND(Use_Library!$AK$54=1,U55=1),MAX(0,Parcel!$C$18-((1-Use_Library!$AI$54)*CG55-BV55)/((1-Use_Library!$AI$54)*CH55-BU55)),0)</f>
        <v>0</v>
      </c>
      <c r="CK55" s="19" t="n">
        <f aca="false">IF(Use_Library!$AL$54=1,IF(Use_Library!$C$54="Income",CD55,IF(Use_Library!$AE$54&gt;0,E55*Use_Library!$AG$54/Use_Library!$AE$54,0))+BM55,0)*U55</f>
        <v>0</v>
      </c>
      <c r="CL55" s="19" t="n">
        <f aca="false">IF(Use_Library!$C$54="Income",BT55,BF55)</f>
        <v>0</v>
      </c>
      <c r="CM55" s="23" t="n">
        <f aca="false">IF(Use_Library!$C$54="Income",BU55,BJ55*BK55)</f>
        <v>1.085415375</v>
      </c>
      <c r="CN55" s="19" t="n">
        <f aca="false">IF(Use_Library!$C$54="Income",BV55,(Parcel!$C$18*BJ55+BF55)*BK55)</f>
        <v>325624.6125</v>
      </c>
      <c r="CO55" s="24" t="n">
        <f aca="false">IF(AND(Use_Library!$AL$54=1,Use_Library!$C$54="Income",Use_Library!$AE$54&gt;0),CE55/Use_Library!$AE$54,0)</f>
        <v>0</v>
      </c>
      <c r="CP55" s="19" t="n">
        <f aca="false">CK55-CN55</f>
        <v>-325624.6125</v>
      </c>
      <c r="CQ55" s="32" t="n">
        <f aca="false">IF(AND(Use_Library!$AL$54=1,U55=1),MAX(0,Parcel!$C$18-((1-Use_Library!$AI$54)*CK55-CN55)/((1-Use_Library!$AI$54)*CO55-CM55)),0)</f>
        <v>0</v>
      </c>
      <c r="CR55" s="19" t="n">
        <f aca="false">IF(Use_Library!$C$54="Income",Assumptions!$C$21*(Parcel!$C$18*BJ55+BT55),0)</f>
        <v>0</v>
      </c>
      <c r="CS55" s="19" t="n">
        <f aca="false">IF(AND(Use_Library!$C$54="Income",CC55&gt;0),MIN(Assumptions!$C$26*CD55,PV(Assumptions!$C$29/12,Assumptions!$C$30*12,-CC55/Assumptions!$C$27/12),CC55/Assumptions!$C$28),0)</f>
        <v>0</v>
      </c>
      <c r="CT55" s="25" t="n">
        <f aca="false">IF(CS55=0,0,CC55/(-PMT(Assumptions!$C$29/12,Assumptions!$C$30*12,CS55)*12))</f>
        <v>0</v>
      </c>
      <c r="CU55" s="19" t="n">
        <f aca="false">CS55-CR55</f>
        <v>0</v>
      </c>
      <c r="CV55" s="18" t="n">
        <f aca="false">MAX(BS55,CJ55,CQ55)</f>
        <v>0</v>
      </c>
      <c r="CW55" s="9" t="str">
        <f aca="false">IF(CV55&lt;=0,"None works",IF(BS55=CV55,"Land / pad sale",IF(CJ55=CV55,"Build &amp; sell","Build &amp; hold / lease")))</f>
        <v>None works</v>
      </c>
      <c r="CX55" s="19" t="n">
        <f aca="false">CV55*(1-Assumptions!$C$32)</f>
        <v>0</v>
      </c>
      <c r="CY55" s="19" t="n">
        <f aca="false">CV55-Parcel!$C$18</f>
        <v>-300000</v>
      </c>
      <c r="CZ55" s="19" t="n">
        <f aca="false">IF(Parcel!$C$8=0,0,CV55/Parcel!$C$8)</f>
        <v>0</v>
      </c>
      <c r="DA55" s="33" t="n">
        <f aca="false">IF(S55=0,0,CV55/S55)</f>
        <v>0</v>
      </c>
      <c r="DB55" s="9" t="str">
        <f aca="false">TRIM(M55&amp;" "&amp;IF(AND(U55=0,N55=1),"Nothing fits. ","")&amp;IF(Parcel!$C$12&lt;Use_Library!$AM$54,"Frontage under "&amp;Use_Library!$AM$54&amp;" LF. ","")&amp;IF(Parcel!$C$10&gt;0.15,"Slope over 15%. ","")&amp;IF(AND(U55=1,Use_Library!$M$54&gt;0,D55&gt;Use_Library!$M$54),"Only "&amp;Use_Library!$M$54&amp;" ac used - rest resold. ",""))</f>
        <v>Under 5,000 households in 3 mi. Over 2 mi to highway.</v>
      </c>
      <c r="DC55" s="19" t="n">
        <f aca="false">CV55+ROW()/1000000</f>
        <v>5.5E-005</v>
      </c>
    </row>
    <row r="56" customFormat="false" ht="15" hidden="false" customHeight="false" outlineLevel="0" collapsed="false">
      <c r="A56" s="4" t="str">
        <f aca="false">Use_Library!$A$55</f>
        <v>Private water / wastewater (package plant) site</v>
      </c>
      <c r="B56" s="9" t="str">
        <f aca="false">Use_Library!$C$55</f>
        <v>Land Play</v>
      </c>
      <c r="C56" s="9" t="str">
        <f aca="false">Use_Library!$D$55</f>
        <v>acre</v>
      </c>
      <c r="D56" s="14" t="n">
        <f aca="false">MAX(0,Parcel!$C$26*(1-Use_Library!$N$55-Assumptions!$C$7))</f>
        <v>14.196</v>
      </c>
      <c r="E56" s="14" t="n">
        <f aca="false">IF(Use_Library!$M$55&gt;0,MIN(D56,Use_Library!$M$55),D56)</f>
        <v>5</v>
      </c>
      <c r="F56" s="20" t="n">
        <f aca="false">IF(D56=0,0,E56/D56)</f>
        <v>0.352211890673429</v>
      </c>
      <c r="G56" s="14" t="n">
        <f aca="false">Parcel!$C$26*F56</f>
        <v>5.49450549450549</v>
      </c>
      <c r="H56" s="14" t="n">
        <f aca="false">G56*Assumptions!$C$7</f>
        <v>0.21978021978022</v>
      </c>
      <c r="I56" s="14" t="n">
        <f aca="false">G56*(1-Use_Library!$N$55)</f>
        <v>5.21978021978022</v>
      </c>
      <c r="J56" s="14" t="n">
        <f aca="false">Parcel!$C$8*(1-F56)</f>
        <v>12.9557621865314</v>
      </c>
      <c r="K56" s="15" t="n">
        <f aca="false">IF(AND(Use_Library!$I$55="Y",Parcel!$C$28=0),0,1)</f>
        <v>1</v>
      </c>
      <c r="L56" s="15" t="n">
        <f aca="false">IF(AND(Use_Library!$J$55="Y",Parcel!$C$27=0),0,1)</f>
        <v>1</v>
      </c>
      <c r="M56" s="9" t="str">
        <f aca="false">TRIM(IF(AND(Use_Library!$AN$55&gt;0,Parcel!$C$19&lt;Use_Library!$AN$55),"Traffic under "&amp;TEXT(Use_Library!$AN$55,"#,##0")&amp;" VPD. ","")&amp;IF(AND(Use_Library!$AO$55&gt;0,Parcel!$C$20&lt;Use_Library!$AO$55),"Under "&amp;TEXT(Use_Library!$AO$55,"#,##0")&amp;" households in 3 mi. ","")&amp;IF(AND(Use_Library!$AP$55&gt;0,Parcel!$C$21&gt;Use_Library!$AP$55),"Over "&amp;Use_Library!$AP$55&amp;" mi to highway. ","")&amp;IF(AND(Use_Library!$AQ$55="Y",Parcel!$C$22&lt;&gt;"Y"),"Needs a corner. ","")&amp;IF(AND(Use_Library!$AR$55&gt;0,Parcel!$C$23&gt;Use_Library!$AR$55),"Over "&amp;Use_Library!$AR$55&amp;" mi to substation. ",""))</f>
        <v/>
      </c>
      <c r="N56" s="15" t="n">
        <f aca="false">IF(M56="",1,0)</f>
        <v>1</v>
      </c>
      <c r="O56" s="15" t="n">
        <f aca="false">IF(D56&gt;=Use_Library!$L$55,1,0)</f>
        <v>1</v>
      </c>
      <c r="P56" s="14" t="n">
        <f aca="false">IF(Use_Library!$F$55&gt;0,G56*Use_Library!$F$55,1000000000)</f>
        <v>1000000000</v>
      </c>
      <c r="Q56" s="14" t="n">
        <f aca="false">IF(Use_Library!$G$55&gt;0,E56*43560/Use_Library!$G$55,1000000000)</f>
        <v>5</v>
      </c>
      <c r="R56" s="14" t="n">
        <f aca="false">IF(AND(Use_Library!$H$55="Y",Parcel!$C$28=0),E56*(1-Assumptions!$C$8)/IF(Parcel!$C$27=1,Assumptions!$C$9,Assumptions!$C$10),1000000000)</f>
        <v>1000000000</v>
      </c>
      <c r="S56" s="21" t="n">
        <f aca="false">IF(K56*L56*O56*N56=0,0,IF(MIN(P56,Q56,R56)&gt;=1000000000,E56,IF(Use_Library!$E$55="Y",INT(MIN(P56,Q56,R56)),MIN(P56,Q56,R56))))</f>
        <v>5</v>
      </c>
      <c r="T56" s="9" t="str">
        <f aca="false">IF(N56=0,"Location fails",IF(O56=0,"Too small - needs "&amp;Use_Library!$L$55&amp;" usable ac",IF(K56=0,"Needs public sewer",IF(L56=0,"Needs public water",IF(R56&lt;=MIN(P56,Q56),"Septic lot size",IF(Q56&lt;=P56,"Site area / parking","Density"))))))</f>
        <v>Site area / parking</v>
      </c>
      <c r="U56" s="15" t="n">
        <f aca="false">IF(S56&gt;0,1,0)</f>
        <v>1</v>
      </c>
      <c r="V56" s="15" t="n">
        <f aca="false">IF(Use_Library!$K$55="Y",1,0)*U56</f>
        <v>0</v>
      </c>
      <c r="W56" s="15" t="n">
        <f aca="false">S56*Use_Library!$O$55*V56</f>
        <v>0</v>
      </c>
      <c r="X56" s="15" t="n">
        <f aca="false">S56*Use_Library!$P$55*V56</f>
        <v>0</v>
      </c>
      <c r="Y56" s="15" t="n">
        <f aca="false">IF(Parcel!$C$27=1,W56+Parcel!$C$29,0)*V56</f>
        <v>0</v>
      </c>
      <c r="Z56" s="14" t="n">
        <f aca="false">S56*Use_Library!$Q$55*Parcel!$C$27*V56</f>
        <v>0</v>
      </c>
      <c r="AA56" s="15" t="n">
        <f aca="false">IF(Parcel!$C$28=1,W56+Parcel!$C$30,0)*V56</f>
        <v>0</v>
      </c>
      <c r="AB56" s="14" t="n">
        <f aca="false">S56*Use_Library!$Q$55*Parcel!$C$28*V56</f>
        <v>0</v>
      </c>
      <c r="AC56" s="14" t="n">
        <f aca="false">IF(Parcel!$C$28=0,S56*Use_Library!$R$55,0)*V56</f>
        <v>0</v>
      </c>
      <c r="AD56" s="14" t="n">
        <f aca="false">IF(Parcel!$C$27=0,S56*Use_Library!$R$55,0)*V56</f>
        <v>0</v>
      </c>
      <c r="AE56" s="14" t="n">
        <f aca="false">I56*Parcel!$C$11*V56</f>
        <v>0</v>
      </c>
      <c r="AF56" s="14" t="n">
        <f aca="false">I56*V56</f>
        <v>0</v>
      </c>
      <c r="AG56" s="15" t="n">
        <f aca="false">IF(Use_Library!$C$55="For-Sale",IF(Use_Library!$E$55="Y",S56,1),1)*U56</f>
        <v>1</v>
      </c>
      <c r="AH56" s="19" t="n">
        <f aca="false">Cost_Library!$G$5*Parcel!$C$32*U56</f>
        <v>6500</v>
      </c>
      <c r="AI56" s="19" t="n">
        <f aca="false">AG56*Cost_Library!$G$6*Parcel!$C$32</f>
        <v>900</v>
      </c>
      <c r="AJ56" s="19" t="n">
        <f aca="false">I56*Cost_Library!$G$7*Parcel!$C$32*V56</f>
        <v>0</v>
      </c>
      <c r="AK56" s="19" t="n">
        <f aca="false">Cost_Library!$G$8*Parcel!$C$32*V56</f>
        <v>0</v>
      </c>
      <c r="AL56" s="19" t="n">
        <f aca="false">AC56*Cost_Library!$G$9*Parcel!$C$32</f>
        <v>0</v>
      </c>
      <c r="AM56" s="19" t="n">
        <f aca="false">Cost_Library!$G$10*U56</f>
        <v>2800</v>
      </c>
      <c r="AN56" s="19" t="n">
        <f aca="false">Cost_Library!$G$11*Parcel!$C$32*V56</f>
        <v>0</v>
      </c>
      <c r="AO56" s="19" t="n">
        <f aca="false">Use_Library!$S$55*U56</f>
        <v>150000</v>
      </c>
      <c r="AP56" s="19" t="n">
        <f aca="false">Cost_Library!$G$12*U56</f>
        <v>10000</v>
      </c>
      <c r="AQ56" s="19" t="n">
        <f aca="false">AE56*Cost_Library!$G$13*Parcel!$C$32</f>
        <v>0</v>
      </c>
      <c r="AR56" s="19" t="n">
        <f aca="false">AF56*Cost_Library!$G$14*Parcel!$C$32*Parcel!$C$33</f>
        <v>0</v>
      </c>
      <c r="AS56" s="19" t="n">
        <f aca="false">W56*Cost_Library!$G$15*Parcel!$C$32</f>
        <v>0</v>
      </c>
      <c r="AT56" s="19" t="n">
        <f aca="false">X56*Cost_Library!$G$16*Parcel!$C$32</f>
        <v>0</v>
      </c>
      <c r="AU56" s="19" t="n">
        <f aca="false">H56*Cost_Library!$G$17*Parcel!$C$32*V56</f>
        <v>0</v>
      </c>
      <c r="AV56" s="19" t="n">
        <f aca="false">G56*Cost_Library!$G$18*Parcel!$C$32*V56</f>
        <v>0</v>
      </c>
      <c r="AW56" s="19" t="n">
        <f aca="false">Y56*Cost_Library!$G$19*Parcel!$C$32</f>
        <v>0</v>
      </c>
      <c r="AX56" s="19" t="n">
        <f aca="false">Z56*Cost_Library!$G$20</f>
        <v>0</v>
      </c>
      <c r="AY56" s="19" t="n">
        <f aca="false">AA56*Cost_Library!$G$21*Parcel!$C$32</f>
        <v>0</v>
      </c>
      <c r="AZ56" s="19" t="n">
        <f aca="false">AB56*Cost_Library!$G$22</f>
        <v>0</v>
      </c>
      <c r="BA56" s="19" t="n">
        <f aca="false">AC56*Cost_Library!$G$23*Parcel!$C$32*Parcel!$C$34</f>
        <v>0</v>
      </c>
      <c r="BB56" s="19" t="n">
        <f aca="false">AD56*Cost_Library!$G$24*Parcel!$C$32</f>
        <v>0</v>
      </c>
      <c r="BC56" s="19" t="n">
        <f aca="false">W56*Cost_Library!$G$25*Parcel!$C$32</f>
        <v>0</v>
      </c>
      <c r="BD56" s="19" t="n">
        <f aca="false">SUM(AH56:BC56)</f>
        <v>170200</v>
      </c>
      <c r="BE56" s="19" t="n">
        <f aca="false">BD56*Assumptions!$C$11</f>
        <v>17020</v>
      </c>
      <c r="BF56" s="19" t="n">
        <f aca="false">BD56+BE56</f>
        <v>187220</v>
      </c>
      <c r="BG56" s="19" t="n">
        <f aca="false">S56*Use_Library!$T$55</f>
        <v>0</v>
      </c>
      <c r="BH56" s="19" t="n">
        <f aca="false">BG56*(Assumptions!$C$12+Assumptions!$C$13)</f>
        <v>0</v>
      </c>
      <c r="BI56" s="19" t="n">
        <f aca="false">S56*Use_Library!$AC$55</f>
        <v>0</v>
      </c>
      <c r="BJ56" s="23" t="n">
        <f aca="false">1+Assumptions!$C$14+Assumptions!$C$15*Use_Library!$AH$55/12</f>
        <v>1.0575</v>
      </c>
      <c r="BK56" s="23" t="n">
        <f aca="false">1+Assumptions!$C$21*(Assumptions!$C$22*Use_Library!$AH$55/12*Assumptions!$C$24+Assumptions!$C$23)</f>
        <v>1.0547625</v>
      </c>
      <c r="BL56" s="23" t="n">
        <f aca="false">1+Assumptions!$C$21*(Assumptions!$C$22*(Use_Library!$AH$55/12*Assumptions!$C$24+IF(Use_Library!$C$55="Income",Use_Library!$AD$55,0)/12*Assumptions!$C$25)+Assumptions!$C$23)</f>
        <v>1.0547625</v>
      </c>
      <c r="BM56" s="19" t="n">
        <f aca="false">J56*Assumptions!$C$31*(1-Assumptions!$C$17)*U56</f>
        <v>149250.380388842</v>
      </c>
      <c r="BN56" s="19" t="n">
        <f aca="false">IF(Use_Library!$AJ$55=1,IF(Use_Library!$C$55="For-Sale",S56*Use_Library!$U$55,E56*Use_Library!$AF$55)*(1-Assumptions!$C$17)+BM56,0)*U56</f>
        <v>437250.380388842</v>
      </c>
      <c r="BO56" s="19" t="n">
        <f aca="false">(BD56-AT56)*(1+Assumptions!$C$11)</f>
        <v>187220</v>
      </c>
      <c r="BP56" s="23" t="n">
        <f aca="false">BJ56*BK56</f>
        <v>1.11541134375</v>
      </c>
      <c r="BQ56" s="19" t="n">
        <f aca="false">(Parcel!$C$18*BJ56+BO56)*BK56</f>
        <v>532096.038375</v>
      </c>
      <c r="BR56" s="19" t="n">
        <f aca="false">BN56-BQ56</f>
        <v>-94845.6579861582</v>
      </c>
      <c r="BS56" s="32" t="n">
        <f aca="false">IF(AND(Use_Library!$AJ$55=1,U56=1),MAX(0,((1-Use_Library!$AI$55)*BN56-BO56*BK56)/BP56),0)</f>
        <v>116965.952312274</v>
      </c>
      <c r="BT56" s="19" t="n">
        <f aca="false">BF56+BG56+BH56+BI56</f>
        <v>187220</v>
      </c>
      <c r="BU56" s="23" t="n">
        <f aca="false">BJ56*BL56</f>
        <v>1.11541134375</v>
      </c>
      <c r="BV56" s="19" t="n">
        <f aca="false">(Parcel!$C$18*BJ56+BT56)*BL56</f>
        <v>532096.038375</v>
      </c>
      <c r="BW56" s="19" t="n">
        <f aca="false">IF(Use_Library!$C$55="Income",S56*Use_Library!$W$55,0)</f>
        <v>0</v>
      </c>
      <c r="BX56" s="19" t="n">
        <f aca="false">BW56*(1+Use_Library!$X$55)*(1-Use_Library!$Y$55)</f>
        <v>0</v>
      </c>
      <c r="BY56" s="19" t="n">
        <f aca="false">IF(Use_Library!$C$55="Income",S56*Use_Library!$Z$55,0)</f>
        <v>0</v>
      </c>
      <c r="BZ56" s="19" t="n">
        <f aca="false">IF(Use_Library!$C$55="Income",Assumptions!$C$19*Assumptions!$C$20*BV56,0)</f>
        <v>0</v>
      </c>
      <c r="CA56" s="19" t="n">
        <f aca="false">BX56*Use_Library!$AA$55</f>
        <v>0</v>
      </c>
      <c r="CB56" s="19" t="n">
        <f aca="false">(BY56+BZ56)*Use_Library!$AB$55</f>
        <v>0</v>
      </c>
      <c r="CC56" s="19" t="n">
        <f aca="false">BX56-BY56-BZ56-CA56+CB56</f>
        <v>0</v>
      </c>
      <c r="CD56" s="19" t="n">
        <f aca="false">IF(AND(Use_Library!$C$55="Income",Use_Library!$AE$55&gt;0),CC56/Use_Library!$AE$55,0)</f>
        <v>0</v>
      </c>
      <c r="CE56" s="24" t="n">
        <f aca="false">IF(Use_Library!$C$55="Income",-Assumptions!$C$19*Assumptions!$C$20*(1-Use_Library!$AB$55)*BU56,0)</f>
        <v>0</v>
      </c>
      <c r="CF56" s="20" t="n">
        <f aca="false">IF(BV56=0,0,CC56/BV56)</f>
        <v>0</v>
      </c>
      <c r="CG56" s="19" t="n">
        <f aca="false">IF(Use_Library!$AK$55=1,IF(Use_Library!$C$55="Income",CD56*(1-Assumptions!$C$18),S56*Use_Library!$V$55*(1-Assumptions!$C$16))+BM56,0)*U56</f>
        <v>0</v>
      </c>
      <c r="CH56" s="24" t="n">
        <f aca="false">IF(AND(Use_Library!$AK$55=1,Use_Library!$C$55="Income",Use_Library!$AE$55&gt;0),CE56/Use_Library!$AE$55*(1-Assumptions!$C$18),0)</f>
        <v>0</v>
      </c>
      <c r="CI56" s="19" t="n">
        <f aca="false">CG56-BV56</f>
        <v>-532096.038375</v>
      </c>
      <c r="CJ56" s="32" t="n">
        <f aca="false">IF(AND(Use_Library!$AK$55=1,U56=1),MAX(0,Parcel!$C$18-((1-Use_Library!$AI$55)*CG56-BV56)/((1-Use_Library!$AI$55)*CH56-BU56)),0)</f>
        <v>0</v>
      </c>
      <c r="CK56" s="19" t="n">
        <f aca="false">IF(Use_Library!$AL$55=1,IF(Use_Library!$C$55="Income",CD56,IF(Use_Library!$AE$55&gt;0,E56*Use_Library!$AG$55/Use_Library!$AE$55,0))+BM56,0)*U56</f>
        <v>0</v>
      </c>
      <c r="CL56" s="19" t="n">
        <f aca="false">IF(Use_Library!$C$55="Income",BT56,BF56)</f>
        <v>187220</v>
      </c>
      <c r="CM56" s="23" t="n">
        <f aca="false">IF(Use_Library!$C$55="Income",BU56,BJ56*BK56)</f>
        <v>1.11541134375</v>
      </c>
      <c r="CN56" s="19" t="n">
        <f aca="false">IF(Use_Library!$C$55="Income",BV56,(Parcel!$C$18*BJ56+BF56)*BK56)</f>
        <v>532096.038375</v>
      </c>
      <c r="CO56" s="24" t="n">
        <f aca="false">IF(AND(Use_Library!$AL$55=1,Use_Library!$C$55="Income",Use_Library!$AE$55&gt;0),CE56/Use_Library!$AE$55,0)</f>
        <v>0</v>
      </c>
      <c r="CP56" s="19" t="n">
        <f aca="false">CK56-CN56</f>
        <v>-532096.038375</v>
      </c>
      <c r="CQ56" s="32" t="n">
        <f aca="false">IF(AND(Use_Library!$AL$55=1,U56=1),MAX(0,Parcel!$C$18-((1-Use_Library!$AI$55)*CK56-CN56)/((1-Use_Library!$AI$55)*CO56-CM56)),0)</f>
        <v>0</v>
      </c>
      <c r="CR56" s="19" t="n">
        <f aca="false">IF(Use_Library!$C$55="Income",Assumptions!$C$21*(Parcel!$C$18*BJ56+BT56),0)</f>
        <v>0</v>
      </c>
      <c r="CS56" s="19" t="n">
        <f aca="false">IF(AND(Use_Library!$C$55="Income",CC56&gt;0),MIN(Assumptions!$C$26*CD56,PV(Assumptions!$C$29/12,Assumptions!$C$30*12,-CC56/Assumptions!$C$27/12),CC56/Assumptions!$C$28),0)</f>
        <v>0</v>
      </c>
      <c r="CT56" s="25" t="n">
        <f aca="false">IF(CS56=0,0,CC56/(-PMT(Assumptions!$C$29/12,Assumptions!$C$30*12,CS56)*12))</f>
        <v>0</v>
      </c>
      <c r="CU56" s="19" t="n">
        <f aca="false">CS56-CR56</f>
        <v>0</v>
      </c>
      <c r="CV56" s="18" t="n">
        <f aca="false">MAX(BS56,CJ56,CQ56)</f>
        <v>116965.952312274</v>
      </c>
      <c r="CW56" s="9" t="str">
        <f aca="false">IF(CV56&lt;=0,"None works",IF(BS56=CV56,"Land / pad sale",IF(CJ56=CV56,"Build &amp; sell","Build &amp; hold / lease")))</f>
        <v>Land / pad sale</v>
      </c>
      <c r="CX56" s="19" t="n">
        <f aca="false">CV56*(1-Assumptions!$C$32)</f>
        <v>99421.0594654325</v>
      </c>
      <c r="CY56" s="19" t="n">
        <f aca="false">CV56-Parcel!$C$18</f>
        <v>-183034.047687727</v>
      </c>
      <c r="CZ56" s="19" t="n">
        <f aca="false">IF(Parcel!$C$8=0,0,CV56/Parcel!$C$8)</f>
        <v>5848.29761561368</v>
      </c>
      <c r="DA56" s="33" t="n">
        <f aca="false">IF(S56=0,0,CV56/S56)</f>
        <v>23393.1904624547</v>
      </c>
      <c r="DB56" s="9" t="str">
        <f aca="false">TRIM(M56&amp;" "&amp;IF(AND(U56=0,N56=1),"Nothing fits. ","")&amp;IF(Parcel!$C$12&lt;Use_Library!$AM$55,"Frontage under "&amp;Use_Library!$AM$55&amp;" LF. ","")&amp;IF(Parcel!$C$10&gt;0.15,"Slope over 15%. ","")&amp;IF(AND(U56=1,Use_Library!$M$55&gt;0,D56&gt;Use_Library!$M$55),"Only "&amp;Use_Library!$M$55&amp;" ac used - rest resold. ",""))</f>
        <v>Only 5 ac used - rest resold.</v>
      </c>
      <c r="DC56" s="19" t="n">
        <f aca="false">CV56+ROW()/1000000</f>
        <v>116965.952368274</v>
      </c>
    </row>
    <row r="57" customFormat="false" ht="15" hidden="false" customHeight="false" outlineLevel="0" collapsed="false">
      <c r="A57" s="4" t="str">
        <f aca="false">Use_Library!$A$56</f>
        <v>Battery storage / solar land lease</v>
      </c>
      <c r="B57" s="9" t="str">
        <f aca="false">Use_Library!$C$56</f>
        <v>Land Play</v>
      </c>
      <c r="C57" s="9" t="str">
        <f aca="false">Use_Library!$D$56</f>
        <v>acre</v>
      </c>
      <c r="D57" s="14" t="n">
        <f aca="false">MAX(0,Parcel!$C$26*(1-Use_Library!$N$56-Assumptions!$C$7))</f>
        <v>14.196</v>
      </c>
      <c r="E57" s="14" t="n">
        <f aca="false">IF(Use_Library!$M$56&gt;0,MIN(D57,Use_Library!$M$56),D57)</f>
        <v>14.196</v>
      </c>
      <c r="F57" s="20" t="n">
        <f aca="false">IF(D57=0,0,E57/D57)</f>
        <v>1</v>
      </c>
      <c r="G57" s="14" t="n">
        <f aca="false">Parcel!$C$26*F57</f>
        <v>15.6</v>
      </c>
      <c r="H57" s="14" t="n">
        <f aca="false">G57*Assumptions!$C$7</f>
        <v>0.624</v>
      </c>
      <c r="I57" s="14" t="n">
        <f aca="false">G57*(1-Use_Library!$N$56)</f>
        <v>14.82</v>
      </c>
      <c r="J57" s="14" t="n">
        <f aca="false">Parcel!$C$8*(1-F57)</f>
        <v>0</v>
      </c>
      <c r="K57" s="15" t="n">
        <f aca="false">IF(AND(Use_Library!$I$56="Y",Parcel!$C$28=0),0,1)</f>
        <v>1</v>
      </c>
      <c r="L57" s="15" t="n">
        <f aca="false">IF(AND(Use_Library!$J$56="Y",Parcel!$C$27=0),0,1)</f>
        <v>1</v>
      </c>
      <c r="M57" s="9" t="str">
        <f aca="false">TRIM(IF(AND(Use_Library!$AN$56&gt;0,Parcel!$C$19&lt;Use_Library!$AN$56),"Traffic under "&amp;TEXT(Use_Library!$AN$56,"#,##0")&amp;" VPD. ","")&amp;IF(AND(Use_Library!$AO$56&gt;0,Parcel!$C$20&lt;Use_Library!$AO$56),"Under "&amp;TEXT(Use_Library!$AO$56,"#,##0")&amp;" households in 3 mi. ","")&amp;IF(AND(Use_Library!$AP$56&gt;0,Parcel!$C$21&gt;Use_Library!$AP$56),"Over "&amp;Use_Library!$AP$56&amp;" mi to highway. ","")&amp;IF(AND(Use_Library!$AQ$56="Y",Parcel!$C$22&lt;&gt;"Y"),"Needs a corner. ","")&amp;IF(AND(Use_Library!$AR$56&gt;0,Parcel!$C$23&gt;Use_Library!$AR$56),"Over "&amp;Use_Library!$AR$56&amp;" mi to substation. ",""))</f>
        <v>Over 2 mi to substation.</v>
      </c>
      <c r="N57" s="15" t="n">
        <f aca="false">IF(M57="",1,0)</f>
        <v>0</v>
      </c>
      <c r="O57" s="15" t="n">
        <f aca="false">IF(D57&gt;=Use_Library!$L$56,1,0)</f>
        <v>0</v>
      </c>
      <c r="P57" s="14" t="n">
        <f aca="false">IF(Use_Library!$F$56&gt;0,G57*Use_Library!$F$56,1000000000)</f>
        <v>1000000000</v>
      </c>
      <c r="Q57" s="14" t="n">
        <f aca="false">IF(Use_Library!$G$56&gt;0,E57*43560/Use_Library!$G$56,1000000000)</f>
        <v>14.196</v>
      </c>
      <c r="R57" s="14" t="n">
        <f aca="false">IF(AND(Use_Library!$H$56="Y",Parcel!$C$28=0),E57*(1-Assumptions!$C$8)/IF(Parcel!$C$27=1,Assumptions!$C$9,Assumptions!$C$10),1000000000)</f>
        <v>1000000000</v>
      </c>
      <c r="S57" s="21" t="n">
        <f aca="false">IF(K57*L57*O57*N57=0,0,IF(MIN(P57,Q57,R57)&gt;=1000000000,E57,IF(Use_Library!$E$56="Y",INT(MIN(P57,Q57,R57)),MIN(P57,Q57,R57))))</f>
        <v>0</v>
      </c>
      <c r="T57" s="9" t="str">
        <f aca="false">IF(N57=0,"Location fails",IF(O57=0,"Too small - needs "&amp;Use_Library!$L$56&amp;" usable ac",IF(K57=0,"Needs public sewer",IF(L57=0,"Needs public water",IF(R57&lt;=MIN(P57,Q57),"Septic lot size",IF(Q57&lt;=P57,"Site area / parking","Density"))))))</f>
        <v>Location fails</v>
      </c>
      <c r="U57" s="15" t="n">
        <f aca="false">IF(S57&gt;0,1,0)</f>
        <v>0</v>
      </c>
      <c r="V57" s="15" t="n">
        <f aca="false">IF(Use_Library!$K$56="Y",1,0)*U57</f>
        <v>0</v>
      </c>
      <c r="W57" s="15" t="n">
        <f aca="false">S57*Use_Library!$O$56*V57</f>
        <v>0</v>
      </c>
      <c r="X57" s="15" t="n">
        <f aca="false">S57*Use_Library!$P$56*V57</f>
        <v>0</v>
      </c>
      <c r="Y57" s="15" t="n">
        <f aca="false">IF(Parcel!$C$27=1,W57+Parcel!$C$29,0)*V57</f>
        <v>0</v>
      </c>
      <c r="Z57" s="14" t="n">
        <f aca="false">S57*Use_Library!$Q$56*Parcel!$C$27*V57</f>
        <v>0</v>
      </c>
      <c r="AA57" s="15" t="n">
        <f aca="false">IF(Parcel!$C$28=1,W57+Parcel!$C$30,0)*V57</f>
        <v>0</v>
      </c>
      <c r="AB57" s="14" t="n">
        <f aca="false">S57*Use_Library!$Q$56*Parcel!$C$28*V57</f>
        <v>0</v>
      </c>
      <c r="AC57" s="14" t="n">
        <f aca="false">IF(Parcel!$C$28=0,S57*Use_Library!$R$56,0)*V57</f>
        <v>0</v>
      </c>
      <c r="AD57" s="14" t="n">
        <f aca="false">IF(Parcel!$C$27=0,S57*Use_Library!$R$56,0)*V57</f>
        <v>0</v>
      </c>
      <c r="AE57" s="14" t="n">
        <f aca="false">I57*Parcel!$C$11*V57</f>
        <v>0</v>
      </c>
      <c r="AF57" s="14" t="n">
        <f aca="false">I57*V57</f>
        <v>0</v>
      </c>
      <c r="AG57" s="15" t="n">
        <f aca="false">IF(Use_Library!$C$56="For-Sale",IF(Use_Library!$E$56="Y",S57,1),1)*U57</f>
        <v>0</v>
      </c>
      <c r="AH57" s="19" t="n">
        <f aca="false">Cost_Library!$G$5*Parcel!$C$32*U57</f>
        <v>0</v>
      </c>
      <c r="AI57" s="19" t="n">
        <f aca="false">AG57*Cost_Library!$G$6*Parcel!$C$32</f>
        <v>0</v>
      </c>
      <c r="AJ57" s="19" t="n">
        <f aca="false">I57*Cost_Library!$G$7*Parcel!$C$32*V57</f>
        <v>0</v>
      </c>
      <c r="AK57" s="19" t="n">
        <f aca="false">Cost_Library!$G$8*Parcel!$C$32*V57</f>
        <v>0</v>
      </c>
      <c r="AL57" s="19" t="n">
        <f aca="false">AC57*Cost_Library!$G$9*Parcel!$C$32</f>
        <v>0</v>
      </c>
      <c r="AM57" s="19" t="n">
        <f aca="false">Cost_Library!$G$10*U57</f>
        <v>0</v>
      </c>
      <c r="AN57" s="19" t="n">
        <f aca="false">Cost_Library!$G$11*Parcel!$C$32*V57</f>
        <v>0</v>
      </c>
      <c r="AO57" s="19" t="n">
        <f aca="false">Use_Library!$S$56*U57</f>
        <v>0</v>
      </c>
      <c r="AP57" s="19" t="n">
        <f aca="false">Cost_Library!$G$12*U57</f>
        <v>0</v>
      </c>
      <c r="AQ57" s="19" t="n">
        <f aca="false">AE57*Cost_Library!$G$13*Parcel!$C$32</f>
        <v>0</v>
      </c>
      <c r="AR57" s="19" t="n">
        <f aca="false">AF57*Cost_Library!$G$14*Parcel!$C$32*Parcel!$C$33</f>
        <v>0</v>
      </c>
      <c r="AS57" s="19" t="n">
        <f aca="false">W57*Cost_Library!$G$15*Parcel!$C$32</f>
        <v>0</v>
      </c>
      <c r="AT57" s="19" t="n">
        <f aca="false">X57*Cost_Library!$G$16*Parcel!$C$32</f>
        <v>0</v>
      </c>
      <c r="AU57" s="19" t="n">
        <f aca="false">H57*Cost_Library!$G$17*Parcel!$C$32*V57</f>
        <v>0</v>
      </c>
      <c r="AV57" s="19" t="n">
        <f aca="false">G57*Cost_Library!$G$18*Parcel!$C$32*V57</f>
        <v>0</v>
      </c>
      <c r="AW57" s="19" t="n">
        <f aca="false">Y57*Cost_Library!$G$19*Parcel!$C$32</f>
        <v>0</v>
      </c>
      <c r="AX57" s="19" t="n">
        <f aca="false">Z57*Cost_Library!$G$20</f>
        <v>0</v>
      </c>
      <c r="AY57" s="19" t="n">
        <f aca="false">AA57*Cost_Library!$G$21*Parcel!$C$32</f>
        <v>0</v>
      </c>
      <c r="AZ57" s="19" t="n">
        <f aca="false">AB57*Cost_Library!$G$22</f>
        <v>0</v>
      </c>
      <c r="BA57" s="19" t="n">
        <f aca="false">AC57*Cost_Library!$G$23*Parcel!$C$32*Parcel!$C$34</f>
        <v>0</v>
      </c>
      <c r="BB57" s="19" t="n">
        <f aca="false">AD57*Cost_Library!$G$24*Parcel!$C$32</f>
        <v>0</v>
      </c>
      <c r="BC57" s="19" t="n">
        <f aca="false">W57*Cost_Library!$G$25*Parcel!$C$32</f>
        <v>0</v>
      </c>
      <c r="BD57" s="19" t="n">
        <f aca="false">SUM(AH57:BC57)</f>
        <v>0</v>
      </c>
      <c r="BE57" s="19" t="n">
        <f aca="false">BD57*Assumptions!$C$11</f>
        <v>0</v>
      </c>
      <c r="BF57" s="19" t="n">
        <f aca="false">BD57+BE57</f>
        <v>0</v>
      </c>
      <c r="BG57" s="19" t="n">
        <f aca="false">S57*Use_Library!$T$56</f>
        <v>0</v>
      </c>
      <c r="BH57" s="19" t="n">
        <f aca="false">BG57*(Assumptions!$C$12+Assumptions!$C$13)</f>
        <v>0</v>
      </c>
      <c r="BI57" s="19" t="n">
        <f aca="false">S57*Use_Library!$AC$56</f>
        <v>0</v>
      </c>
      <c r="BJ57" s="23" t="n">
        <f aca="false">1+Assumptions!$C$14+Assumptions!$C$15*Use_Library!$AH$56/12</f>
        <v>1.0575</v>
      </c>
      <c r="BK57" s="23" t="n">
        <f aca="false">1+Assumptions!$C$21*(Assumptions!$C$22*Use_Library!$AH$56/12*Assumptions!$C$24+Assumptions!$C$23)</f>
        <v>1.0547625</v>
      </c>
      <c r="BL57" s="23" t="n">
        <f aca="false">1+Assumptions!$C$21*(Assumptions!$C$22*(Use_Library!$AH$56/12*Assumptions!$C$24+IF(Use_Library!$C$56="Income",Use_Library!$AD$56,0)/12*Assumptions!$C$25)+Assumptions!$C$23)</f>
        <v>1.0547625</v>
      </c>
      <c r="BM57" s="19" t="n">
        <f aca="false">J57*Assumptions!$C$31*(1-Assumptions!$C$17)*U57</f>
        <v>0</v>
      </c>
      <c r="BN57" s="19" t="n">
        <f aca="false">IF(Use_Library!$AJ$56=1,IF(Use_Library!$C$56="For-Sale",S57*Use_Library!$U$56,E57*Use_Library!$AF$56)*(1-Assumptions!$C$17)+BM57,0)*U57</f>
        <v>0</v>
      </c>
      <c r="BO57" s="19" t="n">
        <f aca="false">(BD57-AT57)*(1+Assumptions!$C$11)</f>
        <v>0</v>
      </c>
      <c r="BP57" s="23" t="n">
        <f aca="false">BJ57*BK57</f>
        <v>1.11541134375</v>
      </c>
      <c r="BQ57" s="19" t="n">
        <f aca="false">(Parcel!$C$18*BJ57+BO57)*BK57</f>
        <v>334623.403125</v>
      </c>
      <c r="BR57" s="19" t="n">
        <f aca="false">BN57-BQ57</f>
        <v>-334623.403125</v>
      </c>
      <c r="BS57" s="32" t="n">
        <f aca="false">IF(AND(Use_Library!$AJ$56=1,U57=1),MAX(0,((1-Use_Library!$AI$56)*BN57-BO57*BK57)/BP57),0)</f>
        <v>0</v>
      </c>
      <c r="BT57" s="19" t="n">
        <f aca="false">BF57+BG57+BH57+BI57</f>
        <v>0</v>
      </c>
      <c r="BU57" s="23" t="n">
        <f aca="false">BJ57*BL57</f>
        <v>1.11541134375</v>
      </c>
      <c r="BV57" s="19" t="n">
        <f aca="false">(Parcel!$C$18*BJ57+BT57)*BL57</f>
        <v>334623.403125</v>
      </c>
      <c r="BW57" s="19" t="n">
        <f aca="false">IF(Use_Library!$C$56="Income",S57*Use_Library!$W$56,0)</f>
        <v>0</v>
      </c>
      <c r="BX57" s="19" t="n">
        <f aca="false">BW57*(1+Use_Library!$X$56)*(1-Use_Library!$Y$56)</f>
        <v>0</v>
      </c>
      <c r="BY57" s="19" t="n">
        <f aca="false">IF(Use_Library!$C$56="Income",S57*Use_Library!$Z$56,0)</f>
        <v>0</v>
      </c>
      <c r="BZ57" s="19" t="n">
        <f aca="false">IF(Use_Library!$C$56="Income",Assumptions!$C$19*Assumptions!$C$20*BV57,0)</f>
        <v>0</v>
      </c>
      <c r="CA57" s="19" t="n">
        <f aca="false">BX57*Use_Library!$AA$56</f>
        <v>0</v>
      </c>
      <c r="CB57" s="19" t="n">
        <f aca="false">(BY57+BZ57)*Use_Library!$AB$56</f>
        <v>0</v>
      </c>
      <c r="CC57" s="19" t="n">
        <f aca="false">BX57-BY57-BZ57-CA57+CB57</f>
        <v>0</v>
      </c>
      <c r="CD57" s="19" t="n">
        <f aca="false">IF(AND(Use_Library!$C$56="Income",Use_Library!$AE$56&gt;0),CC57/Use_Library!$AE$56,0)</f>
        <v>0</v>
      </c>
      <c r="CE57" s="24" t="n">
        <f aca="false">IF(Use_Library!$C$56="Income",-Assumptions!$C$19*Assumptions!$C$20*(1-Use_Library!$AB$56)*BU57,0)</f>
        <v>0</v>
      </c>
      <c r="CF57" s="20" t="n">
        <f aca="false">IF(BV57=0,0,CC57/BV57)</f>
        <v>0</v>
      </c>
      <c r="CG57" s="19" t="n">
        <f aca="false">IF(Use_Library!$AK$56=1,IF(Use_Library!$C$56="Income",CD57*(1-Assumptions!$C$18),S57*Use_Library!$V$56*(1-Assumptions!$C$16))+BM57,0)*U57</f>
        <v>0</v>
      </c>
      <c r="CH57" s="24" t="n">
        <f aca="false">IF(AND(Use_Library!$AK$56=1,Use_Library!$C$56="Income",Use_Library!$AE$56&gt;0),CE57/Use_Library!$AE$56*(1-Assumptions!$C$18),0)</f>
        <v>0</v>
      </c>
      <c r="CI57" s="19" t="n">
        <f aca="false">CG57-BV57</f>
        <v>-334623.403125</v>
      </c>
      <c r="CJ57" s="32" t="n">
        <f aca="false">IF(AND(Use_Library!$AK$56=1,U57=1),MAX(0,Parcel!$C$18-((1-Use_Library!$AI$56)*CG57-BV57)/((1-Use_Library!$AI$56)*CH57-BU57)),0)</f>
        <v>0</v>
      </c>
      <c r="CK57" s="19" t="n">
        <f aca="false">IF(Use_Library!$AL$56=1,IF(Use_Library!$C$56="Income",CD57,IF(Use_Library!$AE$56&gt;0,E57*Use_Library!$AG$56/Use_Library!$AE$56,0))+BM57,0)*U57</f>
        <v>0</v>
      </c>
      <c r="CL57" s="19" t="n">
        <f aca="false">IF(Use_Library!$C$56="Income",BT57,BF57)</f>
        <v>0</v>
      </c>
      <c r="CM57" s="23" t="n">
        <f aca="false">IF(Use_Library!$C$56="Income",BU57,BJ57*BK57)</f>
        <v>1.11541134375</v>
      </c>
      <c r="CN57" s="19" t="n">
        <f aca="false">IF(Use_Library!$C$56="Income",BV57,(Parcel!$C$18*BJ57+BF57)*BK57)</f>
        <v>334623.403125</v>
      </c>
      <c r="CO57" s="24" t="n">
        <f aca="false">IF(AND(Use_Library!$AL$56=1,Use_Library!$C$56="Income",Use_Library!$AE$56&gt;0),CE57/Use_Library!$AE$56,0)</f>
        <v>0</v>
      </c>
      <c r="CP57" s="19" t="n">
        <f aca="false">CK57-CN57</f>
        <v>-334623.403125</v>
      </c>
      <c r="CQ57" s="32" t="n">
        <f aca="false">IF(AND(Use_Library!$AL$56=1,U57=1),MAX(0,Parcel!$C$18-((1-Use_Library!$AI$56)*CK57-CN57)/((1-Use_Library!$AI$56)*CO57-CM57)),0)</f>
        <v>0</v>
      </c>
      <c r="CR57" s="19" t="n">
        <f aca="false">IF(Use_Library!$C$56="Income",Assumptions!$C$21*(Parcel!$C$18*BJ57+BT57),0)</f>
        <v>0</v>
      </c>
      <c r="CS57" s="19" t="n">
        <f aca="false">IF(AND(Use_Library!$C$56="Income",CC57&gt;0),MIN(Assumptions!$C$26*CD57,PV(Assumptions!$C$29/12,Assumptions!$C$30*12,-CC57/Assumptions!$C$27/12),CC57/Assumptions!$C$28),0)</f>
        <v>0</v>
      </c>
      <c r="CT57" s="25" t="n">
        <f aca="false">IF(CS57=0,0,CC57/(-PMT(Assumptions!$C$29/12,Assumptions!$C$30*12,CS57)*12))</f>
        <v>0</v>
      </c>
      <c r="CU57" s="19" t="n">
        <f aca="false">CS57-CR57</f>
        <v>0</v>
      </c>
      <c r="CV57" s="18" t="n">
        <f aca="false">MAX(BS57,CJ57,CQ57)</f>
        <v>0</v>
      </c>
      <c r="CW57" s="9" t="str">
        <f aca="false">IF(CV57&lt;=0,"None works",IF(BS57=CV57,"Land / pad sale",IF(CJ57=CV57,"Build &amp; sell","Build &amp; hold / lease")))</f>
        <v>None works</v>
      </c>
      <c r="CX57" s="19" t="n">
        <f aca="false">CV57*(1-Assumptions!$C$32)</f>
        <v>0</v>
      </c>
      <c r="CY57" s="19" t="n">
        <f aca="false">CV57-Parcel!$C$18</f>
        <v>-300000</v>
      </c>
      <c r="CZ57" s="19" t="n">
        <f aca="false">IF(Parcel!$C$8=0,0,CV57/Parcel!$C$8)</f>
        <v>0</v>
      </c>
      <c r="DA57" s="33" t="n">
        <f aca="false">IF(S57=0,0,CV57/S57)</f>
        <v>0</v>
      </c>
      <c r="DB57" s="9" t="str">
        <f aca="false">TRIM(M57&amp;" "&amp;IF(AND(U57=0,N57=1),"Nothing fits. ","")&amp;IF(Parcel!$C$12&lt;Use_Library!$AM$56,"Frontage under "&amp;Use_Library!$AM$56&amp;" LF. ","")&amp;IF(Parcel!$C$10&gt;0.15,"Slope over 15%. ","")&amp;IF(AND(U57=1,Use_Library!$M$56&gt;0,D57&gt;Use_Library!$M$56),"Only "&amp;Use_Library!$M$56&amp;" ac used - rest resold. ",""))</f>
        <v>Over 2 mi to substation.</v>
      </c>
      <c r="DC57" s="19" t="n">
        <f aca="false">CV57+ROW()/1000000</f>
        <v>5.7E-005</v>
      </c>
    </row>
    <row r="58" customFormat="false" ht="15" hidden="false" customHeight="false" outlineLevel="0" collapsed="false">
      <c r="A58" s="4" t="str">
        <f aca="false">Use_Library!$A$57</f>
        <v>Powered land for data centers</v>
      </c>
      <c r="B58" s="9" t="str">
        <f aca="false">Use_Library!$C$57</f>
        <v>Land Play</v>
      </c>
      <c r="C58" s="9" t="str">
        <f aca="false">Use_Library!$D$57</f>
        <v>acre</v>
      </c>
      <c r="D58" s="14" t="n">
        <f aca="false">MAX(0,Parcel!$C$26*(1-Use_Library!$N$57-Assumptions!$C$7))</f>
        <v>14.196</v>
      </c>
      <c r="E58" s="14" t="n">
        <f aca="false">IF(Use_Library!$M$57&gt;0,MIN(D58,Use_Library!$M$57),D58)</f>
        <v>14.196</v>
      </c>
      <c r="F58" s="20" t="n">
        <f aca="false">IF(D58=0,0,E58/D58)</f>
        <v>1</v>
      </c>
      <c r="G58" s="14" t="n">
        <f aca="false">Parcel!$C$26*F58</f>
        <v>15.6</v>
      </c>
      <c r="H58" s="14" t="n">
        <f aca="false">G58*Assumptions!$C$7</f>
        <v>0.624</v>
      </c>
      <c r="I58" s="14" t="n">
        <f aca="false">G58*(1-Use_Library!$N$57)</f>
        <v>14.82</v>
      </c>
      <c r="J58" s="14" t="n">
        <f aca="false">Parcel!$C$8*(1-F58)</f>
        <v>0</v>
      </c>
      <c r="K58" s="15" t="n">
        <f aca="false">IF(AND(Use_Library!$I$57="Y",Parcel!$C$28=0),0,1)</f>
        <v>1</v>
      </c>
      <c r="L58" s="15" t="n">
        <f aca="false">IF(AND(Use_Library!$J$57="Y",Parcel!$C$27=0),0,1)</f>
        <v>1</v>
      </c>
      <c r="M58" s="9" t="str">
        <f aca="false">TRIM(IF(AND(Use_Library!$AN$57&gt;0,Parcel!$C$19&lt;Use_Library!$AN$57),"Traffic under "&amp;TEXT(Use_Library!$AN$57,"#,##0")&amp;" VPD. ","")&amp;IF(AND(Use_Library!$AO$57&gt;0,Parcel!$C$20&lt;Use_Library!$AO$57),"Under "&amp;TEXT(Use_Library!$AO$57,"#,##0")&amp;" households in 3 mi. ","")&amp;IF(AND(Use_Library!$AP$57&gt;0,Parcel!$C$21&gt;Use_Library!$AP$57),"Over "&amp;Use_Library!$AP$57&amp;" mi to highway. ","")&amp;IF(AND(Use_Library!$AQ$57="Y",Parcel!$C$22&lt;&gt;"Y"),"Needs a corner. ","")&amp;IF(AND(Use_Library!$AR$57&gt;0,Parcel!$C$23&gt;Use_Library!$AR$57),"Over "&amp;Use_Library!$AR$57&amp;" mi to substation. ",""))</f>
        <v>Over 1 mi to substation.</v>
      </c>
      <c r="N58" s="15" t="n">
        <f aca="false">IF(M58="",1,0)</f>
        <v>0</v>
      </c>
      <c r="O58" s="15" t="n">
        <f aca="false">IF(D58&gt;=Use_Library!$L$57,1,0)</f>
        <v>0</v>
      </c>
      <c r="P58" s="14" t="n">
        <f aca="false">IF(Use_Library!$F$57&gt;0,G58*Use_Library!$F$57,1000000000)</f>
        <v>1000000000</v>
      </c>
      <c r="Q58" s="14" t="n">
        <f aca="false">IF(Use_Library!$G$57&gt;0,E58*43560/Use_Library!$G$57,1000000000)</f>
        <v>14.196</v>
      </c>
      <c r="R58" s="14" t="n">
        <f aca="false">IF(AND(Use_Library!$H$57="Y",Parcel!$C$28=0),E58*(1-Assumptions!$C$8)/IF(Parcel!$C$27=1,Assumptions!$C$9,Assumptions!$C$10),1000000000)</f>
        <v>1000000000</v>
      </c>
      <c r="S58" s="21" t="n">
        <f aca="false">IF(K58*L58*O58*N58=0,0,IF(MIN(P58,Q58,R58)&gt;=1000000000,E58,IF(Use_Library!$E$57="Y",INT(MIN(P58,Q58,R58)),MIN(P58,Q58,R58))))</f>
        <v>0</v>
      </c>
      <c r="T58" s="9" t="str">
        <f aca="false">IF(N58=0,"Location fails",IF(O58=0,"Too small - needs "&amp;Use_Library!$L$57&amp;" usable ac",IF(K58=0,"Needs public sewer",IF(L58=0,"Needs public water",IF(R58&lt;=MIN(P58,Q58),"Septic lot size",IF(Q58&lt;=P58,"Site area / parking","Density"))))))</f>
        <v>Location fails</v>
      </c>
      <c r="U58" s="15" t="n">
        <f aca="false">IF(S58&gt;0,1,0)</f>
        <v>0</v>
      </c>
      <c r="V58" s="15" t="n">
        <f aca="false">IF(Use_Library!$K$57="Y",1,0)*U58</f>
        <v>0</v>
      </c>
      <c r="W58" s="15" t="n">
        <f aca="false">S58*Use_Library!$O$57*V58</f>
        <v>0</v>
      </c>
      <c r="X58" s="15" t="n">
        <f aca="false">S58*Use_Library!$P$57*V58</f>
        <v>0</v>
      </c>
      <c r="Y58" s="15" t="n">
        <f aca="false">IF(Parcel!$C$27=1,W58+Parcel!$C$29,0)*V58</f>
        <v>0</v>
      </c>
      <c r="Z58" s="14" t="n">
        <f aca="false">S58*Use_Library!$Q$57*Parcel!$C$27*V58</f>
        <v>0</v>
      </c>
      <c r="AA58" s="15" t="n">
        <f aca="false">IF(Parcel!$C$28=1,W58+Parcel!$C$30,0)*V58</f>
        <v>0</v>
      </c>
      <c r="AB58" s="14" t="n">
        <f aca="false">S58*Use_Library!$Q$57*Parcel!$C$28*V58</f>
        <v>0</v>
      </c>
      <c r="AC58" s="14" t="n">
        <f aca="false">IF(Parcel!$C$28=0,S58*Use_Library!$R$57,0)*V58</f>
        <v>0</v>
      </c>
      <c r="AD58" s="14" t="n">
        <f aca="false">IF(Parcel!$C$27=0,S58*Use_Library!$R$57,0)*V58</f>
        <v>0</v>
      </c>
      <c r="AE58" s="14" t="n">
        <f aca="false">I58*Parcel!$C$11*V58</f>
        <v>0</v>
      </c>
      <c r="AF58" s="14" t="n">
        <f aca="false">I58*V58</f>
        <v>0</v>
      </c>
      <c r="AG58" s="15" t="n">
        <f aca="false">IF(Use_Library!$C$57="For-Sale",IF(Use_Library!$E$57="Y",S58,1),1)*U58</f>
        <v>0</v>
      </c>
      <c r="AH58" s="19" t="n">
        <f aca="false">Cost_Library!$G$5*Parcel!$C$32*U58</f>
        <v>0</v>
      </c>
      <c r="AI58" s="19" t="n">
        <f aca="false">AG58*Cost_Library!$G$6*Parcel!$C$32</f>
        <v>0</v>
      </c>
      <c r="AJ58" s="19" t="n">
        <f aca="false">I58*Cost_Library!$G$7*Parcel!$C$32*V58</f>
        <v>0</v>
      </c>
      <c r="AK58" s="19" t="n">
        <f aca="false">Cost_Library!$G$8*Parcel!$C$32*V58</f>
        <v>0</v>
      </c>
      <c r="AL58" s="19" t="n">
        <f aca="false">AC58*Cost_Library!$G$9*Parcel!$C$32</f>
        <v>0</v>
      </c>
      <c r="AM58" s="19" t="n">
        <f aca="false">Cost_Library!$G$10*U58</f>
        <v>0</v>
      </c>
      <c r="AN58" s="19" t="n">
        <f aca="false">Cost_Library!$G$11*Parcel!$C$32*V58</f>
        <v>0</v>
      </c>
      <c r="AO58" s="19" t="n">
        <f aca="false">Use_Library!$S$57*U58</f>
        <v>0</v>
      </c>
      <c r="AP58" s="19" t="n">
        <f aca="false">Cost_Library!$G$12*U58</f>
        <v>0</v>
      </c>
      <c r="AQ58" s="19" t="n">
        <f aca="false">AE58*Cost_Library!$G$13*Parcel!$C$32</f>
        <v>0</v>
      </c>
      <c r="AR58" s="19" t="n">
        <f aca="false">AF58*Cost_Library!$G$14*Parcel!$C$32*Parcel!$C$33</f>
        <v>0</v>
      </c>
      <c r="AS58" s="19" t="n">
        <f aca="false">W58*Cost_Library!$G$15*Parcel!$C$32</f>
        <v>0</v>
      </c>
      <c r="AT58" s="19" t="n">
        <f aca="false">X58*Cost_Library!$G$16*Parcel!$C$32</f>
        <v>0</v>
      </c>
      <c r="AU58" s="19" t="n">
        <f aca="false">H58*Cost_Library!$G$17*Parcel!$C$32*V58</f>
        <v>0</v>
      </c>
      <c r="AV58" s="19" t="n">
        <f aca="false">G58*Cost_Library!$G$18*Parcel!$C$32*V58</f>
        <v>0</v>
      </c>
      <c r="AW58" s="19" t="n">
        <f aca="false">Y58*Cost_Library!$G$19*Parcel!$C$32</f>
        <v>0</v>
      </c>
      <c r="AX58" s="19" t="n">
        <f aca="false">Z58*Cost_Library!$G$20</f>
        <v>0</v>
      </c>
      <c r="AY58" s="19" t="n">
        <f aca="false">AA58*Cost_Library!$G$21*Parcel!$C$32</f>
        <v>0</v>
      </c>
      <c r="AZ58" s="19" t="n">
        <f aca="false">AB58*Cost_Library!$G$22</f>
        <v>0</v>
      </c>
      <c r="BA58" s="19" t="n">
        <f aca="false">AC58*Cost_Library!$G$23*Parcel!$C$32*Parcel!$C$34</f>
        <v>0</v>
      </c>
      <c r="BB58" s="19" t="n">
        <f aca="false">AD58*Cost_Library!$G$24*Parcel!$C$32</f>
        <v>0</v>
      </c>
      <c r="BC58" s="19" t="n">
        <f aca="false">W58*Cost_Library!$G$25*Parcel!$C$32</f>
        <v>0</v>
      </c>
      <c r="BD58" s="19" t="n">
        <f aca="false">SUM(AH58:BC58)</f>
        <v>0</v>
      </c>
      <c r="BE58" s="19" t="n">
        <f aca="false">BD58*Assumptions!$C$11</f>
        <v>0</v>
      </c>
      <c r="BF58" s="19" t="n">
        <f aca="false">BD58+BE58</f>
        <v>0</v>
      </c>
      <c r="BG58" s="19" t="n">
        <f aca="false">S58*Use_Library!$T$57</f>
        <v>0</v>
      </c>
      <c r="BH58" s="19" t="n">
        <f aca="false">BG58*(Assumptions!$C$12+Assumptions!$C$13)</f>
        <v>0</v>
      </c>
      <c r="BI58" s="19" t="n">
        <f aca="false">S58*Use_Library!$AC$57</f>
        <v>0</v>
      </c>
      <c r="BJ58" s="23" t="n">
        <f aca="false">1+Assumptions!$C$14+Assumptions!$C$15*Use_Library!$AH$57/12</f>
        <v>1.07</v>
      </c>
      <c r="BK58" s="23" t="n">
        <f aca="false">1+Assumptions!$C$21*(Assumptions!$C$22*Use_Library!$AH$57/12*Assumptions!$C$24+Assumptions!$C$23)</f>
        <v>1.07085</v>
      </c>
      <c r="BL58" s="23" t="n">
        <f aca="false">1+Assumptions!$C$21*(Assumptions!$C$22*(Use_Library!$AH$57/12*Assumptions!$C$24+IF(Use_Library!$C$57="Income",Use_Library!$AD$57,0)/12*Assumptions!$C$25)+Assumptions!$C$23)</f>
        <v>1.07085</v>
      </c>
      <c r="BM58" s="19" t="n">
        <f aca="false">J58*Assumptions!$C$31*(1-Assumptions!$C$17)*U58</f>
        <v>0</v>
      </c>
      <c r="BN58" s="19" t="n">
        <f aca="false">IF(Use_Library!$AJ$57=1,IF(Use_Library!$C$57="For-Sale",S58*Use_Library!$U$57,E58*Use_Library!$AF$57)*(1-Assumptions!$C$17)+BM58,0)*U58</f>
        <v>0</v>
      </c>
      <c r="BO58" s="19" t="n">
        <f aca="false">(BD58-AT58)*(1+Assumptions!$C$11)</f>
        <v>0</v>
      </c>
      <c r="BP58" s="23" t="n">
        <f aca="false">BJ58*BK58</f>
        <v>1.1458095</v>
      </c>
      <c r="BQ58" s="19" t="n">
        <f aca="false">(Parcel!$C$18*BJ58+BO58)*BK58</f>
        <v>343742.85</v>
      </c>
      <c r="BR58" s="19" t="n">
        <f aca="false">BN58-BQ58</f>
        <v>-343742.85</v>
      </c>
      <c r="BS58" s="32" t="n">
        <f aca="false">IF(AND(Use_Library!$AJ$57=1,U58=1),MAX(0,((1-Use_Library!$AI$57)*BN58-BO58*BK58)/BP58),0)</f>
        <v>0</v>
      </c>
      <c r="BT58" s="19" t="n">
        <f aca="false">BF58+BG58+BH58+BI58</f>
        <v>0</v>
      </c>
      <c r="BU58" s="23" t="n">
        <f aca="false">BJ58*BL58</f>
        <v>1.1458095</v>
      </c>
      <c r="BV58" s="19" t="n">
        <f aca="false">(Parcel!$C$18*BJ58+BT58)*BL58</f>
        <v>343742.85</v>
      </c>
      <c r="BW58" s="19" t="n">
        <f aca="false">IF(Use_Library!$C$57="Income",S58*Use_Library!$W$57,0)</f>
        <v>0</v>
      </c>
      <c r="BX58" s="19" t="n">
        <f aca="false">BW58*(1+Use_Library!$X$57)*(1-Use_Library!$Y$57)</f>
        <v>0</v>
      </c>
      <c r="BY58" s="19" t="n">
        <f aca="false">IF(Use_Library!$C$57="Income",S58*Use_Library!$Z$57,0)</f>
        <v>0</v>
      </c>
      <c r="BZ58" s="19" t="n">
        <f aca="false">IF(Use_Library!$C$57="Income",Assumptions!$C$19*Assumptions!$C$20*BV58,0)</f>
        <v>0</v>
      </c>
      <c r="CA58" s="19" t="n">
        <f aca="false">BX58*Use_Library!$AA$57</f>
        <v>0</v>
      </c>
      <c r="CB58" s="19" t="n">
        <f aca="false">(BY58+BZ58)*Use_Library!$AB$57</f>
        <v>0</v>
      </c>
      <c r="CC58" s="19" t="n">
        <f aca="false">BX58-BY58-BZ58-CA58+CB58</f>
        <v>0</v>
      </c>
      <c r="CD58" s="19" t="n">
        <f aca="false">IF(AND(Use_Library!$C$57="Income",Use_Library!$AE$57&gt;0),CC58/Use_Library!$AE$57,0)</f>
        <v>0</v>
      </c>
      <c r="CE58" s="24" t="n">
        <f aca="false">IF(Use_Library!$C$57="Income",-Assumptions!$C$19*Assumptions!$C$20*(1-Use_Library!$AB$57)*BU58,0)</f>
        <v>0</v>
      </c>
      <c r="CF58" s="20" t="n">
        <f aca="false">IF(BV58=0,0,CC58/BV58)</f>
        <v>0</v>
      </c>
      <c r="CG58" s="19" t="n">
        <f aca="false">IF(Use_Library!$AK$57=1,IF(Use_Library!$C$57="Income",CD58*(1-Assumptions!$C$18),S58*Use_Library!$V$57*(1-Assumptions!$C$16))+BM58,0)*U58</f>
        <v>0</v>
      </c>
      <c r="CH58" s="24" t="n">
        <f aca="false">IF(AND(Use_Library!$AK$57=1,Use_Library!$C$57="Income",Use_Library!$AE$57&gt;0),CE58/Use_Library!$AE$57*(1-Assumptions!$C$18),0)</f>
        <v>0</v>
      </c>
      <c r="CI58" s="19" t="n">
        <f aca="false">CG58-BV58</f>
        <v>-343742.85</v>
      </c>
      <c r="CJ58" s="32" t="n">
        <f aca="false">IF(AND(Use_Library!$AK$57=1,U58=1),MAX(0,Parcel!$C$18-((1-Use_Library!$AI$57)*CG58-BV58)/((1-Use_Library!$AI$57)*CH58-BU58)),0)</f>
        <v>0</v>
      </c>
      <c r="CK58" s="19" t="n">
        <f aca="false">IF(Use_Library!$AL$57=1,IF(Use_Library!$C$57="Income",CD58,IF(Use_Library!$AE$57&gt;0,E58*Use_Library!$AG$57/Use_Library!$AE$57,0))+BM58,0)*U58</f>
        <v>0</v>
      </c>
      <c r="CL58" s="19" t="n">
        <f aca="false">IF(Use_Library!$C$57="Income",BT58,BF58)</f>
        <v>0</v>
      </c>
      <c r="CM58" s="23" t="n">
        <f aca="false">IF(Use_Library!$C$57="Income",BU58,BJ58*BK58)</f>
        <v>1.1458095</v>
      </c>
      <c r="CN58" s="19" t="n">
        <f aca="false">IF(Use_Library!$C$57="Income",BV58,(Parcel!$C$18*BJ58+BF58)*BK58)</f>
        <v>343742.85</v>
      </c>
      <c r="CO58" s="24" t="n">
        <f aca="false">IF(AND(Use_Library!$AL$57=1,Use_Library!$C$57="Income",Use_Library!$AE$57&gt;0),CE58/Use_Library!$AE$57,0)</f>
        <v>0</v>
      </c>
      <c r="CP58" s="19" t="n">
        <f aca="false">CK58-CN58</f>
        <v>-343742.85</v>
      </c>
      <c r="CQ58" s="32" t="n">
        <f aca="false">IF(AND(Use_Library!$AL$57=1,U58=1),MAX(0,Parcel!$C$18-((1-Use_Library!$AI$57)*CK58-CN58)/((1-Use_Library!$AI$57)*CO58-CM58)),0)</f>
        <v>0</v>
      </c>
      <c r="CR58" s="19" t="n">
        <f aca="false">IF(Use_Library!$C$57="Income",Assumptions!$C$21*(Parcel!$C$18*BJ58+BT58),0)</f>
        <v>0</v>
      </c>
      <c r="CS58" s="19" t="n">
        <f aca="false">IF(AND(Use_Library!$C$57="Income",CC58&gt;0),MIN(Assumptions!$C$26*CD58,PV(Assumptions!$C$29/12,Assumptions!$C$30*12,-CC58/Assumptions!$C$27/12),CC58/Assumptions!$C$28),0)</f>
        <v>0</v>
      </c>
      <c r="CT58" s="25" t="n">
        <f aca="false">IF(CS58=0,0,CC58/(-PMT(Assumptions!$C$29/12,Assumptions!$C$30*12,CS58)*12))</f>
        <v>0</v>
      </c>
      <c r="CU58" s="19" t="n">
        <f aca="false">CS58-CR58</f>
        <v>0</v>
      </c>
      <c r="CV58" s="18" t="n">
        <f aca="false">MAX(BS58,CJ58,CQ58)</f>
        <v>0</v>
      </c>
      <c r="CW58" s="9" t="str">
        <f aca="false">IF(CV58&lt;=0,"None works",IF(BS58=CV58,"Land / pad sale",IF(CJ58=CV58,"Build &amp; sell","Build &amp; hold / lease")))</f>
        <v>None works</v>
      </c>
      <c r="CX58" s="19" t="n">
        <f aca="false">CV58*(1-Assumptions!$C$32)</f>
        <v>0</v>
      </c>
      <c r="CY58" s="19" t="n">
        <f aca="false">CV58-Parcel!$C$18</f>
        <v>-300000</v>
      </c>
      <c r="CZ58" s="19" t="n">
        <f aca="false">IF(Parcel!$C$8=0,0,CV58/Parcel!$C$8)</f>
        <v>0</v>
      </c>
      <c r="DA58" s="33" t="n">
        <f aca="false">IF(S58=0,0,CV58/S58)</f>
        <v>0</v>
      </c>
      <c r="DB58" s="9" t="str">
        <f aca="false">TRIM(M58&amp;" "&amp;IF(AND(U58=0,N58=1),"Nothing fits. ","")&amp;IF(Parcel!$C$12&lt;Use_Library!$AM$57,"Frontage under "&amp;Use_Library!$AM$57&amp;" LF. ","")&amp;IF(Parcel!$C$10&gt;0.15,"Slope over 15%. ","")&amp;IF(AND(U58=1,Use_Library!$M$57&gt;0,D58&gt;Use_Library!$M$57),"Only "&amp;Use_Library!$M$57&amp;" ac used - rest resold. ",""))</f>
        <v>Over 1 mi to substation.</v>
      </c>
      <c r="DC58" s="19" t="n">
        <f aca="false">CV58+ROW()/1000000</f>
        <v>5.8E-005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4"/>
    <col collapsed="false" customWidth="true" hidden="false" outlineLevel="0" max="4" min="4" style="0" width="46"/>
  </cols>
  <sheetData>
    <row r="1" customFormat="false" ht="17.35" hidden="false" customHeight="false" outlineLevel="0" collapsed="false">
      <c r="A1" s="1" t="s">
        <v>436</v>
      </c>
    </row>
    <row r="2" customFormat="false" ht="15" hidden="false" customHeight="false" outlineLevel="0" collapsed="false">
      <c r="A2" s="2" t="s">
        <v>437</v>
      </c>
    </row>
    <row r="4" customFormat="false" ht="15" hidden="false" customHeight="false" outlineLevel="0" collapsed="false">
      <c r="B4" s="8" t="s">
        <v>438</v>
      </c>
      <c r="C4" s="8" t="s">
        <v>39</v>
      </c>
      <c r="D4" s="8" t="s">
        <v>270</v>
      </c>
    </row>
    <row r="5" customFormat="false" ht="15" hidden="false" customHeight="false" outlineLevel="0" collapsed="false">
      <c r="B5" s="9" t="s">
        <v>439</v>
      </c>
      <c r="C5" s="12" t="n">
        <v>2640</v>
      </c>
      <c r="D5" s="2" t="s">
        <v>63</v>
      </c>
    </row>
    <row r="6" customFormat="false" ht="15" hidden="false" customHeight="false" outlineLevel="0" collapsed="false">
      <c r="B6" s="9" t="s">
        <v>440</v>
      </c>
      <c r="C6" s="12" t="n">
        <v>1320</v>
      </c>
      <c r="D6" s="2" t="s">
        <v>63</v>
      </c>
    </row>
    <row r="7" customFormat="false" ht="15" hidden="false" customHeight="false" outlineLevel="0" collapsed="false">
      <c r="B7" s="9" t="s">
        <v>441</v>
      </c>
      <c r="C7" s="11" t="n">
        <v>0.04</v>
      </c>
      <c r="D7" s="2" t="s">
        <v>442</v>
      </c>
    </row>
    <row r="8" customFormat="false" ht="15" hidden="false" customHeight="false" outlineLevel="0" collapsed="false">
      <c r="B8" s="9" t="s">
        <v>443</v>
      </c>
      <c r="C8" s="11" t="n">
        <v>0.15</v>
      </c>
      <c r="D8" s="2"/>
    </row>
    <row r="9" customFormat="false" ht="15" hidden="false" customHeight="false" outlineLevel="0" collapsed="false">
      <c r="B9" s="9" t="s">
        <v>444</v>
      </c>
      <c r="C9" s="10" t="n">
        <v>0.5</v>
      </c>
      <c r="D9" s="2" t="s">
        <v>445</v>
      </c>
    </row>
    <row r="10" customFormat="false" ht="15" hidden="false" customHeight="false" outlineLevel="0" collapsed="false">
      <c r="B10" s="9" t="s">
        <v>446</v>
      </c>
      <c r="C10" s="10" t="n">
        <v>1</v>
      </c>
      <c r="D10" s="2" t="s">
        <v>447</v>
      </c>
    </row>
    <row r="11" customFormat="false" ht="15" hidden="false" customHeight="false" outlineLevel="0" collapsed="false">
      <c r="B11" s="9" t="s">
        <v>180</v>
      </c>
      <c r="C11" s="11" t="n">
        <v>0.1</v>
      </c>
      <c r="D11" s="2" t="s">
        <v>448</v>
      </c>
    </row>
    <row r="12" customFormat="false" ht="15" hidden="false" customHeight="false" outlineLevel="0" collapsed="false">
      <c r="B12" s="9" t="s">
        <v>449</v>
      </c>
      <c r="C12" s="11" t="n">
        <v>0.08</v>
      </c>
      <c r="D12" s="2" t="s">
        <v>450</v>
      </c>
    </row>
    <row r="13" customFormat="false" ht="15" hidden="false" customHeight="false" outlineLevel="0" collapsed="false">
      <c r="B13" s="9" t="s">
        <v>451</v>
      </c>
      <c r="C13" s="11" t="n">
        <v>0.05</v>
      </c>
      <c r="D13" s="2" t="s">
        <v>450</v>
      </c>
    </row>
    <row r="14" customFormat="false" ht="15" hidden="false" customHeight="false" outlineLevel="0" collapsed="false">
      <c r="B14" s="9" t="s">
        <v>452</v>
      </c>
      <c r="C14" s="11" t="n">
        <v>0.02</v>
      </c>
      <c r="D14" s="2" t="s">
        <v>453</v>
      </c>
    </row>
    <row r="15" customFormat="false" ht="15" hidden="false" customHeight="false" outlineLevel="0" collapsed="false">
      <c r="B15" s="9" t="s">
        <v>454</v>
      </c>
      <c r="C15" s="11" t="n">
        <v>0.025</v>
      </c>
      <c r="D15" s="2" t="s">
        <v>453</v>
      </c>
    </row>
    <row r="16" customFormat="false" ht="15" hidden="false" customHeight="false" outlineLevel="0" collapsed="false">
      <c r="B16" s="9" t="s">
        <v>455</v>
      </c>
      <c r="C16" s="11" t="n">
        <v>0.06</v>
      </c>
      <c r="D16" s="2"/>
    </row>
    <row r="17" customFormat="false" ht="15" hidden="false" customHeight="false" outlineLevel="0" collapsed="false">
      <c r="B17" s="9" t="s">
        <v>456</v>
      </c>
      <c r="C17" s="11" t="n">
        <v>0.04</v>
      </c>
      <c r="D17" s="2"/>
    </row>
    <row r="18" customFormat="false" ht="15" hidden="false" customHeight="false" outlineLevel="0" collapsed="false">
      <c r="B18" s="9" t="s">
        <v>457</v>
      </c>
      <c r="C18" s="11" t="n">
        <v>0.02</v>
      </c>
      <c r="D18" s="2"/>
    </row>
    <row r="19" customFormat="false" ht="15" hidden="false" customHeight="false" outlineLevel="0" collapsed="false">
      <c r="B19" s="9" t="s">
        <v>458</v>
      </c>
      <c r="C19" s="11" t="n">
        <v>0.022</v>
      </c>
      <c r="D19" s="2" t="s">
        <v>459</v>
      </c>
    </row>
    <row r="20" customFormat="false" ht="15" hidden="false" customHeight="false" outlineLevel="0" collapsed="false">
      <c r="B20" s="9" t="s">
        <v>460</v>
      </c>
      <c r="C20" s="11" t="n">
        <v>0.85</v>
      </c>
      <c r="D20" s="2" t="s">
        <v>461</v>
      </c>
    </row>
    <row r="21" customFormat="false" ht="15" hidden="false" customHeight="false" outlineLevel="0" collapsed="false">
      <c r="B21" s="9" t="s">
        <v>462</v>
      </c>
      <c r="C21" s="11" t="n">
        <v>0.65</v>
      </c>
      <c r="D21" s="2"/>
    </row>
    <row r="22" customFormat="false" ht="15" hidden="false" customHeight="false" outlineLevel="0" collapsed="false">
      <c r="B22" s="9" t="s">
        <v>463</v>
      </c>
      <c r="C22" s="11" t="n">
        <v>0.09</v>
      </c>
      <c r="D22" s="2"/>
    </row>
    <row r="23" customFormat="false" ht="15" hidden="false" customHeight="false" outlineLevel="0" collapsed="false">
      <c r="B23" s="9" t="s">
        <v>464</v>
      </c>
      <c r="C23" s="11" t="n">
        <v>0.01</v>
      </c>
      <c r="D23" s="2"/>
    </row>
    <row r="24" customFormat="false" ht="15" hidden="false" customHeight="false" outlineLevel="0" collapsed="false">
      <c r="B24" s="9" t="s">
        <v>465</v>
      </c>
      <c r="C24" s="11" t="n">
        <v>0.55</v>
      </c>
      <c r="D24" s="2"/>
    </row>
    <row r="25" customFormat="false" ht="15" hidden="false" customHeight="false" outlineLevel="0" collapsed="false">
      <c r="B25" s="9" t="s">
        <v>466</v>
      </c>
      <c r="C25" s="11" t="n">
        <v>0.5</v>
      </c>
      <c r="D25" s="2" t="s">
        <v>467</v>
      </c>
    </row>
    <row r="26" customFormat="false" ht="15" hidden="false" customHeight="false" outlineLevel="0" collapsed="false">
      <c r="B26" s="9" t="s">
        <v>468</v>
      </c>
      <c r="C26" s="11" t="n">
        <v>0.7</v>
      </c>
      <c r="D26" s="2"/>
    </row>
    <row r="27" customFormat="false" ht="15" hidden="false" customHeight="false" outlineLevel="0" collapsed="false">
      <c r="B27" s="9" t="s">
        <v>469</v>
      </c>
      <c r="C27" s="34" t="n">
        <v>1.25</v>
      </c>
      <c r="D27" s="2"/>
    </row>
    <row r="28" customFormat="false" ht="15" hidden="false" customHeight="false" outlineLevel="0" collapsed="false">
      <c r="B28" s="9" t="s">
        <v>470</v>
      </c>
      <c r="C28" s="11" t="n">
        <v>0.09</v>
      </c>
      <c r="D28" s="2"/>
    </row>
    <row r="29" customFormat="false" ht="15" hidden="false" customHeight="false" outlineLevel="0" collapsed="false">
      <c r="B29" s="9" t="s">
        <v>471</v>
      </c>
      <c r="C29" s="11" t="n">
        <v>0.068</v>
      </c>
      <c r="D29" s="2"/>
    </row>
    <row r="30" customFormat="false" ht="15" hidden="false" customHeight="false" outlineLevel="0" collapsed="false">
      <c r="B30" s="9" t="s">
        <v>472</v>
      </c>
      <c r="C30" s="12" t="n">
        <v>30</v>
      </c>
      <c r="D30" s="2" t="s">
        <v>473</v>
      </c>
    </row>
    <row r="31" customFormat="false" ht="15" hidden="false" customHeight="false" outlineLevel="0" collapsed="false">
      <c r="B31" s="9" t="s">
        <v>474</v>
      </c>
      <c r="C31" s="13" t="n">
        <v>12000</v>
      </c>
      <c r="D31" s="2" t="s">
        <v>475</v>
      </c>
    </row>
    <row r="32" customFormat="false" ht="15" hidden="false" customHeight="false" outlineLevel="0" collapsed="false">
      <c r="B32" s="9" t="s">
        <v>476</v>
      </c>
      <c r="C32" s="11" t="n">
        <v>0.15</v>
      </c>
      <c r="D3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18"/>
    <col collapsed="false" customWidth="true" hidden="false" outlineLevel="0" max="6" min="4" style="0" width="10"/>
    <col collapsed="false" customWidth="true" hidden="false" outlineLevel="0" max="7" min="7" style="0" width="14"/>
    <col collapsed="false" customWidth="true" hidden="false" outlineLevel="0" max="8" min="8" style="0" width="16"/>
    <col collapsed="false" customWidth="true" hidden="false" outlineLevel="0" max="9" min="9" style="0" width="14"/>
    <col collapsed="false" customWidth="true" hidden="false" outlineLevel="0" max="10" min="10" style="0" width="11"/>
  </cols>
  <sheetData>
    <row r="1" customFormat="false" ht="17.35" hidden="false" customHeight="false" outlineLevel="0" collapsed="false">
      <c r="A1" s="1" t="s">
        <v>477</v>
      </c>
    </row>
    <row r="2" customFormat="false" ht="15" hidden="false" customHeight="false" outlineLevel="0" collapsed="false">
      <c r="A2" s="2" t="s">
        <v>478</v>
      </c>
    </row>
    <row r="4" customFormat="false" ht="23.85" hidden="false" customHeight="false" outlineLevel="0" collapsed="false">
      <c r="A4" s="8" t="s">
        <v>479</v>
      </c>
      <c r="B4" s="8" t="s">
        <v>480</v>
      </c>
      <c r="C4" s="8" t="s">
        <v>40</v>
      </c>
      <c r="D4" s="8" t="s">
        <v>481</v>
      </c>
      <c r="E4" s="8" t="s">
        <v>49</v>
      </c>
      <c r="F4" s="8" t="s">
        <v>482</v>
      </c>
      <c r="G4" s="8" t="s">
        <v>483</v>
      </c>
      <c r="H4" s="8" t="s">
        <v>484</v>
      </c>
      <c r="I4" s="8" t="s">
        <v>485</v>
      </c>
      <c r="J4" s="8" t="s">
        <v>486</v>
      </c>
    </row>
    <row r="5" customFormat="false" ht="15" hidden="false" customHeight="false" outlineLevel="0" collapsed="false">
      <c r="A5" s="9" t="s">
        <v>487</v>
      </c>
      <c r="B5" s="9" t="s">
        <v>488</v>
      </c>
      <c r="C5" s="9" t="s">
        <v>489</v>
      </c>
      <c r="D5" s="13" t="n">
        <v>4000</v>
      </c>
      <c r="E5" s="13" t="n">
        <v>6500</v>
      </c>
      <c r="F5" s="13" t="n">
        <v>10000</v>
      </c>
      <c r="G5" s="19" t="n">
        <f aca="false">INDEX(D5:F5,Parcel!$C$31)</f>
        <v>6500</v>
      </c>
      <c r="H5" s="9" t="s">
        <v>490</v>
      </c>
      <c r="I5" s="35" t="s">
        <v>491</v>
      </c>
      <c r="J5" s="36" t="n">
        <v>0</v>
      </c>
    </row>
    <row r="6" customFormat="false" ht="15" hidden="false" customHeight="false" outlineLevel="0" collapsed="false">
      <c r="A6" s="9" t="s">
        <v>492</v>
      </c>
      <c r="B6" s="9" t="s">
        <v>493</v>
      </c>
      <c r="C6" s="9" t="s">
        <v>494</v>
      </c>
      <c r="D6" s="13" t="n">
        <v>600</v>
      </c>
      <c r="E6" s="13" t="n">
        <v>900</v>
      </c>
      <c r="F6" s="13" t="n">
        <v>1400</v>
      </c>
      <c r="G6" s="19" t="n">
        <f aca="false">INDEX(D6:F6,Parcel!$C$31)</f>
        <v>900</v>
      </c>
      <c r="H6" s="9" t="s">
        <v>490</v>
      </c>
      <c r="I6" s="35" t="s">
        <v>491</v>
      </c>
      <c r="J6" s="36" t="n">
        <v>0</v>
      </c>
    </row>
    <row r="7" customFormat="false" ht="15" hidden="false" customHeight="false" outlineLevel="0" collapsed="false">
      <c r="A7" s="9" t="s">
        <v>495</v>
      </c>
      <c r="B7" s="9" t="s">
        <v>496</v>
      </c>
      <c r="C7" s="9" t="s">
        <v>497</v>
      </c>
      <c r="D7" s="13" t="n">
        <v>3000</v>
      </c>
      <c r="E7" s="13" t="n">
        <v>5000</v>
      </c>
      <c r="F7" s="13" t="n">
        <v>8000</v>
      </c>
      <c r="G7" s="19" t="n">
        <f aca="false">INDEX(D7:F7,Parcel!$C$31)</f>
        <v>5000</v>
      </c>
      <c r="H7" s="9" t="s">
        <v>490</v>
      </c>
      <c r="I7" s="35" t="s">
        <v>491</v>
      </c>
      <c r="J7" s="36" t="n">
        <v>0</v>
      </c>
    </row>
    <row r="8" customFormat="false" ht="15" hidden="false" customHeight="false" outlineLevel="0" collapsed="false">
      <c r="A8" s="9" t="s">
        <v>498</v>
      </c>
      <c r="B8" s="9" t="s">
        <v>499</v>
      </c>
      <c r="C8" s="9" t="s">
        <v>489</v>
      </c>
      <c r="D8" s="13" t="n">
        <v>3000</v>
      </c>
      <c r="E8" s="13" t="n">
        <v>5000</v>
      </c>
      <c r="F8" s="13" t="n">
        <v>9000</v>
      </c>
      <c r="G8" s="19" t="n">
        <f aca="false">INDEX(D8:F8,Parcel!$C$31)</f>
        <v>5000</v>
      </c>
      <c r="H8" s="9" t="s">
        <v>490</v>
      </c>
      <c r="I8" s="35" t="s">
        <v>491</v>
      </c>
      <c r="J8" s="36" t="n">
        <v>0</v>
      </c>
    </row>
    <row r="9" customFormat="false" ht="15" hidden="false" customHeight="false" outlineLevel="0" collapsed="false">
      <c r="A9" s="9" t="s">
        <v>500</v>
      </c>
      <c r="B9" s="9" t="s">
        <v>501</v>
      </c>
      <c r="C9" s="9" t="s">
        <v>502</v>
      </c>
      <c r="D9" s="13" t="n">
        <v>350</v>
      </c>
      <c r="E9" s="13" t="n">
        <v>500</v>
      </c>
      <c r="F9" s="13" t="n">
        <v>800</v>
      </c>
      <c r="G9" s="19" t="n">
        <f aca="false">INDEX(D9:F9,Parcel!$C$31)</f>
        <v>500</v>
      </c>
      <c r="H9" s="9" t="s">
        <v>490</v>
      </c>
      <c r="I9" s="35" t="s">
        <v>491</v>
      </c>
      <c r="J9" s="36" t="n">
        <v>0</v>
      </c>
    </row>
    <row r="10" customFormat="false" ht="15" hidden="false" customHeight="false" outlineLevel="0" collapsed="false">
      <c r="A10" s="9" t="s">
        <v>503</v>
      </c>
      <c r="B10" s="9" t="s">
        <v>504</v>
      </c>
      <c r="C10" s="9" t="s">
        <v>489</v>
      </c>
      <c r="D10" s="13" t="n">
        <v>2000</v>
      </c>
      <c r="E10" s="13" t="n">
        <v>2800</v>
      </c>
      <c r="F10" s="13" t="n">
        <v>4000</v>
      </c>
      <c r="G10" s="19" t="n">
        <f aca="false">INDEX(D10:F10,Parcel!$C$31)</f>
        <v>2800</v>
      </c>
      <c r="H10" s="9" t="s">
        <v>505</v>
      </c>
      <c r="I10" s="35" t="s">
        <v>491</v>
      </c>
      <c r="J10" s="36" t="n">
        <v>0</v>
      </c>
    </row>
    <row r="11" customFormat="false" ht="15" hidden="false" customHeight="false" outlineLevel="0" collapsed="false">
      <c r="A11" s="9" t="s">
        <v>506</v>
      </c>
      <c r="B11" s="9" t="s">
        <v>507</v>
      </c>
      <c r="C11" s="9" t="s">
        <v>489</v>
      </c>
      <c r="D11" s="13" t="n">
        <v>4000</v>
      </c>
      <c r="E11" s="13" t="n">
        <v>7500</v>
      </c>
      <c r="F11" s="13" t="n">
        <v>15000</v>
      </c>
      <c r="G11" s="19" t="n">
        <f aca="false">INDEX(D11:F11,Parcel!$C$31)</f>
        <v>7500</v>
      </c>
      <c r="H11" s="9" t="s">
        <v>490</v>
      </c>
      <c r="I11" s="35" t="s">
        <v>491</v>
      </c>
      <c r="J11" s="36" t="n">
        <v>0</v>
      </c>
    </row>
    <row r="12" customFormat="false" ht="15" hidden="false" customHeight="false" outlineLevel="0" collapsed="false">
      <c r="A12" s="9" t="s">
        <v>508</v>
      </c>
      <c r="B12" s="9" t="s">
        <v>509</v>
      </c>
      <c r="C12" s="9" t="s">
        <v>489</v>
      </c>
      <c r="D12" s="13" t="n">
        <v>5000</v>
      </c>
      <c r="E12" s="13" t="n">
        <v>10000</v>
      </c>
      <c r="F12" s="13" t="n">
        <v>20000</v>
      </c>
      <c r="G12" s="19" t="n">
        <f aca="false">INDEX(D12:F12,Parcel!$C$31)</f>
        <v>10000</v>
      </c>
      <c r="H12" s="9" t="s">
        <v>505</v>
      </c>
      <c r="I12" s="35" t="s">
        <v>491</v>
      </c>
      <c r="J12" s="36" t="n">
        <v>0</v>
      </c>
    </row>
    <row r="13" customFormat="false" ht="15" hidden="false" customHeight="false" outlineLevel="0" collapsed="false">
      <c r="A13" s="9" t="s">
        <v>510</v>
      </c>
      <c r="B13" s="9" t="s">
        <v>511</v>
      </c>
      <c r="C13" s="9" t="s">
        <v>512</v>
      </c>
      <c r="D13" s="13" t="n">
        <v>2500</v>
      </c>
      <c r="E13" s="13" t="n">
        <v>4000</v>
      </c>
      <c r="F13" s="13" t="n">
        <v>6500</v>
      </c>
      <c r="G13" s="19" t="n">
        <f aca="false">INDEX(D13:F13,Parcel!$C$31)</f>
        <v>4000</v>
      </c>
      <c r="H13" s="9" t="s">
        <v>490</v>
      </c>
      <c r="I13" s="35" t="s">
        <v>491</v>
      </c>
      <c r="J13" s="36" t="n">
        <v>0</v>
      </c>
    </row>
    <row r="14" customFormat="false" ht="15" hidden="false" customHeight="false" outlineLevel="0" collapsed="false">
      <c r="A14" s="9" t="s">
        <v>513</v>
      </c>
      <c r="B14" s="9" t="s">
        <v>514</v>
      </c>
      <c r="C14" s="9" t="s">
        <v>512</v>
      </c>
      <c r="D14" s="13" t="n">
        <v>3000</v>
      </c>
      <c r="E14" s="13" t="n">
        <v>5000</v>
      </c>
      <c r="F14" s="13" t="n">
        <v>8000</v>
      </c>
      <c r="G14" s="19" t="n">
        <f aca="false">INDEX(D14:F14,Parcel!$C$31)</f>
        <v>5000</v>
      </c>
      <c r="H14" s="9" t="s">
        <v>515</v>
      </c>
      <c r="I14" s="35" t="s">
        <v>491</v>
      </c>
      <c r="J14" s="36" t="n">
        <v>0</v>
      </c>
    </row>
    <row r="15" customFormat="false" ht="15" hidden="false" customHeight="false" outlineLevel="0" collapsed="false">
      <c r="A15" s="9" t="s">
        <v>516</v>
      </c>
      <c r="B15" s="9" t="s">
        <v>517</v>
      </c>
      <c r="C15" s="9" t="s">
        <v>518</v>
      </c>
      <c r="D15" s="13" t="n">
        <v>110</v>
      </c>
      <c r="E15" s="13" t="n">
        <v>150</v>
      </c>
      <c r="F15" s="13" t="n">
        <v>210</v>
      </c>
      <c r="G15" s="19" t="n">
        <f aca="false">INDEX(D15:F15,Parcel!$C$31)</f>
        <v>150</v>
      </c>
      <c r="H15" s="9" t="s">
        <v>490</v>
      </c>
      <c r="I15" s="35" t="s">
        <v>491</v>
      </c>
      <c r="J15" s="36" t="n">
        <v>0</v>
      </c>
    </row>
    <row r="16" customFormat="false" ht="15" hidden="false" customHeight="false" outlineLevel="0" collapsed="false">
      <c r="A16" s="9" t="s">
        <v>519</v>
      </c>
      <c r="B16" s="9" t="s">
        <v>520</v>
      </c>
      <c r="C16" s="9" t="s">
        <v>521</v>
      </c>
      <c r="D16" s="30" t="n">
        <v>4.5</v>
      </c>
      <c r="E16" s="30" t="n">
        <v>6</v>
      </c>
      <c r="F16" s="30" t="n">
        <v>8</v>
      </c>
      <c r="G16" s="33" t="n">
        <f aca="false">INDEX(D16:F16,Parcel!$C$31)</f>
        <v>6</v>
      </c>
      <c r="H16" s="9" t="s">
        <v>490</v>
      </c>
      <c r="I16" s="35" t="s">
        <v>491</v>
      </c>
      <c r="J16" s="36" t="n">
        <v>0</v>
      </c>
    </row>
    <row r="17" customFormat="false" ht="15" hidden="false" customHeight="false" outlineLevel="0" collapsed="false">
      <c r="A17" s="9" t="s">
        <v>522</v>
      </c>
      <c r="B17" s="9" t="s">
        <v>523</v>
      </c>
      <c r="C17" s="9" t="s">
        <v>512</v>
      </c>
      <c r="D17" s="13" t="n">
        <v>35000</v>
      </c>
      <c r="E17" s="13" t="n">
        <v>55000</v>
      </c>
      <c r="F17" s="13" t="n">
        <v>85000</v>
      </c>
      <c r="G17" s="19" t="n">
        <f aca="false">INDEX(D17:F17,Parcel!$C$31)</f>
        <v>55000</v>
      </c>
      <c r="H17" s="9" t="s">
        <v>490</v>
      </c>
      <c r="I17" s="35" t="s">
        <v>491</v>
      </c>
      <c r="J17" s="36" t="n">
        <v>0</v>
      </c>
    </row>
    <row r="18" customFormat="false" ht="15" hidden="false" customHeight="false" outlineLevel="0" collapsed="false">
      <c r="A18" s="9" t="s">
        <v>524</v>
      </c>
      <c r="B18" s="9" t="s">
        <v>525</v>
      </c>
      <c r="C18" s="9" t="s">
        <v>526</v>
      </c>
      <c r="D18" s="13" t="n">
        <v>400</v>
      </c>
      <c r="E18" s="13" t="n">
        <v>700</v>
      </c>
      <c r="F18" s="13" t="n">
        <v>1100</v>
      </c>
      <c r="G18" s="19" t="n">
        <f aca="false">INDEX(D18:F18,Parcel!$C$31)</f>
        <v>700</v>
      </c>
      <c r="H18" s="9" t="s">
        <v>490</v>
      </c>
      <c r="I18" s="35" t="s">
        <v>491</v>
      </c>
      <c r="J18" s="36" t="n">
        <v>0</v>
      </c>
    </row>
    <row r="19" customFormat="false" ht="15" hidden="false" customHeight="false" outlineLevel="0" collapsed="false">
      <c r="A19" s="9" t="s">
        <v>527</v>
      </c>
      <c r="B19" s="9" t="s">
        <v>528</v>
      </c>
      <c r="C19" s="9" t="s">
        <v>518</v>
      </c>
      <c r="D19" s="13" t="n">
        <v>35</v>
      </c>
      <c r="E19" s="13" t="n">
        <v>50</v>
      </c>
      <c r="F19" s="13" t="n">
        <v>75</v>
      </c>
      <c r="G19" s="19" t="n">
        <f aca="false">INDEX(D19:F19,Parcel!$C$31)</f>
        <v>50</v>
      </c>
      <c r="H19" s="9" t="s">
        <v>490</v>
      </c>
      <c r="I19" s="35" t="s">
        <v>491</v>
      </c>
      <c r="J19" s="36" t="n">
        <v>0</v>
      </c>
    </row>
    <row r="20" customFormat="false" ht="15" hidden="false" customHeight="false" outlineLevel="0" collapsed="false">
      <c r="A20" s="9" t="s">
        <v>529</v>
      </c>
      <c r="B20" s="9" t="s">
        <v>530</v>
      </c>
      <c r="C20" s="9" t="s">
        <v>531</v>
      </c>
      <c r="D20" s="13" t="n">
        <v>1500</v>
      </c>
      <c r="E20" s="13" t="n">
        <v>2500</v>
      </c>
      <c r="F20" s="13" t="n">
        <v>4000</v>
      </c>
      <c r="G20" s="19" t="n">
        <f aca="false">INDEX(D20:F20,Parcel!$C$31)</f>
        <v>2500</v>
      </c>
      <c r="H20" s="9" t="s">
        <v>505</v>
      </c>
      <c r="I20" s="35" t="s">
        <v>491</v>
      </c>
      <c r="J20" s="36" t="n">
        <v>0</v>
      </c>
    </row>
    <row r="21" customFormat="false" ht="15" hidden="false" customHeight="false" outlineLevel="0" collapsed="false">
      <c r="A21" s="9" t="s">
        <v>532</v>
      </c>
      <c r="B21" s="9" t="s">
        <v>533</v>
      </c>
      <c r="C21" s="9" t="s">
        <v>518</v>
      </c>
      <c r="D21" s="13" t="n">
        <v>60</v>
      </c>
      <c r="E21" s="13" t="n">
        <v>85</v>
      </c>
      <c r="F21" s="13" t="n">
        <v>120</v>
      </c>
      <c r="G21" s="19" t="n">
        <f aca="false">INDEX(D21:F21,Parcel!$C$31)</f>
        <v>85</v>
      </c>
      <c r="H21" s="9" t="s">
        <v>490</v>
      </c>
      <c r="I21" s="35" t="s">
        <v>491</v>
      </c>
      <c r="J21" s="36" t="n">
        <v>0</v>
      </c>
    </row>
    <row r="22" customFormat="false" ht="15" hidden="false" customHeight="false" outlineLevel="0" collapsed="false">
      <c r="A22" s="9" t="s">
        <v>534</v>
      </c>
      <c r="B22" s="9" t="s">
        <v>535</v>
      </c>
      <c r="C22" s="9" t="s">
        <v>531</v>
      </c>
      <c r="D22" s="13" t="n">
        <v>1500</v>
      </c>
      <c r="E22" s="13" t="n">
        <v>3000</v>
      </c>
      <c r="F22" s="13" t="n">
        <v>5000</v>
      </c>
      <c r="G22" s="19" t="n">
        <f aca="false">INDEX(D22:F22,Parcel!$C$31)</f>
        <v>3000</v>
      </c>
      <c r="H22" s="9" t="s">
        <v>505</v>
      </c>
      <c r="I22" s="35" t="s">
        <v>491</v>
      </c>
      <c r="J22" s="36" t="n">
        <v>0</v>
      </c>
    </row>
    <row r="23" customFormat="false" ht="15" hidden="false" customHeight="false" outlineLevel="0" collapsed="false">
      <c r="A23" s="9" t="s">
        <v>536</v>
      </c>
      <c r="B23" s="9" t="s">
        <v>537</v>
      </c>
      <c r="C23" s="9" t="s">
        <v>502</v>
      </c>
      <c r="D23" s="13" t="n">
        <v>8000</v>
      </c>
      <c r="E23" s="13" t="n">
        <v>11000</v>
      </c>
      <c r="F23" s="13" t="n">
        <v>16000</v>
      </c>
      <c r="G23" s="19" t="n">
        <f aca="false">INDEX(D23:F23,Parcel!$C$31)</f>
        <v>11000</v>
      </c>
      <c r="H23" s="9" t="s">
        <v>538</v>
      </c>
      <c r="I23" s="35" t="s">
        <v>491</v>
      </c>
      <c r="J23" s="36" t="n">
        <v>0</v>
      </c>
    </row>
    <row r="24" customFormat="false" ht="15" hidden="false" customHeight="false" outlineLevel="0" collapsed="false">
      <c r="A24" s="9" t="s">
        <v>539</v>
      </c>
      <c r="B24" s="9" t="s">
        <v>540</v>
      </c>
      <c r="C24" s="9" t="s">
        <v>541</v>
      </c>
      <c r="D24" s="13" t="n">
        <v>9000</v>
      </c>
      <c r="E24" s="13" t="n">
        <v>13000</v>
      </c>
      <c r="F24" s="13" t="n">
        <v>20000</v>
      </c>
      <c r="G24" s="19" t="n">
        <f aca="false">INDEX(D24:F24,Parcel!$C$31)</f>
        <v>13000</v>
      </c>
      <c r="H24" s="9" t="s">
        <v>490</v>
      </c>
      <c r="I24" s="35" t="s">
        <v>491</v>
      </c>
      <c r="J24" s="36" t="n">
        <v>0</v>
      </c>
    </row>
    <row r="25" customFormat="false" ht="15" hidden="false" customHeight="false" outlineLevel="0" collapsed="false">
      <c r="A25" s="9" t="s">
        <v>542</v>
      </c>
      <c r="B25" s="9" t="s">
        <v>543</v>
      </c>
      <c r="C25" s="9" t="s">
        <v>518</v>
      </c>
      <c r="D25" s="13" t="n">
        <v>15</v>
      </c>
      <c r="E25" s="13" t="n">
        <v>25</v>
      </c>
      <c r="F25" s="13" t="n">
        <v>40</v>
      </c>
      <c r="G25" s="19" t="n">
        <f aca="false">INDEX(D25:F25,Parcel!$C$31)</f>
        <v>25</v>
      </c>
      <c r="H25" s="9" t="s">
        <v>490</v>
      </c>
      <c r="I25" s="35" t="s">
        <v>491</v>
      </c>
      <c r="J25" s="36"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 min="1" style="0" width="16"/>
    <col collapsed="false" customWidth="true" hidden="false" outlineLevel="0" max="4" min="4" style="0" width="30"/>
    <col collapsed="false" customWidth="true" hidden="false" outlineLevel="0" max="23" min="5" style="0" width="16"/>
  </cols>
  <sheetData>
    <row r="1" customFormat="false" ht="17.35" hidden="false" customHeight="false" outlineLevel="0" collapsed="false">
      <c r="A1" s="1" t="s">
        <v>544</v>
      </c>
    </row>
    <row r="2" customFormat="false" ht="15" hidden="false" customHeight="false" outlineLevel="0" collapsed="false">
      <c r="A2" s="2" t="s">
        <v>545</v>
      </c>
    </row>
    <row r="4" customFormat="false" ht="31.5" hidden="false" customHeight="true" outlineLevel="0" collapsed="false">
      <c r="A4" s="8" t="s">
        <v>546</v>
      </c>
      <c r="B4" s="8" t="s">
        <v>547</v>
      </c>
      <c r="C4" s="8" t="s">
        <v>45</v>
      </c>
      <c r="D4" s="8" t="s">
        <v>107</v>
      </c>
      <c r="E4" s="8" t="s">
        <v>548</v>
      </c>
      <c r="F4" s="8" t="s">
        <v>108</v>
      </c>
      <c r="G4" s="8" t="s">
        <v>549</v>
      </c>
      <c r="H4" s="8" t="s">
        <v>550</v>
      </c>
      <c r="I4" s="8" t="s">
        <v>551</v>
      </c>
      <c r="J4" s="8" t="s">
        <v>552</v>
      </c>
      <c r="K4" s="8" t="s">
        <v>553</v>
      </c>
      <c r="L4" s="8" t="s">
        <v>554</v>
      </c>
      <c r="M4" s="8" t="s">
        <v>555</v>
      </c>
      <c r="N4" s="8" t="s">
        <v>556</v>
      </c>
      <c r="O4" s="8" t="s">
        <v>557</v>
      </c>
      <c r="P4" s="8" t="s">
        <v>558</v>
      </c>
      <c r="Q4" s="8" t="s">
        <v>559</v>
      </c>
      <c r="R4" s="8" t="s">
        <v>560</v>
      </c>
      <c r="S4" s="8" t="s">
        <v>561</v>
      </c>
      <c r="T4" s="8" t="s">
        <v>562</v>
      </c>
      <c r="U4" s="8" t="s">
        <v>270</v>
      </c>
      <c r="V4" s="8" t="s">
        <v>563</v>
      </c>
      <c r="W4" s="8" t="s">
        <v>564</v>
      </c>
    </row>
    <row r="5" customFormat="false" ht="15" hidden="false" customHeight="false" outlineLevel="0" collapsed="false">
      <c r="A5" s="2" t="s">
        <v>565</v>
      </c>
      <c r="B5" s="2" t="s">
        <v>566</v>
      </c>
      <c r="C5" s="2" t="s">
        <v>565</v>
      </c>
      <c r="D5" s="2" t="s">
        <v>567</v>
      </c>
      <c r="E5" s="2" t="s">
        <v>52</v>
      </c>
      <c r="F5" s="2" t="s">
        <v>568</v>
      </c>
      <c r="G5" s="2" t="s">
        <v>78</v>
      </c>
      <c r="H5" s="2" t="s">
        <v>569</v>
      </c>
      <c r="I5" s="2" t="s">
        <v>565</v>
      </c>
      <c r="J5" s="2" t="s">
        <v>78</v>
      </c>
      <c r="K5" s="2" t="s">
        <v>78</v>
      </c>
      <c r="L5" s="2" t="s">
        <v>78</v>
      </c>
      <c r="M5" s="2" t="s">
        <v>78</v>
      </c>
      <c r="N5" s="2" t="s">
        <v>78</v>
      </c>
      <c r="O5" s="2" t="s">
        <v>78</v>
      </c>
      <c r="P5" s="2" t="s">
        <v>78</v>
      </c>
      <c r="Q5" s="2" t="s">
        <v>78</v>
      </c>
      <c r="R5" s="2" t="s">
        <v>568</v>
      </c>
      <c r="S5" s="2" t="s">
        <v>568</v>
      </c>
      <c r="T5" s="2" t="s">
        <v>570</v>
      </c>
      <c r="U5" s="2" t="s">
        <v>565</v>
      </c>
      <c r="V5" s="2" t="s">
        <v>571</v>
      </c>
      <c r="W5" s="2" t="s">
        <v>571</v>
      </c>
    </row>
    <row r="6" customFormat="false" ht="15" hidden="false" customHeight="false" outlineLevel="0" collapsed="false">
      <c r="A6" s="35" t="s">
        <v>572</v>
      </c>
      <c r="B6" s="35" t="s">
        <v>573</v>
      </c>
      <c r="C6" s="35" t="s">
        <v>46</v>
      </c>
      <c r="D6" s="35" t="s">
        <v>284</v>
      </c>
      <c r="E6" s="35" t="n">
        <v>12</v>
      </c>
      <c r="F6" s="35" t="n">
        <v>7</v>
      </c>
      <c r="G6" s="37" t="n">
        <v>140000</v>
      </c>
      <c r="H6" s="35" t="s">
        <v>574</v>
      </c>
      <c r="I6" s="35"/>
      <c r="J6" s="37" t="n">
        <v>177000</v>
      </c>
      <c r="K6" s="37" t="n">
        <v>188500</v>
      </c>
      <c r="L6" s="37" t="n">
        <v>815500</v>
      </c>
      <c r="M6" s="37" t="n">
        <v>830000</v>
      </c>
      <c r="N6" s="37" t="n">
        <v>1715000</v>
      </c>
      <c r="O6" s="37" t="n">
        <v>1690000</v>
      </c>
      <c r="P6" s="35"/>
      <c r="Q6" s="35"/>
      <c r="R6" s="35" t="n">
        <v>14</v>
      </c>
      <c r="S6" s="35" t="n">
        <v>19</v>
      </c>
      <c r="T6" s="35" t="s">
        <v>575</v>
      </c>
      <c r="U6" s="35" t="s">
        <v>576</v>
      </c>
      <c r="V6" s="20" t="n">
        <f aca="false">IF(OR(K6="",J6=""),"",(K6+N(M6))/(J6+N(L6))-1)</f>
        <v>0.0261964735516373</v>
      </c>
      <c r="W6" s="20" t="n">
        <f aca="false">IF(OR(O6="",N(N6)=0),"",O6/N6-1)</f>
        <v>-0.0145772594752187</v>
      </c>
    </row>
    <row r="7" customFormat="false" ht="15" hidden="false" customHeight="false" outlineLevel="0" collapsed="false">
      <c r="V7" s="20" t="str">
        <f aca="false">IF(OR(K7="",J7=""),"",(K7+N(M7))/(J7+N(L7))-1)</f>
        <v/>
      </c>
      <c r="W7" s="20" t="str">
        <f aca="false">IF(OR(O7="",N(N7)=0),"",O7/N7-1)</f>
        <v/>
      </c>
    </row>
    <row r="8" customFormat="false" ht="15" hidden="false" customHeight="false" outlineLevel="0" collapsed="false">
      <c r="V8" s="20" t="str">
        <f aca="false">IF(OR(K8="",J8=""),"",(K8+N(M8))/(J8+N(L8))-1)</f>
        <v/>
      </c>
      <c r="W8" s="20" t="str">
        <f aca="false">IF(OR(O8="",N(N8)=0),"",O8/N8-1)</f>
        <v/>
      </c>
    </row>
    <row r="9" customFormat="false" ht="15" hidden="false" customHeight="false" outlineLevel="0" collapsed="false">
      <c r="V9" s="20" t="str">
        <f aca="false">IF(OR(K9="",J9=""),"",(K9+N(M9))/(J9+N(L9))-1)</f>
        <v/>
      </c>
      <c r="W9" s="20" t="str">
        <f aca="false">IF(OR(O9="",N(N9)=0),"",O9/N9-1)</f>
        <v/>
      </c>
    </row>
    <row r="10" customFormat="false" ht="15" hidden="false" customHeight="false" outlineLevel="0" collapsed="false">
      <c r="V10" s="20" t="str">
        <f aca="false">IF(OR(K10="",J10=""),"",(K10+N(M10))/(J10+N(L10))-1)</f>
        <v/>
      </c>
      <c r="W10" s="20" t="str">
        <f aca="false">IF(OR(O10="",N(N10)=0),"",O10/N10-1)</f>
        <v/>
      </c>
    </row>
    <row r="11" customFormat="false" ht="15" hidden="false" customHeight="false" outlineLevel="0" collapsed="false">
      <c r="V11" s="20" t="str">
        <f aca="false">IF(OR(K11="",J11=""),"",(K11+N(M11))/(J11+N(L11))-1)</f>
        <v/>
      </c>
      <c r="W11" s="20" t="str">
        <f aca="false">IF(OR(O11="",N(N11)=0),"",O11/N11-1)</f>
        <v/>
      </c>
    </row>
    <row r="12" customFormat="false" ht="15" hidden="false" customHeight="false" outlineLevel="0" collapsed="false">
      <c r="V12" s="20" t="str">
        <f aca="false">IF(OR(K12="",J12=""),"",(K12+N(M12))/(J12+N(L12))-1)</f>
        <v/>
      </c>
      <c r="W12" s="20" t="str">
        <f aca="false">IF(OR(O12="",N(N12)=0),"",O12/N12-1)</f>
        <v/>
      </c>
    </row>
    <row r="13" customFormat="false" ht="15" hidden="false" customHeight="false" outlineLevel="0" collapsed="false">
      <c r="V13" s="20" t="str">
        <f aca="false">IF(OR(K13="",J13=""),"",(K13+N(M13))/(J13+N(L13))-1)</f>
        <v/>
      </c>
      <c r="W13" s="20" t="str">
        <f aca="false">IF(OR(O13="",N(N13)=0),"",O13/N13-1)</f>
        <v/>
      </c>
    </row>
    <row r="14" customFormat="false" ht="15" hidden="false" customHeight="false" outlineLevel="0" collapsed="false">
      <c r="V14" s="20" t="str">
        <f aca="false">IF(OR(K14="",J14=""),"",(K14+N(M14))/(J14+N(L14))-1)</f>
        <v/>
      </c>
      <c r="W14" s="20" t="str">
        <f aca="false">IF(OR(O14="",N(N14)=0),"",O14/N14-1)</f>
        <v/>
      </c>
    </row>
    <row r="15" customFormat="false" ht="15" hidden="false" customHeight="false" outlineLevel="0" collapsed="false">
      <c r="V15" s="20" t="str">
        <f aca="false">IF(OR(K15="",J15=""),"",(K15+N(M15))/(J15+N(L15))-1)</f>
        <v/>
      </c>
      <c r="W15" s="20" t="str">
        <f aca="false">IF(OR(O15="",N(N15)=0),"",O15/N15-1)</f>
        <v/>
      </c>
    </row>
    <row r="16" customFormat="false" ht="15" hidden="false" customHeight="false" outlineLevel="0" collapsed="false">
      <c r="V16" s="20" t="str">
        <f aca="false">IF(OR(K16="",J16=""),"",(K16+N(M16))/(J16+N(L16))-1)</f>
        <v/>
      </c>
      <c r="W16" s="20" t="str">
        <f aca="false">IF(OR(O16="",N(N16)=0),"",O16/N16-1)</f>
        <v/>
      </c>
    </row>
    <row r="17" customFormat="false" ht="15" hidden="false" customHeight="false" outlineLevel="0" collapsed="false">
      <c r="V17" s="20" t="str">
        <f aca="false">IF(OR(K17="",J17=""),"",(K17+N(M17))/(J17+N(L17))-1)</f>
        <v/>
      </c>
      <c r="W17" s="20" t="str">
        <f aca="false">IF(OR(O17="",N(N17)=0),"",O17/N17-1)</f>
        <v/>
      </c>
    </row>
    <row r="18" customFormat="false" ht="15" hidden="false" customHeight="false" outlineLevel="0" collapsed="false">
      <c r="V18" s="20" t="str">
        <f aca="false">IF(OR(K18="",J18=""),"",(K18+N(M18))/(J18+N(L18))-1)</f>
        <v/>
      </c>
      <c r="W18" s="20" t="str">
        <f aca="false">IF(OR(O18="",N(N18)=0),"",O18/N18-1)</f>
        <v/>
      </c>
    </row>
    <row r="19" customFormat="false" ht="15" hidden="false" customHeight="false" outlineLevel="0" collapsed="false">
      <c r="V19" s="20" t="str">
        <f aca="false">IF(OR(K19="",J19=""),"",(K19+N(M19))/(J19+N(L19))-1)</f>
        <v/>
      </c>
      <c r="W19" s="20" t="str">
        <f aca="false">IF(OR(O19="",N(N19)=0),"",O19/N19-1)</f>
        <v/>
      </c>
    </row>
    <row r="20" customFormat="false" ht="15" hidden="false" customHeight="false" outlineLevel="0" collapsed="false">
      <c r="V20" s="20" t="str">
        <f aca="false">IF(OR(K20="",J20=""),"",(K20+N(M20))/(J20+N(L20))-1)</f>
        <v/>
      </c>
      <c r="W20" s="20" t="str">
        <f aca="false">IF(OR(O20="",N(N20)=0),"",O20/N20-1)</f>
        <v/>
      </c>
    </row>
    <row r="21" customFormat="false" ht="15" hidden="false" customHeight="false" outlineLevel="0" collapsed="false">
      <c r="V21" s="20" t="str">
        <f aca="false">IF(OR(K21="",J21=""),"",(K21+N(M21))/(J21+N(L21))-1)</f>
        <v/>
      </c>
      <c r="W21" s="20" t="str">
        <f aca="false">IF(OR(O21="",N(N21)=0),"",O21/N21-1)</f>
        <v/>
      </c>
    </row>
    <row r="22" customFormat="false" ht="15" hidden="false" customHeight="false" outlineLevel="0" collapsed="false">
      <c r="V22" s="20" t="str">
        <f aca="false">IF(OR(K22="",J22=""),"",(K22+N(M22))/(J22+N(L22))-1)</f>
        <v/>
      </c>
      <c r="W22" s="20" t="str">
        <f aca="false">IF(OR(O22="",N(N22)=0),"",O22/N22-1)</f>
        <v/>
      </c>
    </row>
    <row r="23" customFormat="false" ht="15" hidden="false" customHeight="false" outlineLevel="0" collapsed="false">
      <c r="V23" s="20" t="str">
        <f aca="false">IF(OR(K23="",J23=""),"",(K23+N(M23))/(J23+N(L23))-1)</f>
        <v/>
      </c>
      <c r="W23" s="20" t="str">
        <f aca="false">IF(OR(O23="",N(N23)=0),"",O23/N23-1)</f>
        <v/>
      </c>
    </row>
    <row r="24" customFormat="false" ht="15" hidden="false" customHeight="false" outlineLevel="0" collapsed="false">
      <c r="V24" s="20" t="str">
        <f aca="false">IF(OR(K24="",J24=""),"",(K24+N(M24))/(J24+N(L24))-1)</f>
        <v/>
      </c>
      <c r="W24" s="20" t="str">
        <f aca="false">IF(OR(O24="",N(N24)=0),"",O24/N24-1)</f>
        <v/>
      </c>
    </row>
    <row r="25" customFormat="false" ht="15" hidden="false" customHeight="false" outlineLevel="0" collapsed="false">
      <c r="V25" s="20" t="str">
        <f aca="false">IF(OR(K25="",J25=""),"",(K25+N(M25))/(J25+N(L25))-1)</f>
        <v/>
      </c>
      <c r="W25" s="20" t="str">
        <f aca="false">IF(OR(O25="",N(N25)=0),"",O25/N25-1)</f>
        <v/>
      </c>
    </row>
    <row r="26" customFormat="false" ht="15" hidden="false" customHeight="false" outlineLevel="0" collapsed="false">
      <c r="V26" s="20" t="str">
        <f aca="false">IF(OR(K26="",J26=""),"",(K26+N(M26))/(J26+N(L26))-1)</f>
        <v/>
      </c>
      <c r="W26" s="20" t="str">
        <f aca="false">IF(OR(O26="",N(N26)=0),"",O26/N26-1)</f>
        <v/>
      </c>
    </row>
    <row r="27" customFormat="false" ht="15" hidden="false" customHeight="false" outlineLevel="0" collapsed="false">
      <c r="V27" s="20" t="str">
        <f aca="false">IF(OR(K27="",J27=""),"",(K27+N(M27))/(J27+N(L27))-1)</f>
        <v/>
      </c>
      <c r="W27" s="20" t="str">
        <f aca="false">IF(OR(O27="",N(N27)=0),"",O27/N27-1)</f>
        <v/>
      </c>
    </row>
    <row r="28" customFormat="false" ht="15" hidden="false" customHeight="false" outlineLevel="0" collapsed="false">
      <c r="V28" s="20" t="str">
        <f aca="false">IF(OR(K28="",J28=""),"",(K28+N(M28))/(J28+N(L28))-1)</f>
        <v/>
      </c>
      <c r="W28" s="20" t="str">
        <f aca="false">IF(OR(O28="",N(N28)=0),"",O28/N28-1)</f>
        <v/>
      </c>
    </row>
    <row r="29" customFormat="false" ht="15" hidden="false" customHeight="false" outlineLevel="0" collapsed="false">
      <c r="V29" s="20" t="str">
        <f aca="false">IF(OR(K29="",J29=""),"",(K29+N(M29))/(J29+N(L29))-1)</f>
        <v/>
      </c>
      <c r="W29" s="20" t="str">
        <f aca="false">IF(OR(O29="",N(N29)=0),"",O29/N29-1)</f>
        <v/>
      </c>
    </row>
    <row r="30" customFormat="false" ht="15" hidden="false" customHeight="false" outlineLevel="0" collapsed="false">
      <c r="V30" s="20" t="str">
        <f aca="false">IF(OR(K30="",J30=""),"",(K30+N(M30))/(J30+N(L30))-1)</f>
        <v/>
      </c>
      <c r="W30" s="20" t="str">
        <f aca="false">IF(OR(O30="",N(N30)=0),"",O30/N30-1)</f>
        <v/>
      </c>
    </row>
    <row r="31" customFormat="false" ht="15" hidden="false" customHeight="false" outlineLevel="0" collapsed="false">
      <c r="V31" s="20" t="str">
        <f aca="false">IF(OR(K31="",J31=""),"",(K31+N(M31))/(J31+N(L31))-1)</f>
        <v/>
      </c>
      <c r="W31" s="20" t="str">
        <f aca="false">IF(OR(O31="",N(N31)=0),"",O31/N31-1)</f>
        <v/>
      </c>
    </row>
    <row r="32" customFormat="false" ht="15" hidden="false" customHeight="false" outlineLevel="0" collapsed="false">
      <c r="V32" s="20" t="str">
        <f aca="false">IF(OR(K32="",J32=""),"",(K32+N(M32))/(J32+N(L32))-1)</f>
        <v/>
      </c>
      <c r="W32" s="20" t="str">
        <f aca="false">IF(OR(O32="",N(N32)=0),"",O32/N32-1)</f>
        <v/>
      </c>
    </row>
    <row r="33" customFormat="false" ht="15" hidden="false" customHeight="false" outlineLevel="0" collapsed="false">
      <c r="V33" s="20" t="str">
        <f aca="false">IF(OR(K33="",J33=""),"",(K33+N(M33))/(J33+N(L33))-1)</f>
        <v/>
      </c>
      <c r="W33" s="20" t="str">
        <f aca="false">IF(OR(O33="",N(N33)=0),"",O33/N33-1)</f>
        <v/>
      </c>
    </row>
    <row r="34" customFormat="false" ht="15" hidden="false" customHeight="false" outlineLevel="0" collapsed="false">
      <c r="V34" s="20" t="str">
        <f aca="false">IF(OR(K34="",J34=""),"",(K34+N(M34))/(J34+N(L34))-1)</f>
        <v/>
      </c>
      <c r="W34" s="20" t="str">
        <f aca="false">IF(OR(O34="",N(N34)=0),"",O34/N34-1)</f>
        <v/>
      </c>
    </row>
    <row r="35" customFormat="false" ht="15" hidden="false" customHeight="false" outlineLevel="0" collapsed="false">
      <c r="V35" s="20" t="str">
        <f aca="false">IF(OR(K35="",J35=""),"",(K35+N(M35))/(J35+N(L35))-1)</f>
        <v/>
      </c>
      <c r="W35" s="20" t="str">
        <f aca="false">IF(OR(O35="",N(N35)=0),"",O35/N35-1)</f>
        <v/>
      </c>
    </row>
    <row r="36" customFormat="false" ht="15" hidden="false" customHeight="false" outlineLevel="0" collapsed="false">
      <c r="V36" s="20" t="str">
        <f aca="false">IF(OR(K36="",J36=""),"",(K36+N(M36))/(J36+N(L36))-1)</f>
        <v/>
      </c>
      <c r="W36" s="20" t="str">
        <f aca="false">IF(OR(O36="",N(N36)=0),"",O36/N36-1)</f>
        <v/>
      </c>
    </row>
    <row r="37" customFormat="false" ht="15" hidden="false" customHeight="false" outlineLevel="0" collapsed="false">
      <c r="V37" s="20" t="str">
        <f aca="false">IF(OR(K37="",J37=""),"",(K37+N(M37))/(J37+N(L37))-1)</f>
        <v/>
      </c>
      <c r="W37" s="20" t="str">
        <f aca="false">IF(OR(O37="",N(N37)=0),"",O37/N37-1)</f>
        <v/>
      </c>
    </row>
    <row r="38" customFormat="false" ht="15" hidden="false" customHeight="false" outlineLevel="0" collapsed="false">
      <c r="V38" s="20" t="str">
        <f aca="false">IF(OR(K38="",J38=""),"",(K38+N(M38))/(J38+N(L38))-1)</f>
        <v/>
      </c>
      <c r="W38" s="20" t="str">
        <f aca="false">IF(OR(O38="",N(N38)=0),"",O38/N38-1)</f>
        <v/>
      </c>
    </row>
    <row r="39" customFormat="false" ht="15" hidden="false" customHeight="false" outlineLevel="0" collapsed="false">
      <c r="V39" s="20" t="str">
        <f aca="false">IF(OR(K39="",J39=""),"",(K39+N(M39))/(J39+N(L39))-1)</f>
        <v/>
      </c>
      <c r="W39" s="20" t="str">
        <f aca="false">IF(OR(O39="",N(N39)=0),"",O39/N39-1)</f>
        <v/>
      </c>
    </row>
    <row r="40" customFormat="false" ht="15" hidden="false" customHeight="false" outlineLevel="0" collapsed="false">
      <c r="V40" s="20" t="str">
        <f aca="false">IF(OR(K40="",J40=""),"",(K40+N(M40))/(J40+N(L40))-1)</f>
        <v/>
      </c>
      <c r="W40" s="20" t="str">
        <f aca="false">IF(OR(O40="",N(N40)=0),"",O40/N40-1)</f>
        <v/>
      </c>
    </row>
    <row r="41" customFormat="false" ht="15" hidden="false" customHeight="false" outlineLevel="0" collapsed="false">
      <c r="V41" s="20" t="str">
        <f aca="false">IF(OR(K41="",J41=""),"",(K41+N(M41))/(J41+N(L41))-1)</f>
        <v/>
      </c>
      <c r="W41" s="20" t="str">
        <f aca="false">IF(OR(O41="",N(N41)=0),"",O41/N41-1)</f>
        <v/>
      </c>
    </row>
    <row r="42" customFormat="false" ht="15" hidden="false" customHeight="false" outlineLevel="0" collapsed="false">
      <c r="V42" s="20" t="str">
        <f aca="false">IF(OR(K42="",J42=""),"",(K42+N(M42))/(J42+N(L42))-1)</f>
        <v/>
      </c>
      <c r="W42" s="20" t="str">
        <f aca="false">IF(OR(O42="",N(N42)=0),"",O42/N42-1)</f>
        <v/>
      </c>
    </row>
    <row r="43" customFormat="false" ht="15" hidden="false" customHeight="false" outlineLevel="0" collapsed="false">
      <c r="V43" s="20" t="str">
        <f aca="false">IF(OR(K43="",J43=""),"",(K43+N(M43))/(J43+N(L43))-1)</f>
        <v/>
      </c>
      <c r="W43" s="20" t="str">
        <f aca="false">IF(OR(O43="",N(N43)=0),"",O43/N43-1)</f>
        <v/>
      </c>
    </row>
    <row r="44" customFormat="false" ht="15" hidden="false" customHeight="false" outlineLevel="0" collapsed="false">
      <c r="V44" s="20" t="str">
        <f aca="false">IF(OR(K44="",J44=""),"",(K44+N(M44))/(J44+N(L44))-1)</f>
        <v/>
      </c>
      <c r="W44" s="20" t="str">
        <f aca="false">IF(OR(O44="",N(N44)=0),"",O44/N44-1)</f>
        <v/>
      </c>
    </row>
    <row r="45" customFormat="false" ht="15" hidden="false" customHeight="false" outlineLevel="0" collapsed="false">
      <c r="V45" s="20" t="str">
        <f aca="false">IF(OR(K45="",J45=""),"",(K45+N(M45))/(J45+N(L45))-1)</f>
        <v/>
      </c>
      <c r="W45" s="20" t="str">
        <f aca="false">IF(OR(O45="",N(N45)=0),"",O45/N45-1)</f>
        <v/>
      </c>
    </row>
    <row r="46" customFormat="false" ht="15" hidden="false" customHeight="false" outlineLevel="0" collapsed="false">
      <c r="V46" s="20" t="str">
        <f aca="false">IF(OR(K46="",J46=""),"",(K46+N(M46))/(J46+N(L46))-1)</f>
        <v/>
      </c>
      <c r="W46" s="20" t="str">
        <f aca="false">IF(OR(O46="",N(N46)=0),"",O46/N46-1)</f>
        <v/>
      </c>
    </row>
    <row r="47" customFormat="false" ht="15" hidden="false" customHeight="false" outlineLevel="0" collapsed="false">
      <c r="V47" s="20" t="str">
        <f aca="false">IF(OR(K47="",J47=""),"",(K47+N(M47))/(J47+N(L47))-1)</f>
        <v/>
      </c>
      <c r="W47" s="20" t="str">
        <f aca="false">IF(OR(O47="",N(N47)=0),"",O47/N47-1)</f>
        <v/>
      </c>
    </row>
    <row r="48" customFormat="false" ht="15" hidden="false" customHeight="false" outlineLevel="0" collapsed="false">
      <c r="V48" s="20" t="str">
        <f aca="false">IF(OR(K48="",J48=""),"",(K48+N(M48))/(J48+N(L48))-1)</f>
        <v/>
      </c>
      <c r="W48" s="20" t="str">
        <f aca="false">IF(OR(O48="",N(N48)=0),"",O48/N48-1)</f>
        <v/>
      </c>
    </row>
    <row r="49" customFormat="false" ht="15" hidden="false" customHeight="false" outlineLevel="0" collapsed="false">
      <c r="V49" s="20" t="str">
        <f aca="false">IF(OR(K49="",J49=""),"",(K49+N(M49))/(J49+N(L49))-1)</f>
        <v/>
      </c>
      <c r="W49" s="20" t="str">
        <f aca="false">IF(OR(O49="",N(N49)=0),"",O49/N49-1)</f>
        <v/>
      </c>
    </row>
    <row r="50" customFormat="false" ht="15" hidden="false" customHeight="false" outlineLevel="0" collapsed="false">
      <c r="V50" s="20" t="str">
        <f aca="false">IF(OR(K50="",J50=""),"",(K50+N(M50))/(J50+N(L50))-1)</f>
        <v/>
      </c>
      <c r="W50" s="20" t="str">
        <f aca="false">IF(OR(O50="",N(N50)=0),"",O50/N50-1)</f>
        <v/>
      </c>
    </row>
    <row r="51" customFormat="false" ht="15" hidden="false" customHeight="false" outlineLevel="0" collapsed="false">
      <c r="V51" s="20" t="str">
        <f aca="false">IF(OR(K51="",J51=""),"",(K51+N(M51))/(J51+N(L51))-1)</f>
        <v/>
      </c>
      <c r="W51" s="20" t="str">
        <f aca="false">IF(OR(O51="",N(N51)=0),"",O51/N51-1)</f>
        <v/>
      </c>
    </row>
    <row r="52" customFormat="false" ht="15" hidden="false" customHeight="false" outlineLevel="0" collapsed="false">
      <c r="V52" s="20" t="str">
        <f aca="false">IF(OR(K52="",J52=""),"",(K52+N(M52))/(J52+N(L52))-1)</f>
        <v/>
      </c>
      <c r="W52" s="20" t="str">
        <f aca="false">IF(OR(O52="",N(N52)=0),"",O52/N52-1)</f>
        <v/>
      </c>
    </row>
    <row r="53" customFormat="false" ht="15" hidden="false" customHeight="false" outlineLevel="0" collapsed="false">
      <c r="V53" s="20" t="str">
        <f aca="false">IF(OR(K53="",J53=""),"",(K53+N(M53))/(J53+N(L53))-1)</f>
        <v/>
      </c>
      <c r="W53" s="20" t="str">
        <f aca="false">IF(OR(O53="",N(N53)=0),"",O53/N53-1)</f>
        <v/>
      </c>
    </row>
    <row r="54" customFormat="false" ht="15" hidden="false" customHeight="false" outlineLevel="0" collapsed="false">
      <c r="V54" s="20" t="str">
        <f aca="false">IF(OR(K54="",J54=""),"",(K54+N(M54))/(J54+N(L54))-1)</f>
        <v/>
      </c>
      <c r="W54" s="20" t="str">
        <f aca="false">IF(OR(O54="",N(N54)=0),"",O54/N54-1)</f>
        <v/>
      </c>
    </row>
    <row r="55" customFormat="false" ht="15" hidden="false" customHeight="false" outlineLevel="0" collapsed="false">
      <c r="V55" s="20" t="str">
        <f aca="false">IF(OR(K55="",J55=""),"",(K55+N(M55))/(J55+N(L55))-1)</f>
        <v/>
      </c>
      <c r="W55" s="20" t="str">
        <f aca="false">IF(OR(O55="",N(N55)=0),"",O55/N55-1)</f>
        <v/>
      </c>
    </row>
    <row r="56" customFormat="false" ht="15" hidden="false" customHeight="false" outlineLevel="0" collapsed="false">
      <c r="V56" s="20" t="str">
        <f aca="false">IF(OR(K56="",J56=""),"",(K56+N(M56))/(J56+N(L56))-1)</f>
        <v/>
      </c>
      <c r="W56" s="20" t="str">
        <f aca="false">IF(OR(O56="",N(N56)=0),"",O56/N56-1)</f>
        <v/>
      </c>
    </row>
    <row r="57" customFormat="false" ht="15" hidden="false" customHeight="false" outlineLevel="0" collapsed="false">
      <c r="V57" s="20" t="str">
        <f aca="false">IF(OR(K57="",J57=""),"",(K57+N(M57))/(J57+N(L57))-1)</f>
        <v/>
      </c>
      <c r="W57" s="20" t="str">
        <f aca="false">IF(OR(O57="",N(N57)=0),"",O57/N57-1)</f>
        <v/>
      </c>
    </row>
    <row r="58" customFormat="false" ht="15" hidden="false" customHeight="false" outlineLevel="0" collapsed="false">
      <c r="V58" s="20" t="str">
        <f aca="false">IF(OR(K58="",J58=""),"",(K58+N(M58))/(J58+N(L58))-1)</f>
        <v/>
      </c>
      <c r="W58" s="20" t="str">
        <f aca="false">IF(OR(O58="",N(N58)=0),"",O58/N58-1)</f>
        <v/>
      </c>
    </row>
    <row r="59" customFormat="false" ht="15" hidden="false" customHeight="false" outlineLevel="0" collapsed="false">
      <c r="V59" s="20" t="str">
        <f aca="false">IF(OR(K59="",J59=""),"",(K59+N(M59))/(J59+N(L59))-1)</f>
        <v/>
      </c>
      <c r="W59" s="20" t="str">
        <f aca="false">IF(OR(O59="",N(N59)=0),"",O59/N59-1)</f>
        <v/>
      </c>
    </row>
    <row r="60" customFormat="false" ht="15" hidden="false" customHeight="false" outlineLevel="0" collapsed="false">
      <c r="V60" s="20" t="str">
        <f aca="false">IF(OR(K60="",J60=""),"",(K60+N(M60))/(J60+N(L60))-1)</f>
        <v/>
      </c>
      <c r="W60" s="20" t="str">
        <f aca="false">IF(OR(O60="",N(N60)=0),"",O60/N60-1)</f>
        <v/>
      </c>
    </row>
    <row r="61" customFormat="false" ht="15" hidden="false" customHeight="false" outlineLevel="0" collapsed="false">
      <c r="V61" s="20" t="str">
        <f aca="false">IF(OR(K61="",J61=""),"",(K61+N(M61))/(J61+N(L61))-1)</f>
        <v/>
      </c>
      <c r="W61" s="20" t="str">
        <f aca="false">IF(OR(O61="",N(N61)=0),"",O61/N61-1)</f>
        <v/>
      </c>
    </row>
    <row r="62" customFormat="false" ht="15" hidden="false" customHeight="false" outlineLevel="0" collapsed="false">
      <c r="V62" s="20" t="str">
        <f aca="false">IF(OR(K62="",J62=""),"",(K62+N(M62))/(J62+N(L62))-1)</f>
        <v/>
      </c>
      <c r="W62" s="20" t="str">
        <f aca="false">IF(OR(O62="",N(N62)=0),"",O62/N62-1)</f>
        <v/>
      </c>
    </row>
    <row r="63" customFormat="false" ht="15" hidden="false" customHeight="false" outlineLevel="0" collapsed="false">
      <c r="V63" s="20" t="str">
        <f aca="false">IF(OR(K63="",J63=""),"",(K63+N(M63))/(J63+N(L63))-1)</f>
        <v/>
      </c>
      <c r="W63" s="20" t="str">
        <f aca="false">IF(OR(O63="",N(N63)=0),"",O63/N63-1)</f>
        <v/>
      </c>
    </row>
    <row r="64" customFormat="false" ht="15" hidden="false" customHeight="false" outlineLevel="0" collapsed="false">
      <c r="V64" s="20" t="str">
        <f aca="false">IF(OR(K64="",J64=""),"",(K64+N(M64))/(J64+N(L64))-1)</f>
        <v/>
      </c>
      <c r="W64" s="20" t="str">
        <f aca="false">IF(OR(O64="",N(N64)=0),"",O64/N64-1)</f>
        <v/>
      </c>
    </row>
    <row r="65" customFormat="false" ht="15" hidden="false" customHeight="false" outlineLevel="0" collapsed="false">
      <c r="V65" s="20" t="str">
        <f aca="false">IF(OR(K65="",J65=""),"",(K65+N(M65))/(J65+N(L65))-1)</f>
        <v/>
      </c>
      <c r="W65" s="20" t="str">
        <f aca="false">IF(OR(O65="",N(N65)=0),"",O65/N65-1)</f>
        <v/>
      </c>
    </row>
    <row r="66" customFormat="false" ht="15" hidden="false" customHeight="false" outlineLevel="0" collapsed="false">
      <c r="V66" s="20" t="str">
        <f aca="false">IF(OR(K66="",J66=""),"",(K66+N(M66))/(J66+N(L66))-1)</f>
        <v/>
      </c>
      <c r="W66" s="20" t="str">
        <f aca="false">IF(OR(O66="",N(N66)=0),"",O66/N66-1)</f>
        <v/>
      </c>
    </row>
    <row r="67" customFormat="false" ht="15" hidden="false" customHeight="false" outlineLevel="0" collapsed="false">
      <c r="V67" s="20" t="str">
        <f aca="false">IF(OR(K67="",J67=""),"",(K67+N(M67))/(J67+N(L67))-1)</f>
        <v/>
      </c>
      <c r="W67" s="20" t="str">
        <f aca="false">IF(OR(O67="",N(N67)=0),"",O67/N67-1)</f>
        <v/>
      </c>
    </row>
    <row r="68" customFormat="false" ht="15" hidden="false" customHeight="false" outlineLevel="0" collapsed="false">
      <c r="V68" s="20" t="str">
        <f aca="false">IF(OR(K68="",J68=""),"",(K68+N(M68))/(J68+N(L68))-1)</f>
        <v/>
      </c>
      <c r="W68" s="20" t="str">
        <f aca="false">IF(OR(O68="",N(N68)=0),"",O68/N68-1)</f>
        <v/>
      </c>
    </row>
    <row r="69" customFormat="false" ht="15" hidden="false" customHeight="false" outlineLevel="0" collapsed="false">
      <c r="V69" s="20" t="str">
        <f aca="false">IF(OR(K69="",J69=""),"",(K69+N(M69))/(J69+N(L69))-1)</f>
        <v/>
      </c>
      <c r="W69" s="20" t="str">
        <f aca="false">IF(OR(O69="",N(N69)=0),"",O69/N69-1)</f>
        <v/>
      </c>
    </row>
    <row r="70" customFormat="false" ht="15" hidden="false" customHeight="false" outlineLevel="0" collapsed="false">
      <c r="V70" s="20" t="str">
        <f aca="false">IF(OR(K70="",J70=""),"",(K70+N(M70))/(J70+N(L70))-1)</f>
        <v/>
      </c>
      <c r="W70" s="20" t="str">
        <f aca="false">IF(OR(O70="",N(N70)=0),"",O70/N70-1)</f>
        <v/>
      </c>
    </row>
    <row r="71" customFormat="false" ht="15" hidden="false" customHeight="false" outlineLevel="0" collapsed="false">
      <c r="V71" s="20" t="str">
        <f aca="false">IF(OR(K71="",J71=""),"",(K71+N(M71))/(J71+N(L71))-1)</f>
        <v/>
      </c>
      <c r="W71" s="20" t="str">
        <f aca="false">IF(OR(O71="",N(N71)=0),"",O71/N71-1)</f>
        <v/>
      </c>
    </row>
    <row r="72" customFormat="false" ht="15" hidden="false" customHeight="false" outlineLevel="0" collapsed="false">
      <c r="V72" s="20" t="str">
        <f aca="false">IF(OR(K72="",J72=""),"",(K72+N(M72))/(J72+N(L72))-1)</f>
        <v/>
      </c>
      <c r="W72" s="20" t="str">
        <f aca="false">IF(OR(O72="",N(N72)=0),"",O72/N72-1)</f>
        <v/>
      </c>
    </row>
    <row r="73" customFormat="false" ht="15" hidden="false" customHeight="false" outlineLevel="0" collapsed="false">
      <c r="V73" s="20" t="str">
        <f aca="false">IF(OR(K73="",J73=""),"",(K73+N(M73))/(J73+N(L73))-1)</f>
        <v/>
      </c>
      <c r="W73" s="20" t="str">
        <f aca="false">IF(OR(O73="",N(N73)=0),"",O73/N73-1)</f>
        <v/>
      </c>
    </row>
    <row r="74" customFormat="false" ht="15" hidden="false" customHeight="false" outlineLevel="0" collapsed="false">
      <c r="V74" s="20" t="str">
        <f aca="false">IF(OR(K74="",J74=""),"",(K74+N(M74))/(J74+N(L74))-1)</f>
        <v/>
      </c>
      <c r="W74" s="20" t="str">
        <f aca="false">IF(OR(O74="",N(N74)=0),"",O74/N74-1)</f>
        <v/>
      </c>
    </row>
    <row r="75" customFormat="false" ht="15" hidden="false" customHeight="false" outlineLevel="0" collapsed="false">
      <c r="V75" s="20" t="str">
        <f aca="false">IF(OR(K75="",J75=""),"",(K75+N(M75))/(J75+N(L75))-1)</f>
        <v/>
      </c>
      <c r="W75" s="20" t="str">
        <f aca="false">IF(OR(O75="",N(N75)=0),"",O75/N75-1)</f>
        <v/>
      </c>
    </row>
    <row r="76" customFormat="false" ht="15" hidden="false" customHeight="false" outlineLevel="0" collapsed="false">
      <c r="V76" s="20" t="str">
        <f aca="false">IF(OR(K76="",J76=""),"",(K76+N(M76))/(J76+N(L76))-1)</f>
        <v/>
      </c>
      <c r="W76" s="20" t="str">
        <f aca="false">IF(OR(O76="",N(N76)=0),"",O76/N76-1)</f>
        <v/>
      </c>
    </row>
    <row r="77" customFormat="false" ht="15" hidden="false" customHeight="false" outlineLevel="0" collapsed="false">
      <c r="V77" s="20" t="str">
        <f aca="false">IF(OR(K77="",J77=""),"",(K77+N(M77))/(J77+N(L77))-1)</f>
        <v/>
      </c>
      <c r="W77" s="20" t="str">
        <f aca="false">IF(OR(O77="",N(N77)=0),"",O77/N77-1)</f>
        <v/>
      </c>
    </row>
    <row r="78" customFormat="false" ht="15" hidden="false" customHeight="false" outlineLevel="0" collapsed="false">
      <c r="V78" s="20" t="str">
        <f aca="false">IF(OR(K78="",J78=""),"",(K78+N(M78))/(J78+N(L78))-1)</f>
        <v/>
      </c>
      <c r="W78" s="20" t="str">
        <f aca="false">IF(OR(O78="",N(N78)=0),"",O78/N78-1)</f>
        <v/>
      </c>
    </row>
    <row r="79" customFormat="false" ht="15" hidden="false" customHeight="false" outlineLevel="0" collapsed="false">
      <c r="V79" s="20" t="str">
        <f aca="false">IF(OR(K79="",J79=""),"",(K79+N(M79))/(J79+N(L79))-1)</f>
        <v/>
      </c>
      <c r="W79" s="20" t="str">
        <f aca="false">IF(OR(O79="",N(N79)=0),"",O79/N79-1)</f>
        <v/>
      </c>
    </row>
    <row r="80" customFormat="false" ht="15" hidden="false" customHeight="false" outlineLevel="0" collapsed="false">
      <c r="V80" s="20" t="str">
        <f aca="false">IF(OR(K80="",J80=""),"",(K80+N(M80))/(J80+N(L80))-1)</f>
        <v/>
      </c>
      <c r="W80" s="20" t="str">
        <f aca="false">IF(OR(O80="",N(N80)=0),"",O80/N80-1)</f>
        <v/>
      </c>
    </row>
    <row r="81" customFormat="false" ht="15" hidden="false" customHeight="false" outlineLevel="0" collapsed="false">
      <c r="V81" s="20" t="str">
        <f aca="false">IF(OR(K81="",J81=""),"",(K81+N(M81))/(J81+N(L81))-1)</f>
        <v/>
      </c>
      <c r="W81" s="20" t="str">
        <f aca="false">IF(OR(O81="",N(N81)=0),"",O81/N81-1)</f>
        <v/>
      </c>
    </row>
    <row r="82" customFormat="false" ht="15" hidden="false" customHeight="false" outlineLevel="0" collapsed="false">
      <c r="V82" s="20" t="str">
        <f aca="false">IF(OR(K82="",J82=""),"",(K82+N(M82))/(J82+N(L82))-1)</f>
        <v/>
      </c>
      <c r="W82" s="20" t="str">
        <f aca="false">IF(OR(O82="",N(N82)=0),"",O82/N82-1)</f>
        <v/>
      </c>
    </row>
    <row r="83" customFormat="false" ht="15" hidden="false" customHeight="false" outlineLevel="0" collapsed="false">
      <c r="V83" s="20" t="str">
        <f aca="false">IF(OR(K83="",J83=""),"",(K83+N(M83))/(J83+N(L83))-1)</f>
        <v/>
      </c>
      <c r="W83" s="20" t="str">
        <f aca="false">IF(OR(O83="",N(N83)=0),"",O83/N83-1)</f>
        <v/>
      </c>
    </row>
    <row r="84" customFormat="false" ht="15" hidden="false" customHeight="false" outlineLevel="0" collapsed="false">
      <c r="V84" s="20" t="str">
        <f aca="false">IF(OR(K84="",J84=""),"",(K84+N(M84))/(J84+N(L84))-1)</f>
        <v/>
      </c>
      <c r="W84" s="20" t="str">
        <f aca="false">IF(OR(O84="",N(N84)=0),"",O84/N84-1)</f>
        <v/>
      </c>
    </row>
    <row r="85" customFormat="false" ht="15" hidden="false" customHeight="false" outlineLevel="0" collapsed="false">
      <c r="V85" s="20" t="str">
        <f aca="false">IF(OR(K85="",J85=""),"",(K85+N(M85))/(J85+N(L85))-1)</f>
        <v/>
      </c>
      <c r="W85" s="20" t="str">
        <f aca="false">IF(OR(O85="",N(N85)=0),"",O85/N85-1)</f>
        <v/>
      </c>
    </row>
    <row r="86" customFormat="false" ht="15" hidden="false" customHeight="false" outlineLevel="0" collapsed="false">
      <c r="V86" s="20" t="str">
        <f aca="false">IF(OR(K86="",J86=""),"",(K86+N(M86))/(J86+N(L86))-1)</f>
        <v/>
      </c>
      <c r="W86" s="20" t="str">
        <f aca="false">IF(OR(O86="",N(N86)=0),"",O86/N86-1)</f>
        <v/>
      </c>
    </row>
    <row r="87" customFormat="false" ht="15" hidden="false" customHeight="false" outlineLevel="0" collapsed="false">
      <c r="V87" s="20" t="str">
        <f aca="false">IF(OR(K87="",J87=""),"",(K87+N(M87))/(J87+N(L87))-1)</f>
        <v/>
      </c>
      <c r="W87" s="20" t="str">
        <f aca="false">IF(OR(O87="",N(N87)=0),"",O87/N87-1)</f>
        <v/>
      </c>
    </row>
    <row r="88" customFormat="false" ht="15" hidden="false" customHeight="false" outlineLevel="0" collapsed="false">
      <c r="V88" s="20" t="str">
        <f aca="false">IF(OR(K88="",J88=""),"",(K88+N(M88))/(J88+N(L88))-1)</f>
        <v/>
      </c>
      <c r="W88" s="20" t="str">
        <f aca="false">IF(OR(O88="",N(N88)=0),"",O88/N88-1)</f>
        <v/>
      </c>
    </row>
    <row r="89" customFormat="false" ht="15" hidden="false" customHeight="false" outlineLevel="0" collapsed="false">
      <c r="V89" s="20" t="str">
        <f aca="false">IF(OR(K89="",J89=""),"",(K89+N(M89))/(J89+N(L89))-1)</f>
        <v/>
      </c>
      <c r="W89" s="20" t="str">
        <f aca="false">IF(OR(O89="",N(N89)=0),"",O89/N89-1)</f>
        <v/>
      </c>
    </row>
    <row r="90" customFormat="false" ht="15" hidden="false" customHeight="false" outlineLevel="0" collapsed="false">
      <c r="V90" s="20" t="str">
        <f aca="false">IF(OR(K90="",J90=""),"",(K90+N(M90))/(J90+N(L90))-1)</f>
        <v/>
      </c>
      <c r="W90" s="20" t="str">
        <f aca="false">IF(OR(O90="",N(N90)=0),"",O90/N90-1)</f>
        <v/>
      </c>
    </row>
    <row r="91" customFormat="false" ht="15" hidden="false" customHeight="false" outlineLevel="0" collapsed="false">
      <c r="V91" s="20" t="str">
        <f aca="false">IF(OR(K91="",J91=""),"",(K91+N(M91))/(J91+N(L91))-1)</f>
        <v/>
      </c>
      <c r="W91" s="20" t="str">
        <f aca="false">IF(OR(O91="",N(N91)=0),"",O91/N91-1)</f>
        <v/>
      </c>
    </row>
    <row r="92" customFormat="false" ht="15" hidden="false" customHeight="false" outlineLevel="0" collapsed="false">
      <c r="V92" s="20" t="str">
        <f aca="false">IF(OR(K92="",J92=""),"",(K92+N(M92))/(J92+N(L92))-1)</f>
        <v/>
      </c>
      <c r="W92" s="20" t="str">
        <f aca="false">IF(OR(O92="",N(N92)=0),"",O92/N92-1)</f>
        <v/>
      </c>
    </row>
    <row r="93" customFormat="false" ht="15" hidden="false" customHeight="false" outlineLevel="0" collapsed="false">
      <c r="V93" s="20" t="str">
        <f aca="false">IF(OR(K93="",J93=""),"",(K93+N(M93))/(J93+N(L93))-1)</f>
        <v/>
      </c>
      <c r="W93" s="20" t="str">
        <f aca="false">IF(OR(O93="",N(N93)=0),"",O93/N93-1)</f>
        <v/>
      </c>
    </row>
    <row r="94" customFormat="false" ht="15" hidden="false" customHeight="false" outlineLevel="0" collapsed="false">
      <c r="V94" s="20" t="str">
        <f aca="false">IF(OR(K94="",J94=""),"",(K94+N(M94))/(J94+N(L94))-1)</f>
        <v/>
      </c>
      <c r="W94" s="20" t="str">
        <f aca="false">IF(OR(O94="",N(N94)=0),"",O94/N94-1)</f>
        <v/>
      </c>
    </row>
    <row r="95" customFormat="false" ht="15" hidden="false" customHeight="false" outlineLevel="0" collapsed="false">
      <c r="V95" s="20" t="str">
        <f aca="false">IF(OR(K95="",J95=""),"",(K95+N(M95))/(J95+N(L95))-1)</f>
        <v/>
      </c>
      <c r="W95" s="20" t="str">
        <f aca="false">IF(OR(O95="",N(N95)=0),"",O95/N95-1)</f>
        <v/>
      </c>
    </row>
    <row r="96" customFormat="false" ht="15" hidden="false" customHeight="false" outlineLevel="0" collapsed="false">
      <c r="V96" s="20" t="str">
        <f aca="false">IF(OR(K96="",J96=""),"",(K96+N(M96))/(J96+N(L96))-1)</f>
        <v/>
      </c>
      <c r="W96" s="20" t="str">
        <f aca="false">IF(OR(O96="",N(N96)=0),"",O96/N96-1)</f>
        <v/>
      </c>
    </row>
    <row r="97" customFormat="false" ht="15" hidden="false" customHeight="false" outlineLevel="0" collapsed="false">
      <c r="V97" s="20" t="str">
        <f aca="false">IF(OR(K97="",J97=""),"",(K97+N(M97))/(J97+N(L97))-1)</f>
        <v/>
      </c>
      <c r="W97" s="20" t="str">
        <f aca="false">IF(OR(O97="",N(N97)=0),"",O97/N97-1)</f>
        <v/>
      </c>
    </row>
    <row r="98" customFormat="false" ht="15" hidden="false" customHeight="false" outlineLevel="0" collapsed="false">
      <c r="V98" s="20" t="str">
        <f aca="false">IF(OR(K98="",J98=""),"",(K98+N(M98))/(J98+N(L98))-1)</f>
        <v/>
      </c>
      <c r="W98" s="20" t="str">
        <f aca="false">IF(OR(O98="",N(N98)=0),"",O98/N98-1)</f>
        <v/>
      </c>
    </row>
    <row r="99" customFormat="false" ht="15" hidden="false" customHeight="false" outlineLevel="0" collapsed="false">
      <c r="V99" s="20" t="str">
        <f aca="false">IF(OR(K99="",J99=""),"",(K99+N(M99))/(J99+N(L99))-1)</f>
        <v/>
      </c>
      <c r="W99" s="20" t="str">
        <f aca="false">IF(OR(O99="",N(N99)=0),"",O99/N99-1)</f>
        <v/>
      </c>
    </row>
    <row r="100" customFormat="false" ht="15" hidden="false" customHeight="false" outlineLevel="0" collapsed="false">
      <c r="V100" s="20" t="str">
        <f aca="false">IF(OR(K100="",J100=""),"",(K100+N(M100))/(J100+N(L100))-1)</f>
        <v/>
      </c>
      <c r="W100" s="20" t="str">
        <f aca="false">IF(OR(O100="",N(N100)=0),"",O100/N100-1)</f>
        <v/>
      </c>
    </row>
    <row r="101" customFormat="false" ht="15" hidden="false" customHeight="false" outlineLevel="0" collapsed="false">
      <c r="V101" s="20" t="str">
        <f aca="false">IF(OR(K101="",J101=""),"",(K101+N(M101))/(J101+N(L101))-1)</f>
        <v/>
      </c>
      <c r="W101" s="20" t="str">
        <f aca="false">IF(OR(O101="",N(N101)=0),"",O101/N101-1)</f>
        <v/>
      </c>
    </row>
    <row r="102" customFormat="false" ht="15" hidden="false" customHeight="false" outlineLevel="0" collapsed="false">
      <c r="V102" s="20" t="str">
        <f aca="false">IF(OR(K102="",J102=""),"",(K102+N(M102))/(J102+N(L102))-1)</f>
        <v/>
      </c>
      <c r="W102" s="20" t="str">
        <f aca="false">IF(OR(O102="",N(N102)=0),"",O102/N102-1)</f>
        <v/>
      </c>
    </row>
    <row r="103" customFormat="false" ht="15" hidden="false" customHeight="false" outlineLevel="0" collapsed="false">
      <c r="V103" s="20" t="str">
        <f aca="false">IF(OR(K103="",J103=""),"",(K103+N(M103))/(J103+N(L103))-1)</f>
        <v/>
      </c>
      <c r="W103" s="20" t="str">
        <f aca="false">IF(OR(O103="",N(N103)=0),"",O103/N103-1)</f>
        <v/>
      </c>
    </row>
    <row r="104" customFormat="false" ht="15" hidden="false" customHeight="false" outlineLevel="0" collapsed="false">
      <c r="V104" s="20" t="str">
        <f aca="false">IF(OR(K104="",J104=""),"",(K104+N(M104))/(J104+N(L104))-1)</f>
        <v/>
      </c>
      <c r="W104" s="20" t="str">
        <f aca="false">IF(OR(O104="",N(N104)=0),"",O104/N104-1)</f>
        <v/>
      </c>
    </row>
    <row r="105" customFormat="false" ht="15" hidden="false" customHeight="false" outlineLevel="0" collapsed="false">
      <c r="V105" s="20" t="str">
        <f aca="false">IF(OR(K105="",J105=""),"",(K105+N(M105))/(J105+N(L105))-1)</f>
        <v/>
      </c>
      <c r="W105" s="20" t="str">
        <f aca="false">IF(OR(O105="",N(N105)=0),"",O105/N105-1)</f>
        <v/>
      </c>
    </row>
  </sheetData>
  <dataValidations count="3">
    <dataValidation allowBlank="true" errorStyle="stop" operator="between" showDropDown="false" showErrorMessage="false" showInputMessage="false" sqref="D6:D105" type="list">
      <formula1>Use_Library!$A$5:$A$57</formula1>
      <formula2>0</formula2>
    </dataValidation>
    <dataValidation allowBlank="true" errorStyle="stop" operator="between" showDropDown="false" showErrorMessage="false" showInputMessage="false" sqref="H6:H105" type="list">
      <formula1>"Bought,Passed,Lost to other buyer"</formula1>
      <formula2>0</formula2>
    </dataValidation>
    <dataValidation allowBlank="true" errorStyle="stop" operator="between" showDropDown="false" showErrorMessage="false" showInputMessage="false" sqref="T6:T105" type="list">
      <formula1>"Actual,Bid,Estimate"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12"/>
    <col collapsed="false" customWidth="true" hidden="false" outlineLevel="0" max="4" min="4" style="0" width="32"/>
    <col collapsed="false" customWidth="true" hidden="false" outlineLevel="0" max="5" min="5" style="0" width="22"/>
    <col collapsed="false" customWidth="true" hidden="false" outlineLevel="0" max="6" min="6" style="0" width="11"/>
    <col collapsed="false" customWidth="true" hidden="false" outlineLevel="0" max="7" min="7" style="0" width="15"/>
    <col collapsed="false" customWidth="true" hidden="false" outlineLevel="0" max="8" min="8" style="0" width="20"/>
  </cols>
  <sheetData>
    <row r="1" customFormat="false" ht="17.35" hidden="false" customHeight="false" outlineLevel="0" collapsed="false">
      <c r="A1" s="1" t="s">
        <v>577</v>
      </c>
    </row>
    <row r="2" customFormat="false" ht="15" hidden="false" customHeight="false" outlineLevel="0" collapsed="false">
      <c r="A2" s="2" t="s">
        <v>578</v>
      </c>
    </row>
    <row r="4" customFormat="false" ht="15" hidden="false" customHeight="false" outlineLevel="0" collapsed="false">
      <c r="A4" s="8" t="s">
        <v>579</v>
      </c>
      <c r="B4" s="8" t="s">
        <v>580</v>
      </c>
      <c r="C4" s="8" t="s">
        <v>581</v>
      </c>
      <c r="D4" s="8" t="s">
        <v>582</v>
      </c>
      <c r="E4" s="8" t="s">
        <v>583</v>
      </c>
      <c r="F4" s="8" t="s">
        <v>584</v>
      </c>
      <c r="G4" s="8" t="s">
        <v>585</v>
      </c>
      <c r="H4" s="8" t="s">
        <v>586</v>
      </c>
    </row>
    <row r="5" customFormat="false" ht="15" hidden="false" customHeight="false" outlineLevel="0" collapsed="false">
      <c r="A5" s="9" t="s">
        <v>587</v>
      </c>
      <c r="B5" s="9" t="s">
        <v>588</v>
      </c>
      <c r="C5" s="9" t="n">
        <v>62000</v>
      </c>
      <c r="D5" s="9" t="s">
        <v>589</v>
      </c>
      <c r="E5" s="9" t="s">
        <v>590</v>
      </c>
      <c r="F5" s="20" t="n">
        <v>0.86</v>
      </c>
      <c r="G5" s="9" t="s">
        <v>591</v>
      </c>
      <c r="H5" s="9" t="s">
        <v>592</v>
      </c>
    </row>
    <row r="6" customFormat="false" ht="15" hidden="false" customHeight="false" outlineLevel="0" collapsed="false">
      <c r="A6" s="9" t="s">
        <v>587</v>
      </c>
      <c r="B6" s="9" t="s">
        <v>593</v>
      </c>
      <c r="C6" s="9" t="n">
        <v>77000</v>
      </c>
      <c r="D6" s="9" t="s">
        <v>176</v>
      </c>
      <c r="E6" s="9" t="s">
        <v>594</v>
      </c>
      <c r="F6" s="20" t="n">
        <v>0.95</v>
      </c>
      <c r="G6" s="9" t="s">
        <v>595</v>
      </c>
      <c r="H6" s="9" t="s">
        <v>596</v>
      </c>
    </row>
    <row r="7" customFormat="false" ht="15" hidden="false" customHeight="false" outlineLevel="0" collapsed="false">
      <c r="A7" s="9" t="s">
        <v>587</v>
      </c>
      <c r="B7" s="9" t="s">
        <v>597</v>
      </c>
      <c r="C7" s="9" t="n">
        <v>15000</v>
      </c>
      <c r="D7" s="9" t="s">
        <v>598</v>
      </c>
      <c r="E7" s="9"/>
      <c r="F7" s="20" t="n">
        <v>0.22</v>
      </c>
      <c r="G7" s="9" t="s">
        <v>599</v>
      </c>
      <c r="H7" s="9" t="s">
        <v>600</v>
      </c>
    </row>
    <row r="8" customFormat="false" ht="15" hidden="false" customHeight="false" outlineLevel="0" collapsed="false">
      <c r="A8" s="9" t="s">
        <v>601</v>
      </c>
      <c r="B8" s="9" t="s">
        <v>602</v>
      </c>
      <c r="C8" s="9" t="n">
        <v>14.5</v>
      </c>
      <c r="D8" s="9" t="s">
        <v>603</v>
      </c>
      <c r="E8" s="9"/>
      <c r="F8" s="20" t="n">
        <v>0.93</v>
      </c>
      <c r="G8" s="9" t="s">
        <v>595</v>
      </c>
      <c r="H8" s="9" t="s">
        <v>604</v>
      </c>
    </row>
    <row r="9" customFormat="false" ht="15" hidden="false" customHeight="false" outlineLevel="0" collapsed="false">
      <c r="A9" s="9" t="s">
        <v>601</v>
      </c>
      <c r="B9" s="9" t="s">
        <v>605</v>
      </c>
      <c r="C9" s="9" t="n">
        <v>98000</v>
      </c>
      <c r="D9" s="9" t="s">
        <v>606</v>
      </c>
      <c r="E9" s="9" t="s">
        <v>607</v>
      </c>
      <c r="F9" s="20" t="n">
        <v>0.71</v>
      </c>
      <c r="G9" s="9" t="s">
        <v>599</v>
      </c>
      <c r="H9" s="9" t="s">
        <v>608</v>
      </c>
    </row>
    <row r="10" customFormat="false" ht="15" hidden="false" customHeight="false" outlineLevel="0" collapsed="false">
      <c r="A10" s="9" t="s">
        <v>609</v>
      </c>
      <c r="B10" s="9" t="s">
        <v>610</v>
      </c>
      <c r="C10" s="9" t="n">
        <v>525</v>
      </c>
      <c r="D10" s="9" t="s">
        <v>611</v>
      </c>
      <c r="E10" s="9" t="s">
        <v>612</v>
      </c>
      <c r="F10" s="20" t="n">
        <v>0.9</v>
      </c>
      <c r="G10" s="9" t="s">
        <v>595</v>
      </c>
      <c r="H10" s="9" t="s">
        <v>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4" min="4" style="0" width="14"/>
    <col collapsed="false" customWidth="true" hidden="false" outlineLevel="0" max="5" min="5" style="0" width="18"/>
    <col collapsed="false" customWidth="true" hidden="false" outlineLevel="0" max="7" min="7" style="0" width="11"/>
    <col collapsed="false" customWidth="true" hidden="false" outlineLevel="0" max="8" min="8" style="0" width="18"/>
    <col collapsed="false" customWidth="true" hidden="false" outlineLevel="0" max="10" min="10" style="0" width="11"/>
    <col collapsed="false" customWidth="true" hidden="false" outlineLevel="0" max="12" min="12" style="0" width="6"/>
    <col collapsed="false" customWidth="true" hidden="false" outlineLevel="0" max="14" min="14" style="0" width="14"/>
  </cols>
  <sheetData>
    <row r="1" customFormat="false" ht="17.35" hidden="false" customHeight="false" outlineLevel="0" collapsed="false">
      <c r="A1" s="1" t="s">
        <v>614</v>
      </c>
    </row>
    <row r="2" customFormat="false" ht="15" hidden="false" customHeight="false" outlineLevel="0" collapsed="false">
      <c r="A2" s="2" t="s">
        <v>615</v>
      </c>
    </row>
    <row r="4" customFormat="false" ht="15" hidden="false" customHeight="false" outlineLevel="0" collapsed="false">
      <c r="A4" s="8" t="s">
        <v>45</v>
      </c>
      <c r="B4" s="8" t="s">
        <v>99</v>
      </c>
      <c r="D4" s="8" t="s">
        <v>616</v>
      </c>
      <c r="E4" s="8" t="s">
        <v>617</v>
      </c>
      <c r="G4" s="8" t="s">
        <v>618</v>
      </c>
      <c r="H4" s="8" t="s">
        <v>619</v>
      </c>
      <c r="J4" s="8" t="s">
        <v>620</v>
      </c>
      <c r="L4" s="8" t="s">
        <v>67</v>
      </c>
      <c r="N4" s="8" t="s">
        <v>16</v>
      </c>
    </row>
    <row r="5" customFormat="false" ht="15" hidden="false" customHeight="false" outlineLevel="0" collapsed="false">
      <c r="A5" s="9" t="s">
        <v>46</v>
      </c>
      <c r="B5" s="38" t="n">
        <v>1</v>
      </c>
      <c r="D5" s="9" t="s">
        <v>621</v>
      </c>
      <c r="E5" s="38" t="n">
        <v>1</v>
      </c>
      <c r="G5" s="39" t="n">
        <v>0.05</v>
      </c>
      <c r="H5" s="38" t="n">
        <v>1</v>
      </c>
      <c r="J5" s="9" t="s">
        <v>481</v>
      </c>
      <c r="L5" s="9" t="s">
        <v>66</v>
      </c>
      <c r="N5" s="9" t="s">
        <v>273</v>
      </c>
    </row>
    <row r="6" customFormat="false" ht="15" hidden="false" customHeight="false" outlineLevel="0" collapsed="false">
      <c r="A6" s="9" t="s">
        <v>622</v>
      </c>
      <c r="B6" s="38" t="n">
        <v>1.12</v>
      </c>
      <c r="D6" s="9" t="s">
        <v>74</v>
      </c>
      <c r="E6" s="38" t="n">
        <v>1.2</v>
      </c>
      <c r="G6" s="39" t="n">
        <v>0.1</v>
      </c>
      <c r="H6" s="38" t="n">
        <v>1.25</v>
      </c>
      <c r="J6" s="9" t="s">
        <v>49</v>
      </c>
      <c r="L6" s="9" t="s">
        <v>71</v>
      </c>
      <c r="N6" s="9" t="s">
        <v>304</v>
      </c>
    </row>
    <row r="7" customFormat="false" ht="15" hidden="false" customHeight="false" outlineLevel="0" collapsed="false">
      <c r="A7" s="9" t="s">
        <v>623</v>
      </c>
      <c r="B7" s="38" t="n">
        <v>1.1</v>
      </c>
      <c r="D7" s="9" t="s">
        <v>624</v>
      </c>
      <c r="E7" s="38" t="n">
        <v>1.5</v>
      </c>
      <c r="G7" s="39" t="n">
        <v>1</v>
      </c>
      <c r="H7" s="38" t="n">
        <v>1.6</v>
      </c>
      <c r="J7" s="9" t="s">
        <v>482</v>
      </c>
      <c r="N7" s="9" t="s">
        <v>326</v>
      </c>
    </row>
    <row r="8" customFormat="false" ht="15" hidden="false" customHeight="false" outlineLevel="0" collapsed="false">
      <c r="A8" s="9" t="s">
        <v>625</v>
      </c>
      <c r="B8" s="38" t="n">
        <v>0.97</v>
      </c>
      <c r="N8" s="9" t="s">
        <v>401</v>
      </c>
    </row>
    <row r="9" customFormat="false" ht="15" hidden="false" customHeight="false" outlineLevel="0" collapsed="false">
      <c r="A9" s="9" t="s">
        <v>626</v>
      </c>
      <c r="B9" s="38" t="n">
        <v>0.96</v>
      </c>
    </row>
    <row r="10" customFormat="false" ht="15" hidden="false" customHeight="false" outlineLevel="0" collapsed="false">
      <c r="A10" s="9" t="s">
        <v>627</v>
      </c>
      <c r="B10" s="3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2026-10-29T14:07:33Z</dcterms:created>
  <dc:creator>openpyxl</dc:creator>
  <dc:description/>
  <dc:language>en-US</dc:language>
  <cp:lastModifiedBy/>
  <dcterms:modified xsi:type="dcterms:W3CDTF">2026-10-29T14:07:33Z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