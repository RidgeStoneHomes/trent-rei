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cel" sheetId="2" state="visible" r:id="rId2"/>
    <sheet xmlns:r="http://schemas.openxmlformats.org/officeDocument/2006/relationships" name="Best_Use" sheetId="3" state="visible" r:id="rId3"/>
    <sheet xmlns:r="http://schemas.openxmlformats.org/officeDocument/2006/relationships" name="Proforma" sheetId="4" state="visible" r:id="rId4"/>
    <sheet xmlns:r="http://schemas.openxmlformats.org/officeDocument/2006/relationships" name="Org_Profile" sheetId="5" state="visible" r:id="rId5"/>
    <sheet xmlns:r="http://schemas.openxmlformats.org/officeDocument/2006/relationships" name="Location" sheetId="6" state="visible" r:id="rId6"/>
    <sheet xmlns:r="http://schemas.openxmlformats.org/officeDocument/2006/relationships" name="Use_Library" sheetId="7" state="visible" r:id="rId7"/>
    <sheet xmlns:r="http://schemas.openxmlformats.org/officeDocument/2006/relationships" name="Use_Effective" sheetId="8" state="visible" r:id="rId8"/>
    <sheet xmlns:r="http://schemas.openxmlformats.org/officeDocument/2006/relationships" name="Engine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Cost_Library" sheetId="11" state="visible" r:id="rId11"/>
    <sheet xmlns:r="http://schemas.openxmlformats.org/officeDocument/2006/relationships" name="Cost_Records" sheetId="12" state="visible" r:id="rId12"/>
    <sheet xmlns:r="http://schemas.openxmlformats.org/officeDocument/2006/relationships" name="Regions" sheetId="13" state="visible" r:id="rId13"/>
    <sheet xmlns:r="http://schemas.openxmlformats.org/officeDocument/2006/relationships" name="Market_Data" sheetId="14" state="visible" r:id="rId14"/>
    <sheet xmlns:r="http://schemas.openxmlformats.org/officeDocument/2006/relationships" name="Org_Overrides" sheetId="15" state="visible" r:id="rId15"/>
    <sheet xmlns:r="http://schemas.openxmlformats.org/officeDocument/2006/relationships" name="Deal_History" sheetId="16" state="visible" r:id="rId16"/>
    <sheet xmlns:r="http://schemas.openxmlformats.org/officeDocument/2006/relationships" name="Canonical_Schema" sheetId="17" state="visible" r:id="rId17"/>
    <sheet xmlns:r="http://schemas.openxmlformats.org/officeDocument/2006/relationships" name="Import_Mapping" sheetId="18" state="visible" r:id="rId18"/>
    <sheet xmlns:r="http://schemas.openxmlformats.org/officeDocument/2006/relationships" name="Lookup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0.0%;(0.0%);&quot;-&quot;"/>
    <numFmt numFmtId="165" formatCode="0.00%;(0.00%);&quot;-&quot;"/>
    <numFmt numFmtId="166" formatCode="$#,##0;($#,##0);&quot;-&quot;"/>
    <numFmt numFmtId="167" formatCode="#,##0;(#,##0);&quot;-&quot;"/>
    <numFmt numFmtId="168" formatCode="#,##0.0;(#,##0.0);&quot;-&quot;"/>
    <numFmt numFmtId="169" formatCode="0.00&quot;x&quot;"/>
    <numFmt numFmtId="170" formatCode="yyyy-mm-dd"/>
    <numFmt numFmtId="171" formatCode="0.0#"/>
    <numFmt numFmtId="172" formatCode="#,##0.0###"/>
    <numFmt numFmtId="173" formatCode="$#,##0.00;($#,##0.00);&quot;-&quot;"/>
    <numFmt numFmtId="174" formatCode="#,##0.000"/>
    <numFmt numFmtId="175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color rgb="00008000"/>
      <sz val="10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BF3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8" fontId="5" fillId="3" borderId="0" pivotButton="0" quotePrefix="0" xfId="0"/>
    <xf numFmtId="164" fontId="5" fillId="3" borderId="0" pivotButton="0" quotePrefix="0" xfId="0"/>
    <xf numFmtId="167" fontId="5" fillId="3" borderId="0" pivotButton="0" quotePrefix="0" xfId="0"/>
    <xf numFmtId="166" fontId="5" fillId="3" borderId="0" pivotButton="0" quotePrefix="0" xfId="0"/>
    <xf numFmtId="168" fontId="4" fillId="0" borderId="0" pivotButton="0" quotePrefix="0" xfId="0"/>
    <xf numFmtId="167" fontId="4" fillId="0" borderId="0" pivotButton="0" quotePrefix="0" xfId="0"/>
    <xf numFmtId="2" fontId="4" fillId="0" borderId="0" pivotButton="0" quotePrefix="0" xfId="0"/>
    <xf numFmtId="0" fontId="6" fillId="4" borderId="0" pivotButton="0" quotePrefix="0" xfId="0"/>
    <xf numFmtId="166" fontId="8" fillId="0" borderId="0" pivotButton="0" quotePrefix="0" xfId="0"/>
    <xf numFmtId="166" fontId="6" fillId="4" borderId="0" pivotButton="0" quotePrefix="0" xfId="0"/>
    <xf numFmtId="166" fontId="4" fillId="0" borderId="0" pivotButton="0" quotePrefix="0" xfId="0"/>
    <xf numFmtId="167" fontId="6" fillId="4" borderId="0" pivotButton="0" quotePrefix="0" xfId="0"/>
    <xf numFmtId="166" fontId="6" fillId="0" borderId="0" pivotButton="0" quotePrefix="0" xfId="0"/>
    <xf numFmtId="164" fontId="4" fillId="0" borderId="0" pivotButton="0" quotePrefix="0" xfId="0"/>
    <xf numFmtId="171" fontId="4" fillId="0" borderId="0" pivotButton="0" quotePrefix="0" xfId="0"/>
    <xf numFmtId="167" fontId="6" fillId="0" borderId="0" pivotButton="0" quotePrefix="0" xfId="0"/>
    <xf numFmtId="165" fontId="4" fillId="0" borderId="0" pivotButton="0" quotePrefix="0" xfId="0"/>
    <xf numFmtId="169" fontId="4" fillId="0" borderId="0" pivotButton="0" quotePrefix="0" xfId="0"/>
    <xf numFmtId="174" fontId="4" fillId="0" borderId="0" pivotButton="0" quotePrefix="0" xfId="0"/>
    <xf numFmtId="164" fontId="6" fillId="4" borderId="0" pivotButton="0" quotePrefix="0" xfId="0"/>
    <xf numFmtId="169" fontId="6" fillId="4" borderId="0" pivotButton="0" quotePrefix="0" xfId="0"/>
    <xf numFmtId="164" fontId="6" fillId="0" borderId="0" pivotButton="0" quotePrefix="0" xfId="0"/>
    <xf numFmtId="2" fontId="6" fillId="0" borderId="0" pivotButton="0" quotePrefix="0" xfId="0"/>
    <xf numFmtId="171" fontId="5" fillId="3" borderId="0" pivotButton="0" quotePrefix="0" xfId="0"/>
    <xf numFmtId="172" fontId="5" fillId="3" borderId="0" pivotButton="0" quotePrefix="0" xfId="0"/>
    <xf numFmtId="173" fontId="5" fillId="3" borderId="0" pivotButton="0" quotePrefix="0" xfId="0"/>
    <xf numFmtId="173" fontId="4" fillId="0" borderId="0" pivotButton="0" quotePrefix="0" xfId="0"/>
    <xf numFmtId="0" fontId="9" fillId="0" borderId="0" pivotButton="0" quotePrefix="0" xfId="0"/>
    <xf numFmtId="166" fontId="4" fillId="4" borderId="0" pivotButton="0" quotePrefix="0" xfId="0"/>
    <xf numFmtId="175" fontId="4" fillId="0" borderId="0" pivotButton="0" quotePrefix="0" xfId="0"/>
    <xf numFmtId="169" fontId="5" fillId="3" borderId="0" pivotButton="0" quotePrefix="0" xfId="0"/>
    <xf numFmtId="170" fontId="5" fillId="3" borderId="0" pivotButton="0" quotePrefix="0" xfId="0"/>
    <xf numFmtId="173" fontId="6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170" fontId="5" fillId="0" borderId="0" pivotButton="0" quotePrefix="0" xfId="0"/>
    <xf numFmtId="2" fontId="5" fillId="3" borderId="0" pivotButton="0" quotePrefix="0" xfId="0"/>
    <xf numFmtId="165" fontId="5" fillId="3" borderId="0" pivotButton="0" quotePrefix="0" xfId="0"/>
    <xf numFmtId="164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>
        <is>
          <t>Landova Proforma v3</t>
        </is>
      </c>
    </row>
    <row r="2">
      <c r="A2" s="2" t="inlineStr">
        <is>
          <t>Any U.S. parcel x every use x the active org. Parcel facts + location + use defaults + learned data -&gt; what fits -&gt; cost -&gt; three exits -&gt; max offer -&gt; prefilled proforma.</t>
        </is>
      </c>
    </row>
    <row r="4">
      <c r="A4" s="3" t="inlineStr">
        <is>
          <t>Start here</t>
        </is>
      </c>
    </row>
    <row r="5">
      <c r="A5" s="4" t="inlineStr">
        <is>
          <t>1. Parcel</t>
        </is>
      </c>
      <c r="B5" s="5" t="inlineStr">
        <is>
          <t>Enter the parcel's facts: state, county, city, zoning, access, utilities, asking price, location data.</t>
        </is>
      </c>
    </row>
    <row r="6">
      <c r="A6" s="4" t="inlineStr">
        <is>
          <t>2. Best_Use</t>
        </is>
      </c>
      <c r="B6" s="5" t="inlineStr">
        <is>
          <t>Is this land good, for what, and what can we pay? Every use ranked by max offer with a verdict. Switch to 'My uses' on Org_Profile.</t>
        </is>
      </c>
    </row>
    <row r="7">
      <c r="A7" s="4" t="inlineStr">
        <is>
          <t>3. Proforma</t>
        </is>
      </c>
      <c r="B7" s="5" t="inlineStr">
        <is>
          <t>The prefilled proforma for any use: inputs with their source, budget, operating statement, exits, monthly cash flow and IRR.</t>
        </is>
      </c>
    </row>
    <row r="9">
      <c r="A9" s="3" t="inlineStr">
        <is>
          <t>What changed in v3</t>
        </is>
      </c>
    </row>
    <row r="10">
      <c r="A10" s="4" t="inlineStr">
        <is>
          <t>Any location</t>
        </is>
      </c>
      <c r="B10" s="5" t="inlineStr">
        <is>
          <t>Regions holds National &gt; State &gt; County &gt; City values. Location shows which level each value came from. Costs AND revenues are localized.</t>
        </is>
      </c>
    </row>
    <row r="11">
      <c r="A11" s="4" t="inlineStr">
        <is>
          <t>Learning</t>
        </is>
      </c>
      <c r="B11" s="5" t="inlineStr">
        <is>
          <t>Org_Overrides and Cost_Records hold the org's own numbers from uploads and actuals. They pull values toward the org's experience as records accumulate (shrinkage).</t>
        </is>
      </c>
    </row>
    <row r="12">
      <c r="A12" s="4" t="inlineStr">
        <is>
          <t>Market data</t>
        </is>
      </c>
      <c r="B12" s="5" t="inlineStr">
        <is>
          <t>Market_Data holds local comps and pooled benchmarks (pooled only counts with enough records and orgs).</t>
        </is>
      </c>
    </row>
    <row r="13">
      <c r="A13" s="4" t="inlineStr">
        <is>
          <t>Gates</t>
        </is>
      </c>
      <c r="B13" s="5" t="inlineStr">
        <is>
          <t>Zoning (by right / rezone / prohibited / deed-restricted), legal access, frontage, sewer, water, location tests, size.</t>
        </is>
      </c>
    </row>
    <row r="14">
      <c r="A14" s="4" t="inlineStr">
        <is>
          <t>Realism</t>
        </is>
      </c>
      <c r="B14" s="5" t="inlineStr">
        <is>
          <t>Demand caps, absorption-driven timelines, margin that rises with time, per-use site disturbance, gal/day septic limits, public-water-system threshold, permits.</t>
        </is>
      </c>
    </row>
    <row r="15">
      <c r="A15" s="4" t="inlineStr">
        <is>
          <t>New uses</t>
        </is>
      </c>
      <c r="B15" s="5" t="inlineStr">
        <is>
          <t>Frontage split lots, ranchette subdivision, MHC with park-owned homes, leisure RV/campground, STR tiny-home resort, dollar store, car wash, sit-down restaurant, church, cell tower.</t>
        </is>
      </c>
    </row>
    <row r="17">
      <c r="A17" s="3" t="inlineStr">
        <is>
          <t>How it is built</t>
        </is>
      </c>
    </row>
    <row r="18">
      <c r="A18" s="4" t="inlineStr">
        <is>
          <t>Four engines</t>
        </is>
      </c>
      <c r="B18" s="5" t="inlineStr">
        <is>
          <t>For-Sale · Income (NOI / cap) · Operator Pad (sell or ground-lease a pad) · Land Play (leases, entitle-and-sell).</t>
        </is>
      </c>
    </row>
    <row r="19">
      <c r="A19" s="4" t="inlineStr">
        <is>
          <t>Three exits</t>
        </is>
      </c>
      <c r="B19" s="5" t="inlineStr">
        <is>
          <t>1) Land / pad sale  2) Build &amp; sell  3) Build &amp; hold / lease. Use_Library says which are allowed.</t>
        </is>
      </c>
    </row>
    <row r="20">
      <c r="A20" s="4" t="inlineStr">
        <is>
          <t>Max offer</t>
        </is>
      </c>
      <c r="B20" s="5" t="inlineStr">
        <is>
          <t>Solves for the land price that leaves exactly the required margin, including costs that rise with land price (closing, conversion penalty, carry, financing, property tax).</t>
        </is>
      </c>
    </row>
    <row r="21">
      <c r="A21" s="4" t="inlineStr">
        <is>
          <t>Engine</t>
        </is>
      </c>
      <c r="B21" s="5" t="inlineStr">
        <is>
          <t>One row per use, one column per step. This tab is the spec Ryan codes from.</t>
        </is>
      </c>
    </row>
    <row r="23">
      <c r="A23" s="3" t="inlineStr">
        <is>
          <t>Color code</t>
        </is>
      </c>
    </row>
    <row r="24">
      <c r="A24" s="6" t="inlineStr">
        <is>
          <t>Blue on yellow</t>
        </is>
      </c>
      <c r="B24" s="5" t="inlineStr">
        <is>
          <t>Input - edit</t>
        </is>
      </c>
    </row>
    <row r="25">
      <c r="A25" s="4" t="inlineStr">
        <is>
          <t>Black</t>
        </is>
      </c>
      <c r="B25" s="5" t="inlineStr">
        <is>
          <t>Formula - don't edit</t>
        </is>
      </c>
    </row>
    <row r="26">
      <c r="A26" s="7" t="inlineStr">
        <is>
          <t>Green</t>
        </is>
      </c>
      <c r="B26" s="5" t="inlineStr">
        <is>
          <t>Link to another tab</t>
        </is>
      </c>
    </row>
    <row r="28">
      <c r="A28" s="3" t="inlineStr">
        <is>
          <t>Before using on a live deal</t>
        </is>
      </c>
    </row>
    <row r="29">
      <c r="A29" s="4" t="inlineStr">
        <is>
          <t>Placeholders</t>
        </is>
      </c>
      <c r="B29" s="5" t="inlineStr">
        <is>
          <t>Every cost, price, rent, cap rate, index, tax rate and rule is a placeholder. Replace with sourced data, comps, bids and actuals.</t>
        </is>
      </c>
    </row>
    <row r="30">
      <c r="A30" s="4" t="inlineStr">
        <is>
          <t>Low confidence</t>
        </is>
      </c>
      <c r="B30" s="5" t="inlineStr">
        <is>
          <t>Uses whose written location rules are not machine-tested are marked 'Low - verify location' and show the rule to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0" customWidth="1" min="3" max="3"/>
    <col width="16" customWidth="1" min="4" max="4"/>
    <col width="32" customWidth="1" min="5" max="5"/>
  </cols>
  <sheetData>
    <row r="1">
      <c r="A1" s="1" t="inlineStr">
        <is>
          <t>Parcel Inputs</t>
        </is>
      </c>
    </row>
    <row r="2">
      <c r="A2" s="2" t="inlineStr">
        <is>
          <t>One parcel. In the software these fill from Landova's site analysis and data layers. Blue on yellow = input.</t>
        </is>
      </c>
    </row>
    <row r="4">
      <c r="B4" s="8" t="inlineStr">
        <is>
          <t>Input</t>
        </is>
      </c>
      <c r="C4" s="8" t="inlineStr">
        <is>
          <t>Value</t>
        </is>
      </c>
      <c r="D4" s="8" t="inlineStr">
        <is>
          <t>Unit</t>
        </is>
      </c>
      <c r="E4" s="8" t="inlineStr">
        <is>
          <t>Source in Landova</t>
        </is>
      </c>
    </row>
    <row r="5">
      <c r="B5" s="9" t="inlineStr">
        <is>
          <t>Parcel name</t>
        </is>
      </c>
      <c r="C5" s="6" t="inlineStr">
        <is>
          <t>Sample Parcel - Grayson County</t>
        </is>
      </c>
      <c r="D5" s="9" t="inlineStr"/>
      <c r="E5" s="2" t="inlineStr">
        <is>
          <t>User</t>
        </is>
      </c>
    </row>
    <row r="6">
      <c r="B6" s="9" t="inlineStr">
        <is>
          <t>State (2-letter)</t>
        </is>
      </c>
      <c r="C6" s="6" t="inlineStr">
        <is>
          <t>TX</t>
        </is>
      </c>
      <c r="D6" s="9" t="inlineStr">
        <is>
          <t>ST</t>
        </is>
      </c>
      <c r="E6" s="2" t="inlineStr">
        <is>
          <t>Parcel record</t>
        </is>
      </c>
    </row>
    <row r="7">
      <c r="B7" s="9" t="inlineStr">
        <is>
          <t>County</t>
        </is>
      </c>
      <c r="C7" s="6" t="inlineStr">
        <is>
          <t>Grayson</t>
        </is>
      </c>
      <c r="D7" s="9" t="inlineStr"/>
      <c r="E7" s="2" t="inlineStr">
        <is>
          <t>Parcel record</t>
        </is>
      </c>
    </row>
    <row r="8">
      <c r="B8" s="9" t="inlineStr">
        <is>
          <t>City (blank if unincorporated)</t>
        </is>
      </c>
      <c r="C8" s="6" t="inlineStr"/>
      <c r="D8" s="9" t="inlineStr"/>
      <c r="E8" s="2" t="inlineStr">
        <is>
          <t>Jurisdiction layer</t>
        </is>
      </c>
    </row>
    <row r="9">
      <c r="B9" s="9" t="inlineStr">
        <is>
          <t>Jurisdiction type</t>
        </is>
      </c>
      <c r="C9" s="6" t="inlineStr">
        <is>
          <t>County</t>
        </is>
      </c>
      <c r="D9" s="9" t="inlineStr">
        <is>
          <t>City/ETJ/County</t>
        </is>
      </c>
      <c r="E9" s="2" t="inlineStr">
        <is>
          <t>Jurisdiction layer</t>
        </is>
      </c>
    </row>
    <row r="10">
      <c r="B10" s="9" t="inlineStr">
        <is>
          <t>Zoning classes allowed by right (comma list)</t>
        </is>
      </c>
      <c r="C10" s="6" t="inlineStr">
        <is>
          <t>AG</t>
        </is>
      </c>
      <c r="D10" s="9" t="inlineStr">
        <is>
          <t>classes</t>
        </is>
      </c>
      <c r="E10" s="2" t="inlineStr">
        <is>
          <t>Zoning layer + crosswalk</t>
        </is>
      </c>
    </row>
    <row r="11">
      <c r="B11" s="9" t="inlineStr">
        <is>
          <t>Classes barred by deed restrictions (comma list)</t>
        </is>
      </c>
      <c r="C11" s="6" t="inlineStr"/>
      <c r="D11" s="9" t="inlineStr">
        <is>
          <t>classes</t>
        </is>
      </c>
      <c r="E11" s="2" t="inlineStr">
        <is>
          <t>Title / deed-restriction scan</t>
        </is>
      </c>
    </row>
    <row r="12">
      <c r="B12" s="9" t="inlineStr">
        <is>
          <t>Classes realistic by rezoning (comma list, * = any)</t>
        </is>
      </c>
      <c r="C12" s="6" t="inlineStr">
        <is>
          <t>*</t>
        </is>
      </c>
      <c r="D12" s="9" t="inlineStr">
        <is>
          <t>classes</t>
        </is>
      </c>
      <c r="E12" s="2" t="inlineStr">
        <is>
          <t>Comp plan / future land use map</t>
        </is>
      </c>
    </row>
    <row r="13">
      <c r="B13" s="9" t="inlineStr">
        <is>
          <t>Cost scenario</t>
        </is>
      </c>
      <c r="C13" s="6" t="inlineStr">
        <is>
          <t>Base</t>
        </is>
      </c>
      <c r="D13" s="9" t="inlineStr">
        <is>
          <t>Low/Base/High</t>
        </is>
      </c>
      <c r="E13" s="2" t="inlineStr">
        <is>
          <t>User</t>
        </is>
      </c>
    </row>
    <row r="14">
      <c r="B14" s="9" t="inlineStr">
        <is>
          <t>Gross acres</t>
        </is>
      </c>
      <c r="C14" s="10" t="n">
        <v>20</v>
      </c>
      <c r="D14" s="9" t="inlineStr">
        <is>
          <t>ac</t>
        </is>
      </c>
      <c r="E14" s="2" t="inlineStr">
        <is>
          <t>Parcel boundary</t>
        </is>
      </c>
    </row>
    <row r="15">
      <c r="B15" s="9" t="inlineStr">
        <is>
          <t>Buildable % (excl. floodway, wetlands, easements, steep slope)</t>
        </is>
      </c>
      <c r="C15" s="11" t="n">
        <v>0.78</v>
      </c>
      <c r="D15" s="9" t="inlineStr">
        <is>
          <t>% of gross</t>
        </is>
      </c>
      <c r="E15" s="2" t="inlineStr">
        <is>
          <t>Buildable-land analysis</t>
        </is>
      </c>
    </row>
    <row r="16">
      <c r="B16" s="9" t="inlineStr">
        <is>
          <t>Share in 100-yr floodplain</t>
        </is>
      </c>
      <c r="C16" s="11" t="n">
        <v>0.1</v>
      </c>
      <c r="D16" s="9" t="inlineStr">
        <is>
          <t>% of gross</t>
        </is>
      </c>
      <c r="E16" s="2" t="inlineStr">
        <is>
          <t>FEMA flood layer</t>
        </is>
      </c>
    </row>
    <row r="17">
      <c r="B17" s="9" t="inlineStr">
        <is>
          <t>Average slope</t>
        </is>
      </c>
      <c r="C17" s="11" t="n">
        <v>0.04</v>
      </c>
      <c r="D17" s="9" t="inlineStr">
        <is>
          <t>%</t>
        </is>
      </c>
      <c r="E17" s="2" t="inlineStr">
        <is>
          <t>Topography</t>
        </is>
      </c>
    </row>
    <row r="18">
      <c r="B18" s="9" t="inlineStr">
        <is>
          <t>Tree cover</t>
        </is>
      </c>
      <c r="C18" s="11" t="n">
        <v>0.35</v>
      </c>
      <c r="D18" s="9" t="inlineStr">
        <is>
          <t>%</t>
        </is>
      </c>
      <c r="E18" s="2" t="inlineStr">
        <is>
          <t>3D tree coverage</t>
        </is>
      </c>
    </row>
    <row r="19">
      <c r="B19" s="9" t="inlineStr">
        <is>
          <t>Road frontage</t>
        </is>
      </c>
      <c r="C19" s="12" t="n">
        <v>660</v>
      </c>
      <c r="D19" s="9" t="inlineStr">
        <is>
          <t>LF</t>
        </is>
      </c>
      <c r="E19" s="2" t="inlineStr">
        <is>
          <t>Frontage analysis</t>
        </is>
      </c>
    </row>
    <row r="20">
      <c r="B20" s="9" t="inlineStr">
        <is>
          <t>Access</t>
        </is>
      </c>
      <c r="C20" s="6" t="inlineStr">
        <is>
          <t>Paved public</t>
        </is>
      </c>
      <c r="D20" s="9" t="inlineStr">
        <is>
          <t>type</t>
        </is>
      </c>
      <c r="E20" s="2" t="inlineStr">
        <is>
          <t>Road network / title</t>
        </is>
      </c>
    </row>
    <row r="21">
      <c r="B21" s="9" t="inlineStr">
        <is>
          <t>Public water at site</t>
        </is>
      </c>
      <c r="C21" s="6" t="inlineStr">
        <is>
          <t>Y</t>
        </is>
      </c>
      <c r="D21" s="9" t="inlineStr">
        <is>
          <t>Y/N</t>
        </is>
      </c>
      <c r="E21" s="2" t="inlineStr">
        <is>
          <t>Utilities layer</t>
        </is>
      </c>
    </row>
    <row r="22">
      <c r="B22" s="9" t="inlineStr">
        <is>
          <t>Distance to water main</t>
        </is>
      </c>
      <c r="C22" s="12" t="n">
        <v>0</v>
      </c>
      <c r="D22" s="9" t="inlineStr">
        <is>
          <t>LF</t>
        </is>
      </c>
      <c r="E22" s="2" t="inlineStr">
        <is>
          <t>Utilities layer</t>
        </is>
      </c>
    </row>
    <row r="23">
      <c r="B23" s="9" t="inlineStr">
        <is>
          <t>Public sewer at site</t>
        </is>
      </c>
      <c r="C23" s="6" t="inlineStr">
        <is>
          <t>N</t>
        </is>
      </c>
      <c r="D23" s="9" t="inlineStr">
        <is>
          <t>Y/N</t>
        </is>
      </c>
      <c r="E23" s="2" t="inlineStr">
        <is>
          <t>Utilities layer</t>
        </is>
      </c>
    </row>
    <row r="24">
      <c r="B24" s="9" t="inlineStr">
        <is>
          <t>Distance to sewer main</t>
        </is>
      </c>
      <c r="C24" s="12" t="n">
        <v>6000</v>
      </c>
      <c r="D24" s="9" t="inlineStr">
        <is>
          <t>LF</t>
        </is>
      </c>
      <c r="E24" s="2" t="inlineStr">
        <is>
          <t>Utilities layer</t>
        </is>
      </c>
    </row>
    <row r="25">
      <c r="B25" s="9" t="inlineStr">
        <is>
          <t>Septic soil rating</t>
        </is>
      </c>
      <c r="C25" s="6" t="inlineStr">
        <is>
          <t>Fair</t>
        </is>
      </c>
      <c r="D25" s="9" t="inlineStr">
        <is>
          <t>Good/Fair/Poor</t>
        </is>
      </c>
      <c r="E25" s="2" t="inlineStr">
        <is>
          <t>Soil composition</t>
        </is>
      </c>
    </row>
    <row r="26">
      <c r="B26" s="9" t="inlineStr">
        <is>
          <t>Ag / open-space valuation in place</t>
        </is>
      </c>
      <c r="C26" s="6" t="inlineStr">
        <is>
          <t>Y</t>
        </is>
      </c>
      <c r="D26" s="9" t="inlineStr">
        <is>
          <t>Y/N</t>
        </is>
      </c>
      <c r="E26" s="2" t="inlineStr">
        <is>
          <t>Appraisal district record</t>
        </is>
      </c>
    </row>
    <row r="27">
      <c r="B27" s="9" t="inlineStr">
        <is>
          <t>Asking / offer price (whole parcel)</t>
        </is>
      </c>
      <c r="C27" s="13" t="n">
        <v>300000</v>
      </c>
      <c r="D27" s="9" t="inlineStr">
        <is>
          <t>$</t>
        </is>
      </c>
      <c r="E27" s="2" t="inlineStr">
        <is>
          <t>Listing or user</t>
        </is>
      </c>
    </row>
    <row r="28">
      <c r="B28" s="9" t="inlineStr">
        <is>
          <t>Traffic count on frontage road</t>
        </is>
      </c>
      <c r="C28" s="12" t="n">
        <v>4000</v>
      </c>
      <c r="D28" s="9" t="inlineStr">
        <is>
          <t>vehicles/day</t>
        </is>
      </c>
      <c r="E28" s="2" t="inlineStr">
        <is>
          <t>State DOT / FHWA counts</t>
        </is>
      </c>
    </row>
    <row r="29">
      <c r="B29" s="9" t="inlineStr">
        <is>
          <t>Households within 3 miles</t>
        </is>
      </c>
      <c r="C29" s="12" t="n">
        <v>2500</v>
      </c>
      <c r="D29" s="9" t="inlineStr">
        <is>
          <t>households</t>
        </is>
      </c>
      <c r="E29" s="2" t="inlineStr">
        <is>
          <t>Census</t>
        </is>
      </c>
    </row>
    <row r="30">
      <c r="B30" s="9" t="inlineStr">
        <is>
          <t>Households within 10 miles</t>
        </is>
      </c>
      <c r="C30" s="12" t="n">
        <v>25000</v>
      </c>
      <c r="D30" s="9" t="inlineStr">
        <is>
          <t>households</t>
        </is>
      </c>
      <c r="E30" s="2" t="inlineStr">
        <is>
          <t>Census</t>
        </is>
      </c>
    </row>
    <row r="31">
      <c r="B31" s="9" t="inlineStr">
        <is>
          <t>Miles to nearest highway interchange</t>
        </is>
      </c>
      <c r="C31" s="10" t="n">
        <v>6</v>
      </c>
      <c r="D31" s="9" t="inlineStr">
        <is>
          <t>miles</t>
        </is>
      </c>
      <c r="E31" s="2" t="inlineStr">
        <is>
          <t>Road network</t>
        </is>
      </c>
    </row>
    <row r="32">
      <c r="B32" s="9" t="inlineStr">
        <is>
          <t>Corner lot (hard corner on two roads)</t>
        </is>
      </c>
      <c r="C32" s="6" t="inlineStr">
        <is>
          <t>N</t>
        </is>
      </c>
      <c r="D32" s="9" t="inlineStr">
        <is>
          <t>Y/N</t>
        </is>
      </c>
      <c r="E32" s="2" t="inlineStr">
        <is>
          <t>Frontage analysis</t>
        </is>
      </c>
    </row>
    <row r="33">
      <c r="B33" s="9" t="inlineStr">
        <is>
          <t>Miles to substation with capacity</t>
        </is>
      </c>
      <c r="C33" s="10" t="n">
        <v>3</v>
      </c>
      <c r="D33" s="9" t="inlineStr">
        <is>
          <t>miles</t>
        </is>
      </c>
      <c r="E33" s="2" t="inlineStr">
        <is>
          <t>Utility / transmission layer</t>
        </is>
      </c>
    </row>
    <row r="34">
      <c r="B34" s="9" t="inlineStr">
        <is>
          <t>Miles to nearest major employer (1,000+ jobs)</t>
        </is>
      </c>
      <c r="C34" s="10" t="n">
        <v>12</v>
      </c>
      <c r="D34" s="9" t="inlineStr">
        <is>
          <t>miles</t>
        </is>
      </c>
      <c r="E34" s="2" t="inlineStr">
        <is>
          <t>Employer layer</t>
        </is>
      </c>
    </row>
    <row r="36">
      <c r="B36" s="3" t="inlineStr">
        <is>
          <t>Derived (formulas)</t>
        </is>
      </c>
    </row>
    <row r="37">
      <c r="B37" s="9" t="inlineStr">
        <is>
          <t>Net buildable acres</t>
        </is>
      </c>
      <c r="C37" s="14">
        <f>Parcel!$C$14*Parcel!$C$15</f>
        <v/>
      </c>
    </row>
    <row r="38">
      <c r="B38" s="9" t="inlineStr">
        <is>
          <t>Public water used (1 = yes)</t>
        </is>
      </c>
      <c r="C38" s="15">
        <f>IF(OR(Parcel!$C$21="Y",Parcel!$C$22&lt;=Assumptions!$C$5),1,0)</f>
        <v/>
      </c>
    </row>
    <row r="39">
      <c r="B39" s="9" t="inlineStr">
        <is>
          <t>Public sewer used (1 = yes)</t>
        </is>
      </c>
      <c r="C39" s="15">
        <f>IF(OR(Parcel!$C$23="Y",Parcel!$C$24&lt;=Assumptions!$C$6),1,0)</f>
        <v/>
      </c>
    </row>
    <row r="40">
      <c r="B40" s="9" t="inlineStr">
        <is>
          <t>Off-site water extension LF</t>
        </is>
      </c>
      <c r="C40" s="15">
        <f>IF(Parcel!$C$21="Y",0,Parcel!$C$22)*Parcel!$C$38</f>
        <v/>
      </c>
    </row>
    <row r="41">
      <c r="B41" s="9" t="inlineStr">
        <is>
          <t>Off-site sewer extension LF</t>
        </is>
      </c>
      <c r="C41" s="15">
        <f>IF(Parcel!$C$23="Y",0,Parcel!$C$24)*Parcel!$C$39</f>
        <v/>
      </c>
    </row>
    <row r="42">
      <c r="B42" s="9" t="inlineStr">
        <is>
          <t>Scenario column</t>
        </is>
      </c>
      <c r="C42" s="15">
        <f>MATCH(Parcel!$C$13,Lookups!$A$5:$A$7,0)</f>
        <v/>
      </c>
    </row>
    <row r="43">
      <c r="B43" s="9" t="inlineStr">
        <is>
          <t>Grading multiplier (slope)</t>
        </is>
      </c>
      <c r="C43" s="16">
        <f>INDEX(Lookups!$L$5:$L$7,MATCH(TRUE,INDEX(Parcel!$C$17&lt;=Lookups!$K$5:$K$7,0),0))</f>
        <v/>
      </c>
    </row>
    <row r="44">
      <c r="B44" s="9" t="inlineStr">
        <is>
          <t>Septic cost multiplier (soil)</t>
        </is>
      </c>
      <c r="C44" s="16">
        <f>IFERROR(INDEX(Lookups!$H$5:$H$7,MATCH(Parcel!$C$25,Lookups!$G$5:$G$7,0)),1)</f>
        <v/>
      </c>
    </row>
    <row r="45">
      <c r="B45" s="9" t="inlineStr">
        <is>
          <t>Septic capacity factor (soil)</t>
        </is>
      </c>
      <c r="C45" s="16">
        <f>IFERROR(INDEX(Lookups!$I$5:$I$7,MATCH(Parcel!$C$25,Lookups!$G$5:$G$7,0)),1)</f>
        <v/>
      </c>
    </row>
    <row r="46">
      <c r="B46" s="9" t="inlineStr">
        <is>
          <t>Zoning applies here (1 = yes)</t>
        </is>
      </c>
      <c r="C46" s="15">
        <f>IF(OR(AND(Parcel!$C$9="City",Location!$C$22="Y"),AND(Parcel!$C$9="ETJ",Location!$C$23="Y"),AND(Parcel!$C$9="County",Location!$C$24="Y")),1,0)</f>
        <v/>
      </c>
    </row>
  </sheetData>
  <dataValidations count="8">
    <dataValidation sqref="C9" showDropDown="0" showInputMessage="0" showErrorMessage="0" allowBlank="1" type="list">
      <formula1>=Lookups!$N$5:$N$7</formula1>
    </dataValidation>
    <dataValidation sqref="C13" showDropDown="0" showInputMessage="0" showErrorMessage="0" allowBlank="1" type="list">
      <formula1>=Lookups!$A$5:$A$7</formula1>
    </dataValidation>
    <dataValidation sqref="C20" showDropDown="0" showInputMessage="0" showErrorMessage="0" allowBlank="1" type="list">
      <formula1>=Lookups!$P$5:$P$8</formula1>
    </dataValidation>
    <dataValidation sqref="C21" showDropDown="0" showInputMessage="0" showErrorMessage="0" allowBlank="1" type="list">
      <formula1>=Lookups!$C$5:$C$6</formula1>
    </dataValidation>
    <dataValidation sqref="C23" showDropDown="0" showInputMessage="0" showErrorMessage="0" allowBlank="1" type="list">
      <formula1>=Lookups!$C$5:$C$6</formula1>
    </dataValidation>
    <dataValidation sqref="C25" showDropDown="0" showInputMessage="0" showErrorMessage="0" allowBlank="1" type="list">
      <formula1>=Lookups!$G$5:$G$7</formula1>
    </dataValidation>
    <dataValidation sqref="C26" showDropDown="0" showInputMessage="0" showErrorMessage="0" allowBlank="1" type="list">
      <formula1>=Lookups!$C$5:$C$6</formula1>
    </dataValidation>
    <dataValidation sqref="C32" showDropDown="0" showInputMessage="0" showErrorMessage="0" allowBlank="1" type="list">
      <formula1>=Lookups!$C$5:$C$6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6"/>
  <sheetViews>
    <sheetView showGridLines="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3" customWidth="1" min="3" max="3"/>
    <col width="8" customWidth="1" min="4" max="4"/>
    <col width="15" customWidth="1" min="5" max="5"/>
    <col width="11" customWidth="1" min="6" max="6"/>
    <col width="12" customWidth="1" min="7" max="7"/>
    <col width="20" customWidth="1" min="8" max="8"/>
    <col width="8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6" customWidth="1" min="15" max="15"/>
    <col width="24" customWidth="1" min="16" max="16"/>
    <col width="60" customWidth="1" min="17" max="17"/>
    <col width="50" customWidth="1" min="18" max="18"/>
    <col width="5" customWidth="1" min="19" max="19"/>
  </cols>
  <sheetData>
    <row r="1">
      <c r="A1" s="1" t="inlineStr">
        <is>
          <t>Best Use - is this land good, for what, and what can we pay</t>
        </is>
      </c>
    </row>
    <row r="2">
      <c r="A2" s="2" t="inlineStr">
        <is>
          <t>Every use in the library run against the parcel on the Parcel tab, localized to its county and the active org's numbers, ranked by max offer.</t>
        </is>
      </c>
    </row>
    <row r="4">
      <c r="B4" s="4" t="inlineStr">
        <is>
          <t>Parcel</t>
        </is>
      </c>
      <c r="C4" s="7">
        <f>Parcel!$C$5</f>
        <v/>
      </c>
      <c r="E4" s="4" t="inlineStr">
        <is>
          <t>Best use</t>
        </is>
      </c>
      <c r="F4" s="17">
        <f>B13</f>
        <v/>
      </c>
    </row>
    <row r="5">
      <c r="B5" s="4" t="inlineStr">
        <is>
          <t>Location</t>
        </is>
      </c>
      <c r="C5" s="7">
        <f>Location!$C$34</f>
        <v/>
      </c>
      <c r="E5" s="4" t="inlineStr">
        <is>
          <t>Verdict</t>
        </is>
      </c>
      <c r="F5" s="17">
        <f>E13</f>
        <v/>
      </c>
    </row>
    <row r="6">
      <c r="B6" s="4" t="inlineStr">
        <is>
          <t>Asking price</t>
        </is>
      </c>
      <c r="C6" s="18">
        <f>Parcel!$C$27</f>
        <v/>
      </c>
      <c r="E6" s="4" t="inlineStr">
        <is>
          <t>Max offer (walk-away)</t>
        </is>
      </c>
      <c r="F6" s="19">
        <f>J13</f>
        <v/>
      </c>
    </row>
    <row r="7">
      <c r="B7" s="4" t="inlineStr">
        <is>
          <t>As-is value (raw land, location)</t>
        </is>
      </c>
      <c r="C7" s="20">
        <f>Parcel!$C$14*Location!$C$14</f>
        <v/>
      </c>
      <c r="E7" s="4" t="inlineStr">
        <is>
          <t>Opening offer</t>
        </is>
      </c>
      <c r="F7" s="19">
        <f>K13</f>
        <v/>
      </c>
    </row>
    <row r="8">
      <c r="B8" s="4" t="inlineStr">
        <is>
          <t>Ranking shows</t>
        </is>
      </c>
      <c r="C8" s="7">
        <f>Org_Profile!$C$5&amp;" for "&amp;Org_Profile!$C$4</f>
        <v/>
      </c>
      <c r="E8" s="4" t="inlineStr">
        <is>
          <t>Uses that work at asking</t>
        </is>
      </c>
      <c r="F8" s="21">
        <f>COUNTIF(Engine!$FA$6:$FA$67,"Strong")+COUNTIF(Engine!$FA$6:$FA$67,"Works at asking")</f>
        <v/>
      </c>
    </row>
    <row r="9">
      <c r="E9" s="4" t="inlineStr">
        <is>
          <t>Uses that work for this org</t>
        </is>
      </c>
      <c r="F9" s="21">
        <f>SUMPRODUCT((Engine!$FA$6:$FA$67="Strong")+(Engine!$FA$6:$FA$67="Works at asking"),Engine!$E$6:$E$67)</f>
        <v/>
      </c>
    </row>
    <row r="12" ht="32" customHeight="1">
      <c r="A12" s="8" t="inlineStr">
        <is>
          <t>Rank</t>
        </is>
      </c>
      <c r="B12" s="8" t="inlineStr">
        <is>
          <t>Use</t>
        </is>
      </c>
      <c r="C12" s="8" t="inlineStr">
        <is>
          <t>Engine</t>
        </is>
      </c>
      <c r="D12" s="8" t="inlineStr">
        <is>
          <t>Org builds</t>
        </is>
      </c>
      <c r="E12" s="8" t="inlineStr">
        <is>
          <t>Verdict</t>
        </is>
      </c>
      <c r="F12" s="8" t="inlineStr">
        <is>
          <t>Capacity</t>
        </is>
      </c>
      <c r="G12" s="8" t="inlineStr">
        <is>
          <t>Unit</t>
        </is>
      </c>
      <c r="H12" s="8" t="inlineStr">
        <is>
          <t>Best exit</t>
        </is>
      </c>
      <c r="I12" s="8" t="inlineStr">
        <is>
          <t>Months</t>
        </is>
      </c>
      <c r="J12" s="8" t="inlineStr">
        <is>
          <t>Max offer</t>
        </is>
      </c>
      <c r="K12" s="8" t="inlineStr">
        <is>
          <t>Opening offer</t>
        </is>
      </c>
      <c r="L12" s="8" t="inlineStr">
        <is>
          <t>Max - asking</t>
        </is>
      </c>
      <c r="M12" s="8" t="inlineStr">
        <is>
          <t>Max / gross ac</t>
        </is>
      </c>
      <c r="N12" s="8" t="inlineStr">
        <is>
          <t>Max / unit</t>
        </is>
      </c>
      <c r="O12" s="8" t="inlineStr">
        <is>
          <t>Confidence</t>
        </is>
      </c>
      <c r="P12" s="8" t="inlineStr">
        <is>
          <t>Binding constraint</t>
        </is>
      </c>
      <c r="Q12" s="8" t="inlineStr">
        <is>
          <t>Flags</t>
        </is>
      </c>
      <c r="R12" s="8" t="inlineStr">
        <is>
          <t>Verify before relying</t>
        </is>
      </c>
      <c r="S12" s="2" t="inlineStr">
        <is>
          <t>row</t>
        </is>
      </c>
    </row>
    <row r="13">
      <c r="A13" s="15" t="n">
        <v>1</v>
      </c>
      <c r="B13" s="4">
        <f>INDEX(Engine!$A$6:$A$67,$S13)</f>
        <v/>
      </c>
      <c r="C13" s="9">
        <f>INDEX(Engine!$B$6:$B$67,$S13)</f>
        <v/>
      </c>
      <c r="D13" s="15">
        <f>INDEX(Engine!$E$6:$E$67,$S13)</f>
        <v/>
      </c>
      <c r="E13" s="9">
        <f>INDEX(Engine!$FA$6:$FA$67,$S13)</f>
        <v/>
      </c>
      <c r="F13" s="15">
        <f>INDEX(Engine!$AK$6:$AK$67,$S13)</f>
        <v/>
      </c>
      <c r="G13" s="9">
        <f>INDEX(Engine!$C$6:$C$67,$S13)</f>
        <v/>
      </c>
      <c r="H13" s="9">
        <f>INDEX(Engine!$EU$6:$EU$67,$S13)</f>
        <v/>
      </c>
      <c r="I13" s="15">
        <f>INDEX(Engine!$EV$6:$EV$67,$S13)</f>
        <v/>
      </c>
      <c r="J13" s="19">
        <f>INDEX(Engine!$ES$6:$ES$67,$S13)</f>
        <v/>
      </c>
      <c r="K13" s="20">
        <f>INDEX(Engine!$EW$6:$EW$67,$S13)</f>
        <v/>
      </c>
      <c r="L13" s="20">
        <f>INDEX(Engine!$EX$6:$EX$67,$S13)</f>
        <v/>
      </c>
      <c r="M13" s="20">
        <f>INDEX(Engine!$EY$6:$EY$67,$S13)</f>
        <v/>
      </c>
      <c r="N13" s="20">
        <f>INDEX(Engine!$EZ$6:$EZ$67,$S13)</f>
        <v/>
      </c>
      <c r="O13" s="9">
        <f>INDEX(Engine!$FB$6:$FB$67,$S13)</f>
        <v/>
      </c>
      <c r="P13" s="9">
        <f>INDEX(Engine!$AL$6:$AL$67,$S13)</f>
        <v/>
      </c>
      <c r="Q13" s="9">
        <f>INDEX(Engine!$FD$6:$FD$67,$S13)</f>
        <v/>
      </c>
      <c r="R13" s="9">
        <f>INDEX(Engine!$FC$6:$FC$67,$S13)</f>
        <v/>
      </c>
      <c r="S13" s="15">
        <f>MATCH(LARGE(Engine!$FE$6:$FE$67,A13),Engine!$FE$6:$FE$67,0)</f>
        <v/>
      </c>
    </row>
    <row r="14">
      <c r="A14" s="15" t="n">
        <v>2</v>
      </c>
      <c r="B14" s="4">
        <f>INDEX(Engine!$A$6:$A$67,$S14)</f>
        <v/>
      </c>
      <c r="C14" s="9">
        <f>INDEX(Engine!$B$6:$B$67,$S14)</f>
        <v/>
      </c>
      <c r="D14" s="15">
        <f>INDEX(Engine!$E$6:$E$67,$S14)</f>
        <v/>
      </c>
      <c r="E14" s="9">
        <f>INDEX(Engine!$FA$6:$FA$67,$S14)</f>
        <v/>
      </c>
      <c r="F14" s="15">
        <f>INDEX(Engine!$AK$6:$AK$67,$S14)</f>
        <v/>
      </c>
      <c r="G14" s="9">
        <f>INDEX(Engine!$C$6:$C$67,$S14)</f>
        <v/>
      </c>
      <c r="H14" s="9">
        <f>INDEX(Engine!$EU$6:$EU$67,$S14)</f>
        <v/>
      </c>
      <c r="I14" s="15">
        <f>INDEX(Engine!$EV$6:$EV$67,$S14)</f>
        <v/>
      </c>
      <c r="J14" s="19">
        <f>INDEX(Engine!$ES$6:$ES$67,$S14)</f>
        <v/>
      </c>
      <c r="K14" s="20">
        <f>INDEX(Engine!$EW$6:$EW$67,$S14)</f>
        <v/>
      </c>
      <c r="L14" s="20">
        <f>INDEX(Engine!$EX$6:$EX$67,$S14)</f>
        <v/>
      </c>
      <c r="M14" s="20">
        <f>INDEX(Engine!$EY$6:$EY$67,$S14)</f>
        <v/>
      </c>
      <c r="N14" s="20">
        <f>INDEX(Engine!$EZ$6:$EZ$67,$S14)</f>
        <v/>
      </c>
      <c r="O14" s="9">
        <f>INDEX(Engine!$FB$6:$FB$67,$S14)</f>
        <v/>
      </c>
      <c r="P14" s="9">
        <f>INDEX(Engine!$AL$6:$AL$67,$S14)</f>
        <v/>
      </c>
      <c r="Q14" s="9">
        <f>INDEX(Engine!$FD$6:$FD$67,$S14)</f>
        <v/>
      </c>
      <c r="R14" s="9">
        <f>INDEX(Engine!$FC$6:$FC$67,$S14)</f>
        <v/>
      </c>
      <c r="S14" s="15">
        <f>MATCH(LARGE(Engine!$FE$6:$FE$67,A14),Engine!$FE$6:$FE$67,0)</f>
        <v/>
      </c>
    </row>
    <row r="15">
      <c r="A15" s="15" t="n">
        <v>3</v>
      </c>
      <c r="B15" s="4">
        <f>INDEX(Engine!$A$6:$A$67,$S15)</f>
        <v/>
      </c>
      <c r="C15" s="9">
        <f>INDEX(Engine!$B$6:$B$67,$S15)</f>
        <v/>
      </c>
      <c r="D15" s="15">
        <f>INDEX(Engine!$E$6:$E$67,$S15)</f>
        <v/>
      </c>
      <c r="E15" s="9">
        <f>INDEX(Engine!$FA$6:$FA$67,$S15)</f>
        <v/>
      </c>
      <c r="F15" s="15">
        <f>INDEX(Engine!$AK$6:$AK$67,$S15)</f>
        <v/>
      </c>
      <c r="G15" s="9">
        <f>INDEX(Engine!$C$6:$C$67,$S15)</f>
        <v/>
      </c>
      <c r="H15" s="9">
        <f>INDEX(Engine!$EU$6:$EU$67,$S15)</f>
        <v/>
      </c>
      <c r="I15" s="15">
        <f>INDEX(Engine!$EV$6:$EV$67,$S15)</f>
        <v/>
      </c>
      <c r="J15" s="19">
        <f>INDEX(Engine!$ES$6:$ES$67,$S15)</f>
        <v/>
      </c>
      <c r="K15" s="20">
        <f>INDEX(Engine!$EW$6:$EW$67,$S15)</f>
        <v/>
      </c>
      <c r="L15" s="20">
        <f>INDEX(Engine!$EX$6:$EX$67,$S15)</f>
        <v/>
      </c>
      <c r="M15" s="20">
        <f>INDEX(Engine!$EY$6:$EY$67,$S15)</f>
        <v/>
      </c>
      <c r="N15" s="20">
        <f>INDEX(Engine!$EZ$6:$EZ$67,$S15)</f>
        <v/>
      </c>
      <c r="O15" s="9">
        <f>INDEX(Engine!$FB$6:$FB$67,$S15)</f>
        <v/>
      </c>
      <c r="P15" s="9">
        <f>INDEX(Engine!$AL$6:$AL$67,$S15)</f>
        <v/>
      </c>
      <c r="Q15" s="9">
        <f>INDEX(Engine!$FD$6:$FD$67,$S15)</f>
        <v/>
      </c>
      <c r="R15" s="9">
        <f>INDEX(Engine!$FC$6:$FC$67,$S15)</f>
        <v/>
      </c>
      <c r="S15" s="15">
        <f>MATCH(LARGE(Engine!$FE$6:$FE$67,A15),Engine!$FE$6:$FE$67,0)</f>
        <v/>
      </c>
    </row>
    <row r="16">
      <c r="A16" s="15" t="n">
        <v>4</v>
      </c>
      <c r="B16" s="4">
        <f>INDEX(Engine!$A$6:$A$67,$S16)</f>
        <v/>
      </c>
      <c r="C16" s="9">
        <f>INDEX(Engine!$B$6:$B$67,$S16)</f>
        <v/>
      </c>
      <c r="D16" s="15">
        <f>INDEX(Engine!$E$6:$E$67,$S16)</f>
        <v/>
      </c>
      <c r="E16" s="9">
        <f>INDEX(Engine!$FA$6:$FA$67,$S16)</f>
        <v/>
      </c>
      <c r="F16" s="15">
        <f>INDEX(Engine!$AK$6:$AK$67,$S16)</f>
        <v/>
      </c>
      <c r="G16" s="9">
        <f>INDEX(Engine!$C$6:$C$67,$S16)</f>
        <v/>
      </c>
      <c r="H16" s="9">
        <f>INDEX(Engine!$EU$6:$EU$67,$S16)</f>
        <v/>
      </c>
      <c r="I16" s="15">
        <f>INDEX(Engine!$EV$6:$EV$67,$S16)</f>
        <v/>
      </c>
      <c r="J16" s="19">
        <f>INDEX(Engine!$ES$6:$ES$67,$S16)</f>
        <v/>
      </c>
      <c r="K16" s="20">
        <f>INDEX(Engine!$EW$6:$EW$67,$S16)</f>
        <v/>
      </c>
      <c r="L16" s="20">
        <f>INDEX(Engine!$EX$6:$EX$67,$S16)</f>
        <v/>
      </c>
      <c r="M16" s="20">
        <f>INDEX(Engine!$EY$6:$EY$67,$S16)</f>
        <v/>
      </c>
      <c r="N16" s="20">
        <f>INDEX(Engine!$EZ$6:$EZ$67,$S16)</f>
        <v/>
      </c>
      <c r="O16" s="9">
        <f>INDEX(Engine!$FB$6:$FB$67,$S16)</f>
        <v/>
      </c>
      <c r="P16" s="9">
        <f>INDEX(Engine!$AL$6:$AL$67,$S16)</f>
        <v/>
      </c>
      <c r="Q16" s="9">
        <f>INDEX(Engine!$FD$6:$FD$67,$S16)</f>
        <v/>
      </c>
      <c r="R16" s="9">
        <f>INDEX(Engine!$FC$6:$FC$67,$S16)</f>
        <v/>
      </c>
      <c r="S16" s="15">
        <f>MATCH(LARGE(Engine!$FE$6:$FE$67,A16),Engine!$FE$6:$FE$67,0)</f>
        <v/>
      </c>
    </row>
    <row r="17">
      <c r="A17" s="15" t="n">
        <v>5</v>
      </c>
      <c r="B17" s="4">
        <f>INDEX(Engine!$A$6:$A$67,$S17)</f>
        <v/>
      </c>
      <c r="C17" s="9">
        <f>INDEX(Engine!$B$6:$B$67,$S17)</f>
        <v/>
      </c>
      <c r="D17" s="15">
        <f>INDEX(Engine!$E$6:$E$67,$S17)</f>
        <v/>
      </c>
      <c r="E17" s="9">
        <f>INDEX(Engine!$FA$6:$FA$67,$S17)</f>
        <v/>
      </c>
      <c r="F17" s="15">
        <f>INDEX(Engine!$AK$6:$AK$67,$S17)</f>
        <v/>
      </c>
      <c r="G17" s="9">
        <f>INDEX(Engine!$C$6:$C$67,$S17)</f>
        <v/>
      </c>
      <c r="H17" s="9">
        <f>INDEX(Engine!$EU$6:$EU$67,$S17)</f>
        <v/>
      </c>
      <c r="I17" s="15">
        <f>INDEX(Engine!$EV$6:$EV$67,$S17)</f>
        <v/>
      </c>
      <c r="J17" s="19">
        <f>INDEX(Engine!$ES$6:$ES$67,$S17)</f>
        <v/>
      </c>
      <c r="K17" s="20">
        <f>INDEX(Engine!$EW$6:$EW$67,$S17)</f>
        <v/>
      </c>
      <c r="L17" s="20">
        <f>INDEX(Engine!$EX$6:$EX$67,$S17)</f>
        <v/>
      </c>
      <c r="M17" s="20">
        <f>INDEX(Engine!$EY$6:$EY$67,$S17)</f>
        <v/>
      </c>
      <c r="N17" s="20">
        <f>INDEX(Engine!$EZ$6:$EZ$67,$S17)</f>
        <v/>
      </c>
      <c r="O17" s="9">
        <f>INDEX(Engine!$FB$6:$FB$67,$S17)</f>
        <v/>
      </c>
      <c r="P17" s="9">
        <f>INDEX(Engine!$AL$6:$AL$67,$S17)</f>
        <v/>
      </c>
      <c r="Q17" s="9">
        <f>INDEX(Engine!$FD$6:$FD$67,$S17)</f>
        <v/>
      </c>
      <c r="R17" s="9">
        <f>INDEX(Engine!$FC$6:$FC$67,$S17)</f>
        <v/>
      </c>
      <c r="S17" s="15">
        <f>MATCH(LARGE(Engine!$FE$6:$FE$67,A17),Engine!$FE$6:$FE$67,0)</f>
        <v/>
      </c>
    </row>
    <row r="18">
      <c r="A18" s="15" t="n">
        <v>6</v>
      </c>
      <c r="B18" s="4">
        <f>INDEX(Engine!$A$6:$A$67,$S18)</f>
        <v/>
      </c>
      <c r="C18" s="9">
        <f>INDEX(Engine!$B$6:$B$67,$S18)</f>
        <v/>
      </c>
      <c r="D18" s="15">
        <f>INDEX(Engine!$E$6:$E$67,$S18)</f>
        <v/>
      </c>
      <c r="E18" s="9">
        <f>INDEX(Engine!$FA$6:$FA$67,$S18)</f>
        <v/>
      </c>
      <c r="F18" s="15">
        <f>INDEX(Engine!$AK$6:$AK$67,$S18)</f>
        <v/>
      </c>
      <c r="G18" s="9">
        <f>INDEX(Engine!$C$6:$C$67,$S18)</f>
        <v/>
      </c>
      <c r="H18" s="9">
        <f>INDEX(Engine!$EU$6:$EU$67,$S18)</f>
        <v/>
      </c>
      <c r="I18" s="15">
        <f>INDEX(Engine!$EV$6:$EV$67,$S18)</f>
        <v/>
      </c>
      <c r="J18" s="19">
        <f>INDEX(Engine!$ES$6:$ES$67,$S18)</f>
        <v/>
      </c>
      <c r="K18" s="20">
        <f>INDEX(Engine!$EW$6:$EW$67,$S18)</f>
        <v/>
      </c>
      <c r="L18" s="20">
        <f>INDEX(Engine!$EX$6:$EX$67,$S18)</f>
        <v/>
      </c>
      <c r="M18" s="20">
        <f>INDEX(Engine!$EY$6:$EY$67,$S18)</f>
        <v/>
      </c>
      <c r="N18" s="20">
        <f>INDEX(Engine!$EZ$6:$EZ$67,$S18)</f>
        <v/>
      </c>
      <c r="O18" s="9">
        <f>INDEX(Engine!$FB$6:$FB$67,$S18)</f>
        <v/>
      </c>
      <c r="P18" s="9">
        <f>INDEX(Engine!$AL$6:$AL$67,$S18)</f>
        <v/>
      </c>
      <c r="Q18" s="9">
        <f>INDEX(Engine!$FD$6:$FD$67,$S18)</f>
        <v/>
      </c>
      <c r="R18" s="9">
        <f>INDEX(Engine!$FC$6:$FC$67,$S18)</f>
        <v/>
      </c>
      <c r="S18" s="15">
        <f>MATCH(LARGE(Engine!$FE$6:$FE$67,A18),Engine!$FE$6:$FE$67,0)</f>
        <v/>
      </c>
    </row>
    <row r="19">
      <c r="A19" s="15" t="n">
        <v>7</v>
      </c>
      <c r="B19" s="4">
        <f>INDEX(Engine!$A$6:$A$67,$S19)</f>
        <v/>
      </c>
      <c r="C19" s="9">
        <f>INDEX(Engine!$B$6:$B$67,$S19)</f>
        <v/>
      </c>
      <c r="D19" s="15">
        <f>INDEX(Engine!$E$6:$E$67,$S19)</f>
        <v/>
      </c>
      <c r="E19" s="9">
        <f>INDEX(Engine!$FA$6:$FA$67,$S19)</f>
        <v/>
      </c>
      <c r="F19" s="15">
        <f>INDEX(Engine!$AK$6:$AK$67,$S19)</f>
        <v/>
      </c>
      <c r="G19" s="9">
        <f>INDEX(Engine!$C$6:$C$67,$S19)</f>
        <v/>
      </c>
      <c r="H19" s="9">
        <f>INDEX(Engine!$EU$6:$EU$67,$S19)</f>
        <v/>
      </c>
      <c r="I19" s="15">
        <f>INDEX(Engine!$EV$6:$EV$67,$S19)</f>
        <v/>
      </c>
      <c r="J19" s="19">
        <f>INDEX(Engine!$ES$6:$ES$67,$S19)</f>
        <v/>
      </c>
      <c r="K19" s="20">
        <f>INDEX(Engine!$EW$6:$EW$67,$S19)</f>
        <v/>
      </c>
      <c r="L19" s="20">
        <f>INDEX(Engine!$EX$6:$EX$67,$S19)</f>
        <v/>
      </c>
      <c r="M19" s="20">
        <f>INDEX(Engine!$EY$6:$EY$67,$S19)</f>
        <v/>
      </c>
      <c r="N19" s="20">
        <f>INDEX(Engine!$EZ$6:$EZ$67,$S19)</f>
        <v/>
      </c>
      <c r="O19" s="9">
        <f>INDEX(Engine!$FB$6:$FB$67,$S19)</f>
        <v/>
      </c>
      <c r="P19" s="9">
        <f>INDEX(Engine!$AL$6:$AL$67,$S19)</f>
        <v/>
      </c>
      <c r="Q19" s="9">
        <f>INDEX(Engine!$FD$6:$FD$67,$S19)</f>
        <v/>
      </c>
      <c r="R19" s="9">
        <f>INDEX(Engine!$FC$6:$FC$67,$S19)</f>
        <v/>
      </c>
      <c r="S19" s="15">
        <f>MATCH(LARGE(Engine!$FE$6:$FE$67,A19),Engine!$FE$6:$FE$67,0)</f>
        <v/>
      </c>
    </row>
    <row r="20">
      <c r="A20" s="15" t="n">
        <v>8</v>
      </c>
      <c r="B20" s="4">
        <f>INDEX(Engine!$A$6:$A$67,$S20)</f>
        <v/>
      </c>
      <c r="C20" s="9">
        <f>INDEX(Engine!$B$6:$B$67,$S20)</f>
        <v/>
      </c>
      <c r="D20" s="15">
        <f>INDEX(Engine!$E$6:$E$67,$S20)</f>
        <v/>
      </c>
      <c r="E20" s="9">
        <f>INDEX(Engine!$FA$6:$FA$67,$S20)</f>
        <v/>
      </c>
      <c r="F20" s="15">
        <f>INDEX(Engine!$AK$6:$AK$67,$S20)</f>
        <v/>
      </c>
      <c r="G20" s="9">
        <f>INDEX(Engine!$C$6:$C$67,$S20)</f>
        <v/>
      </c>
      <c r="H20" s="9">
        <f>INDEX(Engine!$EU$6:$EU$67,$S20)</f>
        <v/>
      </c>
      <c r="I20" s="15">
        <f>INDEX(Engine!$EV$6:$EV$67,$S20)</f>
        <v/>
      </c>
      <c r="J20" s="19">
        <f>INDEX(Engine!$ES$6:$ES$67,$S20)</f>
        <v/>
      </c>
      <c r="K20" s="20">
        <f>INDEX(Engine!$EW$6:$EW$67,$S20)</f>
        <v/>
      </c>
      <c r="L20" s="20">
        <f>INDEX(Engine!$EX$6:$EX$67,$S20)</f>
        <v/>
      </c>
      <c r="M20" s="20">
        <f>INDEX(Engine!$EY$6:$EY$67,$S20)</f>
        <v/>
      </c>
      <c r="N20" s="20">
        <f>INDEX(Engine!$EZ$6:$EZ$67,$S20)</f>
        <v/>
      </c>
      <c r="O20" s="9">
        <f>INDEX(Engine!$FB$6:$FB$67,$S20)</f>
        <v/>
      </c>
      <c r="P20" s="9">
        <f>INDEX(Engine!$AL$6:$AL$67,$S20)</f>
        <v/>
      </c>
      <c r="Q20" s="9">
        <f>INDEX(Engine!$FD$6:$FD$67,$S20)</f>
        <v/>
      </c>
      <c r="R20" s="9">
        <f>INDEX(Engine!$FC$6:$FC$67,$S20)</f>
        <v/>
      </c>
      <c r="S20" s="15">
        <f>MATCH(LARGE(Engine!$FE$6:$FE$67,A20),Engine!$FE$6:$FE$67,0)</f>
        <v/>
      </c>
    </row>
    <row r="21">
      <c r="A21" s="15" t="n">
        <v>9</v>
      </c>
      <c r="B21" s="4">
        <f>INDEX(Engine!$A$6:$A$67,$S21)</f>
        <v/>
      </c>
      <c r="C21" s="9">
        <f>INDEX(Engine!$B$6:$B$67,$S21)</f>
        <v/>
      </c>
      <c r="D21" s="15">
        <f>INDEX(Engine!$E$6:$E$67,$S21)</f>
        <v/>
      </c>
      <c r="E21" s="9">
        <f>INDEX(Engine!$FA$6:$FA$67,$S21)</f>
        <v/>
      </c>
      <c r="F21" s="15">
        <f>INDEX(Engine!$AK$6:$AK$67,$S21)</f>
        <v/>
      </c>
      <c r="G21" s="9">
        <f>INDEX(Engine!$C$6:$C$67,$S21)</f>
        <v/>
      </c>
      <c r="H21" s="9">
        <f>INDEX(Engine!$EU$6:$EU$67,$S21)</f>
        <v/>
      </c>
      <c r="I21" s="15">
        <f>INDEX(Engine!$EV$6:$EV$67,$S21)</f>
        <v/>
      </c>
      <c r="J21" s="19">
        <f>INDEX(Engine!$ES$6:$ES$67,$S21)</f>
        <v/>
      </c>
      <c r="K21" s="20">
        <f>INDEX(Engine!$EW$6:$EW$67,$S21)</f>
        <v/>
      </c>
      <c r="L21" s="20">
        <f>INDEX(Engine!$EX$6:$EX$67,$S21)</f>
        <v/>
      </c>
      <c r="M21" s="20">
        <f>INDEX(Engine!$EY$6:$EY$67,$S21)</f>
        <v/>
      </c>
      <c r="N21" s="20">
        <f>INDEX(Engine!$EZ$6:$EZ$67,$S21)</f>
        <v/>
      </c>
      <c r="O21" s="9">
        <f>INDEX(Engine!$FB$6:$FB$67,$S21)</f>
        <v/>
      </c>
      <c r="P21" s="9">
        <f>INDEX(Engine!$AL$6:$AL$67,$S21)</f>
        <v/>
      </c>
      <c r="Q21" s="9">
        <f>INDEX(Engine!$FD$6:$FD$67,$S21)</f>
        <v/>
      </c>
      <c r="R21" s="9">
        <f>INDEX(Engine!$FC$6:$FC$67,$S21)</f>
        <v/>
      </c>
      <c r="S21" s="15">
        <f>MATCH(LARGE(Engine!$FE$6:$FE$67,A21),Engine!$FE$6:$FE$67,0)</f>
        <v/>
      </c>
    </row>
    <row r="22">
      <c r="A22" s="15" t="n">
        <v>10</v>
      </c>
      <c r="B22" s="4">
        <f>INDEX(Engine!$A$6:$A$67,$S22)</f>
        <v/>
      </c>
      <c r="C22" s="9">
        <f>INDEX(Engine!$B$6:$B$67,$S22)</f>
        <v/>
      </c>
      <c r="D22" s="15">
        <f>INDEX(Engine!$E$6:$E$67,$S22)</f>
        <v/>
      </c>
      <c r="E22" s="9">
        <f>INDEX(Engine!$FA$6:$FA$67,$S22)</f>
        <v/>
      </c>
      <c r="F22" s="15">
        <f>INDEX(Engine!$AK$6:$AK$67,$S22)</f>
        <v/>
      </c>
      <c r="G22" s="9">
        <f>INDEX(Engine!$C$6:$C$67,$S22)</f>
        <v/>
      </c>
      <c r="H22" s="9">
        <f>INDEX(Engine!$EU$6:$EU$67,$S22)</f>
        <v/>
      </c>
      <c r="I22" s="15">
        <f>INDEX(Engine!$EV$6:$EV$67,$S22)</f>
        <v/>
      </c>
      <c r="J22" s="19">
        <f>INDEX(Engine!$ES$6:$ES$67,$S22)</f>
        <v/>
      </c>
      <c r="K22" s="20">
        <f>INDEX(Engine!$EW$6:$EW$67,$S22)</f>
        <v/>
      </c>
      <c r="L22" s="20">
        <f>INDEX(Engine!$EX$6:$EX$67,$S22)</f>
        <v/>
      </c>
      <c r="M22" s="20">
        <f>INDEX(Engine!$EY$6:$EY$67,$S22)</f>
        <v/>
      </c>
      <c r="N22" s="20">
        <f>INDEX(Engine!$EZ$6:$EZ$67,$S22)</f>
        <v/>
      </c>
      <c r="O22" s="9">
        <f>INDEX(Engine!$FB$6:$FB$67,$S22)</f>
        <v/>
      </c>
      <c r="P22" s="9">
        <f>INDEX(Engine!$AL$6:$AL$67,$S22)</f>
        <v/>
      </c>
      <c r="Q22" s="9">
        <f>INDEX(Engine!$FD$6:$FD$67,$S22)</f>
        <v/>
      </c>
      <c r="R22" s="9">
        <f>INDEX(Engine!$FC$6:$FC$67,$S22)</f>
        <v/>
      </c>
      <c r="S22" s="15">
        <f>MATCH(LARGE(Engine!$FE$6:$FE$67,A22),Engine!$FE$6:$FE$67,0)</f>
        <v/>
      </c>
    </row>
    <row r="23">
      <c r="A23" s="15" t="n">
        <v>11</v>
      </c>
      <c r="B23" s="4">
        <f>INDEX(Engine!$A$6:$A$67,$S23)</f>
        <v/>
      </c>
      <c r="C23" s="9">
        <f>INDEX(Engine!$B$6:$B$67,$S23)</f>
        <v/>
      </c>
      <c r="D23" s="15">
        <f>INDEX(Engine!$E$6:$E$67,$S23)</f>
        <v/>
      </c>
      <c r="E23" s="9">
        <f>INDEX(Engine!$FA$6:$FA$67,$S23)</f>
        <v/>
      </c>
      <c r="F23" s="15">
        <f>INDEX(Engine!$AK$6:$AK$67,$S23)</f>
        <v/>
      </c>
      <c r="G23" s="9">
        <f>INDEX(Engine!$C$6:$C$67,$S23)</f>
        <v/>
      </c>
      <c r="H23" s="9">
        <f>INDEX(Engine!$EU$6:$EU$67,$S23)</f>
        <v/>
      </c>
      <c r="I23" s="15">
        <f>INDEX(Engine!$EV$6:$EV$67,$S23)</f>
        <v/>
      </c>
      <c r="J23" s="19">
        <f>INDEX(Engine!$ES$6:$ES$67,$S23)</f>
        <v/>
      </c>
      <c r="K23" s="20">
        <f>INDEX(Engine!$EW$6:$EW$67,$S23)</f>
        <v/>
      </c>
      <c r="L23" s="20">
        <f>INDEX(Engine!$EX$6:$EX$67,$S23)</f>
        <v/>
      </c>
      <c r="M23" s="20">
        <f>INDEX(Engine!$EY$6:$EY$67,$S23)</f>
        <v/>
      </c>
      <c r="N23" s="20">
        <f>INDEX(Engine!$EZ$6:$EZ$67,$S23)</f>
        <v/>
      </c>
      <c r="O23" s="9">
        <f>INDEX(Engine!$FB$6:$FB$67,$S23)</f>
        <v/>
      </c>
      <c r="P23" s="9">
        <f>INDEX(Engine!$AL$6:$AL$67,$S23)</f>
        <v/>
      </c>
      <c r="Q23" s="9">
        <f>INDEX(Engine!$FD$6:$FD$67,$S23)</f>
        <v/>
      </c>
      <c r="R23" s="9">
        <f>INDEX(Engine!$FC$6:$FC$67,$S23)</f>
        <v/>
      </c>
      <c r="S23" s="15">
        <f>MATCH(LARGE(Engine!$FE$6:$FE$67,A23),Engine!$FE$6:$FE$67,0)</f>
        <v/>
      </c>
    </row>
    <row r="24">
      <c r="A24" s="15" t="n">
        <v>12</v>
      </c>
      <c r="B24" s="4">
        <f>INDEX(Engine!$A$6:$A$67,$S24)</f>
        <v/>
      </c>
      <c r="C24" s="9">
        <f>INDEX(Engine!$B$6:$B$67,$S24)</f>
        <v/>
      </c>
      <c r="D24" s="15">
        <f>INDEX(Engine!$E$6:$E$67,$S24)</f>
        <v/>
      </c>
      <c r="E24" s="9">
        <f>INDEX(Engine!$FA$6:$FA$67,$S24)</f>
        <v/>
      </c>
      <c r="F24" s="15">
        <f>INDEX(Engine!$AK$6:$AK$67,$S24)</f>
        <v/>
      </c>
      <c r="G24" s="9">
        <f>INDEX(Engine!$C$6:$C$67,$S24)</f>
        <v/>
      </c>
      <c r="H24" s="9">
        <f>INDEX(Engine!$EU$6:$EU$67,$S24)</f>
        <v/>
      </c>
      <c r="I24" s="15">
        <f>INDEX(Engine!$EV$6:$EV$67,$S24)</f>
        <v/>
      </c>
      <c r="J24" s="19">
        <f>INDEX(Engine!$ES$6:$ES$67,$S24)</f>
        <v/>
      </c>
      <c r="K24" s="20">
        <f>INDEX(Engine!$EW$6:$EW$67,$S24)</f>
        <v/>
      </c>
      <c r="L24" s="20">
        <f>INDEX(Engine!$EX$6:$EX$67,$S24)</f>
        <v/>
      </c>
      <c r="M24" s="20">
        <f>INDEX(Engine!$EY$6:$EY$67,$S24)</f>
        <v/>
      </c>
      <c r="N24" s="20">
        <f>INDEX(Engine!$EZ$6:$EZ$67,$S24)</f>
        <v/>
      </c>
      <c r="O24" s="9">
        <f>INDEX(Engine!$FB$6:$FB$67,$S24)</f>
        <v/>
      </c>
      <c r="P24" s="9">
        <f>INDEX(Engine!$AL$6:$AL$67,$S24)</f>
        <v/>
      </c>
      <c r="Q24" s="9">
        <f>INDEX(Engine!$FD$6:$FD$67,$S24)</f>
        <v/>
      </c>
      <c r="R24" s="9">
        <f>INDEX(Engine!$FC$6:$FC$67,$S24)</f>
        <v/>
      </c>
      <c r="S24" s="15">
        <f>MATCH(LARGE(Engine!$FE$6:$FE$67,A24),Engine!$FE$6:$FE$67,0)</f>
        <v/>
      </c>
    </row>
    <row r="25">
      <c r="A25" s="15" t="n">
        <v>13</v>
      </c>
      <c r="B25" s="4">
        <f>INDEX(Engine!$A$6:$A$67,$S25)</f>
        <v/>
      </c>
      <c r="C25" s="9">
        <f>INDEX(Engine!$B$6:$B$67,$S25)</f>
        <v/>
      </c>
      <c r="D25" s="15">
        <f>INDEX(Engine!$E$6:$E$67,$S25)</f>
        <v/>
      </c>
      <c r="E25" s="9">
        <f>INDEX(Engine!$FA$6:$FA$67,$S25)</f>
        <v/>
      </c>
      <c r="F25" s="15">
        <f>INDEX(Engine!$AK$6:$AK$67,$S25)</f>
        <v/>
      </c>
      <c r="G25" s="9">
        <f>INDEX(Engine!$C$6:$C$67,$S25)</f>
        <v/>
      </c>
      <c r="H25" s="9">
        <f>INDEX(Engine!$EU$6:$EU$67,$S25)</f>
        <v/>
      </c>
      <c r="I25" s="15">
        <f>INDEX(Engine!$EV$6:$EV$67,$S25)</f>
        <v/>
      </c>
      <c r="J25" s="19">
        <f>INDEX(Engine!$ES$6:$ES$67,$S25)</f>
        <v/>
      </c>
      <c r="K25" s="20">
        <f>INDEX(Engine!$EW$6:$EW$67,$S25)</f>
        <v/>
      </c>
      <c r="L25" s="20">
        <f>INDEX(Engine!$EX$6:$EX$67,$S25)</f>
        <v/>
      </c>
      <c r="M25" s="20">
        <f>INDEX(Engine!$EY$6:$EY$67,$S25)</f>
        <v/>
      </c>
      <c r="N25" s="20">
        <f>INDEX(Engine!$EZ$6:$EZ$67,$S25)</f>
        <v/>
      </c>
      <c r="O25" s="9">
        <f>INDEX(Engine!$FB$6:$FB$67,$S25)</f>
        <v/>
      </c>
      <c r="P25" s="9">
        <f>INDEX(Engine!$AL$6:$AL$67,$S25)</f>
        <v/>
      </c>
      <c r="Q25" s="9">
        <f>INDEX(Engine!$FD$6:$FD$67,$S25)</f>
        <v/>
      </c>
      <c r="R25" s="9">
        <f>INDEX(Engine!$FC$6:$FC$67,$S25)</f>
        <v/>
      </c>
      <c r="S25" s="15">
        <f>MATCH(LARGE(Engine!$FE$6:$FE$67,A25),Engine!$FE$6:$FE$67,0)</f>
        <v/>
      </c>
    </row>
    <row r="26">
      <c r="A26" s="15" t="n">
        <v>14</v>
      </c>
      <c r="B26" s="4">
        <f>INDEX(Engine!$A$6:$A$67,$S26)</f>
        <v/>
      </c>
      <c r="C26" s="9">
        <f>INDEX(Engine!$B$6:$B$67,$S26)</f>
        <v/>
      </c>
      <c r="D26" s="15">
        <f>INDEX(Engine!$E$6:$E$67,$S26)</f>
        <v/>
      </c>
      <c r="E26" s="9">
        <f>INDEX(Engine!$FA$6:$FA$67,$S26)</f>
        <v/>
      </c>
      <c r="F26" s="15">
        <f>INDEX(Engine!$AK$6:$AK$67,$S26)</f>
        <v/>
      </c>
      <c r="G26" s="9">
        <f>INDEX(Engine!$C$6:$C$67,$S26)</f>
        <v/>
      </c>
      <c r="H26" s="9">
        <f>INDEX(Engine!$EU$6:$EU$67,$S26)</f>
        <v/>
      </c>
      <c r="I26" s="15">
        <f>INDEX(Engine!$EV$6:$EV$67,$S26)</f>
        <v/>
      </c>
      <c r="J26" s="19">
        <f>INDEX(Engine!$ES$6:$ES$67,$S26)</f>
        <v/>
      </c>
      <c r="K26" s="20">
        <f>INDEX(Engine!$EW$6:$EW$67,$S26)</f>
        <v/>
      </c>
      <c r="L26" s="20">
        <f>INDEX(Engine!$EX$6:$EX$67,$S26)</f>
        <v/>
      </c>
      <c r="M26" s="20">
        <f>INDEX(Engine!$EY$6:$EY$67,$S26)</f>
        <v/>
      </c>
      <c r="N26" s="20">
        <f>INDEX(Engine!$EZ$6:$EZ$67,$S26)</f>
        <v/>
      </c>
      <c r="O26" s="9">
        <f>INDEX(Engine!$FB$6:$FB$67,$S26)</f>
        <v/>
      </c>
      <c r="P26" s="9">
        <f>INDEX(Engine!$AL$6:$AL$67,$S26)</f>
        <v/>
      </c>
      <c r="Q26" s="9">
        <f>INDEX(Engine!$FD$6:$FD$67,$S26)</f>
        <v/>
      </c>
      <c r="R26" s="9">
        <f>INDEX(Engine!$FC$6:$FC$67,$S26)</f>
        <v/>
      </c>
      <c r="S26" s="15">
        <f>MATCH(LARGE(Engine!$FE$6:$FE$67,A26),Engine!$FE$6:$FE$67,0)</f>
        <v/>
      </c>
    </row>
    <row r="27">
      <c r="A27" s="15" t="n">
        <v>15</v>
      </c>
      <c r="B27" s="4">
        <f>INDEX(Engine!$A$6:$A$67,$S27)</f>
        <v/>
      </c>
      <c r="C27" s="9">
        <f>INDEX(Engine!$B$6:$B$67,$S27)</f>
        <v/>
      </c>
      <c r="D27" s="15">
        <f>INDEX(Engine!$E$6:$E$67,$S27)</f>
        <v/>
      </c>
      <c r="E27" s="9">
        <f>INDEX(Engine!$FA$6:$FA$67,$S27)</f>
        <v/>
      </c>
      <c r="F27" s="15">
        <f>INDEX(Engine!$AK$6:$AK$67,$S27)</f>
        <v/>
      </c>
      <c r="G27" s="9">
        <f>INDEX(Engine!$C$6:$C$67,$S27)</f>
        <v/>
      </c>
      <c r="H27" s="9">
        <f>INDEX(Engine!$EU$6:$EU$67,$S27)</f>
        <v/>
      </c>
      <c r="I27" s="15">
        <f>INDEX(Engine!$EV$6:$EV$67,$S27)</f>
        <v/>
      </c>
      <c r="J27" s="19">
        <f>INDEX(Engine!$ES$6:$ES$67,$S27)</f>
        <v/>
      </c>
      <c r="K27" s="20">
        <f>INDEX(Engine!$EW$6:$EW$67,$S27)</f>
        <v/>
      </c>
      <c r="L27" s="20">
        <f>INDEX(Engine!$EX$6:$EX$67,$S27)</f>
        <v/>
      </c>
      <c r="M27" s="20">
        <f>INDEX(Engine!$EY$6:$EY$67,$S27)</f>
        <v/>
      </c>
      <c r="N27" s="20">
        <f>INDEX(Engine!$EZ$6:$EZ$67,$S27)</f>
        <v/>
      </c>
      <c r="O27" s="9">
        <f>INDEX(Engine!$FB$6:$FB$67,$S27)</f>
        <v/>
      </c>
      <c r="P27" s="9">
        <f>INDEX(Engine!$AL$6:$AL$67,$S27)</f>
        <v/>
      </c>
      <c r="Q27" s="9">
        <f>INDEX(Engine!$FD$6:$FD$67,$S27)</f>
        <v/>
      </c>
      <c r="R27" s="9">
        <f>INDEX(Engine!$FC$6:$FC$67,$S27)</f>
        <v/>
      </c>
      <c r="S27" s="15">
        <f>MATCH(LARGE(Engine!$FE$6:$FE$67,A27),Engine!$FE$6:$FE$67,0)</f>
        <v/>
      </c>
    </row>
    <row r="28">
      <c r="A28" s="15" t="n">
        <v>16</v>
      </c>
      <c r="B28" s="4">
        <f>INDEX(Engine!$A$6:$A$67,$S28)</f>
        <v/>
      </c>
      <c r="C28" s="9">
        <f>INDEX(Engine!$B$6:$B$67,$S28)</f>
        <v/>
      </c>
      <c r="D28" s="15">
        <f>INDEX(Engine!$E$6:$E$67,$S28)</f>
        <v/>
      </c>
      <c r="E28" s="9">
        <f>INDEX(Engine!$FA$6:$FA$67,$S28)</f>
        <v/>
      </c>
      <c r="F28" s="15">
        <f>INDEX(Engine!$AK$6:$AK$67,$S28)</f>
        <v/>
      </c>
      <c r="G28" s="9">
        <f>INDEX(Engine!$C$6:$C$67,$S28)</f>
        <v/>
      </c>
      <c r="H28" s="9">
        <f>INDEX(Engine!$EU$6:$EU$67,$S28)</f>
        <v/>
      </c>
      <c r="I28" s="15">
        <f>INDEX(Engine!$EV$6:$EV$67,$S28)</f>
        <v/>
      </c>
      <c r="J28" s="19">
        <f>INDEX(Engine!$ES$6:$ES$67,$S28)</f>
        <v/>
      </c>
      <c r="K28" s="20">
        <f>INDEX(Engine!$EW$6:$EW$67,$S28)</f>
        <v/>
      </c>
      <c r="L28" s="20">
        <f>INDEX(Engine!$EX$6:$EX$67,$S28)</f>
        <v/>
      </c>
      <c r="M28" s="20">
        <f>INDEX(Engine!$EY$6:$EY$67,$S28)</f>
        <v/>
      </c>
      <c r="N28" s="20">
        <f>INDEX(Engine!$EZ$6:$EZ$67,$S28)</f>
        <v/>
      </c>
      <c r="O28" s="9">
        <f>INDEX(Engine!$FB$6:$FB$67,$S28)</f>
        <v/>
      </c>
      <c r="P28" s="9">
        <f>INDEX(Engine!$AL$6:$AL$67,$S28)</f>
        <v/>
      </c>
      <c r="Q28" s="9">
        <f>INDEX(Engine!$FD$6:$FD$67,$S28)</f>
        <v/>
      </c>
      <c r="R28" s="9">
        <f>INDEX(Engine!$FC$6:$FC$67,$S28)</f>
        <v/>
      </c>
      <c r="S28" s="15">
        <f>MATCH(LARGE(Engine!$FE$6:$FE$67,A28),Engine!$FE$6:$FE$67,0)</f>
        <v/>
      </c>
    </row>
    <row r="29">
      <c r="A29" s="15" t="n">
        <v>17</v>
      </c>
      <c r="B29" s="4">
        <f>INDEX(Engine!$A$6:$A$67,$S29)</f>
        <v/>
      </c>
      <c r="C29" s="9">
        <f>INDEX(Engine!$B$6:$B$67,$S29)</f>
        <v/>
      </c>
      <c r="D29" s="15">
        <f>INDEX(Engine!$E$6:$E$67,$S29)</f>
        <v/>
      </c>
      <c r="E29" s="9">
        <f>INDEX(Engine!$FA$6:$FA$67,$S29)</f>
        <v/>
      </c>
      <c r="F29" s="15">
        <f>INDEX(Engine!$AK$6:$AK$67,$S29)</f>
        <v/>
      </c>
      <c r="G29" s="9">
        <f>INDEX(Engine!$C$6:$C$67,$S29)</f>
        <v/>
      </c>
      <c r="H29" s="9">
        <f>INDEX(Engine!$EU$6:$EU$67,$S29)</f>
        <v/>
      </c>
      <c r="I29" s="15">
        <f>INDEX(Engine!$EV$6:$EV$67,$S29)</f>
        <v/>
      </c>
      <c r="J29" s="19">
        <f>INDEX(Engine!$ES$6:$ES$67,$S29)</f>
        <v/>
      </c>
      <c r="K29" s="20">
        <f>INDEX(Engine!$EW$6:$EW$67,$S29)</f>
        <v/>
      </c>
      <c r="L29" s="20">
        <f>INDEX(Engine!$EX$6:$EX$67,$S29)</f>
        <v/>
      </c>
      <c r="M29" s="20">
        <f>INDEX(Engine!$EY$6:$EY$67,$S29)</f>
        <v/>
      </c>
      <c r="N29" s="20">
        <f>INDEX(Engine!$EZ$6:$EZ$67,$S29)</f>
        <v/>
      </c>
      <c r="O29" s="9">
        <f>INDEX(Engine!$FB$6:$FB$67,$S29)</f>
        <v/>
      </c>
      <c r="P29" s="9">
        <f>INDEX(Engine!$AL$6:$AL$67,$S29)</f>
        <v/>
      </c>
      <c r="Q29" s="9">
        <f>INDEX(Engine!$FD$6:$FD$67,$S29)</f>
        <v/>
      </c>
      <c r="R29" s="9">
        <f>INDEX(Engine!$FC$6:$FC$67,$S29)</f>
        <v/>
      </c>
      <c r="S29" s="15">
        <f>MATCH(LARGE(Engine!$FE$6:$FE$67,A29),Engine!$FE$6:$FE$67,0)</f>
        <v/>
      </c>
    </row>
    <row r="30">
      <c r="A30" s="15" t="n">
        <v>18</v>
      </c>
      <c r="B30" s="4">
        <f>INDEX(Engine!$A$6:$A$67,$S30)</f>
        <v/>
      </c>
      <c r="C30" s="9">
        <f>INDEX(Engine!$B$6:$B$67,$S30)</f>
        <v/>
      </c>
      <c r="D30" s="15">
        <f>INDEX(Engine!$E$6:$E$67,$S30)</f>
        <v/>
      </c>
      <c r="E30" s="9">
        <f>INDEX(Engine!$FA$6:$FA$67,$S30)</f>
        <v/>
      </c>
      <c r="F30" s="15">
        <f>INDEX(Engine!$AK$6:$AK$67,$S30)</f>
        <v/>
      </c>
      <c r="G30" s="9">
        <f>INDEX(Engine!$C$6:$C$67,$S30)</f>
        <v/>
      </c>
      <c r="H30" s="9">
        <f>INDEX(Engine!$EU$6:$EU$67,$S30)</f>
        <v/>
      </c>
      <c r="I30" s="15">
        <f>INDEX(Engine!$EV$6:$EV$67,$S30)</f>
        <v/>
      </c>
      <c r="J30" s="19">
        <f>INDEX(Engine!$ES$6:$ES$67,$S30)</f>
        <v/>
      </c>
      <c r="K30" s="20">
        <f>INDEX(Engine!$EW$6:$EW$67,$S30)</f>
        <v/>
      </c>
      <c r="L30" s="20">
        <f>INDEX(Engine!$EX$6:$EX$67,$S30)</f>
        <v/>
      </c>
      <c r="M30" s="20">
        <f>INDEX(Engine!$EY$6:$EY$67,$S30)</f>
        <v/>
      </c>
      <c r="N30" s="20">
        <f>INDEX(Engine!$EZ$6:$EZ$67,$S30)</f>
        <v/>
      </c>
      <c r="O30" s="9">
        <f>INDEX(Engine!$FB$6:$FB$67,$S30)</f>
        <v/>
      </c>
      <c r="P30" s="9">
        <f>INDEX(Engine!$AL$6:$AL$67,$S30)</f>
        <v/>
      </c>
      <c r="Q30" s="9">
        <f>INDEX(Engine!$FD$6:$FD$67,$S30)</f>
        <v/>
      </c>
      <c r="R30" s="9">
        <f>INDEX(Engine!$FC$6:$FC$67,$S30)</f>
        <v/>
      </c>
      <c r="S30" s="15">
        <f>MATCH(LARGE(Engine!$FE$6:$FE$67,A30),Engine!$FE$6:$FE$67,0)</f>
        <v/>
      </c>
    </row>
    <row r="31">
      <c r="A31" s="15" t="n">
        <v>19</v>
      </c>
      <c r="B31" s="4">
        <f>INDEX(Engine!$A$6:$A$67,$S31)</f>
        <v/>
      </c>
      <c r="C31" s="9">
        <f>INDEX(Engine!$B$6:$B$67,$S31)</f>
        <v/>
      </c>
      <c r="D31" s="15">
        <f>INDEX(Engine!$E$6:$E$67,$S31)</f>
        <v/>
      </c>
      <c r="E31" s="9">
        <f>INDEX(Engine!$FA$6:$FA$67,$S31)</f>
        <v/>
      </c>
      <c r="F31" s="15">
        <f>INDEX(Engine!$AK$6:$AK$67,$S31)</f>
        <v/>
      </c>
      <c r="G31" s="9">
        <f>INDEX(Engine!$C$6:$C$67,$S31)</f>
        <v/>
      </c>
      <c r="H31" s="9">
        <f>INDEX(Engine!$EU$6:$EU$67,$S31)</f>
        <v/>
      </c>
      <c r="I31" s="15">
        <f>INDEX(Engine!$EV$6:$EV$67,$S31)</f>
        <v/>
      </c>
      <c r="J31" s="19">
        <f>INDEX(Engine!$ES$6:$ES$67,$S31)</f>
        <v/>
      </c>
      <c r="K31" s="20">
        <f>INDEX(Engine!$EW$6:$EW$67,$S31)</f>
        <v/>
      </c>
      <c r="L31" s="20">
        <f>INDEX(Engine!$EX$6:$EX$67,$S31)</f>
        <v/>
      </c>
      <c r="M31" s="20">
        <f>INDEX(Engine!$EY$6:$EY$67,$S31)</f>
        <v/>
      </c>
      <c r="N31" s="20">
        <f>INDEX(Engine!$EZ$6:$EZ$67,$S31)</f>
        <v/>
      </c>
      <c r="O31" s="9">
        <f>INDEX(Engine!$FB$6:$FB$67,$S31)</f>
        <v/>
      </c>
      <c r="P31" s="9">
        <f>INDEX(Engine!$AL$6:$AL$67,$S31)</f>
        <v/>
      </c>
      <c r="Q31" s="9">
        <f>INDEX(Engine!$FD$6:$FD$67,$S31)</f>
        <v/>
      </c>
      <c r="R31" s="9">
        <f>INDEX(Engine!$FC$6:$FC$67,$S31)</f>
        <v/>
      </c>
      <c r="S31" s="15">
        <f>MATCH(LARGE(Engine!$FE$6:$FE$67,A31),Engine!$FE$6:$FE$67,0)</f>
        <v/>
      </c>
    </row>
    <row r="32">
      <c r="A32" s="15" t="n">
        <v>20</v>
      </c>
      <c r="B32" s="4">
        <f>INDEX(Engine!$A$6:$A$67,$S32)</f>
        <v/>
      </c>
      <c r="C32" s="9">
        <f>INDEX(Engine!$B$6:$B$67,$S32)</f>
        <v/>
      </c>
      <c r="D32" s="15">
        <f>INDEX(Engine!$E$6:$E$67,$S32)</f>
        <v/>
      </c>
      <c r="E32" s="9">
        <f>INDEX(Engine!$FA$6:$FA$67,$S32)</f>
        <v/>
      </c>
      <c r="F32" s="15">
        <f>INDEX(Engine!$AK$6:$AK$67,$S32)</f>
        <v/>
      </c>
      <c r="G32" s="9">
        <f>INDEX(Engine!$C$6:$C$67,$S32)</f>
        <v/>
      </c>
      <c r="H32" s="9">
        <f>INDEX(Engine!$EU$6:$EU$67,$S32)</f>
        <v/>
      </c>
      <c r="I32" s="15">
        <f>INDEX(Engine!$EV$6:$EV$67,$S32)</f>
        <v/>
      </c>
      <c r="J32" s="19">
        <f>INDEX(Engine!$ES$6:$ES$67,$S32)</f>
        <v/>
      </c>
      <c r="K32" s="20">
        <f>INDEX(Engine!$EW$6:$EW$67,$S32)</f>
        <v/>
      </c>
      <c r="L32" s="20">
        <f>INDEX(Engine!$EX$6:$EX$67,$S32)</f>
        <v/>
      </c>
      <c r="M32" s="20">
        <f>INDEX(Engine!$EY$6:$EY$67,$S32)</f>
        <v/>
      </c>
      <c r="N32" s="20">
        <f>INDEX(Engine!$EZ$6:$EZ$67,$S32)</f>
        <v/>
      </c>
      <c r="O32" s="9">
        <f>INDEX(Engine!$FB$6:$FB$67,$S32)</f>
        <v/>
      </c>
      <c r="P32" s="9">
        <f>INDEX(Engine!$AL$6:$AL$67,$S32)</f>
        <v/>
      </c>
      <c r="Q32" s="9">
        <f>INDEX(Engine!$FD$6:$FD$67,$S32)</f>
        <v/>
      </c>
      <c r="R32" s="9">
        <f>INDEX(Engine!$FC$6:$FC$67,$S32)</f>
        <v/>
      </c>
      <c r="S32" s="15">
        <f>MATCH(LARGE(Engine!$FE$6:$FE$67,A32),Engine!$FE$6:$FE$67,0)</f>
        <v/>
      </c>
    </row>
    <row r="33">
      <c r="A33" s="15" t="n">
        <v>21</v>
      </c>
      <c r="B33" s="4">
        <f>INDEX(Engine!$A$6:$A$67,$S33)</f>
        <v/>
      </c>
      <c r="C33" s="9">
        <f>INDEX(Engine!$B$6:$B$67,$S33)</f>
        <v/>
      </c>
      <c r="D33" s="15">
        <f>INDEX(Engine!$E$6:$E$67,$S33)</f>
        <v/>
      </c>
      <c r="E33" s="9">
        <f>INDEX(Engine!$FA$6:$FA$67,$S33)</f>
        <v/>
      </c>
      <c r="F33" s="15">
        <f>INDEX(Engine!$AK$6:$AK$67,$S33)</f>
        <v/>
      </c>
      <c r="G33" s="9">
        <f>INDEX(Engine!$C$6:$C$67,$S33)</f>
        <v/>
      </c>
      <c r="H33" s="9">
        <f>INDEX(Engine!$EU$6:$EU$67,$S33)</f>
        <v/>
      </c>
      <c r="I33" s="15">
        <f>INDEX(Engine!$EV$6:$EV$67,$S33)</f>
        <v/>
      </c>
      <c r="J33" s="19">
        <f>INDEX(Engine!$ES$6:$ES$67,$S33)</f>
        <v/>
      </c>
      <c r="K33" s="20">
        <f>INDEX(Engine!$EW$6:$EW$67,$S33)</f>
        <v/>
      </c>
      <c r="L33" s="20">
        <f>INDEX(Engine!$EX$6:$EX$67,$S33)</f>
        <v/>
      </c>
      <c r="M33" s="20">
        <f>INDEX(Engine!$EY$6:$EY$67,$S33)</f>
        <v/>
      </c>
      <c r="N33" s="20">
        <f>INDEX(Engine!$EZ$6:$EZ$67,$S33)</f>
        <v/>
      </c>
      <c r="O33" s="9">
        <f>INDEX(Engine!$FB$6:$FB$67,$S33)</f>
        <v/>
      </c>
      <c r="P33" s="9">
        <f>INDEX(Engine!$AL$6:$AL$67,$S33)</f>
        <v/>
      </c>
      <c r="Q33" s="9">
        <f>INDEX(Engine!$FD$6:$FD$67,$S33)</f>
        <v/>
      </c>
      <c r="R33" s="9">
        <f>INDEX(Engine!$FC$6:$FC$67,$S33)</f>
        <v/>
      </c>
      <c r="S33" s="15">
        <f>MATCH(LARGE(Engine!$FE$6:$FE$67,A33),Engine!$FE$6:$FE$67,0)</f>
        <v/>
      </c>
    </row>
    <row r="34">
      <c r="A34" s="15" t="n">
        <v>22</v>
      </c>
      <c r="B34" s="4">
        <f>INDEX(Engine!$A$6:$A$67,$S34)</f>
        <v/>
      </c>
      <c r="C34" s="9">
        <f>INDEX(Engine!$B$6:$B$67,$S34)</f>
        <v/>
      </c>
      <c r="D34" s="15">
        <f>INDEX(Engine!$E$6:$E$67,$S34)</f>
        <v/>
      </c>
      <c r="E34" s="9">
        <f>INDEX(Engine!$FA$6:$FA$67,$S34)</f>
        <v/>
      </c>
      <c r="F34" s="15">
        <f>INDEX(Engine!$AK$6:$AK$67,$S34)</f>
        <v/>
      </c>
      <c r="G34" s="9">
        <f>INDEX(Engine!$C$6:$C$67,$S34)</f>
        <v/>
      </c>
      <c r="H34" s="9">
        <f>INDEX(Engine!$EU$6:$EU$67,$S34)</f>
        <v/>
      </c>
      <c r="I34" s="15">
        <f>INDEX(Engine!$EV$6:$EV$67,$S34)</f>
        <v/>
      </c>
      <c r="J34" s="19">
        <f>INDEX(Engine!$ES$6:$ES$67,$S34)</f>
        <v/>
      </c>
      <c r="K34" s="20">
        <f>INDEX(Engine!$EW$6:$EW$67,$S34)</f>
        <v/>
      </c>
      <c r="L34" s="20">
        <f>INDEX(Engine!$EX$6:$EX$67,$S34)</f>
        <v/>
      </c>
      <c r="M34" s="20">
        <f>INDEX(Engine!$EY$6:$EY$67,$S34)</f>
        <v/>
      </c>
      <c r="N34" s="20">
        <f>INDEX(Engine!$EZ$6:$EZ$67,$S34)</f>
        <v/>
      </c>
      <c r="O34" s="9">
        <f>INDEX(Engine!$FB$6:$FB$67,$S34)</f>
        <v/>
      </c>
      <c r="P34" s="9">
        <f>INDEX(Engine!$AL$6:$AL$67,$S34)</f>
        <v/>
      </c>
      <c r="Q34" s="9">
        <f>INDEX(Engine!$FD$6:$FD$67,$S34)</f>
        <v/>
      </c>
      <c r="R34" s="9">
        <f>INDEX(Engine!$FC$6:$FC$67,$S34)</f>
        <v/>
      </c>
      <c r="S34" s="15">
        <f>MATCH(LARGE(Engine!$FE$6:$FE$67,A34),Engine!$FE$6:$FE$67,0)</f>
        <v/>
      </c>
    </row>
    <row r="35">
      <c r="A35" s="15" t="n">
        <v>23</v>
      </c>
      <c r="B35" s="4">
        <f>INDEX(Engine!$A$6:$A$67,$S35)</f>
        <v/>
      </c>
      <c r="C35" s="9">
        <f>INDEX(Engine!$B$6:$B$67,$S35)</f>
        <v/>
      </c>
      <c r="D35" s="15">
        <f>INDEX(Engine!$E$6:$E$67,$S35)</f>
        <v/>
      </c>
      <c r="E35" s="9">
        <f>INDEX(Engine!$FA$6:$FA$67,$S35)</f>
        <v/>
      </c>
      <c r="F35" s="15">
        <f>INDEX(Engine!$AK$6:$AK$67,$S35)</f>
        <v/>
      </c>
      <c r="G35" s="9">
        <f>INDEX(Engine!$C$6:$C$67,$S35)</f>
        <v/>
      </c>
      <c r="H35" s="9">
        <f>INDEX(Engine!$EU$6:$EU$67,$S35)</f>
        <v/>
      </c>
      <c r="I35" s="15">
        <f>INDEX(Engine!$EV$6:$EV$67,$S35)</f>
        <v/>
      </c>
      <c r="J35" s="19">
        <f>INDEX(Engine!$ES$6:$ES$67,$S35)</f>
        <v/>
      </c>
      <c r="K35" s="20">
        <f>INDEX(Engine!$EW$6:$EW$67,$S35)</f>
        <v/>
      </c>
      <c r="L35" s="20">
        <f>INDEX(Engine!$EX$6:$EX$67,$S35)</f>
        <v/>
      </c>
      <c r="M35" s="20">
        <f>INDEX(Engine!$EY$6:$EY$67,$S35)</f>
        <v/>
      </c>
      <c r="N35" s="20">
        <f>INDEX(Engine!$EZ$6:$EZ$67,$S35)</f>
        <v/>
      </c>
      <c r="O35" s="9">
        <f>INDEX(Engine!$FB$6:$FB$67,$S35)</f>
        <v/>
      </c>
      <c r="P35" s="9">
        <f>INDEX(Engine!$AL$6:$AL$67,$S35)</f>
        <v/>
      </c>
      <c r="Q35" s="9">
        <f>INDEX(Engine!$FD$6:$FD$67,$S35)</f>
        <v/>
      </c>
      <c r="R35" s="9">
        <f>INDEX(Engine!$FC$6:$FC$67,$S35)</f>
        <v/>
      </c>
      <c r="S35" s="15">
        <f>MATCH(LARGE(Engine!$FE$6:$FE$67,A35),Engine!$FE$6:$FE$67,0)</f>
        <v/>
      </c>
    </row>
    <row r="36">
      <c r="A36" s="15" t="n">
        <v>24</v>
      </c>
      <c r="B36" s="4">
        <f>INDEX(Engine!$A$6:$A$67,$S36)</f>
        <v/>
      </c>
      <c r="C36" s="9">
        <f>INDEX(Engine!$B$6:$B$67,$S36)</f>
        <v/>
      </c>
      <c r="D36" s="15">
        <f>INDEX(Engine!$E$6:$E$67,$S36)</f>
        <v/>
      </c>
      <c r="E36" s="9">
        <f>INDEX(Engine!$FA$6:$FA$67,$S36)</f>
        <v/>
      </c>
      <c r="F36" s="15">
        <f>INDEX(Engine!$AK$6:$AK$67,$S36)</f>
        <v/>
      </c>
      <c r="G36" s="9">
        <f>INDEX(Engine!$C$6:$C$67,$S36)</f>
        <v/>
      </c>
      <c r="H36" s="9">
        <f>INDEX(Engine!$EU$6:$EU$67,$S36)</f>
        <v/>
      </c>
      <c r="I36" s="15">
        <f>INDEX(Engine!$EV$6:$EV$67,$S36)</f>
        <v/>
      </c>
      <c r="J36" s="19">
        <f>INDEX(Engine!$ES$6:$ES$67,$S36)</f>
        <v/>
      </c>
      <c r="K36" s="20">
        <f>INDEX(Engine!$EW$6:$EW$67,$S36)</f>
        <v/>
      </c>
      <c r="L36" s="20">
        <f>INDEX(Engine!$EX$6:$EX$67,$S36)</f>
        <v/>
      </c>
      <c r="M36" s="20">
        <f>INDEX(Engine!$EY$6:$EY$67,$S36)</f>
        <v/>
      </c>
      <c r="N36" s="20">
        <f>INDEX(Engine!$EZ$6:$EZ$67,$S36)</f>
        <v/>
      </c>
      <c r="O36" s="9">
        <f>INDEX(Engine!$FB$6:$FB$67,$S36)</f>
        <v/>
      </c>
      <c r="P36" s="9">
        <f>INDEX(Engine!$AL$6:$AL$67,$S36)</f>
        <v/>
      </c>
      <c r="Q36" s="9">
        <f>INDEX(Engine!$FD$6:$FD$67,$S36)</f>
        <v/>
      </c>
      <c r="R36" s="9">
        <f>INDEX(Engine!$FC$6:$FC$67,$S36)</f>
        <v/>
      </c>
      <c r="S36" s="15">
        <f>MATCH(LARGE(Engine!$FE$6:$FE$67,A36),Engine!$FE$6:$FE$67,0)</f>
        <v/>
      </c>
    </row>
    <row r="37">
      <c r="A37" s="15" t="n">
        <v>25</v>
      </c>
      <c r="B37" s="4">
        <f>INDEX(Engine!$A$6:$A$67,$S37)</f>
        <v/>
      </c>
      <c r="C37" s="9">
        <f>INDEX(Engine!$B$6:$B$67,$S37)</f>
        <v/>
      </c>
      <c r="D37" s="15">
        <f>INDEX(Engine!$E$6:$E$67,$S37)</f>
        <v/>
      </c>
      <c r="E37" s="9">
        <f>INDEX(Engine!$FA$6:$FA$67,$S37)</f>
        <v/>
      </c>
      <c r="F37" s="15">
        <f>INDEX(Engine!$AK$6:$AK$67,$S37)</f>
        <v/>
      </c>
      <c r="G37" s="9">
        <f>INDEX(Engine!$C$6:$C$67,$S37)</f>
        <v/>
      </c>
      <c r="H37" s="9">
        <f>INDEX(Engine!$EU$6:$EU$67,$S37)</f>
        <v/>
      </c>
      <c r="I37" s="15">
        <f>INDEX(Engine!$EV$6:$EV$67,$S37)</f>
        <v/>
      </c>
      <c r="J37" s="19">
        <f>INDEX(Engine!$ES$6:$ES$67,$S37)</f>
        <v/>
      </c>
      <c r="K37" s="20">
        <f>INDEX(Engine!$EW$6:$EW$67,$S37)</f>
        <v/>
      </c>
      <c r="L37" s="20">
        <f>INDEX(Engine!$EX$6:$EX$67,$S37)</f>
        <v/>
      </c>
      <c r="M37" s="20">
        <f>INDEX(Engine!$EY$6:$EY$67,$S37)</f>
        <v/>
      </c>
      <c r="N37" s="20">
        <f>INDEX(Engine!$EZ$6:$EZ$67,$S37)</f>
        <v/>
      </c>
      <c r="O37" s="9">
        <f>INDEX(Engine!$FB$6:$FB$67,$S37)</f>
        <v/>
      </c>
      <c r="P37" s="9">
        <f>INDEX(Engine!$AL$6:$AL$67,$S37)</f>
        <v/>
      </c>
      <c r="Q37" s="9">
        <f>INDEX(Engine!$FD$6:$FD$67,$S37)</f>
        <v/>
      </c>
      <c r="R37" s="9">
        <f>INDEX(Engine!$FC$6:$FC$67,$S37)</f>
        <v/>
      </c>
      <c r="S37" s="15">
        <f>MATCH(LARGE(Engine!$FE$6:$FE$67,A37),Engine!$FE$6:$FE$67,0)</f>
        <v/>
      </c>
    </row>
    <row r="38">
      <c r="A38" s="15" t="n">
        <v>26</v>
      </c>
      <c r="B38" s="4">
        <f>INDEX(Engine!$A$6:$A$67,$S38)</f>
        <v/>
      </c>
      <c r="C38" s="9">
        <f>INDEX(Engine!$B$6:$B$67,$S38)</f>
        <v/>
      </c>
      <c r="D38" s="15">
        <f>INDEX(Engine!$E$6:$E$67,$S38)</f>
        <v/>
      </c>
      <c r="E38" s="9">
        <f>INDEX(Engine!$FA$6:$FA$67,$S38)</f>
        <v/>
      </c>
      <c r="F38" s="15">
        <f>INDEX(Engine!$AK$6:$AK$67,$S38)</f>
        <v/>
      </c>
      <c r="G38" s="9">
        <f>INDEX(Engine!$C$6:$C$67,$S38)</f>
        <v/>
      </c>
      <c r="H38" s="9">
        <f>INDEX(Engine!$EU$6:$EU$67,$S38)</f>
        <v/>
      </c>
      <c r="I38" s="15">
        <f>INDEX(Engine!$EV$6:$EV$67,$S38)</f>
        <v/>
      </c>
      <c r="J38" s="19">
        <f>INDEX(Engine!$ES$6:$ES$67,$S38)</f>
        <v/>
      </c>
      <c r="K38" s="20">
        <f>INDEX(Engine!$EW$6:$EW$67,$S38)</f>
        <v/>
      </c>
      <c r="L38" s="20">
        <f>INDEX(Engine!$EX$6:$EX$67,$S38)</f>
        <v/>
      </c>
      <c r="M38" s="20">
        <f>INDEX(Engine!$EY$6:$EY$67,$S38)</f>
        <v/>
      </c>
      <c r="N38" s="20">
        <f>INDEX(Engine!$EZ$6:$EZ$67,$S38)</f>
        <v/>
      </c>
      <c r="O38" s="9">
        <f>INDEX(Engine!$FB$6:$FB$67,$S38)</f>
        <v/>
      </c>
      <c r="P38" s="9">
        <f>INDEX(Engine!$AL$6:$AL$67,$S38)</f>
        <v/>
      </c>
      <c r="Q38" s="9">
        <f>INDEX(Engine!$FD$6:$FD$67,$S38)</f>
        <v/>
      </c>
      <c r="R38" s="9">
        <f>INDEX(Engine!$FC$6:$FC$67,$S38)</f>
        <v/>
      </c>
      <c r="S38" s="15">
        <f>MATCH(LARGE(Engine!$FE$6:$FE$67,A38),Engine!$FE$6:$FE$67,0)</f>
        <v/>
      </c>
    </row>
    <row r="39">
      <c r="A39" s="15" t="n">
        <v>27</v>
      </c>
      <c r="B39" s="4">
        <f>INDEX(Engine!$A$6:$A$67,$S39)</f>
        <v/>
      </c>
      <c r="C39" s="9">
        <f>INDEX(Engine!$B$6:$B$67,$S39)</f>
        <v/>
      </c>
      <c r="D39" s="15">
        <f>INDEX(Engine!$E$6:$E$67,$S39)</f>
        <v/>
      </c>
      <c r="E39" s="9">
        <f>INDEX(Engine!$FA$6:$FA$67,$S39)</f>
        <v/>
      </c>
      <c r="F39" s="15">
        <f>INDEX(Engine!$AK$6:$AK$67,$S39)</f>
        <v/>
      </c>
      <c r="G39" s="9">
        <f>INDEX(Engine!$C$6:$C$67,$S39)</f>
        <v/>
      </c>
      <c r="H39" s="9">
        <f>INDEX(Engine!$EU$6:$EU$67,$S39)</f>
        <v/>
      </c>
      <c r="I39" s="15">
        <f>INDEX(Engine!$EV$6:$EV$67,$S39)</f>
        <v/>
      </c>
      <c r="J39" s="19">
        <f>INDEX(Engine!$ES$6:$ES$67,$S39)</f>
        <v/>
      </c>
      <c r="K39" s="20">
        <f>INDEX(Engine!$EW$6:$EW$67,$S39)</f>
        <v/>
      </c>
      <c r="L39" s="20">
        <f>INDEX(Engine!$EX$6:$EX$67,$S39)</f>
        <v/>
      </c>
      <c r="M39" s="20">
        <f>INDEX(Engine!$EY$6:$EY$67,$S39)</f>
        <v/>
      </c>
      <c r="N39" s="20">
        <f>INDEX(Engine!$EZ$6:$EZ$67,$S39)</f>
        <v/>
      </c>
      <c r="O39" s="9">
        <f>INDEX(Engine!$FB$6:$FB$67,$S39)</f>
        <v/>
      </c>
      <c r="P39" s="9">
        <f>INDEX(Engine!$AL$6:$AL$67,$S39)</f>
        <v/>
      </c>
      <c r="Q39" s="9">
        <f>INDEX(Engine!$FD$6:$FD$67,$S39)</f>
        <v/>
      </c>
      <c r="R39" s="9">
        <f>INDEX(Engine!$FC$6:$FC$67,$S39)</f>
        <v/>
      </c>
      <c r="S39" s="15">
        <f>MATCH(LARGE(Engine!$FE$6:$FE$67,A39),Engine!$FE$6:$FE$67,0)</f>
        <v/>
      </c>
    </row>
    <row r="40">
      <c r="A40" s="15" t="n">
        <v>28</v>
      </c>
      <c r="B40" s="4">
        <f>INDEX(Engine!$A$6:$A$67,$S40)</f>
        <v/>
      </c>
      <c r="C40" s="9">
        <f>INDEX(Engine!$B$6:$B$67,$S40)</f>
        <v/>
      </c>
      <c r="D40" s="15">
        <f>INDEX(Engine!$E$6:$E$67,$S40)</f>
        <v/>
      </c>
      <c r="E40" s="9">
        <f>INDEX(Engine!$FA$6:$FA$67,$S40)</f>
        <v/>
      </c>
      <c r="F40" s="15">
        <f>INDEX(Engine!$AK$6:$AK$67,$S40)</f>
        <v/>
      </c>
      <c r="G40" s="9">
        <f>INDEX(Engine!$C$6:$C$67,$S40)</f>
        <v/>
      </c>
      <c r="H40" s="9">
        <f>INDEX(Engine!$EU$6:$EU$67,$S40)</f>
        <v/>
      </c>
      <c r="I40" s="15">
        <f>INDEX(Engine!$EV$6:$EV$67,$S40)</f>
        <v/>
      </c>
      <c r="J40" s="19">
        <f>INDEX(Engine!$ES$6:$ES$67,$S40)</f>
        <v/>
      </c>
      <c r="K40" s="20">
        <f>INDEX(Engine!$EW$6:$EW$67,$S40)</f>
        <v/>
      </c>
      <c r="L40" s="20">
        <f>INDEX(Engine!$EX$6:$EX$67,$S40)</f>
        <v/>
      </c>
      <c r="M40" s="20">
        <f>INDEX(Engine!$EY$6:$EY$67,$S40)</f>
        <v/>
      </c>
      <c r="N40" s="20">
        <f>INDEX(Engine!$EZ$6:$EZ$67,$S40)</f>
        <v/>
      </c>
      <c r="O40" s="9">
        <f>INDEX(Engine!$FB$6:$FB$67,$S40)</f>
        <v/>
      </c>
      <c r="P40" s="9">
        <f>INDEX(Engine!$AL$6:$AL$67,$S40)</f>
        <v/>
      </c>
      <c r="Q40" s="9">
        <f>INDEX(Engine!$FD$6:$FD$67,$S40)</f>
        <v/>
      </c>
      <c r="R40" s="9">
        <f>INDEX(Engine!$FC$6:$FC$67,$S40)</f>
        <v/>
      </c>
      <c r="S40" s="15">
        <f>MATCH(LARGE(Engine!$FE$6:$FE$67,A40),Engine!$FE$6:$FE$67,0)</f>
        <v/>
      </c>
    </row>
    <row r="41">
      <c r="A41" s="15" t="n">
        <v>29</v>
      </c>
      <c r="B41" s="4">
        <f>INDEX(Engine!$A$6:$A$67,$S41)</f>
        <v/>
      </c>
      <c r="C41" s="9">
        <f>INDEX(Engine!$B$6:$B$67,$S41)</f>
        <v/>
      </c>
      <c r="D41" s="15">
        <f>INDEX(Engine!$E$6:$E$67,$S41)</f>
        <v/>
      </c>
      <c r="E41" s="9">
        <f>INDEX(Engine!$FA$6:$FA$67,$S41)</f>
        <v/>
      </c>
      <c r="F41" s="15">
        <f>INDEX(Engine!$AK$6:$AK$67,$S41)</f>
        <v/>
      </c>
      <c r="G41" s="9">
        <f>INDEX(Engine!$C$6:$C$67,$S41)</f>
        <v/>
      </c>
      <c r="H41" s="9">
        <f>INDEX(Engine!$EU$6:$EU$67,$S41)</f>
        <v/>
      </c>
      <c r="I41" s="15">
        <f>INDEX(Engine!$EV$6:$EV$67,$S41)</f>
        <v/>
      </c>
      <c r="J41" s="19">
        <f>INDEX(Engine!$ES$6:$ES$67,$S41)</f>
        <v/>
      </c>
      <c r="K41" s="20">
        <f>INDEX(Engine!$EW$6:$EW$67,$S41)</f>
        <v/>
      </c>
      <c r="L41" s="20">
        <f>INDEX(Engine!$EX$6:$EX$67,$S41)</f>
        <v/>
      </c>
      <c r="M41" s="20">
        <f>INDEX(Engine!$EY$6:$EY$67,$S41)</f>
        <v/>
      </c>
      <c r="N41" s="20">
        <f>INDEX(Engine!$EZ$6:$EZ$67,$S41)</f>
        <v/>
      </c>
      <c r="O41" s="9">
        <f>INDEX(Engine!$FB$6:$FB$67,$S41)</f>
        <v/>
      </c>
      <c r="P41" s="9">
        <f>INDEX(Engine!$AL$6:$AL$67,$S41)</f>
        <v/>
      </c>
      <c r="Q41" s="9">
        <f>INDEX(Engine!$FD$6:$FD$67,$S41)</f>
        <v/>
      </c>
      <c r="R41" s="9">
        <f>INDEX(Engine!$FC$6:$FC$67,$S41)</f>
        <v/>
      </c>
      <c r="S41" s="15">
        <f>MATCH(LARGE(Engine!$FE$6:$FE$67,A41),Engine!$FE$6:$FE$67,0)</f>
        <v/>
      </c>
    </row>
    <row r="42">
      <c r="A42" s="15" t="n">
        <v>30</v>
      </c>
      <c r="B42" s="4">
        <f>INDEX(Engine!$A$6:$A$67,$S42)</f>
        <v/>
      </c>
      <c r="C42" s="9">
        <f>INDEX(Engine!$B$6:$B$67,$S42)</f>
        <v/>
      </c>
      <c r="D42" s="15">
        <f>INDEX(Engine!$E$6:$E$67,$S42)</f>
        <v/>
      </c>
      <c r="E42" s="9">
        <f>INDEX(Engine!$FA$6:$FA$67,$S42)</f>
        <v/>
      </c>
      <c r="F42" s="15">
        <f>INDEX(Engine!$AK$6:$AK$67,$S42)</f>
        <v/>
      </c>
      <c r="G42" s="9">
        <f>INDEX(Engine!$C$6:$C$67,$S42)</f>
        <v/>
      </c>
      <c r="H42" s="9">
        <f>INDEX(Engine!$EU$6:$EU$67,$S42)</f>
        <v/>
      </c>
      <c r="I42" s="15">
        <f>INDEX(Engine!$EV$6:$EV$67,$S42)</f>
        <v/>
      </c>
      <c r="J42" s="19">
        <f>INDEX(Engine!$ES$6:$ES$67,$S42)</f>
        <v/>
      </c>
      <c r="K42" s="20">
        <f>INDEX(Engine!$EW$6:$EW$67,$S42)</f>
        <v/>
      </c>
      <c r="L42" s="20">
        <f>INDEX(Engine!$EX$6:$EX$67,$S42)</f>
        <v/>
      </c>
      <c r="M42" s="20">
        <f>INDEX(Engine!$EY$6:$EY$67,$S42)</f>
        <v/>
      </c>
      <c r="N42" s="20">
        <f>INDEX(Engine!$EZ$6:$EZ$67,$S42)</f>
        <v/>
      </c>
      <c r="O42" s="9">
        <f>INDEX(Engine!$FB$6:$FB$67,$S42)</f>
        <v/>
      </c>
      <c r="P42" s="9">
        <f>INDEX(Engine!$AL$6:$AL$67,$S42)</f>
        <v/>
      </c>
      <c r="Q42" s="9">
        <f>INDEX(Engine!$FD$6:$FD$67,$S42)</f>
        <v/>
      </c>
      <c r="R42" s="9">
        <f>INDEX(Engine!$FC$6:$FC$67,$S42)</f>
        <v/>
      </c>
      <c r="S42" s="15">
        <f>MATCH(LARGE(Engine!$FE$6:$FE$67,A42),Engine!$FE$6:$FE$67,0)</f>
        <v/>
      </c>
    </row>
    <row r="43">
      <c r="A43" s="15" t="n">
        <v>31</v>
      </c>
      <c r="B43" s="4">
        <f>INDEX(Engine!$A$6:$A$67,$S43)</f>
        <v/>
      </c>
      <c r="C43" s="9">
        <f>INDEX(Engine!$B$6:$B$67,$S43)</f>
        <v/>
      </c>
      <c r="D43" s="15">
        <f>INDEX(Engine!$E$6:$E$67,$S43)</f>
        <v/>
      </c>
      <c r="E43" s="9">
        <f>INDEX(Engine!$FA$6:$FA$67,$S43)</f>
        <v/>
      </c>
      <c r="F43" s="15">
        <f>INDEX(Engine!$AK$6:$AK$67,$S43)</f>
        <v/>
      </c>
      <c r="G43" s="9">
        <f>INDEX(Engine!$C$6:$C$67,$S43)</f>
        <v/>
      </c>
      <c r="H43" s="9">
        <f>INDEX(Engine!$EU$6:$EU$67,$S43)</f>
        <v/>
      </c>
      <c r="I43" s="15">
        <f>INDEX(Engine!$EV$6:$EV$67,$S43)</f>
        <v/>
      </c>
      <c r="J43" s="19">
        <f>INDEX(Engine!$ES$6:$ES$67,$S43)</f>
        <v/>
      </c>
      <c r="K43" s="20">
        <f>INDEX(Engine!$EW$6:$EW$67,$S43)</f>
        <v/>
      </c>
      <c r="L43" s="20">
        <f>INDEX(Engine!$EX$6:$EX$67,$S43)</f>
        <v/>
      </c>
      <c r="M43" s="20">
        <f>INDEX(Engine!$EY$6:$EY$67,$S43)</f>
        <v/>
      </c>
      <c r="N43" s="20">
        <f>INDEX(Engine!$EZ$6:$EZ$67,$S43)</f>
        <v/>
      </c>
      <c r="O43" s="9">
        <f>INDEX(Engine!$FB$6:$FB$67,$S43)</f>
        <v/>
      </c>
      <c r="P43" s="9">
        <f>INDEX(Engine!$AL$6:$AL$67,$S43)</f>
        <v/>
      </c>
      <c r="Q43" s="9">
        <f>INDEX(Engine!$FD$6:$FD$67,$S43)</f>
        <v/>
      </c>
      <c r="R43" s="9">
        <f>INDEX(Engine!$FC$6:$FC$67,$S43)</f>
        <v/>
      </c>
      <c r="S43" s="15">
        <f>MATCH(LARGE(Engine!$FE$6:$FE$67,A43),Engine!$FE$6:$FE$67,0)</f>
        <v/>
      </c>
    </row>
    <row r="44">
      <c r="A44" s="15" t="n">
        <v>32</v>
      </c>
      <c r="B44" s="4">
        <f>INDEX(Engine!$A$6:$A$67,$S44)</f>
        <v/>
      </c>
      <c r="C44" s="9">
        <f>INDEX(Engine!$B$6:$B$67,$S44)</f>
        <v/>
      </c>
      <c r="D44" s="15">
        <f>INDEX(Engine!$E$6:$E$67,$S44)</f>
        <v/>
      </c>
      <c r="E44" s="9">
        <f>INDEX(Engine!$FA$6:$FA$67,$S44)</f>
        <v/>
      </c>
      <c r="F44" s="15">
        <f>INDEX(Engine!$AK$6:$AK$67,$S44)</f>
        <v/>
      </c>
      <c r="G44" s="9">
        <f>INDEX(Engine!$C$6:$C$67,$S44)</f>
        <v/>
      </c>
      <c r="H44" s="9">
        <f>INDEX(Engine!$EU$6:$EU$67,$S44)</f>
        <v/>
      </c>
      <c r="I44" s="15">
        <f>INDEX(Engine!$EV$6:$EV$67,$S44)</f>
        <v/>
      </c>
      <c r="J44" s="19">
        <f>INDEX(Engine!$ES$6:$ES$67,$S44)</f>
        <v/>
      </c>
      <c r="K44" s="20">
        <f>INDEX(Engine!$EW$6:$EW$67,$S44)</f>
        <v/>
      </c>
      <c r="L44" s="20">
        <f>INDEX(Engine!$EX$6:$EX$67,$S44)</f>
        <v/>
      </c>
      <c r="M44" s="20">
        <f>INDEX(Engine!$EY$6:$EY$67,$S44)</f>
        <v/>
      </c>
      <c r="N44" s="20">
        <f>INDEX(Engine!$EZ$6:$EZ$67,$S44)</f>
        <v/>
      </c>
      <c r="O44" s="9">
        <f>INDEX(Engine!$FB$6:$FB$67,$S44)</f>
        <v/>
      </c>
      <c r="P44" s="9">
        <f>INDEX(Engine!$AL$6:$AL$67,$S44)</f>
        <v/>
      </c>
      <c r="Q44" s="9">
        <f>INDEX(Engine!$FD$6:$FD$67,$S44)</f>
        <v/>
      </c>
      <c r="R44" s="9">
        <f>INDEX(Engine!$FC$6:$FC$67,$S44)</f>
        <v/>
      </c>
      <c r="S44" s="15">
        <f>MATCH(LARGE(Engine!$FE$6:$FE$67,A44),Engine!$FE$6:$FE$67,0)</f>
        <v/>
      </c>
    </row>
    <row r="45">
      <c r="A45" s="15" t="n">
        <v>33</v>
      </c>
      <c r="B45" s="4">
        <f>INDEX(Engine!$A$6:$A$67,$S45)</f>
        <v/>
      </c>
      <c r="C45" s="9">
        <f>INDEX(Engine!$B$6:$B$67,$S45)</f>
        <v/>
      </c>
      <c r="D45" s="15">
        <f>INDEX(Engine!$E$6:$E$67,$S45)</f>
        <v/>
      </c>
      <c r="E45" s="9">
        <f>INDEX(Engine!$FA$6:$FA$67,$S45)</f>
        <v/>
      </c>
      <c r="F45" s="15">
        <f>INDEX(Engine!$AK$6:$AK$67,$S45)</f>
        <v/>
      </c>
      <c r="G45" s="9">
        <f>INDEX(Engine!$C$6:$C$67,$S45)</f>
        <v/>
      </c>
      <c r="H45" s="9">
        <f>INDEX(Engine!$EU$6:$EU$67,$S45)</f>
        <v/>
      </c>
      <c r="I45" s="15">
        <f>INDEX(Engine!$EV$6:$EV$67,$S45)</f>
        <v/>
      </c>
      <c r="J45" s="19">
        <f>INDEX(Engine!$ES$6:$ES$67,$S45)</f>
        <v/>
      </c>
      <c r="K45" s="20">
        <f>INDEX(Engine!$EW$6:$EW$67,$S45)</f>
        <v/>
      </c>
      <c r="L45" s="20">
        <f>INDEX(Engine!$EX$6:$EX$67,$S45)</f>
        <v/>
      </c>
      <c r="M45" s="20">
        <f>INDEX(Engine!$EY$6:$EY$67,$S45)</f>
        <v/>
      </c>
      <c r="N45" s="20">
        <f>INDEX(Engine!$EZ$6:$EZ$67,$S45)</f>
        <v/>
      </c>
      <c r="O45" s="9">
        <f>INDEX(Engine!$FB$6:$FB$67,$S45)</f>
        <v/>
      </c>
      <c r="P45" s="9">
        <f>INDEX(Engine!$AL$6:$AL$67,$S45)</f>
        <v/>
      </c>
      <c r="Q45" s="9">
        <f>INDEX(Engine!$FD$6:$FD$67,$S45)</f>
        <v/>
      </c>
      <c r="R45" s="9">
        <f>INDEX(Engine!$FC$6:$FC$67,$S45)</f>
        <v/>
      </c>
      <c r="S45" s="15">
        <f>MATCH(LARGE(Engine!$FE$6:$FE$67,A45),Engine!$FE$6:$FE$67,0)</f>
        <v/>
      </c>
    </row>
    <row r="46">
      <c r="A46" s="15" t="n">
        <v>34</v>
      </c>
      <c r="B46" s="4">
        <f>INDEX(Engine!$A$6:$A$67,$S46)</f>
        <v/>
      </c>
      <c r="C46" s="9">
        <f>INDEX(Engine!$B$6:$B$67,$S46)</f>
        <v/>
      </c>
      <c r="D46" s="15">
        <f>INDEX(Engine!$E$6:$E$67,$S46)</f>
        <v/>
      </c>
      <c r="E46" s="9">
        <f>INDEX(Engine!$FA$6:$FA$67,$S46)</f>
        <v/>
      </c>
      <c r="F46" s="15">
        <f>INDEX(Engine!$AK$6:$AK$67,$S46)</f>
        <v/>
      </c>
      <c r="G46" s="9">
        <f>INDEX(Engine!$C$6:$C$67,$S46)</f>
        <v/>
      </c>
      <c r="H46" s="9">
        <f>INDEX(Engine!$EU$6:$EU$67,$S46)</f>
        <v/>
      </c>
      <c r="I46" s="15">
        <f>INDEX(Engine!$EV$6:$EV$67,$S46)</f>
        <v/>
      </c>
      <c r="J46" s="19">
        <f>INDEX(Engine!$ES$6:$ES$67,$S46)</f>
        <v/>
      </c>
      <c r="K46" s="20">
        <f>INDEX(Engine!$EW$6:$EW$67,$S46)</f>
        <v/>
      </c>
      <c r="L46" s="20">
        <f>INDEX(Engine!$EX$6:$EX$67,$S46)</f>
        <v/>
      </c>
      <c r="M46" s="20">
        <f>INDEX(Engine!$EY$6:$EY$67,$S46)</f>
        <v/>
      </c>
      <c r="N46" s="20">
        <f>INDEX(Engine!$EZ$6:$EZ$67,$S46)</f>
        <v/>
      </c>
      <c r="O46" s="9">
        <f>INDEX(Engine!$FB$6:$FB$67,$S46)</f>
        <v/>
      </c>
      <c r="P46" s="9">
        <f>INDEX(Engine!$AL$6:$AL$67,$S46)</f>
        <v/>
      </c>
      <c r="Q46" s="9">
        <f>INDEX(Engine!$FD$6:$FD$67,$S46)</f>
        <v/>
      </c>
      <c r="R46" s="9">
        <f>INDEX(Engine!$FC$6:$FC$67,$S46)</f>
        <v/>
      </c>
      <c r="S46" s="15">
        <f>MATCH(LARGE(Engine!$FE$6:$FE$67,A46),Engine!$FE$6:$FE$67,0)</f>
        <v/>
      </c>
    </row>
    <row r="47">
      <c r="A47" s="15" t="n">
        <v>35</v>
      </c>
      <c r="B47" s="4">
        <f>INDEX(Engine!$A$6:$A$67,$S47)</f>
        <v/>
      </c>
      <c r="C47" s="9">
        <f>INDEX(Engine!$B$6:$B$67,$S47)</f>
        <v/>
      </c>
      <c r="D47" s="15">
        <f>INDEX(Engine!$E$6:$E$67,$S47)</f>
        <v/>
      </c>
      <c r="E47" s="9">
        <f>INDEX(Engine!$FA$6:$FA$67,$S47)</f>
        <v/>
      </c>
      <c r="F47" s="15">
        <f>INDEX(Engine!$AK$6:$AK$67,$S47)</f>
        <v/>
      </c>
      <c r="G47" s="9">
        <f>INDEX(Engine!$C$6:$C$67,$S47)</f>
        <v/>
      </c>
      <c r="H47" s="9">
        <f>INDEX(Engine!$EU$6:$EU$67,$S47)</f>
        <v/>
      </c>
      <c r="I47" s="15">
        <f>INDEX(Engine!$EV$6:$EV$67,$S47)</f>
        <v/>
      </c>
      <c r="J47" s="19">
        <f>INDEX(Engine!$ES$6:$ES$67,$S47)</f>
        <v/>
      </c>
      <c r="K47" s="20">
        <f>INDEX(Engine!$EW$6:$EW$67,$S47)</f>
        <v/>
      </c>
      <c r="L47" s="20">
        <f>INDEX(Engine!$EX$6:$EX$67,$S47)</f>
        <v/>
      </c>
      <c r="M47" s="20">
        <f>INDEX(Engine!$EY$6:$EY$67,$S47)</f>
        <v/>
      </c>
      <c r="N47" s="20">
        <f>INDEX(Engine!$EZ$6:$EZ$67,$S47)</f>
        <v/>
      </c>
      <c r="O47" s="9">
        <f>INDEX(Engine!$FB$6:$FB$67,$S47)</f>
        <v/>
      </c>
      <c r="P47" s="9">
        <f>INDEX(Engine!$AL$6:$AL$67,$S47)</f>
        <v/>
      </c>
      <c r="Q47" s="9">
        <f>INDEX(Engine!$FD$6:$FD$67,$S47)</f>
        <v/>
      </c>
      <c r="R47" s="9">
        <f>INDEX(Engine!$FC$6:$FC$67,$S47)</f>
        <v/>
      </c>
      <c r="S47" s="15">
        <f>MATCH(LARGE(Engine!$FE$6:$FE$67,A47),Engine!$FE$6:$FE$67,0)</f>
        <v/>
      </c>
    </row>
    <row r="48">
      <c r="A48" s="15" t="n">
        <v>36</v>
      </c>
      <c r="B48" s="4">
        <f>INDEX(Engine!$A$6:$A$67,$S48)</f>
        <v/>
      </c>
      <c r="C48" s="9">
        <f>INDEX(Engine!$B$6:$B$67,$S48)</f>
        <v/>
      </c>
      <c r="D48" s="15">
        <f>INDEX(Engine!$E$6:$E$67,$S48)</f>
        <v/>
      </c>
      <c r="E48" s="9">
        <f>INDEX(Engine!$FA$6:$FA$67,$S48)</f>
        <v/>
      </c>
      <c r="F48" s="15">
        <f>INDEX(Engine!$AK$6:$AK$67,$S48)</f>
        <v/>
      </c>
      <c r="G48" s="9">
        <f>INDEX(Engine!$C$6:$C$67,$S48)</f>
        <v/>
      </c>
      <c r="H48" s="9">
        <f>INDEX(Engine!$EU$6:$EU$67,$S48)</f>
        <v/>
      </c>
      <c r="I48" s="15">
        <f>INDEX(Engine!$EV$6:$EV$67,$S48)</f>
        <v/>
      </c>
      <c r="J48" s="19">
        <f>INDEX(Engine!$ES$6:$ES$67,$S48)</f>
        <v/>
      </c>
      <c r="K48" s="20">
        <f>INDEX(Engine!$EW$6:$EW$67,$S48)</f>
        <v/>
      </c>
      <c r="L48" s="20">
        <f>INDEX(Engine!$EX$6:$EX$67,$S48)</f>
        <v/>
      </c>
      <c r="M48" s="20">
        <f>INDEX(Engine!$EY$6:$EY$67,$S48)</f>
        <v/>
      </c>
      <c r="N48" s="20">
        <f>INDEX(Engine!$EZ$6:$EZ$67,$S48)</f>
        <v/>
      </c>
      <c r="O48" s="9">
        <f>INDEX(Engine!$FB$6:$FB$67,$S48)</f>
        <v/>
      </c>
      <c r="P48" s="9">
        <f>INDEX(Engine!$AL$6:$AL$67,$S48)</f>
        <v/>
      </c>
      <c r="Q48" s="9">
        <f>INDEX(Engine!$FD$6:$FD$67,$S48)</f>
        <v/>
      </c>
      <c r="R48" s="9">
        <f>INDEX(Engine!$FC$6:$FC$67,$S48)</f>
        <v/>
      </c>
      <c r="S48" s="15">
        <f>MATCH(LARGE(Engine!$FE$6:$FE$67,A48),Engine!$FE$6:$FE$67,0)</f>
        <v/>
      </c>
    </row>
    <row r="49">
      <c r="A49" s="15" t="n">
        <v>37</v>
      </c>
      <c r="B49" s="4">
        <f>INDEX(Engine!$A$6:$A$67,$S49)</f>
        <v/>
      </c>
      <c r="C49" s="9">
        <f>INDEX(Engine!$B$6:$B$67,$S49)</f>
        <v/>
      </c>
      <c r="D49" s="15">
        <f>INDEX(Engine!$E$6:$E$67,$S49)</f>
        <v/>
      </c>
      <c r="E49" s="9">
        <f>INDEX(Engine!$FA$6:$FA$67,$S49)</f>
        <v/>
      </c>
      <c r="F49" s="15">
        <f>INDEX(Engine!$AK$6:$AK$67,$S49)</f>
        <v/>
      </c>
      <c r="G49" s="9">
        <f>INDEX(Engine!$C$6:$C$67,$S49)</f>
        <v/>
      </c>
      <c r="H49" s="9">
        <f>INDEX(Engine!$EU$6:$EU$67,$S49)</f>
        <v/>
      </c>
      <c r="I49" s="15">
        <f>INDEX(Engine!$EV$6:$EV$67,$S49)</f>
        <v/>
      </c>
      <c r="J49" s="19">
        <f>INDEX(Engine!$ES$6:$ES$67,$S49)</f>
        <v/>
      </c>
      <c r="K49" s="20">
        <f>INDEX(Engine!$EW$6:$EW$67,$S49)</f>
        <v/>
      </c>
      <c r="L49" s="20">
        <f>INDEX(Engine!$EX$6:$EX$67,$S49)</f>
        <v/>
      </c>
      <c r="M49" s="20">
        <f>INDEX(Engine!$EY$6:$EY$67,$S49)</f>
        <v/>
      </c>
      <c r="N49" s="20">
        <f>INDEX(Engine!$EZ$6:$EZ$67,$S49)</f>
        <v/>
      </c>
      <c r="O49" s="9">
        <f>INDEX(Engine!$FB$6:$FB$67,$S49)</f>
        <v/>
      </c>
      <c r="P49" s="9">
        <f>INDEX(Engine!$AL$6:$AL$67,$S49)</f>
        <v/>
      </c>
      <c r="Q49" s="9">
        <f>INDEX(Engine!$FD$6:$FD$67,$S49)</f>
        <v/>
      </c>
      <c r="R49" s="9">
        <f>INDEX(Engine!$FC$6:$FC$67,$S49)</f>
        <v/>
      </c>
      <c r="S49" s="15">
        <f>MATCH(LARGE(Engine!$FE$6:$FE$67,A49),Engine!$FE$6:$FE$67,0)</f>
        <v/>
      </c>
    </row>
    <row r="50">
      <c r="A50" s="15" t="n">
        <v>38</v>
      </c>
      <c r="B50" s="4">
        <f>INDEX(Engine!$A$6:$A$67,$S50)</f>
        <v/>
      </c>
      <c r="C50" s="9">
        <f>INDEX(Engine!$B$6:$B$67,$S50)</f>
        <v/>
      </c>
      <c r="D50" s="15">
        <f>INDEX(Engine!$E$6:$E$67,$S50)</f>
        <v/>
      </c>
      <c r="E50" s="9">
        <f>INDEX(Engine!$FA$6:$FA$67,$S50)</f>
        <v/>
      </c>
      <c r="F50" s="15">
        <f>INDEX(Engine!$AK$6:$AK$67,$S50)</f>
        <v/>
      </c>
      <c r="G50" s="9">
        <f>INDEX(Engine!$C$6:$C$67,$S50)</f>
        <v/>
      </c>
      <c r="H50" s="9">
        <f>INDEX(Engine!$EU$6:$EU$67,$S50)</f>
        <v/>
      </c>
      <c r="I50" s="15">
        <f>INDEX(Engine!$EV$6:$EV$67,$S50)</f>
        <v/>
      </c>
      <c r="J50" s="19">
        <f>INDEX(Engine!$ES$6:$ES$67,$S50)</f>
        <v/>
      </c>
      <c r="K50" s="20">
        <f>INDEX(Engine!$EW$6:$EW$67,$S50)</f>
        <v/>
      </c>
      <c r="L50" s="20">
        <f>INDEX(Engine!$EX$6:$EX$67,$S50)</f>
        <v/>
      </c>
      <c r="M50" s="20">
        <f>INDEX(Engine!$EY$6:$EY$67,$S50)</f>
        <v/>
      </c>
      <c r="N50" s="20">
        <f>INDEX(Engine!$EZ$6:$EZ$67,$S50)</f>
        <v/>
      </c>
      <c r="O50" s="9">
        <f>INDEX(Engine!$FB$6:$FB$67,$S50)</f>
        <v/>
      </c>
      <c r="P50" s="9">
        <f>INDEX(Engine!$AL$6:$AL$67,$S50)</f>
        <v/>
      </c>
      <c r="Q50" s="9">
        <f>INDEX(Engine!$FD$6:$FD$67,$S50)</f>
        <v/>
      </c>
      <c r="R50" s="9">
        <f>INDEX(Engine!$FC$6:$FC$67,$S50)</f>
        <v/>
      </c>
      <c r="S50" s="15">
        <f>MATCH(LARGE(Engine!$FE$6:$FE$67,A50),Engine!$FE$6:$FE$67,0)</f>
        <v/>
      </c>
    </row>
    <row r="51">
      <c r="A51" s="15" t="n">
        <v>39</v>
      </c>
      <c r="B51" s="4">
        <f>INDEX(Engine!$A$6:$A$67,$S51)</f>
        <v/>
      </c>
      <c r="C51" s="9">
        <f>INDEX(Engine!$B$6:$B$67,$S51)</f>
        <v/>
      </c>
      <c r="D51" s="15">
        <f>INDEX(Engine!$E$6:$E$67,$S51)</f>
        <v/>
      </c>
      <c r="E51" s="9">
        <f>INDEX(Engine!$FA$6:$FA$67,$S51)</f>
        <v/>
      </c>
      <c r="F51" s="15">
        <f>INDEX(Engine!$AK$6:$AK$67,$S51)</f>
        <v/>
      </c>
      <c r="G51" s="9">
        <f>INDEX(Engine!$C$6:$C$67,$S51)</f>
        <v/>
      </c>
      <c r="H51" s="9">
        <f>INDEX(Engine!$EU$6:$EU$67,$S51)</f>
        <v/>
      </c>
      <c r="I51" s="15">
        <f>INDEX(Engine!$EV$6:$EV$67,$S51)</f>
        <v/>
      </c>
      <c r="J51" s="19">
        <f>INDEX(Engine!$ES$6:$ES$67,$S51)</f>
        <v/>
      </c>
      <c r="K51" s="20">
        <f>INDEX(Engine!$EW$6:$EW$67,$S51)</f>
        <v/>
      </c>
      <c r="L51" s="20">
        <f>INDEX(Engine!$EX$6:$EX$67,$S51)</f>
        <v/>
      </c>
      <c r="M51" s="20">
        <f>INDEX(Engine!$EY$6:$EY$67,$S51)</f>
        <v/>
      </c>
      <c r="N51" s="20">
        <f>INDEX(Engine!$EZ$6:$EZ$67,$S51)</f>
        <v/>
      </c>
      <c r="O51" s="9">
        <f>INDEX(Engine!$FB$6:$FB$67,$S51)</f>
        <v/>
      </c>
      <c r="P51" s="9">
        <f>INDEX(Engine!$AL$6:$AL$67,$S51)</f>
        <v/>
      </c>
      <c r="Q51" s="9">
        <f>INDEX(Engine!$FD$6:$FD$67,$S51)</f>
        <v/>
      </c>
      <c r="R51" s="9">
        <f>INDEX(Engine!$FC$6:$FC$67,$S51)</f>
        <v/>
      </c>
      <c r="S51" s="15">
        <f>MATCH(LARGE(Engine!$FE$6:$FE$67,A51),Engine!$FE$6:$FE$67,0)</f>
        <v/>
      </c>
    </row>
    <row r="52">
      <c r="A52" s="15" t="n">
        <v>40</v>
      </c>
      <c r="B52" s="4">
        <f>INDEX(Engine!$A$6:$A$67,$S52)</f>
        <v/>
      </c>
      <c r="C52" s="9">
        <f>INDEX(Engine!$B$6:$B$67,$S52)</f>
        <v/>
      </c>
      <c r="D52" s="15">
        <f>INDEX(Engine!$E$6:$E$67,$S52)</f>
        <v/>
      </c>
      <c r="E52" s="9">
        <f>INDEX(Engine!$FA$6:$FA$67,$S52)</f>
        <v/>
      </c>
      <c r="F52" s="15">
        <f>INDEX(Engine!$AK$6:$AK$67,$S52)</f>
        <v/>
      </c>
      <c r="G52" s="9">
        <f>INDEX(Engine!$C$6:$C$67,$S52)</f>
        <v/>
      </c>
      <c r="H52" s="9">
        <f>INDEX(Engine!$EU$6:$EU$67,$S52)</f>
        <v/>
      </c>
      <c r="I52" s="15">
        <f>INDEX(Engine!$EV$6:$EV$67,$S52)</f>
        <v/>
      </c>
      <c r="J52" s="19">
        <f>INDEX(Engine!$ES$6:$ES$67,$S52)</f>
        <v/>
      </c>
      <c r="K52" s="20">
        <f>INDEX(Engine!$EW$6:$EW$67,$S52)</f>
        <v/>
      </c>
      <c r="L52" s="20">
        <f>INDEX(Engine!$EX$6:$EX$67,$S52)</f>
        <v/>
      </c>
      <c r="M52" s="20">
        <f>INDEX(Engine!$EY$6:$EY$67,$S52)</f>
        <v/>
      </c>
      <c r="N52" s="20">
        <f>INDEX(Engine!$EZ$6:$EZ$67,$S52)</f>
        <v/>
      </c>
      <c r="O52" s="9">
        <f>INDEX(Engine!$FB$6:$FB$67,$S52)</f>
        <v/>
      </c>
      <c r="P52" s="9">
        <f>INDEX(Engine!$AL$6:$AL$67,$S52)</f>
        <v/>
      </c>
      <c r="Q52" s="9">
        <f>INDEX(Engine!$FD$6:$FD$67,$S52)</f>
        <v/>
      </c>
      <c r="R52" s="9">
        <f>INDEX(Engine!$FC$6:$FC$67,$S52)</f>
        <v/>
      </c>
      <c r="S52" s="15">
        <f>MATCH(LARGE(Engine!$FE$6:$FE$67,A52),Engine!$FE$6:$FE$67,0)</f>
        <v/>
      </c>
    </row>
    <row r="53">
      <c r="A53" s="15" t="n">
        <v>41</v>
      </c>
      <c r="B53" s="4">
        <f>INDEX(Engine!$A$6:$A$67,$S53)</f>
        <v/>
      </c>
      <c r="C53" s="9">
        <f>INDEX(Engine!$B$6:$B$67,$S53)</f>
        <v/>
      </c>
      <c r="D53" s="15">
        <f>INDEX(Engine!$E$6:$E$67,$S53)</f>
        <v/>
      </c>
      <c r="E53" s="9">
        <f>INDEX(Engine!$FA$6:$FA$67,$S53)</f>
        <v/>
      </c>
      <c r="F53" s="15">
        <f>INDEX(Engine!$AK$6:$AK$67,$S53)</f>
        <v/>
      </c>
      <c r="G53" s="9">
        <f>INDEX(Engine!$C$6:$C$67,$S53)</f>
        <v/>
      </c>
      <c r="H53" s="9">
        <f>INDEX(Engine!$EU$6:$EU$67,$S53)</f>
        <v/>
      </c>
      <c r="I53" s="15">
        <f>INDEX(Engine!$EV$6:$EV$67,$S53)</f>
        <v/>
      </c>
      <c r="J53" s="19">
        <f>INDEX(Engine!$ES$6:$ES$67,$S53)</f>
        <v/>
      </c>
      <c r="K53" s="20">
        <f>INDEX(Engine!$EW$6:$EW$67,$S53)</f>
        <v/>
      </c>
      <c r="L53" s="20">
        <f>INDEX(Engine!$EX$6:$EX$67,$S53)</f>
        <v/>
      </c>
      <c r="M53" s="20">
        <f>INDEX(Engine!$EY$6:$EY$67,$S53)</f>
        <v/>
      </c>
      <c r="N53" s="20">
        <f>INDEX(Engine!$EZ$6:$EZ$67,$S53)</f>
        <v/>
      </c>
      <c r="O53" s="9">
        <f>INDEX(Engine!$FB$6:$FB$67,$S53)</f>
        <v/>
      </c>
      <c r="P53" s="9">
        <f>INDEX(Engine!$AL$6:$AL$67,$S53)</f>
        <v/>
      </c>
      <c r="Q53" s="9">
        <f>INDEX(Engine!$FD$6:$FD$67,$S53)</f>
        <v/>
      </c>
      <c r="R53" s="9">
        <f>INDEX(Engine!$FC$6:$FC$67,$S53)</f>
        <v/>
      </c>
      <c r="S53" s="15">
        <f>MATCH(LARGE(Engine!$FE$6:$FE$67,A53),Engine!$FE$6:$FE$67,0)</f>
        <v/>
      </c>
    </row>
    <row r="54">
      <c r="A54" s="15" t="n">
        <v>42</v>
      </c>
      <c r="B54" s="4">
        <f>INDEX(Engine!$A$6:$A$67,$S54)</f>
        <v/>
      </c>
      <c r="C54" s="9">
        <f>INDEX(Engine!$B$6:$B$67,$S54)</f>
        <v/>
      </c>
      <c r="D54" s="15">
        <f>INDEX(Engine!$E$6:$E$67,$S54)</f>
        <v/>
      </c>
      <c r="E54" s="9">
        <f>INDEX(Engine!$FA$6:$FA$67,$S54)</f>
        <v/>
      </c>
      <c r="F54" s="15">
        <f>INDEX(Engine!$AK$6:$AK$67,$S54)</f>
        <v/>
      </c>
      <c r="G54" s="9">
        <f>INDEX(Engine!$C$6:$C$67,$S54)</f>
        <v/>
      </c>
      <c r="H54" s="9">
        <f>INDEX(Engine!$EU$6:$EU$67,$S54)</f>
        <v/>
      </c>
      <c r="I54" s="15">
        <f>INDEX(Engine!$EV$6:$EV$67,$S54)</f>
        <v/>
      </c>
      <c r="J54" s="19">
        <f>INDEX(Engine!$ES$6:$ES$67,$S54)</f>
        <v/>
      </c>
      <c r="K54" s="20">
        <f>INDEX(Engine!$EW$6:$EW$67,$S54)</f>
        <v/>
      </c>
      <c r="L54" s="20">
        <f>INDEX(Engine!$EX$6:$EX$67,$S54)</f>
        <v/>
      </c>
      <c r="M54" s="20">
        <f>INDEX(Engine!$EY$6:$EY$67,$S54)</f>
        <v/>
      </c>
      <c r="N54" s="20">
        <f>INDEX(Engine!$EZ$6:$EZ$67,$S54)</f>
        <v/>
      </c>
      <c r="O54" s="9">
        <f>INDEX(Engine!$FB$6:$FB$67,$S54)</f>
        <v/>
      </c>
      <c r="P54" s="9">
        <f>INDEX(Engine!$AL$6:$AL$67,$S54)</f>
        <v/>
      </c>
      <c r="Q54" s="9">
        <f>INDEX(Engine!$FD$6:$FD$67,$S54)</f>
        <v/>
      </c>
      <c r="R54" s="9">
        <f>INDEX(Engine!$FC$6:$FC$67,$S54)</f>
        <v/>
      </c>
      <c r="S54" s="15">
        <f>MATCH(LARGE(Engine!$FE$6:$FE$67,A54),Engine!$FE$6:$FE$67,0)</f>
        <v/>
      </c>
    </row>
    <row r="55">
      <c r="A55" s="15" t="n">
        <v>43</v>
      </c>
      <c r="B55" s="4">
        <f>INDEX(Engine!$A$6:$A$67,$S55)</f>
        <v/>
      </c>
      <c r="C55" s="9">
        <f>INDEX(Engine!$B$6:$B$67,$S55)</f>
        <v/>
      </c>
      <c r="D55" s="15">
        <f>INDEX(Engine!$E$6:$E$67,$S55)</f>
        <v/>
      </c>
      <c r="E55" s="9">
        <f>INDEX(Engine!$FA$6:$FA$67,$S55)</f>
        <v/>
      </c>
      <c r="F55" s="15">
        <f>INDEX(Engine!$AK$6:$AK$67,$S55)</f>
        <v/>
      </c>
      <c r="G55" s="9">
        <f>INDEX(Engine!$C$6:$C$67,$S55)</f>
        <v/>
      </c>
      <c r="H55" s="9">
        <f>INDEX(Engine!$EU$6:$EU$67,$S55)</f>
        <v/>
      </c>
      <c r="I55" s="15">
        <f>INDEX(Engine!$EV$6:$EV$67,$S55)</f>
        <v/>
      </c>
      <c r="J55" s="19">
        <f>INDEX(Engine!$ES$6:$ES$67,$S55)</f>
        <v/>
      </c>
      <c r="K55" s="20">
        <f>INDEX(Engine!$EW$6:$EW$67,$S55)</f>
        <v/>
      </c>
      <c r="L55" s="20">
        <f>INDEX(Engine!$EX$6:$EX$67,$S55)</f>
        <v/>
      </c>
      <c r="M55" s="20">
        <f>INDEX(Engine!$EY$6:$EY$67,$S55)</f>
        <v/>
      </c>
      <c r="N55" s="20">
        <f>INDEX(Engine!$EZ$6:$EZ$67,$S55)</f>
        <v/>
      </c>
      <c r="O55" s="9">
        <f>INDEX(Engine!$FB$6:$FB$67,$S55)</f>
        <v/>
      </c>
      <c r="P55" s="9">
        <f>INDEX(Engine!$AL$6:$AL$67,$S55)</f>
        <v/>
      </c>
      <c r="Q55" s="9">
        <f>INDEX(Engine!$FD$6:$FD$67,$S55)</f>
        <v/>
      </c>
      <c r="R55" s="9">
        <f>INDEX(Engine!$FC$6:$FC$67,$S55)</f>
        <v/>
      </c>
      <c r="S55" s="15">
        <f>MATCH(LARGE(Engine!$FE$6:$FE$67,A55),Engine!$FE$6:$FE$67,0)</f>
        <v/>
      </c>
    </row>
    <row r="56">
      <c r="A56" s="15" t="n">
        <v>44</v>
      </c>
      <c r="B56" s="4">
        <f>INDEX(Engine!$A$6:$A$67,$S56)</f>
        <v/>
      </c>
      <c r="C56" s="9">
        <f>INDEX(Engine!$B$6:$B$67,$S56)</f>
        <v/>
      </c>
      <c r="D56" s="15">
        <f>INDEX(Engine!$E$6:$E$67,$S56)</f>
        <v/>
      </c>
      <c r="E56" s="9">
        <f>INDEX(Engine!$FA$6:$FA$67,$S56)</f>
        <v/>
      </c>
      <c r="F56" s="15">
        <f>INDEX(Engine!$AK$6:$AK$67,$S56)</f>
        <v/>
      </c>
      <c r="G56" s="9">
        <f>INDEX(Engine!$C$6:$C$67,$S56)</f>
        <v/>
      </c>
      <c r="H56" s="9">
        <f>INDEX(Engine!$EU$6:$EU$67,$S56)</f>
        <v/>
      </c>
      <c r="I56" s="15">
        <f>INDEX(Engine!$EV$6:$EV$67,$S56)</f>
        <v/>
      </c>
      <c r="J56" s="19">
        <f>INDEX(Engine!$ES$6:$ES$67,$S56)</f>
        <v/>
      </c>
      <c r="K56" s="20">
        <f>INDEX(Engine!$EW$6:$EW$67,$S56)</f>
        <v/>
      </c>
      <c r="L56" s="20">
        <f>INDEX(Engine!$EX$6:$EX$67,$S56)</f>
        <v/>
      </c>
      <c r="M56" s="20">
        <f>INDEX(Engine!$EY$6:$EY$67,$S56)</f>
        <v/>
      </c>
      <c r="N56" s="20">
        <f>INDEX(Engine!$EZ$6:$EZ$67,$S56)</f>
        <v/>
      </c>
      <c r="O56" s="9">
        <f>INDEX(Engine!$FB$6:$FB$67,$S56)</f>
        <v/>
      </c>
      <c r="P56" s="9">
        <f>INDEX(Engine!$AL$6:$AL$67,$S56)</f>
        <v/>
      </c>
      <c r="Q56" s="9">
        <f>INDEX(Engine!$FD$6:$FD$67,$S56)</f>
        <v/>
      </c>
      <c r="R56" s="9">
        <f>INDEX(Engine!$FC$6:$FC$67,$S56)</f>
        <v/>
      </c>
      <c r="S56" s="15">
        <f>MATCH(LARGE(Engine!$FE$6:$FE$67,A56),Engine!$FE$6:$FE$67,0)</f>
        <v/>
      </c>
    </row>
    <row r="57">
      <c r="A57" s="15" t="n">
        <v>45</v>
      </c>
      <c r="B57" s="4">
        <f>INDEX(Engine!$A$6:$A$67,$S57)</f>
        <v/>
      </c>
      <c r="C57" s="9">
        <f>INDEX(Engine!$B$6:$B$67,$S57)</f>
        <v/>
      </c>
      <c r="D57" s="15">
        <f>INDEX(Engine!$E$6:$E$67,$S57)</f>
        <v/>
      </c>
      <c r="E57" s="9">
        <f>INDEX(Engine!$FA$6:$FA$67,$S57)</f>
        <v/>
      </c>
      <c r="F57" s="15">
        <f>INDEX(Engine!$AK$6:$AK$67,$S57)</f>
        <v/>
      </c>
      <c r="G57" s="9">
        <f>INDEX(Engine!$C$6:$C$67,$S57)</f>
        <v/>
      </c>
      <c r="H57" s="9">
        <f>INDEX(Engine!$EU$6:$EU$67,$S57)</f>
        <v/>
      </c>
      <c r="I57" s="15">
        <f>INDEX(Engine!$EV$6:$EV$67,$S57)</f>
        <v/>
      </c>
      <c r="J57" s="19">
        <f>INDEX(Engine!$ES$6:$ES$67,$S57)</f>
        <v/>
      </c>
      <c r="K57" s="20">
        <f>INDEX(Engine!$EW$6:$EW$67,$S57)</f>
        <v/>
      </c>
      <c r="L57" s="20">
        <f>INDEX(Engine!$EX$6:$EX$67,$S57)</f>
        <v/>
      </c>
      <c r="M57" s="20">
        <f>INDEX(Engine!$EY$6:$EY$67,$S57)</f>
        <v/>
      </c>
      <c r="N57" s="20">
        <f>INDEX(Engine!$EZ$6:$EZ$67,$S57)</f>
        <v/>
      </c>
      <c r="O57" s="9">
        <f>INDEX(Engine!$FB$6:$FB$67,$S57)</f>
        <v/>
      </c>
      <c r="P57" s="9">
        <f>INDEX(Engine!$AL$6:$AL$67,$S57)</f>
        <v/>
      </c>
      <c r="Q57" s="9">
        <f>INDEX(Engine!$FD$6:$FD$67,$S57)</f>
        <v/>
      </c>
      <c r="R57" s="9">
        <f>INDEX(Engine!$FC$6:$FC$67,$S57)</f>
        <v/>
      </c>
      <c r="S57" s="15">
        <f>MATCH(LARGE(Engine!$FE$6:$FE$67,A57),Engine!$FE$6:$FE$67,0)</f>
        <v/>
      </c>
    </row>
    <row r="58">
      <c r="A58" s="15" t="n">
        <v>46</v>
      </c>
      <c r="B58" s="4">
        <f>INDEX(Engine!$A$6:$A$67,$S58)</f>
        <v/>
      </c>
      <c r="C58" s="9">
        <f>INDEX(Engine!$B$6:$B$67,$S58)</f>
        <v/>
      </c>
      <c r="D58" s="15">
        <f>INDEX(Engine!$E$6:$E$67,$S58)</f>
        <v/>
      </c>
      <c r="E58" s="9">
        <f>INDEX(Engine!$FA$6:$FA$67,$S58)</f>
        <v/>
      </c>
      <c r="F58" s="15">
        <f>INDEX(Engine!$AK$6:$AK$67,$S58)</f>
        <v/>
      </c>
      <c r="G58" s="9">
        <f>INDEX(Engine!$C$6:$C$67,$S58)</f>
        <v/>
      </c>
      <c r="H58" s="9">
        <f>INDEX(Engine!$EU$6:$EU$67,$S58)</f>
        <v/>
      </c>
      <c r="I58" s="15">
        <f>INDEX(Engine!$EV$6:$EV$67,$S58)</f>
        <v/>
      </c>
      <c r="J58" s="19">
        <f>INDEX(Engine!$ES$6:$ES$67,$S58)</f>
        <v/>
      </c>
      <c r="K58" s="20">
        <f>INDEX(Engine!$EW$6:$EW$67,$S58)</f>
        <v/>
      </c>
      <c r="L58" s="20">
        <f>INDEX(Engine!$EX$6:$EX$67,$S58)</f>
        <v/>
      </c>
      <c r="M58" s="20">
        <f>INDEX(Engine!$EY$6:$EY$67,$S58)</f>
        <v/>
      </c>
      <c r="N58" s="20">
        <f>INDEX(Engine!$EZ$6:$EZ$67,$S58)</f>
        <v/>
      </c>
      <c r="O58" s="9">
        <f>INDEX(Engine!$FB$6:$FB$67,$S58)</f>
        <v/>
      </c>
      <c r="P58" s="9">
        <f>INDEX(Engine!$AL$6:$AL$67,$S58)</f>
        <v/>
      </c>
      <c r="Q58" s="9">
        <f>INDEX(Engine!$FD$6:$FD$67,$S58)</f>
        <v/>
      </c>
      <c r="R58" s="9">
        <f>INDEX(Engine!$FC$6:$FC$67,$S58)</f>
        <v/>
      </c>
      <c r="S58" s="15">
        <f>MATCH(LARGE(Engine!$FE$6:$FE$67,A58),Engine!$FE$6:$FE$67,0)</f>
        <v/>
      </c>
    </row>
    <row r="59">
      <c r="A59" s="15" t="n">
        <v>47</v>
      </c>
      <c r="B59" s="4">
        <f>INDEX(Engine!$A$6:$A$67,$S59)</f>
        <v/>
      </c>
      <c r="C59" s="9">
        <f>INDEX(Engine!$B$6:$B$67,$S59)</f>
        <v/>
      </c>
      <c r="D59" s="15">
        <f>INDEX(Engine!$E$6:$E$67,$S59)</f>
        <v/>
      </c>
      <c r="E59" s="9">
        <f>INDEX(Engine!$FA$6:$FA$67,$S59)</f>
        <v/>
      </c>
      <c r="F59" s="15">
        <f>INDEX(Engine!$AK$6:$AK$67,$S59)</f>
        <v/>
      </c>
      <c r="G59" s="9">
        <f>INDEX(Engine!$C$6:$C$67,$S59)</f>
        <v/>
      </c>
      <c r="H59" s="9">
        <f>INDEX(Engine!$EU$6:$EU$67,$S59)</f>
        <v/>
      </c>
      <c r="I59" s="15">
        <f>INDEX(Engine!$EV$6:$EV$67,$S59)</f>
        <v/>
      </c>
      <c r="J59" s="19">
        <f>INDEX(Engine!$ES$6:$ES$67,$S59)</f>
        <v/>
      </c>
      <c r="K59" s="20">
        <f>INDEX(Engine!$EW$6:$EW$67,$S59)</f>
        <v/>
      </c>
      <c r="L59" s="20">
        <f>INDEX(Engine!$EX$6:$EX$67,$S59)</f>
        <v/>
      </c>
      <c r="M59" s="20">
        <f>INDEX(Engine!$EY$6:$EY$67,$S59)</f>
        <v/>
      </c>
      <c r="N59" s="20">
        <f>INDEX(Engine!$EZ$6:$EZ$67,$S59)</f>
        <v/>
      </c>
      <c r="O59" s="9">
        <f>INDEX(Engine!$FB$6:$FB$67,$S59)</f>
        <v/>
      </c>
      <c r="P59" s="9">
        <f>INDEX(Engine!$AL$6:$AL$67,$S59)</f>
        <v/>
      </c>
      <c r="Q59" s="9">
        <f>INDEX(Engine!$FD$6:$FD$67,$S59)</f>
        <v/>
      </c>
      <c r="R59" s="9">
        <f>INDEX(Engine!$FC$6:$FC$67,$S59)</f>
        <v/>
      </c>
      <c r="S59" s="15">
        <f>MATCH(LARGE(Engine!$FE$6:$FE$67,A59),Engine!$FE$6:$FE$67,0)</f>
        <v/>
      </c>
    </row>
    <row r="60">
      <c r="A60" s="15" t="n">
        <v>48</v>
      </c>
      <c r="B60" s="4">
        <f>INDEX(Engine!$A$6:$A$67,$S60)</f>
        <v/>
      </c>
      <c r="C60" s="9">
        <f>INDEX(Engine!$B$6:$B$67,$S60)</f>
        <v/>
      </c>
      <c r="D60" s="15">
        <f>INDEX(Engine!$E$6:$E$67,$S60)</f>
        <v/>
      </c>
      <c r="E60" s="9">
        <f>INDEX(Engine!$FA$6:$FA$67,$S60)</f>
        <v/>
      </c>
      <c r="F60" s="15">
        <f>INDEX(Engine!$AK$6:$AK$67,$S60)</f>
        <v/>
      </c>
      <c r="G60" s="9">
        <f>INDEX(Engine!$C$6:$C$67,$S60)</f>
        <v/>
      </c>
      <c r="H60" s="9">
        <f>INDEX(Engine!$EU$6:$EU$67,$S60)</f>
        <v/>
      </c>
      <c r="I60" s="15">
        <f>INDEX(Engine!$EV$6:$EV$67,$S60)</f>
        <v/>
      </c>
      <c r="J60" s="19">
        <f>INDEX(Engine!$ES$6:$ES$67,$S60)</f>
        <v/>
      </c>
      <c r="K60" s="20">
        <f>INDEX(Engine!$EW$6:$EW$67,$S60)</f>
        <v/>
      </c>
      <c r="L60" s="20">
        <f>INDEX(Engine!$EX$6:$EX$67,$S60)</f>
        <v/>
      </c>
      <c r="M60" s="20">
        <f>INDEX(Engine!$EY$6:$EY$67,$S60)</f>
        <v/>
      </c>
      <c r="N60" s="20">
        <f>INDEX(Engine!$EZ$6:$EZ$67,$S60)</f>
        <v/>
      </c>
      <c r="O60" s="9">
        <f>INDEX(Engine!$FB$6:$FB$67,$S60)</f>
        <v/>
      </c>
      <c r="P60" s="9">
        <f>INDEX(Engine!$AL$6:$AL$67,$S60)</f>
        <v/>
      </c>
      <c r="Q60" s="9">
        <f>INDEX(Engine!$FD$6:$FD$67,$S60)</f>
        <v/>
      </c>
      <c r="R60" s="9">
        <f>INDEX(Engine!$FC$6:$FC$67,$S60)</f>
        <v/>
      </c>
      <c r="S60" s="15">
        <f>MATCH(LARGE(Engine!$FE$6:$FE$67,A60),Engine!$FE$6:$FE$67,0)</f>
        <v/>
      </c>
    </row>
    <row r="61">
      <c r="A61" s="15" t="n">
        <v>49</v>
      </c>
      <c r="B61" s="4">
        <f>INDEX(Engine!$A$6:$A$67,$S61)</f>
        <v/>
      </c>
      <c r="C61" s="9">
        <f>INDEX(Engine!$B$6:$B$67,$S61)</f>
        <v/>
      </c>
      <c r="D61" s="15">
        <f>INDEX(Engine!$E$6:$E$67,$S61)</f>
        <v/>
      </c>
      <c r="E61" s="9">
        <f>INDEX(Engine!$FA$6:$FA$67,$S61)</f>
        <v/>
      </c>
      <c r="F61" s="15">
        <f>INDEX(Engine!$AK$6:$AK$67,$S61)</f>
        <v/>
      </c>
      <c r="G61" s="9">
        <f>INDEX(Engine!$C$6:$C$67,$S61)</f>
        <v/>
      </c>
      <c r="H61" s="9">
        <f>INDEX(Engine!$EU$6:$EU$67,$S61)</f>
        <v/>
      </c>
      <c r="I61" s="15">
        <f>INDEX(Engine!$EV$6:$EV$67,$S61)</f>
        <v/>
      </c>
      <c r="J61" s="19">
        <f>INDEX(Engine!$ES$6:$ES$67,$S61)</f>
        <v/>
      </c>
      <c r="K61" s="20">
        <f>INDEX(Engine!$EW$6:$EW$67,$S61)</f>
        <v/>
      </c>
      <c r="L61" s="20">
        <f>INDEX(Engine!$EX$6:$EX$67,$S61)</f>
        <v/>
      </c>
      <c r="M61" s="20">
        <f>INDEX(Engine!$EY$6:$EY$67,$S61)</f>
        <v/>
      </c>
      <c r="N61" s="20">
        <f>INDEX(Engine!$EZ$6:$EZ$67,$S61)</f>
        <v/>
      </c>
      <c r="O61" s="9">
        <f>INDEX(Engine!$FB$6:$FB$67,$S61)</f>
        <v/>
      </c>
      <c r="P61" s="9">
        <f>INDEX(Engine!$AL$6:$AL$67,$S61)</f>
        <v/>
      </c>
      <c r="Q61" s="9">
        <f>INDEX(Engine!$FD$6:$FD$67,$S61)</f>
        <v/>
      </c>
      <c r="R61" s="9">
        <f>INDEX(Engine!$FC$6:$FC$67,$S61)</f>
        <v/>
      </c>
      <c r="S61" s="15">
        <f>MATCH(LARGE(Engine!$FE$6:$FE$67,A61),Engine!$FE$6:$FE$67,0)</f>
        <v/>
      </c>
    </row>
    <row r="62">
      <c r="A62" s="15" t="n">
        <v>50</v>
      </c>
      <c r="B62" s="4">
        <f>INDEX(Engine!$A$6:$A$67,$S62)</f>
        <v/>
      </c>
      <c r="C62" s="9">
        <f>INDEX(Engine!$B$6:$B$67,$S62)</f>
        <v/>
      </c>
      <c r="D62" s="15">
        <f>INDEX(Engine!$E$6:$E$67,$S62)</f>
        <v/>
      </c>
      <c r="E62" s="9">
        <f>INDEX(Engine!$FA$6:$FA$67,$S62)</f>
        <v/>
      </c>
      <c r="F62" s="15">
        <f>INDEX(Engine!$AK$6:$AK$67,$S62)</f>
        <v/>
      </c>
      <c r="G62" s="9">
        <f>INDEX(Engine!$C$6:$C$67,$S62)</f>
        <v/>
      </c>
      <c r="H62" s="9">
        <f>INDEX(Engine!$EU$6:$EU$67,$S62)</f>
        <v/>
      </c>
      <c r="I62" s="15">
        <f>INDEX(Engine!$EV$6:$EV$67,$S62)</f>
        <v/>
      </c>
      <c r="J62" s="19">
        <f>INDEX(Engine!$ES$6:$ES$67,$S62)</f>
        <v/>
      </c>
      <c r="K62" s="20">
        <f>INDEX(Engine!$EW$6:$EW$67,$S62)</f>
        <v/>
      </c>
      <c r="L62" s="20">
        <f>INDEX(Engine!$EX$6:$EX$67,$S62)</f>
        <v/>
      </c>
      <c r="M62" s="20">
        <f>INDEX(Engine!$EY$6:$EY$67,$S62)</f>
        <v/>
      </c>
      <c r="N62" s="20">
        <f>INDEX(Engine!$EZ$6:$EZ$67,$S62)</f>
        <v/>
      </c>
      <c r="O62" s="9">
        <f>INDEX(Engine!$FB$6:$FB$67,$S62)</f>
        <v/>
      </c>
      <c r="P62" s="9">
        <f>INDEX(Engine!$AL$6:$AL$67,$S62)</f>
        <v/>
      </c>
      <c r="Q62" s="9">
        <f>INDEX(Engine!$FD$6:$FD$67,$S62)</f>
        <v/>
      </c>
      <c r="R62" s="9">
        <f>INDEX(Engine!$FC$6:$FC$67,$S62)</f>
        <v/>
      </c>
      <c r="S62" s="15">
        <f>MATCH(LARGE(Engine!$FE$6:$FE$67,A62),Engine!$FE$6:$FE$67,0)</f>
        <v/>
      </c>
    </row>
    <row r="63">
      <c r="A63" s="15" t="n">
        <v>51</v>
      </c>
      <c r="B63" s="4">
        <f>INDEX(Engine!$A$6:$A$67,$S63)</f>
        <v/>
      </c>
      <c r="C63" s="9">
        <f>INDEX(Engine!$B$6:$B$67,$S63)</f>
        <v/>
      </c>
      <c r="D63" s="15">
        <f>INDEX(Engine!$E$6:$E$67,$S63)</f>
        <v/>
      </c>
      <c r="E63" s="9">
        <f>INDEX(Engine!$FA$6:$FA$67,$S63)</f>
        <v/>
      </c>
      <c r="F63" s="15">
        <f>INDEX(Engine!$AK$6:$AK$67,$S63)</f>
        <v/>
      </c>
      <c r="G63" s="9">
        <f>INDEX(Engine!$C$6:$C$67,$S63)</f>
        <v/>
      </c>
      <c r="H63" s="9">
        <f>INDEX(Engine!$EU$6:$EU$67,$S63)</f>
        <v/>
      </c>
      <c r="I63" s="15">
        <f>INDEX(Engine!$EV$6:$EV$67,$S63)</f>
        <v/>
      </c>
      <c r="J63" s="19">
        <f>INDEX(Engine!$ES$6:$ES$67,$S63)</f>
        <v/>
      </c>
      <c r="K63" s="20">
        <f>INDEX(Engine!$EW$6:$EW$67,$S63)</f>
        <v/>
      </c>
      <c r="L63" s="20">
        <f>INDEX(Engine!$EX$6:$EX$67,$S63)</f>
        <v/>
      </c>
      <c r="M63" s="20">
        <f>INDEX(Engine!$EY$6:$EY$67,$S63)</f>
        <v/>
      </c>
      <c r="N63" s="20">
        <f>INDEX(Engine!$EZ$6:$EZ$67,$S63)</f>
        <v/>
      </c>
      <c r="O63" s="9">
        <f>INDEX(Engine!$FB$6:$FB$67,$S63)</f>
        <v/>
      </c>
      <c r="P63" s="9">
        <f>INDEX(Engine!$AL$6:$AL$67,$S63)</f>
        <v/>
      </c>
      <c r="Q63" s="9">
        <f>INDEX(Engine!$FD$6:$FD$67,$S63)</f>
        <v/>
      </c>
      <c r="R63" s="9">
        <f>INDEX(Engine!$FC$6:$FC$67,$S63)</f>
        <v/>
      </c>
      <c r="S63" s="15">
        <f>MATCH(LARGE(Engine!$FE$6:$FE$67,A63),Engine!$FE$6:$FE$67,0)</f>
        <v/>
      </c>
    </row>
    <row r="64">
      <c r="A64" s="15" t="n">
        <v>52</v>
      </c>
      <c r="B64" s="4">
        <f>INDEX(Engine!$A$6:$A$67,$S64)</f>
        <v/>
      </c>
      <c r="C64" s="9">
        <f>INDEX(Engine!$B$6:$B$67,$S64)</f>
        <v/>
      </c>
      <c r="D64" s="15">
        <f>INDEX(Engine!$E$6:$E$67,$S64)</f>
        <v/>
      </c>
      <c r="E64" s="9">
        <f>INDEX(Engine!$FA$6:$FA$67,$S64)</f>
        <v/>
      </c>
      <c r="F64" s="15">
        <f>INDEX(Engine!$AK$6:$AK$67,$S64)</f>
        <v/>
      </c>
      <c r="G64" s="9">
        <f>INDEX(Engine!$C$6:$C$67,$S64)</f>
        <v/>
      </c>
      <c r="H64" s="9">
        <f>INDEX(Engine!$EU$6:$EU$67,$S64)</f>
        <v/>
      </c>
      <c r="I64" s="15">
        <f>INDEX(Engine!$EV$6:$EV$67,$S64)</f>
        <v/>
      </c>
      <c r="J64" s="19">
        <f>INDEX(Engine!$ES$6:$ES$67,$S64)</f>
        <v/>
      </c>
      <c r="K64" s="20">
        <f>INDEX(Engine!$EW$6:$EW$67,$S64)</f>
        <v/>
      </c>
      <c r="L64" s="20">
        <f>INDEX(Engine!$EX$6:$EX$67,$S64)</f>
        <v/>
      </c>
      <c r="M64" s="20">
        <f>INDEX(Engine!$EY$6:$EY$67,$S64)</f>
        <v/>
      </c>
      <c r="N64" s="20">
        <f>INDEX(Engine!$EZ$6:$EZ$67,$S64)</f>
        <v/>
      </c>
      <c r="O64" s="9">
        <f>INDEX(Engine!$FB$6:$FB$67,$S64)</f>
        <v/>
      </c>
      <c r="P64" s="9">
        <f>INDEX(Engine!$AL$6:$AL$67,$S64)</f>
        <v/>
      </c>
      <c r="Q64" s="9">
        <f>INDEX(Engine!$FD$6:$FD$67,$S64)</f>
        <v/>
      </c>
      <c r="R64" s="9">
        <f>INDEX(Engine!$FC$6:$FC$67,$S64)</f>
        <v/>
      </c>
      <c r="S64" s="15">
        <f>MATCH(LARGE(Engine!$FE$6:$FE$67,A64),Engine!$FE$6:$FE$67,0)</f>
        <v/>
      </c>
    </row>
    <row r="65">
      <c r="A65" s="15" t="n">
        <v>53</v>
      </c>
      <c r="B65" s="4">
        <f>INDEX(Engine!$A$6:$A$67,$S65)</f>
        <v/>
      </c>
      <c r="C65" s="9">
        <f>INDEX(Engine!$B$6:$B$67,$S65)</f>
        <v/>
      </c>
      <c r="D65" s="15">
        <f>INDEX(Engine!$E$6:$E$67,$S65)</f>
        <v/>
      </c>
      <c r="E65" s="9">
        <f>INDEX(Engine!$FA$6:$FA$67,$S65)</f>
        <v/>
      </c>
      <c r="F65" s="15">
        <f>INDEX(Engine!$AK$6:$AK$67,$S65)</f>
        <v/>
      </c>
      <c r="G65" s="9">
        <f>INDEX(Engine!$C$6:$C$67,$S65)</f>
        <v/>
      </c>
      <c r="H65" s="9">
        <f>INDEX(Engine!$EU$6:$EU$67,$S65)</f>
        <v/>
      </c>
      <c r="I65" s="15">
        <f>INDEX(Engine!$EV$6:$EV$67,$S65)</f>
        <v/>
      </c>
      <c r="J65" s="19">
        <f>INDEX(Engine!$ES$6:$ES$67,$S65)</f>
        <v/>
      </c>
      <c r="K65" s="20">
        <f>INDEX(Engine!$EW$6:$EW$67,$S65)</f>
        <v/>
      </c>
      <c r="L65" s="20">
        <f>INDEX(Engine!$EX$6:$EX$67,$S65)</f>
        <v/>
      </c>
      <c r="M65" s="20">
        <f>INDEX(Engine!$EY$6:$EY$67,$S65)</f>
        <v/>
      </c>
      <c r="N65" s="20">
        <f>INDEX(Engine!$EZ$6:$EZ$67,$S65)</f>
        <v/>
      </c>
      <c r="O65" s="9">
        <f>INDEX(Engine!$FB$6:$FB$67,$S65)</f>
        <v/>
      </c>
      <c r="P65" s="9">
        <f>INDEX(Engine!$AL$6:$AL$67,$S65)</f>
        <v/>
      </c>
      <c r="Q65" s="9">
        <f>INDEX(Engine!$FD$6:$FD$67,$S65)</f>
        <v/>
      </c>
      <c r="R65" s="9">
        <f>INDEX(Engine!$FC$6:$FC$67,$S65)</f>
        <v/>
      </c>
      <c r="S65" s="15">
        <f>MATCH(LARGE(Engine!$FE$6:$FE$67,A65),Engine!$FE$6:$FE$67,0)</f>
        <v/>
      </c>
    </row>
    <row r="66">
      <c r="A66" s="15" t="n">
        <v>54</v>
      </c>
      <c r="B66" s="4">
        <f>INDEX(Engine!$A$6:$A$67,$S66)</f>
        <v/>
      </c>
      <c r="C66" s="9">
        <f>INDEX(Engine!$B$6:$B$67,$S66)</f>
        <v/>
      </c>
      <c r="D66" s="15">
        <f>INDEX(Engine!$E$6:$E$67,$S66)</f>
        <v/>
      </c>
      <c r="E66" s="9">
        <f>INDEX(Engine!$FA$6:$FA$67,$S66)</f>
        <v/>
      </c>
      <c r="F66" s="15">
        <f>INDEX(Engine!$AK$6:$AK$67,$S66)</f>
        <v/>
      </c>
      <c r="G66" s="9">
        <f>INDEX(Engine!$C$6:$C$67,$S66)</f>
        <v/>
      </c>
      <c r="H66" s="9">
        <f>INDEX(Engine!$EU$6:$EU$67,$S66)</f>
        <v/>
      </c>
      <c r="I66" s="15">
        <f>INDEX(Engine!$EV$6:$EV$67,$S66)</f>
        <v/>
      </c>
      <c r="J66" s="19">
        <f>INDEX(Engine!$ES$6:$ES$67,$S66)</f>
        <v/>
      </c>
      <c r="K66" s="20">
        <f>INDEX(Engine!$EW$6:$EW$67,$S66)</f>
        <v/>
      </c>
      <c r="L66" s="20">
        <f>INDEX(Engine!$EX$6:$EX$67,$S66)</f>
        <v/>
      </c>
      <c r="M66" s="20">
        <f>INDEX(Engine!$EY$6:$EY$67,$S66)</f>
        <v/>
      </c>
      <c r="N66" s="20">
        <f>INDEX(Engine!$EZ$6:$EZ$67,$S66)</f>
        <v/>
      </c>
      <c r="O66" s="9">
        <f>INDEX(Engine!$FB$6:$FB$67,$S66)</f>
        <v/>
      </c>
      <c r="P66" s="9">
        <f>INDEX(Engine!$AL$6:$AL$67,$S66)</f>
        <v/>
      </c>
      <c r="Q66" s="9">
        <f>INDEX(Engine!$FD$6:$FD$67,$S66)</f>
        <v/>
      </c>
      <c r="R66" s="9">
        <f>INDEX(Engine!$FC$6:$FC$67,$S66)</f>
        <v/>
      </c>
      <c r="S66" s="15">
        <f>MATCH(LARGE(Engine!$FE$6:$FE$67,A66),Engine!$FE$6:$FE$67,0)</f>
        <v/>
      </c>
    </row>
    <row r="67">
      <c r="A67" s="15" t="n">
        <v>55</v>
      </c>
      <c r="B67" s="4">
        <f>INDEX(Engine!$A$6:$A$67,$S67)</f>
        <v/>
      </c>
      <c r="C67" s="9">
        <f>INDEX(Engine!$B$6:$B$67,$S67)</f>
        <v/>
      </c>
      <c r="D67" s="15">
        <f>INDEX(Engine!$E$6:$E$67,$S67)</f>
        <v/>
      </c>
      <c r="E67" s="9">
        <f>INDEX(Engine!$FA$6:$FA$67,$S67)</f>
        <v/>
      </c>
      <c r="F67" s="15">
        <f>INDEX(Engine!$AK$6:$AK$67,$S67)</f>
        <v/>
      </c>
      <c r="G67" s="9">
        <f>INDEX(Engine!$C$6:$C$67,$S67)</f>
        <v/>
      </c>
      <c r="H67" s="9">
        <f>INDEX(Engine!$EU$6:$EU$67,$S67)</f>
        <v/>
      </c>
      <c r="I67" s="15">
        <f>INDEX(Engine!$EV$6:$EV$67,$S67)</f>
        <v/>
      </c>
      <c r="J67" s="19">
        <f>INDEX(Engine!$ES$6:$ES$67,$S67)</f>
        <v/>
      </c>
      <c r="K67" s="20">
        <f>INDEX(Engine!$EW$6:$EW$67,$S67)</f>
        <v/>
      </c>
      <c r="L67" s="20">
        <f>INDEX(Engine!$EX$6:$EX$67,$S67)</f>
        <v/>
      </c>
      <c r="M67" s="20">
        <f>INDEX(Engine!$EY$6:$EY$67,$S67)</f>
        <v/>
      </c>
      <c r="N67" s="20">
        <f>INDEX(Engine!$EZ$6:$EZ$67,$S67)</f>
        <v/>
      </c>
      <c r="O67" s="9">
        <f>INDEX(Engine!$FB$6:$FB$67,$S67)</f>
        <v/>
      </c>
      <c r="P67" s="9">
        <f>INDEX(Engine!$AL$6:$AL$67,$S67)</f>
        <v/>
      </c>
      <c r="Q67" s="9">
        <f>INDEX(Engine!$FD$6:$FD$67,$S67)</f>
        <v/>
      </c>
      <c r="R67" s="9">
        <f>INDEX(Engine!$FC$6:$FC$67,$S67)</f>
        <v/>
      </c>
      <c r="S67" s="15">
        <f>MATCH(LARGE(Engine!$FE$6:$FE$67,A67),Engine!$FE$6:$FE$67,0)</f>
        <v/>
      </c>
    </row>
    <row r="68">
      <c r="A68" s="15" t="n">
        <v>56</v>
      </c>
      <c r="B68" s="4">
        <f>INDEX(Engine!$A$6:$A$67,$S68)</f>
        <v/>
      </c>
      <c r="C68" s="9">
        <f>INDEX(Engine!$B$6:$B$67,$S68)</f>
        <v/>
      </c>
      <c r="D68" s="15">
        <f>INDEX(Engine!$E$6:$E$67,$S68)</f>
        <v/>
      </c>
      <c r="E68" s="9">
        <f>INDEX(Engine!$FA$6:$FA$67,$S68)</f>
        <v/>
      </c>
      <c r="F68" s="15">
        <f>INDEX(Engine!$AK$6:$AK$67,$S68)</f>
        <v/>
      </c>
      <c r="G68" s="9">
        <f>INDEX(Engine!$C$6:$C$67,$S68)</f>
        <v/>
      </c>
      <c r="H68" s="9">
        <f>INDEX(Engine!$EU$6:$EU$67,$S68)</f>
        <v/>
      </c>
      <c r="I68" s="15">
        <f>INDEX(Engine!$EV$6:$EV$67,$S68)</f>
        <v/>
      </c>
      <c r="J68" s="19">
        <f>INDEX(Engine!$ES$6:$ES$67,$S68)</f>
        <v/>
      </c>
      <c r="K68" s="20">
        <f>INDEX(Engine!$EW$6:$EW$67,$S68)</f>
        <v/>
      </c>
      <c r="L68" s="20">
        <f>INDEX(Engine!$EX$6:$EX$67,$S68)</f>
        <v/>
      </c>
      <c r="M68" s="20">
        <f>INDEX(Engine!$EY$6:$EY$67,$S68)</f>
        <v/>
      </c>
      <c r="N68" s="20">
        <f>INDEX(Engine!$EZ$6:$EZ$67,$S68)</f>
        <v/>
      </c>
      <c r="O68" s="9">
        <f>INDEX(Engine!$FB$6:$FB$67,$S68)</f>
        <v/>
      </c>
      <c r="P68" s="9">
        <f>INDEX(Engine!$AL$6:$AL$67,$S68)</f>
        <v/>
      </c>
      <c r="Q68" s="9">
        <f>INDEX(Engine!$FD$6:$FD$67,$S68)</f>
        <v/>
      </c>
      <c r="R68" s="9">
        <f>INDEX(Engine!$FC$6:$FC$67,$S68)</f>
        <v/>
      </c>
      <c r="S68" s="15">
        <f>MATCH(LARGE(Engine!$FE$6:$FE$67,A68),Engine!$FE$6:$FE$67,0)</f>
        <v/>
      </c>
    </row>
    <row r="69">
      <c r="A69" s="15" t="n">
        <v>57</v>
      </c>
      <c r="B69" s="4">
        <f>INDEX(Engine!$A$6:$A$67,$S69)</f>
        <v/>
      </c>
      <c r="C69" s="9">
        <f>INDEX(Engine!$B$6:$B$67,$S69)</f>
        <v/>
      </c>
      <c r="D69" s="15">
        <f>INDEX(Engine!$E$6:$E$67,$S69)</f>
        <v/>
      </c>
      <c r="E69" s="9">
        <f>INDEX(Engine!$FA$6:$FA$67,$S69)</f>
        <v/>
      </c>
      <c r="F69" s="15">
        <f>INDEX(Engine!$AK$6:$AK$67,$S69)</f>
        <v/>
      </c>
      <c r="G69" s="9">
        <f>INDEX(Engine!$C$6:$C$67,$S69)</f>
        <v/>
      </c>
      <c r="H69" s="9">
        <f>INDEX(Engine!$EU$6:$EU$67,$S69)</f>
        <v/>
      </c>
      <c r="I69" s="15">
        <f>INDEX(Engine!$EV$6:$EV$67,$S69)</f>
        <v/>
      </c>
      <c r="J69" s="19">
        <f>INDEX(Engine!$ES$6:$ES$67,$S69)</f>
        <v/>
      </c>
      <c r="K69" s="20">
        <f>INDEX(Engine!$EW$6:$EW$67,$S69)</f>
        <v/>
      </c>
      <c r="L69" s="20">
        <f>INDEX(Engine!$EX$6:$EX$67,$S69)</f>
        <v/>
      </c>
      <c r="M69" s="20">
        <f>INDEX(Engine!$EY$6:$EY$67,$S69)</f>
        <v/>
      </c>
      <c r="N69" s="20">
        <f>INDEX(Engine!$EZ$6:$EZ$67,$S69)</f>
        <v/>
      </c>
      <c r="O69" s="9">
        <f>INDEX(Engine!$FB$6:$FB$67,$S69)</f>
        <v/>
      </c>
      <c r="P69" s="9">
        <f>INDEX(Engine!$AL$6:$AL$67,$S69)</f>
        <v/>
      </c>
      <c r="Q69" s="9">
        <f>INDEX(Engine!$FD$6:$FD$67,$S69)</f>
        <v/>
      </c>
      <c r="R69" s="9">
        <f>INDEX(Engine!$FC$6:$FC$67,$S69)</f>
        <v/>
      </c>
      <c r="S69" s="15">
        <f>MATCH(LARGE(Engine!$FE$6:$FE$67,A69),Engine!$FE$6:$FE$67,0)</f>
        <v/>
      </c>
    </row>
    <row r="70">
      <c r="A70" s="15" t="n">
        <v>58</v>
      </c>
      <c r="B70" s="4">
        <f>INDEX(Engine!$A$6:$A$67,$S70)</f>
        <v/>
      </c>
      <c r="C70" s="9">
        <f>INDEX(Engine!$B$6:$B$67,$S70)</f>
        <v/>
      </c>
      <c r="D70" s="15">
        <f>INDEX(Engine!$E$6:$E$67,$S70)</f>
        <v/>
      </c>
      <c r="E70" s="9">
        <f>INDEX(Engine!$FA$6:$FA$67,$S70)</f>
        <v/>
      </c>
      <c r="F70" s="15">
        <f>INDEX(Engine!$AK$6:$AK$67,$S70)</f>
        <v/>
      </c>
      <c r="G70" s="9">
        <f>INDEX(Engine!$C$6:$C$67,$S70)</f>
        <v/>
      </c>
      <c r="H70" s="9">
        <f>INDEX(Engine!$EU$6:$EU$67,$S70)</f>
        <v/>
      </c>
      <c r="I70" s="15">
        <f>INDEX(Engine!$EV$6:$EV$67,$S70)</f>
        <v/>
      </c>
      <c r="J70" s="19">
        <f>INDEX(Engine!$ES$6:$ES$67,$S70)</f>
        <v/>
      </c>
      <c r="K70" s="20">
        <f>INDEX(Engine!$EW$6:$EW$67,$S70)</f>
        <v/>
      </c>
      <c r="L70" s="20">
        <f>INDEX(Engine!$EX$6:$EX$67,$S70)</f>
        <v/>
      </c>
      <c r="M70" s="20">
        <f>INDEX(Engine!$EY$6:$EY$67,$S70)</f>
        <v/>
      </c>
      <c r="N70" s="20">
        <f>INDEX(Engine!$EZ$6:$EZ$67,$S70)</f>
        <v/>
      </c>
      <c r="O70" s="9">
        <f>INDEX(Engine!$FB$6:$FB$67,$S70)</f>
        <v/>
      </c>
      <c r="P70" s="9">
        <f>INDEX(Engine!$AL$6:$AL$67,$S70)</f>
        <v/>
      </c>
      <c r="Q70" s="9">
        <f>INDEX(Engine!$FD$6:$FD$67,$S70)</f>
        <v/>
      </c>
      <c r="R70" s="9">
        <f>INDEX(Engine!$FC$6:$FC$67,$S70)</f>
        <v/>
      </c>
      <c r="S70" s="15">
        <f>MATCH(LARGE(Engine!$FE$6:$FE$67,A70),Engine!$FE$6:$FE$67,0)</f>
        <v/>
      </c>
    </row>
    <row r="71">
      <c r="A71" s="15" t="n">
        <v>59</v>
      </c>
      <c r="B71" s="4">
        <f>INDEX(Engine!$A$6:$A$67,$S71)</f>
        <v/>
      </c>
      <c r="C71" s="9">
        <f>INDEX(Engine!$B$6:$B$67,$S71)</f>
        <v/>
      </c>
      <c r="D71" s="15">
        <f>INDEX(Engine!$E$6:$E$67,$S71)</f>
        <v/>
      </c>
      <c r="E71" s="9">
        <f>INDEX(Engine!$FA$6:$FA$67,$S71)</f>
        <v/>
      </c>
      <c r="F71" s="15">
        <f>INDEX(Engine!$AK$6:$AK$67,$S71)</f>
        <v/>
      </c>
      <c r="G71" s="9">
        <f>INDEX(Engine!$C$6:$C$67,$S71)</f>
        <v/>
      </c>
      <c r="H71" s="9">
        <f>INDEX(Engine!$EU$6:$EU$67,$S71)</f>
        <v/>
      </c>
      <c r="I71" s="15">
        <f>INDEX(Engine!$EV$6:$EV$67,$S71)</f>
        <v/>
      </c>
      <c r="J71" s="19">
        <f>INDEX(Engine!$ES$6:$ES$67,$S71)</f>
        <v/>
      </c>
      <c r="K71" s="20">
        <f>INDEX(Engine!$EW$6:$EW$67,$S71)</f>
        <v/>
      </c>
      <c r="L71" s="20">
        <f>INDEX(Engine!$EX$6:$EX$67,$S71)</f>
        <v/>
      </c>
      <c r="M71" s="20">
        <f>INDEX(Engine!$EY$6:$EY$67,$S71)</f>
        <v/>
      </c>
      <c r="N71" s="20">
        <f>INDEX(Engine!$EZ$6:$EZ$67,$S71)</f>
        <v/>
      </c>
      <c r="O71" s="9">
        <f>INDEX(Engine!$FB$6:$FB$67,$S71)</f>
        <v/>
      </c>
      <c r="P71" s="9">
        <f>INDEX(Engine!$AL$6:$AL$67,$S71)</f>
        <v/>
      </c>
      <c r="Q71" s="9">
        <f>INDEX(Engine!$FD$6:$FD$67,$S71)</f>
        <v/>
      </c>
      <c r="R71" s="9">
        <f>INDEX(Engine!$FC$6:$FC$67,$S71)</f>
        <v/>
      </c>
      <c r="S71" s="15">
        <f>MATCH(LARGE(Engine!$FE$6:$FE$67,A71),Engine!$FE$6:$FE$67,0)</f>
        <v/>
      </c>
    </row>
    <row r="72">
      <c r="A72" s="15" t="n">
        <v>60</v>
      </c>
      <c r="B72" s="4">
        <f>INDEX(Engine!$A$6:$A$67,$S72)</f>
        <v/>
      </c>
      <c r="C72" s="9">
        <f>INDEX(Engine!$B$6:$B$67,$S72)</f>
        <v/>
      </c>
      <c r="D72" s="15">
        <f>INDEX(Engine!$E$6:$E$67,$S72)</f>
        <v/>
      </c>
      <c r="E72" s="9">
        <f>INDEX(Engine!$FA$6:$FA$67,$S72)</f>
        <v/>
      </c>
      <c r="F72" s="15">
        <f>INDEX(Engine!$AK$6:$AK$67,$S72)</f>
        <v/>
      </c>
      <c r="G72" s="9">
        <f>INDEX(Engine!$C$6:$C$67,$S72)</f>
        <v/>
      </c>
      <c r="H72" s="9">
        <f>INDEX(Engine!$EU$6:$EU$67,$S72)</f>
        <v/>
      </c>
      <c r="I72" s="15">
        <f>INDEX(Engine!$EV$6:$EV$67,$S72)</f>
        <v/>
      </c>
      <c r="J72" s="19">
        <f>INDEX(Engine!$ES$6:$ES$67,$S72)</f>
        <v/>
      </c>
      <c r="K72" s="20">
        <f>INDEX(Engine!$EW$6:$EW$67,$S72)</f>
        <v/>
      </c>
      <c r="L72" s="20">
        <f>INDEX(Engine!$EX$6:$EX$67,$S72)</f>
        <v/>
      </c>
      <c r="M72" s="20">
        <f>INDEX(Engine!$EY$6:$EY$67,$S72)</f>
        <v/>
      </c>
      <c r="N72" s="20">
        <f>INDEX(Engine!$EZ$6:$EZ$67,$S72)</f>
        <v/>
      </c>
      <c r="O72" s="9">
        <f>INDEX(Engine!$FB$6:$FB$67,$S72)</f>
        <v/>
      </c>
      <c r="P72" s="9">
        <f>INDEX(Engine!$AL$6:$AL$67,$S72)</f>
        <v/>
      </c>
      <c r="Q72" s="9">
        <f>INDEX(Engine!$FD$6:$FD$67,$S72)</f>
        <v/>
      </c>
      <c r="R72" s="9">
        <f>INDEX(Engine!$FC$6:$FC$67,$S72)</f>
        <v/>
      </c>
      <c r="S72" s="15">
        <f>MATCH(LARGE(Engine!$FE$6:$FE$67,A72),Engine!$FE$6:$FE$67,0)</f>
        <v/>
      </c>
    </row>
    <row r="73">
      <c r="A73" s="15" t="n">
        <v>61</v>
      </c>
      <c r="B73" s="4">
        <f>INDEX(Engine!$A$6:$A$67,$S73)</f>
        <v/>
      </c>
      <c r="C73" s="9">
        <f>INDEX(Engine!$B$6:$B$67,$S73)</f>
        <v/>
      </c>
      <c r="D73" s="15">
        <f>INDEX(Engine!$E$6:$E$67,$S73)</f>
        <v/>
      </c>
      <c r="E73" s="9">
        <f>INDEX(Engine!$FA$6:$FA$67,$S73)</f>
        <v/>
      </c>
      <c r="F73" s="15">
        <f>INDEX(Engine!$AK$6:$AK$67,$S73)</f>
        <v/>
      </c>
      <c r="G73" s="9">
        <f>INDEX(Engine!$C$6:$C$67,$S73)</f>
        <v/>
      </c>
      <c r="H73" s="9">
        <f>INDEX(Engine!$EU$6:$EU$67,$S73)</f>
        <v/>
      </c>
      <c r="I73" s="15">
        <f>INDEX(Engine!$EV$6:$EV$67,$S73)</f>
        <v/>
      </c>
      <c r="J73" s="19">
        <f>INDEX(Engine!$ES$6:$ES$67,$S73)</f>
        <v/>
      </c>
      <c r="K73" s="20">
        <f>INDEX(Engine!$EW$6:$EW$67,$S73)</f>
        <v/>
      </c>
      <c r="L73" s="20">
        <f>INDEX(Engine!$EX$6:$EX$67,$S73)</f>
        <v/>
      </c>
      <c r="M73" s="20">
        <f>INDEX(Engine!$EY$6:$EY$67,$S73)</f>
        <v/>
      </c>
      <c r="N73" s="20">
        <f>INDEX(Engine!$EZ$6:$EZ$67,$S73)</f>
        <v/>
      </c>
      <c r="O73" s="9">
        <f>INDEX(Engine!$FB$6:$FB$67,$S73)</f>
        <v/>
      </c>
      <c r="P73" s="9">
        <f>INDEX(Engine!$AL$6:$AL$67,$S73)</f>
        <v/>
      </c>
      <c r="Q73" s="9">
        <f>INDEX(Engine!$FD$6:$FD$67,$S73)</f>
        <v/>
      </c>
      <c r="R73" s="9">
        <f>INDEX(Engine!$FC$6:$FC$67,$S73)</f>
        <v/>
      </c>
      <c r="S73" s="15">
        <f>MATCH(LARGE(Engine!$FE$6:$FE$67,A73),Engine!$FE$6:$FE$67,0)</f>
        <v/>
      </c>
    </row>
    <row r="74">
      <c r="A74" s="15" t="n">
        <v>62</v>
      </c>
      <c r="B74" s="4">
        <f>INDEX(Engine!$A$6:$A$67,$S74)</f>
        <v/>
      </c>
      <c r="C74" s="9">
        <f>INDEX(Engine!$B$6:$B$67,$S74)</f>
        <v/>
      </c>
      <c r="D74" s="15">
        <f>INDEX(Engine!$E$6:$E$67,$S74)</f>
        <v/>
      </c>
      <c r="E74" s="9">
        <f>INDEX(Engine!$FA$6:$FA$67,$S74)</f>
        <v/>
      </c>
      <c r="F74" s="15">
        <f>INDEX(Engine!$AK$6:$AK$67,$S74)</f>
        <v/>
      </c>
      <c r="G74" s="9">
        <f>INDEX(Engine!$C$6:$C$67,$S74)</f>
        <v/>
      </c>
      <c r="H74" s="9">
        <f>INDEX(Engine!$EU$6:$EU$67,$S74)</f>
        <v/>
      </c>
      <c r="I74" s="15">
        <f>INDEX(Engine!$EV$6:$EV$67,$S74)</f>
        <v/>
      </c>
      <c r="J74" s="19">
        <f>INDEX(Engine!$ES$6:$ES$67,$S74)</f>
        <v/>
      </c>
      <c r="K74" s="20">
        <f>INDEX(Engine!$EW$6:$EW$67,$S74)</f>
        <v/>
      </c>
      <c r="L74" s="20">
        <f>INDEX(Engine!$EX$6:$EX$67,$S74)</f>
        <v/>
      </c>
      <c r="M74" s="20">
        <f>INDEX(Engine!$EY$6:$EY$67,$S74)</f>
        <v/>
      </c>
      <c r="N74" s="20">
        <f>INDEX(Engine!$EZ$6:$EZ$67,$S74)</f>
        <v/>
      </c>
      <c r="O74" s="9">
        <f>INDEX(Engine!$FB$6:$FB$67,$S74)</f>
        <v/>
      </c>
      <c r="P74" s="9">
        <f>INDEX(Engine!$AL$6:$AL$67,$S74)</f>
        <v/>
      </c>
      <c r="Q74" s="9">
        <f>INDEX(Engine!$FD$6:$FD$67,$S74)</f>
        <v/>
      </c>
      <c r="R74" s="9">
        <f>INDEX(Engine!$FC$6:$FC$67,$S74)</f>
        <v/>
      </c>
      <c r="S74" s="15">
        <f>MATCH(LARGE(Engine!$FE$6:$FE$67,A74),Engine!$FE$6:$FE$67,0)</f>
        <v/>
      </c>
    </row>
    <row r="76">
      <c r="B76" s="2" t="inlineStr">
        <is>
          <t>Read with care: every number is a placeholder until replaced by market data or the org's own records. Low confidence = the use has written location rules Landova does not test yet.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S136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" customWidth="1" min="1" max="1"/>
    <col width="50" customWidth="1" min="2" max="2"/>
    <col width="18" customWidth="1" min="3" max="3"/>
    <col width="18" customWidth="1" min="4" max="4"/>
    <col width="1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</cols>
  <sheetData>
    <row r="1">
      <c r="A1" s="1" t="inlineStr">
        <is>
          <t>Prefilled Proforma - one use on this parcel</t>
        </is>
      </c>
    </row>
    <row r="2">
      <c r="A2" s="2" t="inlineStr">
        <is>
          <t>Pick a use (defaults to the top-ranked one). Every line is prefilled from the engine and shows where its number came from. Emits the Canonical Proforma Schema.</t>
        </is>
      </c>
    </row>
    <row r="4">
      <c r="B4" s="4" t="inlineStr">
        <is>
          <t>Use</t>
        </is>
      </c>
      <c r="C4" s="6">
        <f>Best_Use!B13</f>
        <v/>
      </c>
      <c r="E4" s="4" t="inlineStr">
        <is>
          <t>Verdict</t>
        </is>
      </c>
      <c r="F4" s="17">
        <f>INDEX(Engine!$FA$6:$FA$67,$C$7)</f>
        <v/>
      </c>
    </row>
    <row r="5">
      <c r="B5" s="4" t="inlineStr">
        <is>
          <t>Exit</t>
        </is>
      </c>
      <c r="C5" s="6" t="inlineStr">
        <is>
          <t>Best</t>
        </is>
      </c>
      <c r="E5" s="4" t="inlineStr">
        <is>
          <t>Max offer (walk-away)</t>
        </is>
      </c>
      <c r="F5" s="19">
        <f>INDEX(Engine!$ES$6:$ES$67,$C$7)</f>
        <v/>
      </c>
    </row>
    <row r="6">
      <c r="B6" s="4" t="inlineStr">
        <is>
          <t>Land price for cash flow (blank = opening offer)</t>
        </is>
      </c>
      <c r="C6" s="13" t="n"/>
      <c r="E6" s="4" t="inlineStr">
        <is>
          <t>Opening offer</t>
        </is>
      </c>
      <c r="F6" s="19">
        <f>INDEX(Engine!$EW$6:$EW$67,$C$7)</f>
        <v/>
      </c>
    </row>
    <row r="7">
      <c r="B7" s="2" t="inlineStr">
        <is>
          <t>Engine row</t>
        </is>
      </c>
      <c r="C7" s="15">
        <f>MATCH(C4,Engine!$A$6:$A$67,0)</f>
        <v/>
      </c>
      <c r="E7" s="4" t="inlineStr">
        <is>
          <t>Best exit</t>
        </is>
      </c>
      <c r="F7" s="17">
        <f>INDEX(Engine!$EU$6:$EU$67,$C$7)</f>
        <v/>
      </c>
    </row>
    <row r="8">
      <c r="B8" s="2" t="inlineStr">
        <is>
          <t>Exit used</t>
        </is>
      </c>
      <c r="C8" s="15">
        <f>IF(C5="Best",MAX(1,INDEX(Engine!$ET$6:$ET$67,$C$7)),MATCH(C5,{"Land / pad sale","Build &amp; sell","Build &amp; hold / lease"},0))</f>
        <v/>
      </c>
      <c r="E8" s="4" t="inlineStr">
        <is>
          <t>Confidence</t>
        </is>
      </c>
      <c r="F8" s="17">
        <f>INDEX(Engine!$FB$6:$FB$67,$C$7)</f>
        <v/>
      </c>
    </row>
    <row r="9">
      <c r="B9" s="2" t="inlineStr">
        <is>
          <t>Land price used</t>
        </is>
      </c>
      <c r="C9" s="22">
        <f>IF(C6="",INDEX(Engine!$EW$6:$EW$67,$C$7),C6)</f>
        <v/>
      </c>
      <c r="E9" s="4" t="inlineStr">
        <is>
          <t>Flags</t>
        </is>
      </c>
      <c r="F9" s="2">
        <f>INDEX(Engine!$FD$6:$FD$67,$C$7)</f>
        <v/>
      </c>
    </row>
    <row r="11">
      <c r="B11" s="3" t="inlineStr">
        <is>
          <t>Inputs used and where they came from</t>
        </is>
      </c>
    </row>
    <row r="12">
      <c r="B12" s="8" t="inlineStr">
        <is>
          <t>Input</t>
        </is>
      </c>
      <c r="C12" s="8" t="inlineStr">
        <is>
          <t>Value</t>
        </is>
      </c>
      <c r="D12" s="8" t="inlineStr">
        <is>
          <t>Source</t>
        </is>
      </c>
      <c r="E12" s="8" t="inlineStr">
        <is>
          <t>Canonical field</t>
        </is>
      </c>
    </row>
    <row r="13">
      <c r="B13" s="9" t="inlineStr">
        <is>
          <t>Vertical cost per unit</t>
        </is>
      </c>
      <c r="C13" s="20">
        <f>INDEX(Use_Effective!$B$5:$B$66,$C$7)</f>
        <v/>
      </c>
      <c r="D13" s="2">
        <f>INDEX(Use_Effective!$Q$5:$Q$66,$C$7)</f>
        <v/>
      </c>
      <c r="E13" s="2" t="inlineStr">
        <is>
          <t>vert</t>
        </is>
      </c>
    </row>
    <row r="14">
      <c r="B14" s="9" t="inlineStr">
        <is>
          <t>Entitlement &amp; zoning $ (fixed, reference basis)</t>
        </is>
      </c>
      <c r="C14" s="20">
        <f>INDEX(Use_Effective!$C$5:$C$66,$C$7)</f>
        <v/>
      </c>
      <c r="D14" s="2">
        <f>INDEX(Use_Effective!$R$5:$R$66,$C$7)</f>
        <v/>
      </c>
      <c r="E14" s="2" t="inlineStr">
        <is>
          <t>entitle</t>
        </is>
      </c>
    </row>
    <row r="15">
      <c r="B15" s="9" t="inlineStr">
        <is>
          <t>TI + leasing commissions per unit</t>
        </is>
      </c>
      <c r="C15" s="20">
        <f>INDEX(Use_Effective!$D$5:$D$66,$C$7)</f>
        <v/>
      </c>
      <c r="D15" s="2">
        <f>INDEX(Use_Effective!$S$5:$S$66,$C$7)</f>
        <v/>
      </c>
      <c r="E15" s="2" t="inlineStr">
        <is>
          <t>tilc</t>
        </is>
      </c>
    </row>
    <row r="16">
      <c r="B16" s="9" t="inlineStr">
        <is>
          <t>Opex per unit per year, excl. tax</t>
        </is>
      </c>
      <c r="C16" s="20">
        <f>INDEX(Use_Effective!$E$5:$E$66,$C$7)</f>
        <v/>
      </c>
      <c r="D16" s="2">
        <f>INDEX(Use_Effective!$T$5:$T$66,$C$7)</f>
        <v/>
      </c>
      <c r="E16" s="2" t="inlineStr">
        <is>
          <t>opex</t>
        </is>
      </c>
    </row>
    <row r="17">
      <c r="B17" s="9" t="inlineStr">
        <is>
          <t>Development months</t>
        </is>
      </c>
      <c r="C17" s="9">
        <f>INDEX(Use_Effective!$F$5:$F$66,$C$7)</f>
        <v/>
      </c>
      <c r="D17" s="2">
        <f>INDEX(Use_Effective!$U$5:$U$66,$C$7)</f>
        <v/>
      </c>
      <c r="E17" s="2" t="inlineStr">
        <is>
          <t>devmo</t>
        </is>
      </c>
    </row>
    <row r="18">
      <c r="B18" s="9" t="inlineStr">
        <is>
          <t>Required margin (first 12 months)</t>
        </is>
      </c>
      <c r="C18" s="23">
        <f>INDEX(Use_Effective!$G$5:$G$66,$C$7)</f>
        <v/>
      </c>
      <c r="D18" s="2">
        <f>INDEX(Use_Effective!$V$5:$V$66,$C$7)</f>
        <v/>
      </c>
      <c r="E18" s="2" t="inlineStr">
        <is>
          <t>margin</t>
        </is>
      </c>
    </row>
    <row r="19">
      <c r="B19" s="9" t="inlineStr">
        <is>
          <t>Lot sale price per unit (For-Sale)</t>
        </is>
      </c>
      <c r="C19" s="20">
        <f>INDEX(Use_Effective!$H$5:$H$66,$C$7)</f>
        <v/>
      </c>
      <c r="D19" s="2">
        <f>INDEX(Use_Effective!$W$5:$W$66,$C$7)</f>
        <v/>
      </c>
      <c r="E19" s="2" t="inlineStr">
        <is>
          <t>lotprice</t>
        </is>
      </c>
    </row>
    <row r="20">
      <c r="B20" s="9" t="inlineStr">
        <is>
          <t>Finished sale price per unit (For-Sale)</t>
        </is>
      </c>
      <c r="C20" s="20">
        <f>INDEX(Use_Effective!$I$5:$I$66,$C$7)</f>
        <v/>
      </c>
      <c r="D20" s="2">
        <f>INDEX(Use_Effective!$X$5:$X$66,$C$7)</f>
        <v/>
      </c>
      <c r="E20" s="2" t="inlineStr">
        <is>
          <t>saleprice</t>
        </is>
      </c>
    </row>
    <row r="21">
      <c r="B21" s="9" t="inlineStr">
        <is>
          <t>Land / pad sale price per acre (For-Sale: per gross lot acre, added to lot price)</t>
        </is>
      </c>
      <c r="C21" s="20">
        <f>INDEX(Use_Effective!$J$5:$J$66,$C$7)</f>
        <v/>
      </c>
      <c r="D21" s="2">
        <f>INDEX(Use_Effective!$Y$5:$Y$66,$C$7)</f>
        <v/>
      </c>
      <c r="E21" s="2" t="inlineStr">
        <is>
          <t>landac</t>
        </is>
      </c>
    </row>
    <row r="22">
      <c r="B22" s="9" t="inlineStr">
        <is>
          <t>Rent per unit per year (Income)</t>
        </is>
      </c>
      <c r="C22" s="20">
        <f>INDEX(Use_Effective!$K$5:$K$66,$C$7)</f>
        <v/>
      </c>
      <c r="D22" s="2">
        <f>INDEX(Use_Effective!$Z$5:$Z$66,$C$7)</f>
        <v/>
      </c>
      <c r="E22" s="2" t="inlineStr">
        <is>
          <t>rent</t>
        </is>
      </c>
    </row>
    <row r="23">
      <c r="B23" s="9" t="inlineStr">
        <is>
          <t>Ground / land lease rent per acre per year</t>
        </is>
      </c>
      <c r="C23" s="20">
        <f>INDEX(Use_Effective!$L$5:$L$66,$C$7)</f>
        <v/>
      </c>
      <c r="D23" s="2">
        <f>INDEX(Use_Effective!$AA$5:$AA$66,$C$7)</f>
        <v/>
      </c>
      <c r="E23" s="2" t="inlineStr">
        <is>
          <t>groundrent</t>
        </is>
      </c>
    </row>
    <row r="24">
      <c r="B24" s="9" t="inlineStr">
        <is>
          <t>Exit / lease cap rate (reference basis)</t>
        </is>
      </c>
      <c r="C24" s="23">
        <f>INDEX(Use_Effective!$M$5:$M$66,$C$7)</f>
        <v/>
      </c>
      <c r="D24" s="2">
        <f>INDEX(Use_Effective!$AB$5:$AB$66,$C$7)</f>
        <v/>
      </c>
      <c r="E24" s="2" t="inlineStr">
        <is>
          <t>cap</t>
        </is>
      </c>
    </row>
    <row r="25">
      <c r="B25" s="9" t="inlineStr">
        <is>
          <t>Stabilized vacancy (or 1 - occupancy for nightly uses)</t>
        </is>
      </c>
      <c r="C25" s="23">
        <f>INDEX(Use_Effective!$N$5:$N$66,$C$7)</f>
        <v/>
      </c>
      <c r="D25" s="2">
        <f>INDEX(Use_Effective!$AC$5:$AC$66,$C$7)</f>
        <v/>
      </c>
      <c r="E25" s="2" t="inlineStr">
        <is>
          <t>vac</t>
        </is>
      </c>
    </row>
    <row r="26">
      <c r="B26" s="9" t="inlineStr">
        <is>
          <t>Absorption: units sold (For-Sale) or leased (Income) per month; 0 = use lease-up months</t>
        </is>
      </c>
      <c r="C26" s="24">
        <f>INDEX(Use_Effective!$O$5:$O$66,$C$7)</f>
        <v/>
      </c>
      <c r="D26" s="2">
        <f>INDEX(Use_Effective!$AD$5:$AD$66,$C$7)</f>
        <v/>
      </c>
      <c r="E26" s="2" t="inlineStr">
        <is>
          <t>absorb</t>
        </is>
      </c>
    </row>
    <row r="27">
      <c r="B27" s="9" t="inlineStr">
        <is>
          <t>Exit 1 sell-out pace: lots (For-Sale) or acres (other) per month; 0 = single sale</t>
        </is>
      </c>
      <c r="C27" s="24">
        <f>INDEX(Use_Effective!$P$5:$P$66,$C$7)</f>
        <v/>
      </c>
      <c r="D27" s="2">
        <f>INDEX(Use_Effective!$AE$5:$AE$66,$C$7)</f>
        <v/>
      </c>
      <c r="E27" s="2" t="inlineStr">
        <is>
          <t>lotabs</t>
        </is>
      </c>
    </row>
    <row r="28">
      <c r="B28" s="9" t="inlineStr">
        <is>
          <t>Location data level (cost index)</t>
        </is>
      </c>
      <c r="C28" s="16">
        <f>Location!$C$9</f>
        <v/>
      </c>
      <c r="D28" s="2">
        <f>Location!D9</f>
        <v/>
      </c>
    </row>
    <row r="30">
      <c r="B30" s="3" t="inlineStr">
        <is>
          <t>Site &amp; yield</t>
        </is>
      </c>
    </row>
    <row r="31">
      <c r="B31" s="9" t="inlineStr">
        <is>
          <t>Zoning status</t>
        </is>
      </c>
      <c r="C31" s="9">
        <f>INDEX(Engine!$J$6:$J$67,$C$7)</f>
        <v/>
      </c>
    </row>
    <row r="32">
      <c r="B32" s="9" t="inlineStr">
        <is>
          <t>Binding constraint</t>
        </is>
      </c>
      <c r="C32" s="9">
        <f>INDEX(Engine!$AL$6:$AL$67,$C$7)</f>
        <v/>
      </c>
    </row>
    <row r="33">
      <c r="B33" s="9" t="inlineStr">
        <is>
          <t>Usable acres (net - open space - detention)</t>
        </is>
      </c>
      <c r="C33" s="14">
        <f>INDEX(Engine!$F$6:$F$67,$C$7)</f>
        <v/>
      </c>
    </row>
    <row r="34">
      <c r="B34" s="9" t="inlineStr">
        <is>
          <t>Usable acres used by this use</t>
        </is>
      </c>
      <c r="C34" s="14">
        <f>INDEX(Engine!$AD$6:$AD$67,$C$7)</f>
        <v/>
      </c>
    </row>
    <row r="35">
      <c r="B35" s="9" t="inlineStr">
        <is>
          <t>Developed acres</t>
        </is>
      </c>
      <c r="C35" s="14">
        <f>INDEX(Engine!$AH$6:$AH$67,$C$7)</f>
        <v/>
      </c>
    </row>
    <row r="36">
      <c r="B36" s="9" t="inlineStr">
        <is>
          <t>Excess gross acres (resold as raw land)</t>
        </is>
      </c>
      <c r="C36" s="14">
        <f>INDEX(Engine!$AI$6:$AI$67,$C$7)</f>
        <v/>
      </c>
    </row>
    <row r="37">
      <c r="B37" s="9" t="inlineStr">
        <is>
          <t>CAPACITY (units / SF / acres)</t>
        </is>
      </c>
      <c r="C37" s="25">
        <f>INDEX(Engine!$AK$6:$AK$67,$C$7)</f>
        <v/>
      </c>
    </row>
    <row r="38">
      <c r="B38" s="9" t="inlineStr">
        <is>
          <t>Capacity unit</t>
        </is>
      </c>
      <c r="C38" s="9">
        <f>INDEX(Engine!$C$6:$C$67,$C$7)</f>
        <v/>
      </c>
    </row>
    <row r="39">
      <c r="B39" s="9" t="inlineStr">
        <is>
          <t>Development months (incl. rezoning / permits)</t>
        </is>
      </c>
      <c r="C39" s="14">
        <f>INDEX(Engine!$CO$6:$CO$67,$C$7)</f>
        <v/>
      </c>
    </row>
    <row r="40">
      <c r="B40" s="9" t="inlineStr">
        <is>
          <t>Exit 1 sell-out months</t>
        </is>
      </c>
      <c r="C40" s="14">
        <f>INDEX(Engine!$CP$6:$CP$67,$C$7)</f>
        <v/>
      </c>
    </row>
    <row r="41">
      <c r="B41" s="9" t="inlineStr">
        <is>
          <t>Exit 2 sell-out months (For-Sale)</t>
        </is>
      </c>
      <c r="C41" s="14">
        <f>INDEX(Engine!$CQ$6:$CQ$67,$C$7)</f>
        <v/>
      </c>
    </row>
    <row r="42">
      <c r="B42" s="9" t="inlineStr">
        <is>
          <t>Lease-up months (Income)</t>
        </is>
      </c>
      <c r="C42" s="14">
        <f>INDEX(Engine!$CR$6:$CR$67,$C$7)</f>
        <v/>
      </c>
    </row>
    <row r="44">
      <c r="B44" s="3" t="inlineStr">
        <is>
          <t>Development budget</t>
        </is>
      </c>
      <c r="C44" s="2" t="inlineStr">
        <is>
          <t>Full build budget. A lot / pad sale (exit 1) excludes paving, septic systems and wells - the buyer builds them.</t>
        </is>
      </c>
    </row>
    <row r="45">
      <c r="B45" s="8" t="inlineStr">
        <is>
          <t>Line</t>
        </is>
      </c>
      <c r="C45" s="8" t="inlineStr">
        <is>
          <t>Quantity</t>
        </is>
      </c>
      <c r="D45" s="8" t="inlineStr">
        <is>
          <t>Unit cost</t>
        </is>
      </c>
      <c r="E45" s="8" t="inlineStr">
        <is>
          <t>Total</t>
        </is>
      </c>
      <c r="F45" s="8" t="inlineStr">
        <is>
          <t>Canonical field</t>
        </is>
      </c>
    </row>
    <row r="46">
      <c r="B46" s="9" t="inlineStr">
        <is>
          <t>02-100 Survey</t>
        </is>
      </c>
      <c r="C46" s="14">
        <f>IF(INDEX(Engine!$BG$6:$BG$67,$C$7)&lt;&gt;0,1,0)</f>
        <v/>
      </c>
      <c r="D46" s="20">
        <f>IF(C46=0,0,E46/C46)</f>
        <v/>
      </c>
      <c r="E46" s="20">
        <f>INDEX(Engine!$BG$6:$BG$67,$C$7)</f>
        <v/>
      </c>
      <c r="F46" s="2" t="inlineStr">
        <is>
          <t>cost_02-100</t>
        </is>
      </c>
    </row>
    <row r="47">
      <c r="B47" s="9" t="inlineStr">
        <is>
          <t>02-110 Platting</t>
        </is>
      </c>
      <c r="C47" s="14">
        <f>INDEX(Engine!$BE$6:$BE$67,$C$7)</f>
        <v/>
      </c>
      <c r="D47" s="20">
        <f>IF(C47=0,0,E47/C47)</f>
        <v/>
      </c>
      <c r="E47" s="20">
        <f>INDEX(Engine!$BH$6:$BH$67,$C$7)</f>
        <v/>
      </c>
      <c r="F47" s="2" t="inlineStr">
        <is>
          <t>cost_02-110</t>
        </is>
      </c>
    </row>
    <row r="48">
      <c r="B48" s="9" t="inlineStr">
        <is>
          <t>02-200 Civil engineering</t>
        </is>
      </c>
      <c r="C48" s="14">
        <f>INDEX(Engine!$BD$6:$BD$67,$C$7)</f>
        <v/>
      </c>
      <c r="D48" s="20">
        <f>IF(C48=0,0,E48/C48)</f>
        <v/>
      </c>
      <c r="E48" s="20">
        <f>INDEX(Engine!$BI$6:$BI$67,$C$7)</f>
        <v/>
      </c>
      <c r="F48" s="2" t="inlineStr">
        <is>
          <t>cost_02-200</t>
        </is>
      </c>
    </row>
    <row r="49">
      <c r="B49" s="9" t="inlineStr">
        <is>
          <t>02-300 Geotech</t>
        </is>
      </c>
      <c r="C49" s="14">
        <f>IF(INDEX(Engine!$BJ$6:$BJ$67,$C$7)&lt;&gt;0,1,0)</f>
        <v/>
      </c>
      <c r="D49" s="20">
        <f>IF(C49=0,0,E49/C49)</f>
        <v/>
      </c>
      <c r="E49" s="20">
        <f>INDEX(Engine!$BJ$6:$BJ$67,$C$7)</f>
        <v/>
      </c>
      <c r="F49" s="2" t="inlineStr">
        <is>
          <t>cost_02-300</t>
        </is>
      </c>
    </row>
    <row r="50">
      <c r="B50" s="9" t="inlineStr">
        <is>
          <t>02-310 Septic evaluations</t>
        </is>
      </c>
      <c r="C50" s="14">
        <f>INDEX(Engine!$AY$6:$AY$67,$C$7)</f>
        <v/>
      </c>
      <c r="D50" s="20">
        <f>IF(C50=0,0,E50/C50)</f>
        <v/>
      </c>
      <c r="E50" s="20">
        <f>INDEX(Engine!$BK$6:$BK$67,$C$7)</f>
        <v/>
      </c>
      <c r="F50" s="2" t="inlineStr">
        <is>
          <t>cost_02-310</t>
        </is>
      </c>
    </row>
    <row r="51">
      <c r="B51" s="9" t="inlineStr">
        <is>
          <t>02-320 State wastewater permit</t>
        </is>
      </c>
      <c r="C51" s="14">
        <f>IF(INDEX(Engine!$BL$6:$BL$67,$C$7)&lt;&gt;0,1,0)</f>
        <v/>
      </c>
      <c r="D51" s="20">
        <f>IF(C51=0,0,E51/C51)</f>
        <v/>
      </c>
      <c r="E51" s="20">
        <f>INDEX(Engine!$BL$6:$BL$67,$C$7)</f>
        <v/>
      </c>
      <c r="F51" s="2" t="inlineStr">
        <is>
          <t>cost_02-320</t>
        </is>
      </c>
    </row>
    <row r="52">
      <c r="B52" s="9" t="inlineStr">
        <is>
          <t>02-400 Phase I</t>
        </is>
      </c>
      <c r="C52" s="14">
        <f>IF(INDEX(Engine!$BM$6:$BM$67,$C$7)&lt;&gt;0,1,0)</f>
        <v/>
      </c>
      <c r="D52" s="20">
        <f>IF(C52=0,0,E52/C52)</f>
        <v/>
      </c>
      <c r="E52" s="20">
        <f>INDEX(Engine!$BM$6:$BM$67,$C$7)</f>
        <v/>
      </c>
      <c r="F52" s="2" t="inlineStr">
        <is>
          <t>cost_02-400</t>
        </is>
      </c>
    </row>
    <row r="53">
      <c r="B53" s="9" t="inlineStr">
        <is>
          <t>02-500 Drainage study</t>
        </is>
      </c>
      <c r="C53" s="14">
        <f>IF(INDEX(Engine!$BN$6:$BN$67,$C$7)&lt;&gt;0,1,0)</f>
        <v/>
      </c>
      <c r="D53" s="20">
        <f>IF(C53=0,0,E53/C53)</f>
        <v/>
      </c>
      <c r="E53" s="20">
        <f>INDEX(Engine!$BN$6:$BN$67,$C$7)</f>
        <v/>
      </c>
      <c r="F53" s="2" t="inlineStr">
        <is>
          <t>cost_02-500</t>
        </is>
      </c>
    </row>
    <row r="54">
      <c r="B54" s="9" t="inlineStr">
        <is>
          <t>Entitlement</t>
        </is>
      </c>
      <c r="C54" s="14">
        <f>IF(INDEX(Engine!$BO$6:$BO$67,$C$7)&lt;&gt;0,1,0)</f>
        <v/>
      </c>
      <c r="D54" s="20">
        <f>IF(C54=0,0,E54/C54)</f>
        <v/>
      </c>
      <c r="E54" s="20">
        <f>INDEX(Engine!$BO$6:$BO$67,$C$7)</f>
        <v/>
      </c>
      <c r="F54" s="2" t="inlineStr">
        <is>
          <t>c_ent</t>
        </is>
      </c>
    </row>
    <row r="55">
      <c r="B55" s="9" t="inlineStr">
        <is>
          <t>Rezoning</t>
        </is>
      </c>
      <c r="C55" s="14">
        <f>IF(INDEX(Engine!$BP$6:$BP$67,$C$7)&lt;&gt;0,1,0)</f>
        <v/>
      </c>
      <c r="D55" s="20">
        <f>IF(C55=0,0,E55/C55)</f>
        <v/>
      </c>
      <c r="E55" s="20">
        <f>INDEX(Engine!$BP$6:$BP$67,$C$7)</f>
        <v/>
      </c>
      <c r="F55" s="2" t="inlineStr">
        <is>
          <t>c_rezone</t>
        </is>
      </c>
    </row>
    <row r="56">
      <c r="B56" s="9" t="inlineStr">
        <is>
          <t>02-700 Legal &amp; title</t>
        </is>
      </c>
      <c r="C56" s="14">
        <f>IF(INDEX(Engine!$BQ$6:$BQ$67,$C$7)&lt;&gt;0,1,0)</f>
        <v/>
      </c>
      <c r="D56" s="20">
        <f>IF(C56=0,0,E56/C56)</f>
        <v/>
      </c>
      <c r="E56" s="20">
        <f>INDEX(Engine!$BQ$6:$BQ$67,$C$7)</f>
        <v/>
      </c>
      <c r="F56" s="2" t="inlineStr">
        <is>
          <t>cost_02-700</t>
        </is>
      </c>
    </row>
    <row r="57">
      <c r="B57" s="9" t="inlineStr">
        <is>
          <t>03-100 Clearing (ac)</t>
        </is>
      </c>
      <c r="C57" s="14">
        <f>INDEX(Engine!$BC$6:$BC$67,$C$7)</f>
        <v/>
      </c>
      <c r="D57" s="20">
        <f>IF(C57=0,0,E57/C57)</f>
        <v/>
      </c>
      <c r="E57" s="20">
        <f>INDEX(Engine!$BR$6:$BR$67,$C$7)</f>
        <v/>
      </c>
      <c r="F57" s="2" t="inlineStr">
        <is>
          <t>cost_03-100</t>
        </is>
      </c>
    </row>
    <row r="58">
      <c r="B58" s="9" t="inlineStr">
        <is>
          <t>03-200 Grading (ac)</t>
        </is>
      </c>
      <c r="C58" s="14">
        <f>INDEX(Engine!$BD$6:$BD$67,$C$7)</f>
        <v/>
      </c>
      <c r="D58" s="20">
        <f>IF(C58=0,0,E58/C58)</f>
        <v/>
      </c>
      <c r="E58" s="20">
        <f>INDEX(Engine!$BS$6:$BS$67,$C$7)</f>
        <v/>
      </c>
      <c r="F58" s="2" t="inlineStr">
        <is>
          <t>cost_03-200</t>
        </is>
      </c>
    </row>
    <row r="59">
      <c r="B59" s="9" t="inlineStr">
        <is>
          <t>03-300 Roads (LF)</t>
        </is>
      </c>
      <c r="C59" s="14">
        <f>INDEX(Engine!$AQ$6:$AQ$67,$C$7)</f>
        <v/>
      </c>
      <c r="D59" s="20">
        <f>IF(C59=0,0,E59/C59)</f>
        <v/>
      </c>
      <c r="E59" s="20">
        <f>INDEX(Engine!$BT$6:$BT$67,$C$7)</f>
        <v/>
      </c>
      <c r="F59" s="2" t="inlineStr">
        <is>
          <t>cost_03-300</t>
        </is>
      </c>
    </row>
    <row r="60">
      <c r="B60" s="9" t="inlineStr">
        <is>
          <t>03-350 Paving (SF)</t>
        </is>
      </c>
      <c r="C60" s="14">
        <f>INDEX(Engine!$AR$6:$AR$67,$C$7)</f>
        <v/>
      </c>
      <c r="D60" s="20">
        <f>IF(C60=0,0,E60/C60)</f>
        <v/>
      </c>
      <c r="E60" s="20">
        <f>INDEX(Engine!$BU$6:$BU$67,$C$7)</f>
        <v/>
      </c>
      <c r="F60" s="2" t="inlineStr">
        <is>
          <t>cost_03-350</t>
        </is>
      </c>
    </row>
    <row r="61">
      <c r="B61" s="9" t="inlineStr">
        <is>
          <t>03-400 Detention (ac)</t>
        </is>
      </c>
      <c r="C61" s="14">
        <f>INDEX(Engine!$AG$6:$AG$67,$C$7)</f>
        <v/>
      </c>
      <c r="D61" s="20">
        <f>IF(C61=0,0,E61/C61)</f>
        <v/>
      </c>
      <c r="E61" s="20">
        <f>INDEX(Engine!$BV$6:$BV$67,$C$7)</f>
        <v/>
      </c>
      <c r="F61" s="2" t="inlineStr">
        <is>
          <t>cost_03-400</t>
        </is>
      </c>
    </row>
    <row r="62">
      <c r="B62" s="9" t="inlineStr">
        <is>
          <t>03-500 SWPPP (ac)</t>
        </is>
      </c>
      <c r="C62" s="14">
        <f>INDEX(Engine!$BD$6:$BD$67,$C$7)</f>
        <v/>
      </c>
      <c r="D62" s="20">
        <f>IF(C62=0,0,E62/C62)</f>
        <v/>
      </c>
      <c r="E62" s="20">
        <f>INDEX(Engine!$BW$6:$BW$67,$C$7)</f>
        <v/>
      </c>
      <c r="F62" s="2" t="inlineStr">
        <is>
          <t>cost_03-500</t>
        </is>
      </c>
    </row>
    <row r="63">
      <c r="B63" s="9" t="inlineStr">
        <is>
          <t>03-600 Driveway / turn lane</t>
        </is>
      </c>
      <c r="C63" s="14">
        <f>IF(INDEX(Engine!$BX$6:$BX$67,$C$7)&lt;&gt;0,1,0)</f>
        <v/>
      </c>
      <c r="D63" s="20">
        <f>IF(C63=0,0,E63/C63)</f>
        <v/>
      </c>
      <c r="E63" s="20">
        <f>INDEX(Engine!$BX$6:$BX$67,$C$7)</f>
        <v/>
      </c>
      <c r="F63" s="2" t="inlineStr">
        <is>
          <t>cost_03-600</t>
        </is>
      </c>
    </row>
    <row r="64">
      <c r="B64" s="9" t="inlineStr">
        <is>
          <t>04-100 Water line (LF)</t>
        </is>
      </c>
      <c r="C64" s="14">
        <f>INDEX(Engine!$AT$6:$AT$67,$C$7)</f>
        <v/>
      </c>
      <c r="D64" s="20">
        <f>IF(C64=0,0,E64/C64)</f>
        <v/>
      </c>
      <c r="E64" s="20">
        <f>INDEX(Engine!$BY$6:$BY$67,$C$7)</f>
        <v/>
      </c>
      <c r="F64" s="2" t="inlineStr">
        <is>
          <t>cost_04-100</t>
        </is>
      </c>
    </row>
    <row r="65">
      <c r="B65" s="9" t="inlineStr">
        <is>
          <t>04-110 Water taps</t>
        </is>
      </c>
      <c r="C65" s="14">
        <f>INDEX(Engine!$AU$6:$AU$67,$C$7)</f>
        <v/>
      </c>
      <c r="D65" s="20">
        <f>IF(C65=0,0,E65/C65)</f>
        <v/>
      </c>
      <c r="E65" s="20">
        <f>INDEX(Engine!$BZ$6:$BZ$67,$C$7)</f>
        <v/>
      </c>
      <c r="F65" s="2" t="inlineStr">
        <is>
          <t>cost_04-110</t>
        </is>
      </c>
    </row>
    <row r="66">
      <c r="B66" s="9" t="inlineStr">
        <is>
          <t>04-200 Sewer line (LF)</t>
        </is>
      </c>
      <c r="C66" s="14">
        <f>INDEX(Engine!$AW$6:$AW$67,$C$7)</f>
        <v/>
      </c>
      <c r="D66" s="20">
        <f>IF(C66=0,0,E66/C66)</f>
        <v/>
      </c>
      <c r="E66" s="20">
        <f>INDEX(Engine!$CA$6:$CA$67,$C$7)</f>
        <v/>
      </c>
      <c r="F66" s="2" t="inlineStr">
        <is>
          <t>cost_04-200</t>
        </is>
      </c>
    </row>
    <row r="67">
      <c r="B67" s="9" t="inlineStr">
        <is>
          <t>04-210 Sewer taps</t>
        </is>
      </c>
      <c r="C67" s="14">
        <f>INDEX(Engine!$AX$6:$AX$67,$C$7)</f>
        <v/>
      </c>
      <c r="D67" s="20">
        <f>IF(C67=0,0,E67/C67)</f>
        <v/>
      </c>
      <c r="E67" s="20">
        <f>INDEX(Engine!$CB$6:$CB$67,$C$7)</f>
        <v/>
      </c>
      <c r="F67" s="2" t="inlineStr">
        <is>
          <t>cost_04-210</t>
        </is>
      </c>
    </row>
    <row r="68">
      <c r="B68" s="9" t="inlineStr">
        <is>
          <t>04-300 Septic systems</t>
        </is>
      </c>
      <c r="C68" s="14">
        <f>INDEX(Engine!$AY$6:$AY$67,$C$7)</f>
        <v/>
      </c>
      <c r="D68" s="20">
        <f>IF(C68=0,0,E68/C68)</f>
        <v/>
      </c>
      <c r="E68" s="20">
        <f>INDEX(Engine!$CC$6:$CC$67,$C$7)</f>
        <v/>
      </c>
      <c r="F68" s="2" t="inlineStr">
        <is>
          <t>cost_04-300</t>
        </is>
      </c>
    </row>
    <row r="69">
      <c r="B69" s="9" t="inlineStr">
        <is>
          <t>04-310 Wells</t>
        </is>
      </c>
      <c r="C69" s="14">
        <f>INDEX(Engine!$BB$6:$BB$67,$C$7)</f>
        <v/>
      </c>
      <c r="D69" s="20">
        <f>IF(C69=0,0,E69/C69)</f>
        <v/>
      </c>
      <c r="E69" s="20">
        <f>INDEX(Engine!$CD$6:$CD$67,$C$7)</f>
        <v/>
      </c>
      <c r="F69" s="2" t="inlineStr">
        <is>
          <t>cost_04-310</t>
        </is>
      </c>
    </row>
    <row r="70">
      <c r="B70" s="9" t="inlineStr">
        <is>
          <t>04-320/330 Public water system</t>
        </is>
      </c>
      <c r="C70" s="14">
        <f>IF(INDEX(Engine!$CE$6:$CE$67,$C$7)&lt;&gt;0,1,0)</f>
        <v/>
      </c>
      <c r="D70" s="20">
        <f>IF(C70=0,0,E70/C70)</f>
        <v/>
      </c>
      <c r="E70" s="20">
        <f>INDEX(Engine!$CE$6:$CE$67,$C$7)</f>
        <v/>
      </c>
      <c r="F70" s="2" t="inlineStr">
        <is>
          <t>cost_04-320/330</t>
        </is>
      </c>
    </row>
    <row r="71">
      <c r="B71" s="9" t="inlineStr">
        <is>
          <t>04-400 Electric (LF)</t>
        </is>
      </c>
      <c r="C71" s="14">
        <f>INDEX(Engine!$AQ$6:$AQ$67,$C$7)</f>
        <v/>
      </c>
      <c r="D71" s="20">
        <f>IF(C71=0,0,E71/C71)</f>
        <v/>
      </c>
      <c r="E71" s="20">
        <f>INDEX(Engine!$CF$6:$CF$67,$C$7)</f>
        <v/>
      </c>
      <c r="F71" s="2" t="inlineStr">
        <is>
          <t>cost_04-400</t>
        </is>
      </c>
    </row>
    <row r="72">
      <c r="B72" s="9" t="inlineStr">
        <is>
          <t>Horizontal contingency</t>
        </is>
      </c>
      <c r="C72" s="14">
        <f>IF(INDEX(Engine!$CH$6:$CH$67,$C$7)&lt;&gt;0,1,0)</f>
        <v/>
      </c>
      <c r="D72" s="20">
        <f>IF(C72=0,0,E72/C72)</f>
        <v/>
      </c>
      <c r="E72" s="20">
        <f>INDEX(Engine!$CH$6:$CH$67,$C$7)</f>
        <v/>
      </c>
      <c r="F72" s="2" t="inlineStr">
        <is>
          <t>h_cont</t>
        </is>
      </c>
    </row>
    <row r="73">
      <c r="B73" s="9" t="inlineStr">
        <is>
          <t>Org estimating bias (learned)</t>
        </is>
      </c>
      <c r="C73" s="14">
        <f>IF(INDEX(Engine!$CI$6:$CI$67,$C$7)&lt;&gt;0,1,0)</f>
        <v/>
      </c>
      <c r="D73" s="20">
        <f>IF(C73=0,0,E73/C73)</f>
        <v/>
      </c>
      <c r="E73" s="20">
        <f>INDEX(Engine!$CI$6:$CI$67,$C$7)</f>
        <v/>
      </c>
      <c r="F73" s="2" t="inlineStr">
        <is>
          <t>h_bias</t>
        </is>
      </c>
    </row>
    <row r="74">
      <c r="B74" s="4" t="inlineStr">
        <is>
          <t>HORIZONTAL TOTAL</t>
        </is>
      </c>
      <c r="C74" s="14">
        <f>IF(INDEX(Engine!$CJ$6:$CJ$67,$C$7)&lt;&gt;0,1,0)</f>
        <v/>
      </c>
      <c r="D74" s="20">
        <f>IF(C74=0,0,E74/C74)</f>
        <v/>
      </c>
      <c r="E74" s="22">
        <f>INDEX(Engine!$CJ$6:$CJ$67,$C$7)</f>
        <v/>
      </c>
      <c r="F74" s="2" t="inlineStr">
        <is>
          <t>H</t>
        </is>
      </c>
    </row>
    <row r="75">
      <c r="B75" s="9" t="inlineStr">
        <is>
          <t>Vertical hard cost</t>
        </is>
      </c>
      <c r="C75" s="14">
        <f>INDEX(Engine!$AK$6:$AK$67,$C$7)</f>
        <v/>
      </c>
      <c r="D75" s="20">
        <f>IF(C75=0,0,E75/C75)</f>
        <v/>
      </c>
      <c r="E75" s="20">
        <f>INDEX(Engine!$CK$6:$CK$67,$C$7)</f>
        <v/>
      </c>
      <c r="F75" s="2" t="inlineStr">
        <is>
          <t>vert</t>
        </is>
      </c>
    </row>
    <row r="76">
      <c r="B76" s="9" t="inlineStr">
        <is>
          <t>Vertical soft + contingency</t>
        </is>
      </c>
      <c r="C76" s="14">
        <f>IF(INDEX(Engine!$CL$6:$CL$67,$C$7)&lt;&gt;0,1,0)</f>
        <v/>
      </c>
      <c r="D76" s="20">
        <f>IF(C76=0,0,E76/C76)</f>
        <v/>
      </c>
      <c r="E76" s="20">
        <f>INDEX(Engine!$CL$6:$CL$67,$C$7)</f>
        <v/>
      </c>
      <c r="F76" s="2" t="inlineStr">
        <is>
          <t>vsc</t>
        </is>
      </c>
    </row>
    <row r="77">
      <c r="B77" s="9" t="inlineStr">
        <is>
          <t>TI + leasing commissions</t>
        </is>
      </c>
      <c r="C77" s="14">
        <f>INDEX(Engine!$AK$6:$AK$67,$C$7)</f>
        <v/>
      </c>
      <c r="D77" s="20">
        <f>IF(C77=0,0,E77/C77)</f>
        <v/>
      </c>
      <c r="E77" s="20">
        <f>INDEX(Engine!$CM$6:$CM$67,$C$7)</f>
        <v/>
      </c>
      <c r="F77" s="2" t="inlineStr">
        <is>
          <t>tilc</t>
        </is>
      </c>
    </row>
    <row r="78">
      <c r="B78" s="9" t="inlineStr">
        <is>
          <t>Impact fees</t>
        </is>
      </c>
      <c r="C78" s="14">
        <f>INDEX(Engine!$AK$6:$AK$67,$C$7)</f>
        <v/>
      </c>
      <c r="D78" s="20">
        <f>IF(C78=0,0,E78/C78)</f>
        <v/>
      </c>
      <c r="E78" s="20">
        <f>INDEX(Engine!$CN$6:$CN$67,$C$7)</f>
        <v/>
      </c>
      <c r="F78" s="2" t="inlineStr">
        <is>
          <t>impact</t>
        </is>
      </c>
    </row>
    <row r="80">
      <c r="B80" s="3" t="inlineStr">
        <is>
          <t>Operating statement (Income uses, stabilized)</t>
        </is>
      </c>
    </row>
    <row r="81">
      <c r="B81" s="9" t="inlineStr">
        <is>
          <t>Gross potential rent</t>
        </is>
      </c>
      <c r="C81" s="20">
        <f>INDEX(Engine!$DS$6:$DS$67,$C$7)</f>
        <v/>
      </c>
    </row>
    <row r="82">
      <c r="B82" s="9" t="inlineStr">
        <is>
          <t>Effective gross income</t>
        </is>
      </c>
      <c r="C82" s="20">
        <f>INDEX(Engine!$DT$6:$DT$67,$C$7)</f>
        <v/>
      </c>
    </row>
    <row r="83">
      <c r="B83" s="9" t="inlineStr">
        <is>
          <t>Operating expenses (ex tax, ex mgmt)</t>
        </is>
      </c>
      <c r="C83" s="20">
        <f>INDEX(Engine!$DU$6:$DU$67,$C$7)</f>
        <v/>
      </c>
    </row>
    <row r="84">
      <c r="B84" s="9" t="inlineStr">
        <is>
          <t>Property tax</t>
        </is>
      </c>
      <c r="C84" s="20">
        <f>INDEX(Engine!$DV$6:$DV$67,$C$7)</f>
        <v/>
      </c>
    </row>
    <row r="85">
      <c r="B85" s="9" t="inlineStr">
        <is>
          <t>Management</t>
        </is>
      </c>
      <c r="C85" s="20">
        <f>INDEX(Engine!$DW$6:$DW$67,$C$7)</f>
        <v/>
      </c>
    </row>
    <row r="86">
      <c r="B86" s="9" t="inlineStr">
        <is>
          <t>Expense recoveries</t>
        </is>
      </c>
      <c r="C86" s="20">
        <f>INDEX(Engine!$DX$6:$DX$67,$C$7)</f>
        <v/>
      </c>
    </row>
    <row r="87">
      <c r="B87" s="9" t="inlineStr">
        <is>
          <t>NET OPERATING INCOME</t>
        </is>
      </c>
      <c r="C87" s="22">
        <f>INDEX(Engine!$DY$6:$DY$67,$C$7)</f>
        <v/>
      </c>
    </row>
    <row r="88">
      <c r="B88" s="9" t="inlineStr">
        <is>
          <t>Cap rate used (localized)</t>
        </is>
      </c>
      <c r="C88" s="26">
        <f>INDEX(Engine!$DZ$6:$DZ$67,$C$7)</f>
        <v/>
      </c>
    </row>
    <row r="89">
      <c r="B89" s="9" t="inlineStr">
        <is>
          <t>Stabilized value (NOI / cap)</t>
        </is>
      </c>
      <c r="C89" s="20">
        <f>INDEX(Engine!$EA$6:$EA$67,$C$7)</f>
        <v/>
      </c>
    </row>
    <row r="90">
      <c r="B90" s="9" t="inlineStr">
        <is>
          <t>Yield on cost</t>
        </is>
      </c>
      <c r="C90" s="23">
        <f>INDEX(Engine!$EC$6:$EC$67,$C$7)</f>
        <v/>
      </c>
    </row>
    <row r="91">
      <c r="B91" s="9" t="inlineStr">
        <is>
          <t>Permanent loan (lesser of LTV, DSCR, debt yield)</t>
        </is>
      </c>
      <c r="C91" s="20">
        <f>INDEX(Engine!$EP$6:$EP$67,$C$7)</f>
        <v/>
      </c>
    </row>
    <row r="92">
      <c r="B92" s="9" t="inlineStr">
        <is>
          <t>DSCR on permanent loan</t>
        </is>
      </c>
      <c r="C92" s="27">
        <f>INDEX(Engine!$EQ$6:$EQ$67,$C$7)</f>
        <v/>
      </c>
    </row>
    <row r="93">
      <c r="B93" s="9" t="inlineStr">
        <is>
          <t>Cash out at refi (perm - dev loan)</t>
        </is>
      </c>
      <c r="C93" s="20">
        <f>INDEX(Engine!$ER$6:$ER$67,$C$7)</f>
        <v/>
      </c>
    </row>
    <row r="95">
      <c r="B95" s="3" t="inlineStr">
        <is>
          <t>Exits</t>
        </is>
      </c>
    </row>
    <row r="96">
      <c r="B96" s="8" t="inlineStr">
        <is>
          <t>Line</t>
        </is>
      </c>
      <c r="C96" s="8" t="inlineStr">
        <is>
          <t>Land / pad sale</t>
        </is>
      </c>
      <c r="D96" s="8" t="inlineStr">
        <is>
          <t>Build &amp; sell</t>
        </is>
      </c>
      <c r="E96" s="8" t="inlineStr">
        <is>
          <t>Build &amp; hold / lease</t>
        </is>
      </c>
    </row>
    <row r="97">
      <c r="B97" s="9" t="inlineStr">
        <is>
          <t>Allowed for this use</t>
        </is>
      </c>
      <c r="C97" s="9">
        <f>IF(INDEX(Use_Library!$AV$5:$AV$66,$C$7)=1,"Yes","No")</f>
        <v/>
      </c>
      <c r="D97" s="9">
        <f>IF(INDEX(Use_Library!$AW$5:$AW$66,$C$7)=1,"Yes","No")</f>
        <v/>
      </c>
      <c r="E97" s="9">
        <f>IF(INDEX(Use_Library!$AX$5:$AX$66,$C$7)=1,"Yes","No")</f>
        <v/>
      </c>
    </row>
    <row r="98">
      <c r="B98" s="9" t="inlineStr">
        <is>
          <t>Net revenue / value</t>
        </is>
      </c>
      <c r="C98" s="20">
        <f>INDEX(Engine!$DJ$6:$DJ$67,$C$7)</f>
        <v/>
      </c>
      <c r="D98" s="20">
        <f>INDEX(Engine!$ED$6:$ED$67,$C$7)</f>
        <v/>
      </c>
      <c r="E98" s="20">
        <f>INDEX(Engine!$EH$6:$EH$67,$C$7)</f>
        <v/>
      </c>
    </row>
    <row r="99">
      <c r="B99" s="9" t="inlineStr">
        <is>
          <t>Total cost at asking price</t>
        </is>
      </c>
      <c r="C99" s="20">
        <f>INDEX(Engine!$DM$6:$DM$67,$C$7)</f>
        <v/>
      </c>
      <c r="D99" s="20">
        <f>INDEX(Engine!$DR$6:$DR$67,$C$7)</f>
        <v/>
      </c>
      <c r="E99" s="20">
        <f>INDEX(Engine!$EK$6:$EK$67,$C$7)</f>
        <v/>
      </c>
    </row>
    <row r="100">
      <c r="B100" s="9" t="inlineStr">
        <is>
          <t>Profit / value created at asking</t>
        </is>
      </c>
      <c r="C100" s="20">
        <f>INDEX(Engine!$DN$6:$DN$67,$C$7)</f>
        <v/>
      </c>
      <c r="D100" s="20">
        <f>INDEX(Engine!$EF$6:$EF$67,$C$7)</f>
        <v/>
      </c>
      <c r="E100" s="20">
        <f>INDEX(Engine!$EM$6:$EM$67,$C$7)</f>
        <v/>
      </c>
    </row>
    <row r="101">
      <c r="B101" s="9" t="inlineStr">
        <is>
          <t>Months to exit</t>
        </is>
      </c>
      <c r="C101" s="14">
        <f>INDEX(Engine!$CS$6:$CS$67,$C$7)</f>
        <v/>
      </c>
      <c r="D101" s="14">
        <f>INDEX(Engine!$CT$6:$CT$67,$C$7)</f>
        <v/>
      </c>
      <c r="E101" s="14">
        <f>INDEX(Engine!$CU$6:$CU$67,$C$7)</f>
        <v/>
      </c>
    </row>
    <row r="102">
      <c r="B102" s="9" t="inlineStr">
        <is>
          <t>Required margin</t>
        </is>
      </c>
      <c r="C102" s="23">
        <f>INDEX(Engine!$CV$6:$CV$67,$C$7)</f>
        <v/>
      </c>
      <c r="D102" s="23">
        <f>INDEX(Engine!$CW$6:$CW$67,$C$7)</f>
        <v/>
      </c>
      <c r="E102" s="23">
        <f>INDEX(Engine!$CX$6:$CX$67,$C$7)</f>
        <v/>
      </c>
    </row>
    <row r="103">
      <c r="B103" s="9" t="inlineStr">
        <is>
          <t>Cost per $1 of land</t>
        </is>
      </c>
      <c r="C103" s="28">
        <f>INDEX(Engine!$DL$6:$DL$67,$C$7)</f>
        <v/>
      </c>
      <c r="D103" s="28">
        <f>INDEX(Engine!$DQ$6:$DQ$67,$C$7)</f>
        <v/>
      </c>
      <c r="E103" s="28">
        <f>INDEX(Engine!$EJ$6:$EJ$67,$C$7)</f>
        <v/>
      </c>
    </row>
    <row r="104">
      <c r="B104" s="4" t="inlineStr">
        <is>
          <t>MAX OFFER</t>
        </is>
      </c>
      <c r="C104" s="19">
        <f>INDEX(Engine!$DO$6:$DO$67,$C$7)</f>
        <v/>
      </c>
      <c r="D104" s="19">
        <f>INDEX(Engine!$EG$6:$EG$67,$C$7)</f>
        <v/>
      </c>
      <c r="E104" s="19">
        <f>INDEX(Engine!$EN$6:$EN$67,$C$7)</f>
        <v/>
      </c>
    </row>
    <row r="106">
      <c r="B106" s="3" t="inlineStr">
        <is>
          <t>Monthly cash flow (chosen exit, land at the price above)</t>
        </is>
      </c>
    </row>
    <row r="107">
      <c r="B107" s="9" t="inlineStr">
        <is>
          <t>Development months</t>
        </is>
      </c>
      <c r="C107" s="15">
        <f>MAX(1,ROUND(INDEX(Engine!$CO$6:$CO$67,$C$7),0))</f>
        <v/>
      </c>
    </row>
    <row r="108">
      <c r="B108" s="9" t="inlineStr">
        <is>
          <t>Sell-out / lease-up months</t>
        </is>
      </c>
      <c r="C108" s="15">
        <f>ROUND(CHOOSE($C$8,INDEX(Engine!$CP$6:$CP$67,$C$7),IF(INDEX(Engine!$B$6:$B$67,$C$7)="Income",INDEX(Engine!$CR$6:$CR$67,$C$7),INDEX(Engine!$CQ$6:$CQ$67,$C$7)),IF(INDEX(Engine!$B$6:$B$67,$C$7)="Income",INDEX(Engine!$CR$6:$CR$67,$C$7),0)),0)</f>
        <v/>
      </c>
    </row>
    <row r="109">
      <c r="B109" s="9" t="inlineStr">
        <is>
          <t>Months of land carry</t>
        </is>
      </c>
      <c r="C109" s="15">
        <f>ROUND(CHOOSE($C$8,INDEX(Engine!$CO$6:$CO$67,$C$7)+INDEX(Engine!$CP$6:$CP$67,$C$7)/2,INDEX(Engine!$CO$6:$CO$67,$C$7)+INDEX(Engine!$CQ$6:$CQ$67,$C$7)/2,INDEX(Engine!$CO$6:$CO$67,$C$7)),0)</f>
        <v/>
      </c>
    </row>
    <row r="110">
      <c r="B110" s="9" t="inlineStr">
        <is>
          <t>Development cost (non-land)</t>
        </is>
      </c>
      <c r="C110" s="20">
        <f>CHOOSE($C$8,INDEX(Engine!$DK$6:$DK$67,$C$7),INDEX(Engine!$DP$6:$DP$67,$C$7),INDEX(Engine!$EI$6:$EI$67,$C$7))</f>
        <v/>
      </c>
    </row>
    <row r="111">
      <c r="B111" s="9" t="inlineStr">
        <is>
          <t>Exit revenue / value (net)</t>
        </is>
      </c>
      <c r="C111" s="20">
        <f>CHOOSE($C$8,INDEX(Engine!$DJ$6:$DJ$67,$C$7),INDEX(Engine!$ED$6:$ED$67,$C$7),INDEX(Engine!$EH$6:$EH$67,$C$7))</f>
        <v/>
      </c>
    </row>
    <row r="112">
      <c r="B112" s="9" t="inlineStr">
        <is>
          <t>Stabilized NOI (ramps during lease-up)</t>
        </is>
      </c>
      <c r="C112" s="20">
        <f>IF(AND(INDEX(Engine!$B$6:$B$67,$C$7)="Income",$C$8&gt;=2),INDEX(Engine!$DY$6:$DY$67,$C$7),0)</f>
        <v/>
      </c>
    </row>
    <row r="113">
      <c r="B113" s="9" t="inlineStr">
        <is>
          <t>Revenue spread over sell-out (1) or lump at end (0)</t>
        </is>
      </c>
      <c r="C113" s="15">
        <f>IF(OR($C$8=1,AND($C$8=2,INDEX(Engine!$B$6:$B$67,$C$7)="For-Sale")),1,0)</f>
        <v/>
      </c>
    </row>
    <row r="114">
      <c r="B114" s="9" t="inlineStr">
        <is>
          <t>Land closing + conversion factor</t>
        </is>
      </c>
      <c r="C114" s="28">
        <f>1+Location!$C$17+IF(Parcel!$C$26="Y",Location!$C$20,0)</f>
        <v/>
      </c>
    </row>
    <row r="116">
      <c r="B116" s="3" t="inlineStr">
        <is>
          <t>Returns</t>
        </is>
      </c>
    </row>
    <row r="117">
      <c r="B117" s="4" t="inlineStr">
        <is>
          <t>Unlevered profit</t>
        </is>
      </c>
      <c r="C117" s="19">
        <f>SUM(C130:DS130)</f>
        <v/>
      </c>
    </row>
    <row r="118">
      <c r="B118" s="4" t="inlineStr">
        <is>
          <t>Unlevered IRR (annual)</t>
        </is>
      </c>
      <c r="C118" s="29">
        <f>IFERROR((1+IRR(C130:DS130,0.01))^12-1,"n/a")</f>
        <v/>
      </c>
    </row>
    <row r="119">
      <c r="B119" s="4" t="inlineStr">
        <is>
          <t>Unlevered equity multiple</t>
        </is>
      </c>
      <c r="C119" s="30">
        <f>IFERROR(SUMIF(C130:DS130,"&gt;0")/-SUMIF(C130:DS130,"&lt;0"),0)</f>
        <v/>
      </c>
    </row>
    <row r="120">
      <c r="B120" s="4" t="inlineStr">
        <is>
          <t>Levered profit</t>
        </is>
      </c>
      <c r="C120" s="19">
        <f>SUM(C135:DS135)</f>
        <v/>
      </c>
    </row>
    <row r="121">
      <c r="B121" s="4" t="inlineStr">
        <is>
          <t>Levered IRR (annual)</t>
        </is>
      </c>
      <c r="C121" s="29">
        <f>IFERROR((1+IRR(C135:DS135,0.01))^12-1,"n/a")</f>
        <v/>
      </c>
    </row>
    <row r="122">
      <c r="B122" s="4" t="inlineStr">
        <is>
          <t>Peak equity</t>
        </is>
      </c>
      <c r="C122" s="19">
        <f>-MIN(0,MIN(C136:DS136))</f>
        <v/>
      </c>
    </row>
    <row r="123">
      <c r="B123" s="4" t="inlineStr">
        <is>
          <t>Loan balance left at month 120 (should be 0)</t>
        </is>
      </c>
      <c r="C123" s="19">
        <f>DS134</f>
        <v/>
      </c>
    </row>
    <row r="124">
      <c r="B124" s="4" t="inlineStr">
        <is>
          <t>Timeline beyond 120 months?</t>
        </is>
      </c>
      <c r="C124" s="17">
        <f>IF($C$107+$C$108&gt;120,"Yes - extend the schedule","No")</f>
        <v/>
      </c>
    </row>
    <row r="125">
      <c r="B125" s="4" t="inlineStr">
        <is>
          <t>Month</t>
        </is>
      </c>
      <c r="C125" s="25" t="n">
        <v>0</v>
      </c>
      <c r="D125" s="25" t="n">
        <v>1</v>
      </c>
      <c r="E125" s="25" t="n">
        <v>2</v>
      </c>
      <c r="F125" s="25" t="n">
        <v>3</v>
      </c>
      <c r="G125" s="25" t="n">
        <v>4</v>
      </c>
      <c r="H125" s="25" t="n">
        <v>5</v>
      </c>
      <c r="I125" s="25" t="n">
        <v>6</v>
      </c>
      <c r="J125" s="25" t="n">
        <v>7</v>
      </c>
      <c r="K125" s="25" t="n">
        <v>8</v>
      </c>
      <c r="L125" s="25" t="n">
        <v>9</v>
      </c>
      <c r="M125" s="25" t="n">
        <v>10</v>
      </c>
      <c r="N125" s="25" t="n">
        <v>11</v>
      </c>
      <c r="O125" s="25" t="n">
        <v>12</v>
      </c>
      <c r="P125" s="25" t="n">
        <v>13</v>
      </c>
      <c r="Q125" s="25" t="n">
        <v>14</v>
      </c>
      <c r="R125" s="25" t="n">
        <v>15</v>
      </c>
      <c r="S125" s="25" t="n">
        <v>16</v>
      </c>
      <c r="T125" s="25" t="n">
        <v>17</v>
      </c>
      <c r="U125" s="25" t="n">
        <v>18</v>
      </c>
      <c r="V125" s="25" t="n">
        <v>19</v>
      </c>
      <c r="W125" s="25" t="n">
        <v>20</v>
      </c>
      <c r="X125" s="25" t="n">
        <v>21</v>
      </c>
      <c r="Y125" s="25" t="n">
        <v>22</v>
      </c>
      <c r="Z125" s="25" t="n">
        <v>23</v>
      </c>
      <c r="AA125" s="25" t="n">
        <v>24</v>
      </c>
      <c r="AB125" s="25" t="n">
        <v>25</v>
      </c>
      <c r="AC125" s="25" t="n">
        <v>26</v>
      </c>
      <c r="AD125" s="25" t="n">
        <v>27</v>
      </c>
      <c r="AE125" s="25" t="n">
        <v>28</v>
      </c>
      <c r="AF125" s="25" t="n">
        <v>29</v>
      </c>
      <c r="AG125" s="25" t="n">
        <v>30</v>
      </c>
      <c r="AH125" s="25" t="n">
        <v>31</v>
      </c>
      <c r="AI125" s="25" t="n">
        <v>32</v>
      </c>
      <c r="AJ125" s="25" t="n">
        <v>33</v>
      </c>
      <c r="AK125" s="25" t="n">
        <v>34</v>
      </c>
      <c r="AL125" s="25" t="n">
        <v>35</v>
      </c>
      <c r="AM125" s="25" t="n">
        <v>36</v>
      </c>
      <c r="AN125" s="25" t="n">
        <v>37</v>
      </c>
      <c r="AO125" s="25" t="n">
        <v>38</v>
      </c>
      <c r="AP125" s="25" t="n">
        <v>39</v>
      </c>
      <c r="AQ125" s="25" t="n">
        <v>40</v>
      </c>
      <c r="AR125" s="25" t="n">
        <v>41</v>
      </c>
      <c r="AS125" s="25" t="n">
        <v>42</v>
      </c>
      <c r="AT125" s="25" t="n">
        <v>43</v>
      </c>
      <c r="AU125" s="25" t="n">
        <v>44</v>
      </c>
      <c r="AV125" s="25" t="n">
        <v>45</v>
      </c>
      <c r="AW125" s="25" t="n">
        <v>46</v>
      </c>
      <c r="AX125" s="25" t="n">
        <v>47</v>
      </c>
      <c r="AY125" s="25" t="n">
        <v>48</v>
      </c>
      <c r="AZ125" s="25" t="n">
        <v>49</v>
      </c>
      <c r="BA125" s="25" t="n">
        <v>50</v>
      </c>
      <c r="BB125" s="25" t="n">
        <v>51</v>
      </c>
      <c r="BC125" s="25" t="n">
        <v>52</v>
      </c>
      <c r="BD125" s="25" t="n">
        <v>53</v>
      </c>
      <c r="BE125" s="25" t="n">
        <v>54</v>
      </c>
      <c r="BF125" s="25" t="n">
        <v>55</v>
      </c>
      <c r="BG125" s="25" t="n">
        <v>56</v>
      </c>
      <c r="BH125" s="25" t="n">
        <v>57</v>
      </c>
      <c r="BI125" s="25" t="n">
        <v>58</v>
      </c>
      <c r="BJ125" s="25" t="n">
        <v>59</v>
      </c>
      <c r="BK125" s="25" t="n">
        <v>60</v>
      </c>
      <c r="BL125" s="25" t="n">
        <v>61</v>
      </c>
      <c r="BM125" s="25" t="n">
        <v>62</v>
      </c>
      <c r="BN125" s="25" t="n">
        <v>63</v>
      </c>
      <c r="BO125" s="25" t="n">
        <v>64</v>
      </c>
      <c r="BP125" s="25" t="n">
        <v>65</v>
      </c>
      <c r="BQ125" s="25" t="n">
        <v>66</v>
      </c>
      <c r="BR125" s="25" t="n">
        <v>67</v>
      </c>
      <c r="BS125" s="25" t="n">
        <v>68</v>
      </c>
      <c r="BT125" s="25" t="n">
        <v>69</v>
      </c>
      <c r="BU125" s="25" t="n">
        <v>70</v>
      </c>
      <c r="BV125" s="25" t="n">
        <v>71</v>
      </c>
      <c r="BW125" s="25" t="n">
        <v>72</v>
      </c>
      <c r="BX125" s="25" t="n">
        <v>73</v>
      </c>
      <c r="BY125" s="25" t="n">
        <v>74</v>
      </c>
      <c r="BZ125" s="25" t="n">
        <v>75</v>
      </c>
      <c r="CA125" s="25" t="n">
        <v>76</v>
      </c>
      <c r="CB125" s="25" t="n">
        <v>77</v>
      </c>
      <c r="CC125" s="25" t="n">
        <v>78</v>
      </c>
      <c r="CD125" s="25" t="n">
        <v>79</v>
      </c>
      <c r="CE125" s="25" t="n">
        <v>80</v>
      </c>
      <c r="CF125" s="25" t="n">
        <v>81</v>
      </c>
      <c r="CG125" s="25" t="n">
        <v>82</v>
      </c>
      <c r="CH125" s="25" t="n">
        <v>83</v>
      </c>
      <c r="CI125" s="25" t="n">
        <v>84</v>
      </c>
      <c r="CJ125" s="25" t="n">
        <v>85</v>
      </c>
      <c r="CK125" s="25" t="n">
        <v>86</v>
      </c>
      <c r="CL125" s="25" t="n">
        <v>87</v>
      </c>
      <c r="CM125" s="25" t="n">
        <v>88</v>
      </c>
      <c r="CN125" s="25" t="n">
        <v>89</v>
      </c>
      <c r="CO125" s="25" t="n">
        <v>90</v>
      </c>
      <c r="CP125" s="25" t="n">
        <v>91</v>
      </c>
      <c r="CQ125" s="25" t="n">
        <v>92</v>
      </c>
      <c r="CR125" s="25" t="n">
        <v>93</v>
      </c>
      <c r="CS125" s="25" t="n">
        <v>94</v>
      </c>
      <c r="CT125" s="25" t="n">
        <v>95</v>
      </c>
      <c r="CU125" s="25" t="n">
        <v>96</v>
      </c>
      <c r="CV125" s="25" t="n">
        <v>97</v>
      </c>
      <c r="CW125" s="25" t="n">
        <v>98</v>
      </c>
      <c r="CX125" s="25" t="n">
        <v>99</v>
      </c>
      <c r="CY125" s="25" t="n">
        <v>100</v>
      </c>
      <c r="CZ125" s="25" t="n">
        <v>101</v>
      </c>
      <c r="DA125" s="25" t="n">
        <v>102</v>
      </c>
      <c r="DB125" s="25" t="n">
        <v>103</v>
      </c>
      <c r="DC125" s="25" t="n">
        <v>104</v>
      </c>
      <c r="DD125" s="25" t="n">
        <v>105</v>
      </c>
      <c r="DE125" s="25" t="n">
        <v>106</v>
      </c>
      <c r="DF125" s="25" t="n">
        <v>107</v>
      </c>
      <c r="DG125" s="25" t="n">
        <v>108</v>
      </c>
      <c r="DH125" s="25" t="n">
        <v>109</v>
      </c>
      <c r="DI125" s="25" t="n">
        <v>110</v>
      </c>
      <c r="DJ125" s="25" t="n">
        <v>111</v>
      </c>
      <c r="DK125" s="25" t="n">
        <v>112</v>
      </c>
      <c r="DL125" s="25" t="n">
        <v>113</v>
      </c>
      <c r="DM125" s="25" t="n">
        <v>114</v>
      </c>
      <c r="DN125" s="25" t="n">
        <v>115</v>
      </c>
      <c r="DO125" s="25" t="n">
        <v>116</v>
      </c>
      <c r="DP125" s="25" t="n">
        <v>117</v>
      </c>
      <c r="DQ125" s="25" t="n">
        <v>118</v>
      </c>
      <c r="DR125" s="25" t="n">
        <v>119</v>
      </c>
      <c r="DS125" s="25" t="n">
        <v>120</v>
      </c>
    </row>
    <row r="126">
      <c r="B126" s="9" t="inlineStr">
        <is>
          <t>Land</t>
        </is>
      </c>
      <c r="C126" s="15">
        <f>IF(C$125=0,-$C$9*$C$114,0)</f>
        <v/>
      </c>
      <c r="D126" s="15">
        <f>IF(D$125=0,-$C$9*$C$114,0)</f>
        <v/>
      </c>
      <c r="E126" s="15">
        <f>IF(E$125=0,-$C$9*$C$114,0)</f>
        <v/>
      </c>
      <c r="F126" s="15">
        <f>IF(F$125=0,-$C$9*$C$114,0)</f>
        <v/>
      </c>
      <c r="G126" s="15">
        <f>IF(G$125=0,-$C$9*$C$114,0)</f>
        <v/>
      </c>
      <c r="H126" s="15">
        <f>IF(H$125=0,-$C$9*$C$114,0)</f>
        <v/>
      </c>
      <c r="I126" s="15">
        <f>IF(I$125=0,-$C$9*$C$114,0)</f>
        <v/>
      </c>
      <c r="J126" s="15">
        <f>IF(J$125=0,-$C$9*$C$114,0)</f>
        <v/>
      </c>
      <c r="K126" s="15">
        <f>IF(K$125=0,-$C$9*$C$114,0)</f>
        <v/>
      </c>
      <c r="L126" s="15">
        <f>IF(L$125=0,-$C$9*$C$114,0)</f>
        <v/>
      </c>
      <c r="M126" s="15">
        <f>IF(M$125=0,-$C$9*$C$114,0)</f>
        <v/>
      </c>
      <c r="N126" s="15">
        <f>IF(N$125=0,-$C$9*$C$114,0)</f>
        <v/>
      </c>
      <c r="O126" s="15">
        <f>IF(O$125=0,-$C$9*$C$114,0)</f>
        <v/>
      </c>
      <c r="P126" s="15">
        <f>IF(P$125=0,-$C$9*$C$114,0)</f>
        <v/>
      </c>
      <c r="Q126" s="15">
        <f>IF(Q$125=0,-$C$9*$C$114,0)</f>
        <v/>
      </c>
      <c r="R126" s="15">
        <f>IF(R$125=0,-$C$9*$C$114,0)</f>
        <v/>
      </c>
      <c r="S126" s="15">
        <f>IF(S$125=0,-$C$9*$C$114,0)</f>
        <v/>
      </c>
      <c r="T126" s="15">
        <f>IF(T$125=0,-$C$9*$C$114,0)</f>
        <v/>
      </c>
      <c r="U126" s="15">
        <f>IF(U$125=0,-$C$9*$C$114,0)</f>
        <v/>
      </c>
      <c r="V126" s="15">
        <f>IF(V$125=0,-$C$9*$C$114,0)</f>
        <v/>
      </c>
      <c r="W126" s="15">
        <f>IF(W$125=0,-$C$9*$C$114,0)</f>
        <v/>
      </c>
      <c r="X126" s="15">
        <f>IF(X$125=0,-$C$9*$C$114,0)</f>
        <v/>
      </c>
      <c r="Y126" s="15">
        <f>IF(Y$125=0,-$C$9*$C$114,0)</f>
        <v/>
      </c>
      <c r="Z126" s="15">
        <f>IF(Z$125=0,-$C$9*$C$114,0)</f>
        <v/>
      </c>
      <c r="AA126" s="15">
        <f>IF(AA$125=0,-$C$9*$C$114,0)</f>
        <v/>
      </c>
      <c r="AB126" s="15">
        <f>IF(AB$125=0,-$C$9*$C$114,0)</f>
        <v/>
      </c>
      <c r="AC126" s="15">
        <f>IF(AC$125=0,-$C$9*$C$114,0)</f>
        <v/>
      </c>
      <c r="AD126" s="15">
        <f>IF(AD$125=0,-$C$9*$C$114,0)</f>
        <v/>
      </c>
      <c r="AE126" s="15">
        <f>IF(AE$125=0,-$C$9*$C$114,0)</f>
        <v/>
      </c>
      <c r="AF126" s="15">
        <f>IF(AF$125=0,-$C$9*$C$114,0)</f>
        <v/>
      </c>
      <c r="AG126" s="15">
        <f>IF(AG$125=0,-$C$9*$C$114,0)</f>
        <v/>
      </c>
      <c r="AH126" s="15">
        <f>IF(AH$125=0,-$C$9*$C$114,0)</f>
        <v/>
      </c>
      <c r="AI126" s="15">
        <f>IF(AI$125=0,-$C$9*$C$114,0)</f>
        <v/>
      </c>
      <c r="AJ126" s="15">
        <f>IF(AJ$125=0,-$C$9*$C$114,0)</f>
        <v/>
      </c>
      <c r="AK126" s="15">
        <f>IF(AK$125=0,-$C$9*$C$114,0)</f>
        <v/>
      </c>
      <c r="AL126" s="15">
        <f>IF(AL$125=0,-$C$9*$C$114,0)</f>
        <v/>
      </c>
      <c r="AM126" s="15">
        <f>IF(AM$125=0,-$C$9*$C$114,0)</f>
        <v/>
      </c>
      <c r="AN126" s="15">
        <f>IF(AN$125=0,-$C$9*$C$114,0)</f>
        <v/>
      </c>
      <c r="AO126" s="15">
        <f>IF(AO$125=0,-$C$9*$C$114,0)</f>
        <v/>
      </c>
      <c r="AP126" s="15">
        <f>IF(AP$125=0,-$C$9*$C$114,0)</f>
        <v/>
      </c>
      <c r="AQ126" s="15">
        <f>IF(AQ$125=0,-$C$9*$C$114,0)</f>
        <v/>
      </c>
      <c r="AR126" s="15">
        <f>IF(AR$125=0,-$C$9*$C$114,0)</f>
        <v/>
      </c>
      <c r="AS126" s="15">
        <f>IF(AS$125=0,-$C$9*$C$114,0)</f>
        <v/>
      </c>
      <c r="AT126" s="15">
        <f>IF(AT$125=0,-$C$9*$C$114,0)</f>
        <v/>
      </c>
      <c r="AU126" s="15">
        <f>IF(AU$125=0,-$C$9*$C$114,0)</f>
        <v/>
      </c>
      <c r="AV126" s="15">
        <f>IF(AV$125=0,-$C$9*$C$114,0)</f>
        <v/>
      </c>
      <c r="AW126" s="15">
        <f>IF(AW$125=0,-$C$9*$C$114,0)</f>
        <v/>
      </c>
      <c r="AX126" s="15">
        <f>IF(AX$125=0,-$C$9*$C$114,0)</f>
        <v/>
      </c>
      <c r="AY126" s="15">
        <f>IF(AY$125=0,-$C$9*$C$114,0)</f>
        <v/>
      </c>
      <c r="AZ126" s="15">
        <f>IF(AZ$125=0,-$C$9*$C$114,0)</f>
        <v/>
      </c>
      <c r="BA126" s="15">
        <f>IF(BA$125=0,-$C$9*$C$114,0)</f>
        <v/>
      </c>
      <c r="BB126" s="15">
        <f>IF(BB$125=0,-$C$9*$C$114,0)</f>
        <v/>
      </c>
      <c r="BC126" s="15">
        <f>IF(BC$125=0,-$C$9*$C$114,0)</f>
        <v/>
      </c>
      <c r="BD126" s="15">
        <f>IF(BD$125=0,-$C$9*$C$114,0)</f>
        <v/>
      </c>
      <c r="BE126" s="15">
        <f>IF(BE$125=0,-$C$9*$C$114,0)</f>
        <v/>
      </c>
      <c r="BF126" s="15">
        <f>IF(BF$125=0,-$C$9*$C$114,0)</f>
        <v/>
      </c>
      <c r="BG126" s="15">
        <f>IF(BG$125=0,-$C$9*$C$114,0)</f>
        <v/>
      </c>
      <c r="BH126" s="15">
        <f>IF(BH$125=0,-$C$9*$C$114,0)</f>
        <v/>
      </c>
      <c r="BI126" s="15">
        <f>IF(BI$125=0,-$C$9*$C$114,0)</f>
        <v/>
      </c>
      <c r="BJ126" s="15">
        <f>IF(BJ$125=0,-$C$9*$C$114,0)</f>
        <v/>
      </c>
      <c r="BK126" s="15">
        <f>IF(BK$125=0,-$C$9*$C$114,0)</f>
        <v/>
      </c>
      <c r="BL126" s="15">
        <f>IF(BL$125=0,-$C$9*$C$114,0)</f>
        <v/>
      </c>
      <c r="BM126" s="15">
        <f>IF(BM$125=0,-$C$9*$C$114,0)</f>
        <v/>
      </c>
      <c r="BN126" s="15">
        <f>IF(BN$125=0,-$C$9*$C$114,0)</f>
        <v/>
      </c>
      <c r="BO126" s="15">
        <f>IF(BO$125=0,-$C$9*$C$114,0)</f>
        <v/>
      </c>
      <c r="BP126" s="15">
        <f>IF(BP$125=0,-$C$9*$C$114,0)</f>
        <v/>
      </c>
      <c r="BQ126" s="15">
        <f>IF(BQ$125=0,-$C$9*$C$114,0)</f>
        <v/>
      </c>
      <c r="BR126" s="15">
        <f>IF(BR$125=0,-$C$9*$C$114,0)</f>
        <v/>
      </c>
      <c r="BS126" s="15">
        <f>IF(BS$125=0,-$C$9*$C$114,0)</f>
        <v/>
      </c>
      <c r="BT126" s="15">
        <f>IF(BT$125=0,-$C$9*$C$114,0)</f>
        <v/>
      </c>
      <c r="BU126" s="15">
        <f>IF(BU$125=0,-$C$9*$C$114,0)</f>
        <v/>
      </c>
      <c r="BV126" s="15">
        <f>IF(BV$125=0,-$C$9*$C$114,0)</f>
        <v/>
      </c>
      <c r="BW126" s="15">
        <f>IF(BW$125=0,-$C$9*$C$114,0)</f>
        <v/>
      </c>
      <c r="BX126" s="15">
        <f>IF(BX$125=0,-$C$9*$C$114,0)</f>
        <v/>
      </c>
      <c r="BY126" s="15">
        <f>IF(BY$125=0,-$C$9*$C$114,0)</f>
        <v/>
      </c>
      <c r="BZ126" s="15">
        <f>IF(BZ$125=0,-$C$9*$C$114,0)</f>
        <v/>
      </c>
      <c r="CA126" s="15">
        <f>IF(CA$125=0,-$C$9*$C$114,0)</f>
        <v/>
      </c>
      <c r="CB126" s="15">
        <f>IF(CB$125=0,-$C$9*$C$114,0)</f>
        <v/>
      </c>
      <c r="CC126" s="15">
        <f>IF(CC$125=0,-$C$9*$C$114,0)</f>
        <v/>
      </c>
      <c r="CD126" s="15">
        <f>IF(CD$125=0,-$C$9*$C$114,0)</f>
        <v/>
      </c>
      <c r="CE126" s="15">
        <f>IF(CE$125=0,-$C$9*$C$114,0)</f>
        <v/>
      </c>
      <c r="CF126" s="15">
        <f>IF(CF$125=0,-$C$9*$C$114,0)</f>
        <v/>
      </c>
      <c r="CG126" s="15">
        <f>IF(CG$125=0,-$C$9*$C$114,0)</f>
        <v/>
      </c>
      <c r="CH126" s="15">
        <f>IF(CH$125=0,-$C$9*$C$114,0)</f>
        <v/>
      </c>
      <c r="CI126" s="15">
        <f>IF(CI$125=0,-$C$9*$C$114,0)</f>
        <v/>
      </c>
      <c r="CJ126" s="15">
        <f>IF(CJ$125=0,-$C$9*$C$114,0)</f>
        <v/>
      </c>
      <c r="CK126" s="15">
        <f>IF(CK$125=0,-$C$9*$C$114,0)</f>
        <v/>
      </c>
      <c r="CL126" s="15">
        <f>IF(CL$125=0,-$C$9*$C$114,0)</f>
        <v/>
      </c>
      <c r="CM126" s="15">
        <f>IF(CM$125=0,-$C$9*$C$114,0)</f>
        <v/>
      </c>
      <c r="CN126" s="15">
        <f>IF(CN$125=0,-$C$9*$C$114,0)</f>
        <v/>
      </c>
      <c r="CO126" s="15">
        <f>IF(CO$125=0,-$C$9*$C$114,0)</f>
        <v/>
      </c>
      <c r="CP126" s="15">
        <f>IF(CP$125=0,-$C$9*$C$114,0)</f>
        <v/>
      </c>
      <c r="CQ126" s="15">
        <f>IF(CQ$125=0,-$C$9*$C$114,0)</f>
        <v/>
      </c>
      <c r="CR126" s="15">
        <f>IF(CR$125=0,-$C$9*$C$114,0)</f>
        <v/>
      </c>
      <c r="CS126" s="15">
        <f>IF(CS$125=0,-$C$9*$C$114,0)</f>
        <v/>
      </c>
      <c r="CT126" s="15">
        <f>IF(CT$125=0,-$C$9*$C$114,0)</f>
        <v/>
      </c>
      <c r="CU126" s="15">
        <f>IF(CU$125=0,-$C$9*$C$114,0)</f>
        <v/>
      </c>
      <c r="CV126" s="15">
        <f>IF(CV$125=0,-$C$9*$C$114,0)</f>
        <v/>
      </c>
      <c r="CW126" s="15">
        <f>IF(CW$125=0,-$C$9*$C$114,0)</f>
        <v/>
      </c>
      <c r="CX126" s="15">
        <f>IF(CX$125=0,-$C$9*$C$114,0)</f>
        <v/>
      </c>
      <c r="CY126" s="15">
        <f>IF(CY$125=0,-$C$9*$C$114,0)</f>
        <v/>
      </c>
      <c r="CZ126" s="15">
        <f>IF(CZ$125=0,-$C$9*$C$114,0)</f>
        <v/>
      </c>
      <c r="DA126" s="15">
        <f>IF(DA$125=0,-$C$9*$C$114,0)</f>
        <v/>
      </c>
      <c r="DB126" s="15">
        <f>IF(DB$125=0,-$C$9*$C$114,0)</f>
        <v/>
      </c>
      <c r="DC126" s="15">
        <f>IF(DC$125=0,-$C$9*$C$114,0)</f>
        <v/>
      </c>
      <c r="DD126" s="15">
        <f>IF(DD$125=0,-$C$9*$C$114,0)</f>
        <v/>
      </c>
      <c r="DE126" s="15">
        <f>IF(DE$125=0,-$C$9*$C$114,0)</f>
        <v/>
      </c>
      <c r="DF126" s="15">
        <f>IF(DF$125=0,-$C$9*$C$114,0)</f>
        <v/>
      </c>
      <c r="DG126" s="15">
        <f>IF(DG$125=0,-$C$9*$C$114,0)</f>
        <v/>
      </c>
      <c r="DH126" s="15">
        <f>IF(DH$125=0,-$C$9*$C$114,0)</f>
        <v/>
      </c>
      <c r="DI126" s="15">
        <f>IF(DI$125=0,-$C$9*$C$114,0)</f>
        <v/>
      </c>
      <c r="DJ126" s="15">
        <f>IF(DJ$125=0,-$C$9*$C$114,0)</f>
        <v/>
      </c>
      <c r="DK126" s="15">
        <f>IF(DK$125=0,-$C$9*$C$114,0)</f>
        <v/>
      </c>
      <c r="DL126" s="15">
        <f>IF(DL$125=0,-$C$9*$C$114,0)</f>
        <v/>
      </c>
      <c r="DM126" s="15">
        <f>IF(DM$125=0,-$C$9*$C$114,0)</f>
        <v/>
      </c>
      <c r="DN126" s="15">
        <f>IF(DN$125=0,-$C$9*$C$114,0)</f>
        <v/>
      </c>
      <c r="DO126" s="15">
        <f>IF(DO$125=0,-$C$9*$C$114,0)</f>
        <v/>
      </c>
      <c r="DP126" s="15">
        <f>IF(DP$125=0,-$C$9*$C$114,0)</f>
        <v/>
      </c>
      <c r="DQ126" s="15">
        <f>IF(DQ$125=0,-$C$9*$C$114,0)</f>
        <v/>
      </c>
      <c r="DR126" s="15">
        <f>IF(DR$125=0,-$C$9*$C$114,0)</f>
        <v/>
      </c>
      <c r="DS126" s="15">
        <f>IF(DS$125=0,-$C$9*$C$114,0)</f>
        <v/>
      </c>
    </row>
    <row r="127">
      <c r="B127" s="9" t="inlineStr">
        <is>
          <t>Land carry</t>
        </is>
      </c>
      <c r="C127" s="15">
        <f>IF(AND(C$125&gt;=1,C$125&lt;=$C$109),-$C$9*Location!$C$19/12,0)</f>
        <v/>
      </c>
      <c r="D127" s="15">
        <f>IF(AND(D$125&gt;=1,D$125&lt;=$C$109),-$C$9*Location!$C$19/12,0)</f>
        <v/>
      </c>
      <c r="E127" s="15">
        <f>IF(AND(E$125&gt;=1,E$125&lt;=$C$109),-$C$9*Location!$C$19/12,0)</f>
        <v/>
      </c>
      <c r="F127" s="15">
        <f>IF(AND(F$125&gt;=1,F$125&lt;=$C$109),-$C$9*Location!$C$19/12,0)</f>
        <v/>
      </c>
      <c r="G127" s="15">
        <f>IF(AND(G$125&gt;=1,G$125&lt;=$C$109),-$C$9*Location!$C$19/12,0)</f>
        <v/>
      </c>
      <c r="H127" s="15">
        <f>IF(AND(H$125&gt;=1,H$125&lt;=$C$109),-$C$9*Location!$C$19/12,0)</f>
        <v/>
      </c>
      <c r="I127" s="15">
        <f>IF(AND(I$125&gt;=1,I$125&lt;=$C$109),-$C$9*Location!$C$19/12,0)</f>
        <v/>
      </c>
      <c r="J127" s="15">
        <f>IF(AND(J$125&gt;=1,J$125&lt;=$C$109),-$C$9*Location!$C$19/12,0)</f>
        <v/>
      </c>
      <c r="K127" s="15">
        <f>IF(AND(K$125&gt;=1,K$125&lt;=$C$109),-$C$9*Location!$C$19/12,0)</f>
        <v/>
      </c>
      <c r="L127" s="15">
        <f>IF(AND(L$125&gt;=1,L$125&lt;=$C$109),-$C$9*Location!$C$19/12,0)</f>
        <v/>
      </c>
      <c r="M127" s="15">
        <f>IF(AND(M$125&gt;=1,M$125&lt;=$C$109),-$C$9*Location!$C$19/12,0)</f>
        <v/>
      </c>
      <c r="N127" s="15">
        <f>IF(AND(N$125&gt;=1,N$125&lt;=$C$109),-$C$9*Location!$C$19/12,0)</f>
        <v/>
      </c>
      <c r="O127" s="15">
        <f>IF(AND(O$125&gt;=1,O$125&lt;=$C$109),-$C$9*Location!$C$19/12,0)</f>
        <v/>
      </c>
      <c r="P127" s="15">
        <f>IF(AND(P$125&gt;=1,P$125&lt;=$C$109),-$C$9*Location!$C$19/12,0)</f>
        <v/>
      </c>
      <c r="Q127" s="15">
        <f>IF(AND(Q$125&gt;=1,Q$125&lt;=$C$109),-$C$9*Location!$C$19/12,0)</f>
        <v/>
      </c>
      <c r="R127" s="15">
        <f>IF(AND(R$125&gt;=1,R$125&lt;=$C$109),-$C$9*Location!$C$19/12,0)</f>
        <v/>
      </c>
      <c r="S127" s="15">
        <f>IF(AND(S$125&gt;=1,S$125&lt;=$C$109),-$C$9*Location!$C$19/12,0)</f>
        <v/>
      </c>
      <c r="T127" s="15">
        <f>IF(AND(T$125&gt;=1,T$125&lt;=$C$109),-$C$9*Location!$C$19/12,0)</f>
        <v/>
      </c>
      <c r="U127" s="15">
        <f>IF(AND(U$125&gt;=1,U$125&lt;=$C$109),-$C$9*Location!$C$19/12,0)</f>
        <v/>
      </c>
      <c r="V127" s="15">
        <f>IF(AND(V$125&gt;=1,V$125&lt;=$C$109),-$C$9*Location!$C$19/12,0)</f>
        <v/>
      </c>
      <c r="W127" s="15">
        <f>IF(AND(W$125&gt;=1,W$125&lt;=$C$109),-$C$9*Location!$C$19/12,0)</f>
        <v/>
      </c>
      <c r="X127" s="15">
        <f>IF(AND(X$125&gt;=1,X$125&lt;=$C$109),-$C$9*Location!$C$19/12,0)</f>
        <v/>
      </c>
      <c r="Y127" s="15">
        <f>IF(AND(Y$125&gt;=1,Y$125&lt;=$C$109),-$C$9*Location!$C$19/12,0)</f>
        <v/>
      </c>
      <c r="Z127" s="15">
        <f>IF(AND(Z$125&gt;=1,Z$125&lt;=$C$109),-$C$9*Location!$C$19/12,0)</f>
        <v/>
      </c>
      <c r="AA127" s="15">
        <f>IF(AND(AA$125&gt;=1,AA$125&lt;=$C$109),-$C$9*Location!$C$19/12,0)</f>
        <v/>
      </c>
      <c r="AB127" s="15">
        <f>IF(AND(AB$125&gt;=1,AB$125&lt;=$C$109),-$C$9*Location!$C$19/12,0)</f>
        <v/>
      </c>
      <c r="AC127" s="15">
        <f>IF(AND(AC$125&gt;=1,AC$125&lt;=$C$109),-$C$9*Location!$C$19/12,0)</f>
        <v/>
      </c>
      <c r="AD127" s="15">
        <f>IF(AND(AD$125&gt;=1,AD$125&lt;=$C$109),-$C$9*Location!$C$19/12,0)</f>
        <v/>
      </c>
      <c r="AE127" s="15">
        <f>IF(AND(AE$125&gt;=1,AE$125&lt;=$C$109),-$C$9*Location!$C$19/12,0)</f>
        <v/>
      </c>
      <c r="AF127" s="15">
        <f>IF(AND(AF$125&gt;=1,AF$125&lt;=$C$109),-$C$9*Location!$C$19/12,0)</f>
        <v/>
      </c>
      <c r="AG127" s="15">
        <f>IF(AND(AG$125&gt;=1,AG$125&lt;=$C$109),-$C$9*Location!$C$19/12,0)</f>
        <v/>
      </c>
      <c r="AH127" s="15">
        <f>IF(AND(AH$125&gt;=1,AH$125&lt;=$C$109),-$C$9*Location!$C$19/12,0)</f>
        <v/>
      </c>
      <c r="AI127" s="15">
        <f>IF(AND(AI$125&gt;=1,AI$125&lt;=$C$109),-$C$9*Location!$C$19/12,0)</f>
        <v/>
      </c>
      <c r="AJ127" s="15">
        <f>IF(AND(AJ$125&gt;=1,AJ$125&lt;=$C$109),-$C$9*Location!$C$19/12,0)</f>
        <v/>
      </c>
      <c r="AK127" s="15">
        <f>IF(AND(AK$125&gt;=1,AK$125&lt;=$C$109),-$C$9*Location!$C$19/12,0)</f>
        <v/>
      </c>
      <c r="AL127" s="15">
        <f>IF(AND(AL$125&gt;=1,AL$125&lt;=$C$109),-$C$9*Location!$C$19/12,0)</f>
        <v/>
      </c>
      <c r="AM127" s="15">
        <f>IF(AND(AM$125&gt;=1,AM$125&lt;=$C$109),-$C$9*Location!$C$19/12,0)</f>
        <v/>
      </c>
      <c r="AN127" s="15">
        <f>IF(AND(AN$125&gt;=1,AN$125&lt;=$C$109),-$C$9*Location!$C$19/12,0)</f>
        <v/>
      </c>
      <c r="AO127" s="15">
        <f>IF(AND(AO$125&gt;=1,AO$125&lt;=$C$109),-$C$9*Location!$C$19/12,0)</f>
        <v/>
      </c>
      <c r="AP127" s="15">
        <f>IF(AND(AP$125&gt;=1,AP$125&lt;=$C$109),-$C$9*Location!$C$19/12,0)</f>
        <v/>
      </c>
      <c r="AQ127" s="15">
        <f>IF(AND(AQ$125&gt;=1,AQ$125&lt;=$C$109),-$C$9*Location!$C$19/12,0)</f>
        <v/>
      </c>
      <c r="AR127" s="15">
        <f>IF(AND(AR$125&gt;=1,AR$125&lt;=$C$109),-$C$9*Location!$C$19/12,0)</f>
        <v/>
      </c>
      <c r="AS127" s="15">
        <f>IF(AND(AS$125&gt;=1,AS$125&lt;=$C$109),-$C$9*Location!$C$19/12,0)</f>
        <v/>
      </c>
      <c r="AT127" s="15">
        <f>IF(AND(AT$125&gt;=1,AT$125&lt;=$C$109),-$C$9*Location!$C$19/12,0)</f>
        <v/>
      </c>
      <c r="AU127" s="15">
        <f>IF(AND(AU$125&gt;=1,AU$125&lt;=$C$109),-$C$9*Location!$C$19/12,0)</f>
        <v/>
      </c>
      <c r="AV127" s="15">
        <f>IF(AND(AV$125&gt;=1,AV$125&lt;=$C$109),-$C$9*Location!$C$19/12,0)</f>
        <v/>
      </c>
      <c r="AW127" s="15">
        <f>IF(AND(AW$125&gt;=1,AW$125&lt;=$C$109),-$C$9*Location!$C$19/12,0)</f>
        <v/>
      </c>
      <c r="AX127" s="15">
        <f>IF(AND(AX$125&gt;=1,AX$125&lt;=$C$109),-$C$9*Location!$C$19/12,0)</f>
        <v/>
      </c>
      <c r="AY127" s="15">
        <f>IF(AND(AY$125&gt;=1,AY$125&lt;=$C$109),-$C$9*Location!$C$19/12,0)</f>
        <v/>
      </c>
      <c r="AZ127" s="15">
        <f>IF(AND(AZ$125&gt;=1,AZ$125&lt;=$C$109),-$C$9*Location!$C$19/12,0)</f>
        <v/>
      </c>
      <c r="BA127" s="15">
        <f>IF(AND(BA$125&gt;=1,BA$125&lt;=$C$109),-$C$9*Location!$C$19/12,0)</f>
        <v/>
      </c>
      <c r="BB127" s="15">
        <f>IF(AND(BB$125&gt;=1,BB$125&lt;=$C$109),-$C$9*Location!$C$19/12,0)</f>
        <v/>
      </c>
      <c r="BC127" s="15">
        <f>IF(AND(BC$125&gt;=1,BC$125&lt;=$C$109),-$C$9*Location!$C$19/12,0)</f>
        <v/>
      </c>
      <c r="BD127" s="15">
        <f>IF(AND(BD$125&gt;=1,BD$125&lt;=$C$109),-$C$9*Location!$C$19/12,0)</f>
        <v/>
      </c>
      <c r="BE127" s="15">
        <f>IF(AND(BE$125&gt;=1,BE$125&lt;=$C$109),-$C$9*Location!$C$19/12,0)</f>
        <v/>
      </c>
      <c r="BF127" s="15">
        <f>IF(AND(BF$125&gt;=1,BF$125&lt;=$C$109),-$C$9*Location!$C$19/12,0)</f>
        <v/>
      </c>
      <c r="BG127" s="15">
        <f>IF(AND(BG$125&gt;=1,BG$125&lt;=$C$109),-$C$9*Location!$C$19/12,0)</f>
        <v/>
      </c>
      <c r="BH127" s="15">
        <f>IF(AND(BH$125&gt;=1,BH$125&lt;=$C$109),-$C$9*Location!$C$19/12,0)</f>
        <v/>
      </c>
      <c r="BI127" s="15">
        <f>IF(AND(BI$125&gt;=1,BI$125&lt;=$C$109),-$C$9*Location!$C$19/12,0)</f>
        <v/>
      </c>
      <c r="BJ127" s="15">
        <f>IF(AND(BJ$125&gt;=1,BJ$125&lt;=$C$109),-$C$9*Location!$C$19/12,0)</f>
        <v/>
      </c>
      <c r="BK127" s="15">
        <f>IF(AND(BK$125&gt;=1,BK$125&lt;=$C$109),-$C$9*Location!$C$19/12,0)</f>
        <v/>
      </c>
      <c r="BL127" s="15">
        <f>IF(AND(BL$125&gt;=1,BL$125&lt;=$C$109),-$C$9*Location!$C$19/12,0)</f>
        <v/>
      </c>
      <c r="BM127" s="15">
        <f>IF(AND(BM$125&gt;=1,BM$125&lt;=$C$109),-$C$9*Location!$C$19/12,0)</f>
        <v/>
      </c>
      <c r="BN127" s="15">
        <f>IF(AND(BN$125&gt;=1,BN$125&lt;=$C$109),-$C$9*Location!$C$19/12,0)</f>
        <v/>
      </c>
      <c r="BO127" s="15">
        <f>IF(AND(BO$125&gt;=1,BO$125&lt;=$C$109),-$C$9*Location!$C$19/12,0)</f>
        <v/>
      </c>
      <c r="BP127" s="15">
        <f>IF(AND(BP$125&gt;=1,BP$125&lt;=$C$109),-$C$9*Location!$C$19/12,0)</f>
        <v/>
      </c>
      <c r="BQ127" s="15">
        <f>IF(AND(BQ$125&gt;=1,BQ$125&lt;=$C$109),-$C$9*Location!$C$19/12,0)</f>
        <v/>
      </c>
      <c r="BR127" s="15">
        <f>IF(AND(BR$125&gt;=1,BR$125&lt;=$C$109),-$C$9*Location!$C$19/12,0)</f>
        <v/>
      </c>
      <c r="BS127" s="15">
        <f>IF(AND(BS$125&gt;=1,BS$125&lt;=$C$109),-$C$9*Location!$C$19/12,0)</f>
        <v/>
      </c>
      <c r="BT127" s="15">
        <f>IF(AND(BT$125&gt;=1,BT$125&lt;=$C$109),-$C$9*Location!$C$19/12,0)</f>
        <v/>
      </c>
      <c r="BU127" s="15">
        <f>IF(AND(BU$125&gt;=1,BU$125&lt;=$C$109),-$C$9*Location!$C$19/12,0)</f>
        <v/>
      </c>
      <c r="BV127" s="15">
        <f>IF(AND(BV$125&gt;=1,BV$125&lt;=$C$109),-$C$9*Location!$C$19/12,0)</f>
        <v/>
      </c>
      <c r="BW127" s="15">
        <f>IF(AND(BW$125&gt;=1,BW$125&lt;=$C$109),-$C$9*Location!$C$19/12,0)</f>
        <v/>
      </c>
      <c r="BX127" s="15">
        <f>IF(AND(BX$125&gt;=1,BX$125&lt;=$C$109),-$C$9*Location!$C$19/12,0)</f>
        <v/>
      </c>
      <c r="BY127" s="15">
        <f>IF(AND(BY$125&gt;=1,BY$125&lt;=$C$109),-$C$9*Location!$C$19/12,0)</f>
        <v/>
      </c>
      <c r="BZ127" s="15">
        <f>IF(AND(BZ$125&gt;=1,BZ$125&lt;=$C$109),-$C$9*Location!$C$19/12,0)</f>
        <v/>
      </c>
      <c r="CA127" s="15">
        <f>IF(AND(CA$125&gt;=1,CA$125&lt;=$C$109),-$C$9*Location!$C$19/12,0)</f>
        <v/>
      </c>
      <c r="CB127" s="15">
        <f>IF(AND(CB$125&gt;=1,CB$125&lt;=$C$109),-$C$9*Location!$C$19/12,0)</f>
        <v/>
      </c>
      <c r="CC127" s="15">
        <f>IF(AND(CC$125&gt;=1,CC$125&lt;=$C$109),-$C$9*Location!$C$19/12,0)</f>
        <v/>
      </c>
      <c r="CD127" s="15">
        <f>IF(AND(CD$125&gt;=1,CD$125&lt;=$C$109),-$C$9*Location!$C$19/12,0)</f>
        <v/>
      </c>
      <c r="CE127" s="15">
        <f>IF(AND(CE$125&gt;=1,CE$125&lt;=$C$109),-$C$9*Location!$C$19/12,0)</f>
        <v/>
      </c>
      <c r="CF127" s="15">
        <f>IF(AND(CF$125&gt;=1,CF$125&lt;=$C$109),-$C$9*Location!$C$19/12,0)</f>
        <v/>
      </c>
      <c r="CG127" s="15">
        <f>IF(AND(CG$125&gt;=1,CG$125&lt;=$C$109),-$C$9*Location!$C$19/12,0)</f>
        <v/>
      </c>
      <c r="CH127" s="15">
        <f>IF(AND(CH$125&gt;=1,CH$125&lt;=$C$109),-$C$9*Location!$C$19/12,0)</f>
        <v/>
      </c>
      <c r="CI127" s="15">
        <f>IF(AND(CI$125&gt;=1,CI$125&lt;=$C$109),-$C$9*Location!$C$19/12,0)</f>
        <v/>
      </c>
      <c r="CJ127" s="15">
        <f>IF(AND(CJ$125&gt;=1,CJ$125&lt;=$C$109),-$C$9*Location!$C$19/12,0)</f>
        <v/>
      </c>
      <c r="CK127" s="15">
        <f>IF(AND(CK$125&gt;=1,CK$125&lt;=$C$109),-$C$9*Location!$C$19/12,0)</f>
        <v/>
      </c>
      <c r="CL127" s="15">
        <f>IF(AND(CL$125&gt;=1,CL$125&lt;=$C$109),-$C$9*Location!$C$19/12,0)</f>
        <v/>
      </c>
      <c r="CM127" s="15">
        <f>IF(AND(CM$125&gt;=1,CM$125&lt;=$C$109),-$C$9*Location!$C$19/12,0)</f>
        <v/>
      </c>
      <c r="CN127" s="15">
        <f>IF(AND(CN$125&gt;=1,CN$125&lt;=$C$109),-$C$9*Location!$C$19/12,0)</f>
        <v/>
      </c>
      <c r="CO127" s="15">
        <f>IF(AND(CO$125&gt;=1,CO$125&lt;=$C$109),-$C$9*Location!$C$19/12,0)</f>
        <v/>
      </c>
      <c r="CP127" s="15">
        <f>IF(AND(CP$125&gt;=1,CP$125&lt;=$C$109),-$C$9*Location!$C$19/12,0)</f>
        <v/>
      </c>
      <c r="CQ127" s="15">
        <f>IF(AND(CQ$125&gt;=1,CQ$125&lt;=$C$109),-$C$9*Location!$C$19/12,0)</f>
        <v/>
      </c>
      <c r="CR127" s="15">
        <f>IF(AND(CR$125&gt;=1,CR$125&lt;=$C$109),-$C$9*Location!$C$19/12,0)</f>
        <v/>
      </c>
      <c r="CS127" s="15">
        <f>IF(AND(CS$125&gt;=1,CS$125&lt;=$C$109),-$C$9*Location!$C$19/12,0)</f>
        <v/>
      </c>
      <c r="CT127" s="15">
        <f>IF(AND(CT$125&gt;=1,CT$125&lt;=$C$109),-$C$9*Location!$C$19/12,0)</f>
        <v/>
      </c>
      <c r="CU127" s="15">
        <f>IF(AND(CU$125&gt;=1,CU$125&lt;=$C$109),-$C$9*Location!$C$19/12,0)</f>
        <v/>
      </c>
      <c r="CV127" s="15">
        <f>IF(AND(CV$125&gt;=1,CV$125&lt;=$C$109),-$C$9*Location!$C$19/12,0)</f>
        <v/>
      </c>
      <c r="CW127" s="15">
        <f>IF(AND(CW$125&gt;=1,CW$125&lt;=$C$109),-$C$9*Location!$C$19/12,0)</f>
        <v/>
      </c>
      <c r="CX127" s="15">
        <f>IF(AND(CX$125&gt;=1,CX$125&lt;=$C$109),-$C$9*Location!$C$19/12,0)</f>
        <v/>
      </c>
      <c r="CY127" s="15">
        <f>IF(AND(CY$125&gt;=1,CY$125&lt;=$C$109),-$C$9*Location!$C$19/12,0)</f>
        <v/>
      </c>
      <c r="CZ127" s="15">
        <f>IF(AND(CZ$125&gt;=1,CZ$125&lt;=$C$109),-$C$9*Location!$C$19/12,0)</f>
        <v/>
      </c>
      <c r="DA127" s="15">
        <f>IF(AND(DA$125&gt;=1,DA$125&lt;=$C$109),-$C$9*Location!$C$19/12,0)</f>
        <v/>
      </c>
      <c r="DB127" s="15">
        <f>IF(AND(DB$125&gt;=1,DB$125&lt;=$C$109),-$C$9*Location!$C$19/12,0)</f>
        <v/>
      </c>
      <c r="DC127" s="15">
        <f>IF(AND(DC$125&gt;=1,DC$125&lt;=$C$109),-$C$9*Location!$C$19/12,0)</f>
        <v/>
      </c>
      <c r="DD127" s="15">
        <f>IF(AND(DD$125&gt;=1,DD$125&lt;=$C$109),-$C$9*Location!$C$19/12,0)</f>
        <v/>
      </c>
      <c r="DE127" s="15">
        <f>IF(AND(DE$125&gt;=1,DE$125&lt;=$C$109),-$C$9*Location!$C$19/12,0)</f>
        <v/>
      </c>
      <c r="DF127" s="15">
        <f>IF(AND(DF$125&gt;=1,DF$125&lt;=$C$109),-$C$9*Location!$C$19/12,0)</f>
        <v/>
      </c>
      <c r="DG127" s="15">
        <f>IF(AND(DG$125&gt;=1,DG$125&lt;=$C$109),-$C$9*Location!$C$19/12,0)</f>
        <v/>
      </c>
      <c r="DH127" s="15">
        <f>IF(AND(DH$125&gt;=1,DH$125&lt;=$C$109),-$C$9*Location!$C$19/12,0)</f>
        <v/>
      </c>
      <c r="DI127" s="15">
        <f>IF(AND(DI$125&gt;=1,DI$125&lt;=$C$109),-$C$9*Location!$C$19/12,0)</f>
        <v/>
      </c>
      <c r="DJ127" s="15">
        <f>IF(AND(DJ$125&gt;=1,DJ$125&lt;=$C$109),-$C$9*Location!$C$19/12,0)</f>
        <v/>
      </c>
      <c r="DK127" s="15">
        <f>IF(AND(DK$125&gt;=1,DK$125&lt;=$C$109),-$C$9*Location!$C$19/12,0)</f>
        <v/>
      </c>
      <c r="DL127" s="15">
        <f>IF(AND(DL$125&gt;=1,DL$125&lt;=$C$109),-$C$9*Location!$C$19/12,0)</f>
        <v/>
      </c>
      <c r="DM127" s="15">
        <f>IF(AND(DM$125&gt;=1,DM$125&lt;=$C$109),-$C$9*Location!$C$19/12,0)</f>
        <v/>
      </c>
      <c r="DN127" s="15">
        <f>IF(AND(DN$125&gt;=1,DN$125&lt;=$C$109),-$C$9*Location!$C$19/12,0)</f>
        <v/>
      </c>
      <c r="DO127" s="15">
        <f>IF(AND(DO$125&gt;=1,DO$125&lt;=$C$109),-$C$9*Location!$C$19/12,0)</f>
        <v/>
      </c>
      <c r="DP127" s="15">
        <f>IF(AND(DP$125&gt;=1,DP$125&lt;=$C$109),-$C$9*Location!$C$19/12,0)</f>
        <v/>
      </c>
      <c r="DQ127" s="15">
        <f>IF(AND(DQ$125&gt;=1,DQ$125&lt;=$C$109),-$C$9*Location!$C$19/12,0)</f>
        <v/>
      </c>
      <c r="DR127" s="15">
        <f>IF(AND(DR$125&gt;=1,DR$125&lt;=$C$109),-$C$9*Location!$C$19/12,0)</f>
        <v/>
      </c>
      <c r="DS127" s="15">
        <f>IF(AND(DS$125&gt;=1,DS$125&lt;=$C$109),-$C$9*Location!$C$19/12,0)</f>
        <v/>
      </c>
    </row>
    <row r="128">
      <c r="B128" s="9" t="inlineStr">
        <is>
          <t>Development cost</t>
        </is>
      </c>
      <c r="C128" s="15">
        <f>IF(AND(C$125&gt;=1,C$125&lt;=$C$107),-$C$110/$C$107,0)</f>
        <v/>
      </c>
      <c r="D128" s="15">
        <f>IF(AND(D$125&gt;=1,D$125&lt;=$C$107),-$C$110/$C$107,0)</f>
        <v/>
      </c>
      <c r="E128" s="15">
        <f>IF(AND(E$125&gt;=1,E$125&lt;=$C$107),-$C$110/$C$107,0)</f>
        <v/>
      </c>
      <c r="F128" s="15">
        <f>IF(AND(F$125&gt;=1,F$125&lt;=$C$107),-$C$110/$C$107,0)</f>
        <v/>
      </c>
      <c r="G128" s="15">
        <f>IF(AND(G$125&gt;=1,G$125&lt;=$C$107),-$C$110/$C$107,0)</f>
        <v/>
      </c>
      <c r="H128" s="15">
        <f>IF(AND(H$125&gt;=1,H$125&lt;=$C$107),-$C$110/$C$107,0)</f>
        <v/>
      </c>
      <c r="I128" s="15">
        <f>IF(AND(I$125&gt;=1,I$125&lt;=$C$107),-$C$110/$C$107,0)</f>
        <v/>
      </c>
      <c r="J128" s="15">
        <f>IF(AND(J$125&gt;=1,J$125&lt;=$C$107),-$C$110/$C$107,0)</f>
        <v/>
      </c>
      <c r="K128" s="15">
        <f>IF(AND(K$125&gt;=1,K$125&lt;=$C$107),-$C$110/$C$107,0)</f>
        <v/>
      </c>
      <c r="L128" s="15">
        <f>IF(AND(L$125&gt;=1,L$125&lt;=$C$107),-$C$110/$C$107,0)</f>
        <v/>
      </c>
      <c r="M128" s="15">
        <f>IF(AND(M$125&gt;=1,M$125&lt;=$C$107),-$C$110/$C$107,0)</f>
        <v/>
      </c>
      <c r="N128" s="15">
        <f>IF(AND(N$125&gt;=1,N$125&lt;=$C$107),-$C$110/$C$107,0)</f>
        <v/>
      </c>
      <c r="O128" s="15">
        <f>IF(AND(O$125&gt;=1,O$125&lt;=$C$107),-$C$110/$C$107,0)</f>
        <v/>
      </c>
      <c r="P128" s="15">
        <f>IF(AND(P$125&gt;=1,P$125&lt;=$C$107),-$C$110/$C$107,0)</f>
        <v/>
      </c>
      <c r="Q128" s="15">
        <f>IF(AND(Q$125&gt;=1,Q$125&lt;=$C$107),-$C$110/$C$107,0)</f>
        <v/>
      </c>
      <c r="R128" s="15">
        <f>IF(AND(R$125&gt;=1,R$125&lt;=$C$107),-$C$110/$C$107,0)</f>
        <v/>
      </c>
      <c r="S128" s="15">
        <f>IF(AND(S$125&gt;=1,S$125&lt;=$C$107),-$C$110/$C$107,0)</f>
        <v/>
      </c>
      <c r="T128" s="15">
        <f>IF(AND(T$125&gt;=1,T$125&lt;=$C$107),-$C$110/$C$107,0)</f>
        <v/>
      </c>
      <c r="U128" s="15">
        <f>IF(AND(U$125&gt;=1,U$125&lt;=$C$107),-$C$110/$C$107,0)</f>
        <v/>
      </c>
      <c r="V128" s="15">
        <f>IF(AND(V$125&gt;=1,V$125&lt;=$C$107),-$C$110/$C$107,0)</f>
        <v/>
      </c>
      <c r="W128" s="15">
        <f>IF(AND(W$125&gt;=1,W$125&lt;=$C$107),-$C$110/$C$107,0)</f>
        <v/>
      </c>
      <c r="X128" s="15">
        <f>IF(AND(X$125&gt;=1,X$125&lt;=$C$107),-$C$110/$C$107,0)</f>
        <v/>
      </c>
      <c r="Y128" s="15">
        <f>IF(AND(Y$125&gt;=1,Y$125&lt;=$C$107),-$C$110/$C$107,0)</f>
        <v/>
      </c>
      <c r="Z128" s="15">
        <f>IF(AND(Z$125&gt;=1,Z$125&lt;=$C$107),-$C$110/$C$107,0)</f>
        <v/>
      </c>
      <c r="AA128" s="15">
        <f>IF(AND(AA$125&gt;=1,AA$125&lt;=$C$107),-$C$110/$C$107,0)</f>
        <v/>
      </c>
      <c r="AB128" s="15">
        <f>IF(AND(AB$125&gt;=1,AB$125&lt;=$C$107),-$C$110/$C$107,0)</f>
        <v/>
      </c>
      <c r="AC128" s="15">
        <f>IF(AND(AC$125&gt;=1,AC$125&lt;=$C$107),-$C$110/$C$107,0)</f>
        <v/>
      </c>
      <c r="AD128" s="15">
        <f>IF(AND(AD$125&gt;=1,AD$125&lt;=$C$107),-$C$110/$C$107,0)</f>
        <v/>
      </c>
      <c r="AE128" s="15">
        <f>IF(AND(AE$125&gt;=1,AE$125&lt;=$C$107),-$C$110/$C$107,0)</f>
        <v/>
      </c>
      <c r="AF128" s="15">
        <f>IF(AND(AF$125&gt;=1,AF$125&lt;=$C$107),-$C$110/$C$107,0)</f>
        <v/>
      </c>
      <c r="AG128" s="15">
        <f>IF(AND(AG$125&gt;=1,AG$125&lt;=$C$107),-$C$110/$C$107,0)</f>
        <v/>
      </c>
      <c r="AH128" s="15">
        <f>IF(AND(AH$125&gt;=1,AH$125&lt;=$C$107),-$C$110/$C$107,0)</f>
        <v/>
      </c>
      <c r="AI128" s="15">
        <f>IF(AND(AI$125&gt;=1,AI$125&lt;=$C$107),-$C$110/$C$107,0)</f>
        <v/>
      </c>
      <c r="AJ128" s="15">
        <f>IF(AND(AJ$125&gt;=1,AJ$125&lt;=$C$107),-$C$110/$C$107,0)</f>
        <v/>
      </c>
      <c r="AK128" s="15">
        <f>IF(AND(AK$125&gt;=1,AK$125&lt;=$C$107),-$C$110/$C$107,0)</f>
        <v/>
      </c>
      <c r="AL128" s="15">
        <f>IF(AND(AL$125&gt;=1,AL$125&lt;=$C$107),-$C$110/$C$107,0)</f>
        <v/>
      </c>
      <c r="AM128" s="15">
        <f>IF(AND(AM$125&gt;=1,AM$125&lt;=$C$107),-$C$110/$C$107,0)</f>
        <v/>
      </c>
      <c r="AN128" s="15">
        <f>IF(AND(AN$125&gt;=1,AN$125&lt;=$C$107),-$C$110/$C$107,0)</f>
        <v/>
      </c>
      <c r="AO128" s="15">
        <f>IF(AND(AO$125&gt;=1,AO$125&lt;=$C$107),-$C$110/$C$107,0)</f>
        <v/>
      </c>
      <c r="AP128" s="15">
        <f>IF(AND(AP$125&gt;=1,AP$125&lt;=$C$107),-$C$110/$C$107,0)</f>
        <v/>
      </c>
      <c r="AQ128" s="15">
        <f>IF(AND(AQ$125&gt;=1,AQ$125&lt;=$C$107),-$C$110/$C$107,0)</f>
        <v/>
      </c>
      <c r="AR128" s="15">
        <f>IF(AND(AR$125&gt;=1,AR$125&lt;=$C$107),-$C$110/$C$107,0)</f>
        <v/>
      </c>
      <c r="AS128" s="15">
        <f>IF(AND(AS$125&gt;=1,AS$125&lt;=$C$107),-$C$110/$C$107,0)</f>
        <v/>
      </c>
      <c r="AT128" s="15">
        <f>IF(AND(AT$125&gt;=1,AT$125&lt;=$C$107),-$C$110/$C$107,0)</f>
        <v/>
      </c>
      <c r="AU128" s="15">
        <f>IF(AND(AU$125&gt;=1,AU$125&lt;=$C$107),-$C$110/$C$107,0)</f>
        <v/>
      </c>
      <c r="AV128" s="15">
        <f>IF(AND(AV$125&gt;=1,AV$125&lt;=$C$107),-$C$110/$C$107,0)</f>
        <v/>
      </c>
      <c r="AW128" s="15">
        <f>IF(AND(AW$125&gt;=1,AW$125&lt;=$C$107),-$C$110/$C$107,0)</f>
        <v/>
      </c>
      <c r="AX128" s="15">
        <f>IF(AND(AX$125&gt;=1,AX$125&lt;=$C$107),-$C$110/$C$107,0)</f>
        <v/>
      </c>
      <c r="AY128" s="15">
        <f>IF(AND(AY$125&gt;=1,AY$125&lt;=$C$107),-$C$110/$C$107,0)</f>
        <v/>
      </c>
      <c r="AZ128" s="15">
        <f>IF(AND(AZ$125&gt;=1,AZ$125&lt;=$C$107),-$C$110/$C$107,0)</f>
        <v/>
      </c>
      <c r="BA128" s="15">
        <f>IF(AND(BA$125&gt;=1,BA$125&lt;=$C$107),-$C$110/$C$107,0)</f>
        <v/>
      </c>
      <c r="BB128" s="15">
        <f>IF(AND(BB$125&gt;=1,BB$125&lt;=$C$107),-$C$110/$C$107,0)</f>
        <v/>
      </c>
      <c r="BC128" s="15">
        <f>IF(AND(BC$125&gt;=1,BC$125&lt;=$C$107),-$C$110/$C$107,0)</f>
        <v/>
      </c>
      <c r="BD128" s="15">
        <f>IF(AND(BD$125&gt;=1,BD$125&lt;=$C$107),-$C$110/$C$107,0)</f>
        <v/>
      </c>
      <c r="BE128" s="15">
        <f>IF(AND(BE$125&gt;=1,BE$125&lt;=$C$107),-$C$110/$C$107,0)</f>
        <v/>
      </c>
      <c r="BF128" s="15">
        <f>IF(AND(BF$125&gt;=1,BF$125&lt;=$C$107),-$C$110/$C$107,0)</f>
        <v/>
      </c>
      <c r="BG128" s="15">
        <f>IF(AND(BG$125&gt;=1,BG$125&lt;=$C$107),-$C$110/$C$107,0)</f>
        <v/>
      </c>
      <c r="BH128" s="15">
        <f>IF(AND(BH$125&gt;=1,BH$125&lt;=$C$107),-$C$110/$C$107,0)</f>
        <v/>
      </c>
      <c r="BI128" s="15">
        <f>IF(AND(BI$125&gt;=1,BI$125&lt;=$C$107),-$C$110/$C$107,0)</f>
        <v/>
      </c>
      <c r="BJ128" s="15">
        <f>IF(AND(BJ$125&gt;=1,BJ$125&lt;=$C$107),-$C$110/$C$107,0)</f>
        <v/>
      </c>
      <c r="BK128" s="15">
        <f>IF(AND(BK$125&gt;=1,BK$125&lt;=$C$107),-$C$110/$C$107,0)</f>
        <v/>
      </c>
      <c r="BL128" s="15">
        <f>IF(AND(BL$125&gt;=1,BL$125&lt;=$C$107),-$C$110/$C$107,0)</f>
        <v/>
      </c>
      <c r="BM128" s="15">
        <f>IF(AND(BM$125&gt;=1,BM$125&lt;=$C$107),-$C$110/$C$107,0)</f>
        <v/>
      </c>
      <c r="BN128" s="15">
        <f>IF(AND(BN$125&gt;=1,BN$125&lt;=$C$107),-$C$110/$C$107,0)</f>
        <v/>
      </c>
      <c r="BO128" s="15">
        <f>IF(AND(BO$125&gt;=1,BO$125&lt;=$C$107),-$C$110/$C$107,0)</f>
        <v/>
      </c>
      <c r="BP128" s="15">
        <f>IF(AND(BP$125&gt;=1,BP$125&lt;=$C$107),-$C$110/$C$107,0)</f>
        <v/>
      </c>
      <c r="BQ128" s="15">
        <f>IF(AND(BQ$125&gt;=1,BQ$125&lt;=$C$107),-$C$110/$C$107,0)</f>
        <v/>
      </c>
      <c r="BR128" s="15">
        <f>IF(AND(BR$125&gt;=1,BR$125&lt;=$C$107),-$C$110/$C$107,0)</f>
        <v/>
      </c>
      <c r="BS128" s="15">
        <f>IF(AND(BS$125&gt;=1,BS$125&lt;=$C$107),-$C$110/$C$107,0)</f>
        <v/>
      </c>
      <c r="BT128" s="15">
        <f>IF(AND(BT$125&gt;=1,BT$125&lt;=$C$107),-$C$110/$C$107,0)</f>
        <v/>
      </c>
      <c r="BU128" s="15">
        <f>IF(AND(BU$125&gt;=1,BU$125&lt;=$C$107),-$C$110/$C$107,0)</f>
        <v/>
      </c>
      <c r="BV128" s="15">
        <f>IF(AND(BV$125&gt;=1,BV$125&lt;=$C$107),-$C$110/$C$107,0)</f>
        <v/>
      </c>
      <c r="BW128" s="15">
        <f>IF(AND(BW$125&gt;=1,BW$125&lt;=$C$107),-$C$110/$C$107,0)</f>
        <v/>
      </c>
      <c r="BX128" s="15">
        <f>IF(AND(BX$125&gt;=1,BX$125&lt;=$C$107),-$C$110/$C$107,0)</f>
        <v/>
      </c>
      <c r="BY128" s="15">
        <f>IF(AND(BY$125&gt;=1,BY$125&lt;=$C$107),-$C$110/$C$107,0)</f>
        <v/>
      </c>
      <c r="BZ128" s="15">
        <f>IF(AND(BZ$125&gt;=1,BZ$125&lt;=$C$107),-$C$110/$C$107,0)</f>
        <v/>
      </c>
      <c r="CA128" s="15">
        <f>IF(AND(CA$125&gt;=1,CA$125&lt;=$C$107),-$C$110/$C$107,0)</f>
        <v/>
      </c>
      <c r="CB128" s="15">
        <f>IF(AND(CB$125&gt;=1,CB$125&lt;=$C$107),-$C$110/$C$107,0)</f>
        <v/>
      </c>
      <c r="CC128" s="15">
        <f>IF(AND(CC$125&gt;=1,CC$125&lt;=$C$107),-$C$110/$C$107,0)</f>
        <v/>
      </c>
      <c r="CD128" s="15">
        <f>IF(AND(CD$125&gt;=1,CD$125&lt;=$C$107),-$C$110/$C$107,0)</f>
        <v/>
      </c>
      <c r="CE128" s="15">
        <f>IF(AND(CE$125&gt;=1,CE$125&lt;=$C$107),-$C$110/$C$107,0)</f>
        <v/>
      </c>
      <c r="CF128" s="15">
        <f>IF(AND(CF$125&gt;=1,CF$125&lt;=$C$107),-$C$110/$C$107,0)</f>
        <v/>
      </c>
      <c r="CG128" s="15">
        <f>IF(AND(CG$125&gt;=1,CG$125&lt;=$C$107),-$C$110/$C$107,0)</f>
        <v/>
      </c>
      <c r="CH128" s="15">
        <f>IF(AND(CH$125&gt;=1,CH$125&lt;=$C$107),-$C$110/$C$107,0)</f>
        <v/>
      </c>
      <c r="CI128" s="15">
        <f>IF(AND(CI$125&gt;=1,CI$125&lt;=$C$107),-$C$110/$C$107,0)</f>
        <v/>
      </c>
      <c r="CJ128" s="15">
        <f>IF(AND(CJ$125&gt;=1,CJ$125&lt;=$C$107),-$C$110/$C$107,0)</f>
        <v/>
      </c>
      <c r="CK128" s="15">
        <f>IF(AND(CK$125&gt;=1,CK$125&lt;=$C$107),-$C$110/$C$107,0)</f>
        <v/>
      </c>
      <c r="CL128" s="15">
        <f>IF(AND(CL$125&gt;=1,CL$125&lt;=$C$107),-$C$110/$C$107,0)</f>
        <v/>
      </c>
      <c r="CM128" s="15">
        <f>IF(AND(CM$125&gt;=1,CM$125&lt;=$C$107),-$C$110/$C$107,0)</f>
        <v/>
      </c>
      <c r="CN128" s="15">
        <f>IF(AND(CN$125&gt;=1,CN$125&lt;=$C$107),-$C$110/$C$107,0)</f>
        <v/>
      </c>
      <c r="CO128" s="15">
        <f>IF(AND(CO$125&gt;=1,CO$125&lt;=$C$107),-$C$110/$C$107,0)</f>
        <v/>
      </c>
      <c r="CP128" s="15">
        <f>IF(AND(CP$125&gt;=1,CP$125&lt;=$C$107),-$C$110/$C$107,0)</f>
        <v/>
      </c>
      <c r="CQ128" s="15">
        <f>IF(AND(CQ$125&gt;=1,CQ$125&lt;=$C$107),-$C$110/$C$107,0)</f>
        <v/>
      </c>
      <c r="CR128" s="15">
        <f>IF(AND(CR$125&gt;=1,CR$125&lt;=$C$107),-$C$110/$C$107,0)</f>
        <v/>
      </c>
      <c r="CS128" s="15">
        <f>IF(AND(CS$125&gt;=1,CS$125&lt;=$C$107),-$C$110/$C$107,0)</f>
        <v/>
      </c>
      <c r="CT128" s="15">
        <f>IF(AND(CT$125&gt;=1,CT$125&lt;=$C$107),-$C$110/$C$107,0)</f>
        <v/>
      </c>
      <c r="CU128" s="15">
        <f>IF(AND(CU$125&gt;=1,CU$125&lt;=$C$107),-$C$110/$C$107,0)</f>
        <v/>
      </c>
      <c r="CV128" s="15">
        <f>IF(AND(CV$125&gt;=1,CV$125&lt;=$C$107),-$C$110/$C$107,0)</f>
        <v/>
      </c>
      <c r="CW128" s="15">
        <f>IF(AND(CW$125&gt;=1,CW$125&lt;=$C$107),-$C$110/$C$107,0)</f>
        <v/>
      </c>
      <c r="CX128" s="15">
        <f>IF(AND(CX$125&gt;=1,CX$125&lt;=$C$107),-$C$110/$C$107,0)</f>
        <v/>
      </c>
      <c r="CY128" s="15">
        <f>IF(AND(CY$125&gt;=1,CY$125&lt;=$C$107),-$C$110/$C$107,0)</f>
        <v/>
      </c>
      <c r="CZ128" s="15">
        <f>IF(AND(CZ$125&gt;=1,CZ$125&lt;=$C$107),-$C$110/$C$107,0)</f>
        <v/>
      </c>
      <c r="DA128" s="15">
        <f>IF(AND(DA$125&gt;=1,DA$125&lt;=$C$107),-$C$110/$C$107,0)</f>
        <v/>
      </c>
      <c r="DB128" s="15">
        <f>IF(AND(DB$125&gt;=1,DB$125&lt;=$C$107),-$C$110/$C$107,0)</f>
        <v/>
      </c>
      <c r="DC128" s="15">
        <f>IF(AND(DC$125&gt;=1,DC$125&lt;=$C$107),-$C$110/$C$107,0)</f>
        <v/>
      </c>
      <c r="DD128" s="15">
        <f>IF(AND(DD$125&gt;=1,DD$125&lt;=$C$107),-$C$110/$C$107,0)</f>
        <v/>
      </c>
      <c r="DE128" s="15">
        <f>IF(AND(DE$125&gt;=1,DE$125&lt;=$C$107),-$C$110/$C$107,0)</f>
        <v/>
      </c>
      <c r="DF128" s="15">
        <f>IF(AND(DF$125&gt;=1,DF$125&lt;=$C$107),-$C$110/$C$107,0)</f>
        <v/>
      </c>
      <c r="DG128" s="15">
        <f>IF(AND(DG$125&gt;=1,DG$125&lt;=$C$107),-$C$110/$C$107,0)</f>
        <v/>
      </c>
      <c r="DH128" s="15">
        <f>IF(AND(DH$125&gt;=1,DH$125&lt;=$C$107),-$C$110/$C$107,0)</f>
        <v/>
      </c>
      <c r="DI128" s="15">
        <f>IF(AND(DI$125&gt;=1,DI$125&lt;=$C$107),-$C$110/$C$107,0)</f>
        <v/>
      </c>
      <c r="DJ128" s="15">
        <f>IF(AND(DJ$125&gt;=1,DJ$125&lt;=$C$107),-$C$110/$C$107,0)</f>
        <v/>
      </c>
      <c r="DK128" s="15">
        <f>IF(AND(DK$125&gt;=1,DK$125&lt;=$C$107),-$C$110/$C$107,0)</f>
        <v/>
      </c>
      <c r="DL128" s="15">
        <f>IF(AND(DL$125&gt;=1,DL$125&lt;=$C$107),-$C$110/$C$107,0)</f>
        <v/>
      </c>
      <c r="DM128" s="15">
        <f>IF(AND(DM$125&gt;=1,DM$125&lt;=$C$107),-$C$110/$C$107,0)</f>
        <v/>
      </c>
      <c r="DN128" s="15">
        <f>IF(AND(DN$125&gt;=1,DN$125&lt;=$C$107),-$C$110/$C$107,0)</f>
        <v/>
      </c>
      <c r="DO128" s="15">
        <f>IF(AND(DO$125&gt;=1,DO$125&lt;=$C$107),-$C$110/$C$107,0)</f>
        <v/>
      </c>
      <c r="DP128" s="15">
        <f>IF(AND(DP$125&gt;=1,DP$125&lt;=$C$107),-$C$110/$C$107,0)</f>
        <v/>
      </c>
      <c r="DQ128" s="15">
        <f>IF(AND(DQ$125&gt;=1,DQ$125&lt;=$C$107),-$C$110/$C$107,0)</f>
        <v/>
      </c>
      <c r="DR128" s="15">
        <f>IF(AND(DR$125&gt;=1,DR$125&lt;=$C$107),-$C$110/$C$107,0)</f>
        <v/>
      </c>
      <c r="DS128" s="15">
        <f>IF(AND(DS$125&gt;=1,DS$125&lt;=$C$107),-$C$110/$C$107,0)</f>
        <v/>
      </c>
    </row>
    <row r="129">
      <c r="B129" s="9" t="inlineStr">
        <is>
          <t>Revenue / NOI</t>
        </is>
      </c>
      <c r="C129" s="15">
        <f>IF($C$113=1,IF($C$108=0,IF(C$125=$C$107,$C$111,0),IF(AND(C$125&gt;$C$107,C$125&lt;=$C$107+$C$108),$C$111/$C$108,0)),IF(C$125=$C$107+$C$108,$C$111,0)+IF(AND($C$108&gt;0,C$125&gt;$C$107,C$125&lt;=$C$107+$C$108),$C$112/12*(C$125-$C$107)/$C$108,0))</f>
        <v/>
      </c>
      <c r="D129" s="15">
        <f>IF($C$113=1,IF($C$108=0,IF(D$125=$C$107,$C$111,0),IF(AND(D$125&gt;$C$107,D$125&lt;=$C$107+$C$108),$C$111/$C$108,0)),IF(D$125=$C$107+$C$108,$C$111,0)+IF(AND($C$108&gt;0,D$125&gt;$C$107,D$125&lt;=$C$107+$C$108),$C$112/12*(D$125-$C$107)/$C$108,0))</f>
        <v/>
      </c>
      <c r="E129" s="15">
        <f>IF($C$113=1,IF($C$108=0,IF(E$125=$C$107,$C$111,0),IF(AND(E$125&gt;$C$107,E$125&lt;=$C$107+$C$108),$C$111/$C$108,0)),IF(E$125=$C$107+$C$108,$C$111,0)+IF(AND($C$108&gt;0,E$125&gt;$C$107,E$125&lt;=$C$107+$C$108),$C$112/12*(E$125-$C$107)/$C$108,0))</f>
        <v/>
      </c>
      <c r="F129" s="15">
        <f>IF($C$113=1,IF($C$108=0,IF(F$125=$C$107,$C$111,0),IF(AND(F$125&gt;$C$107,F$125&lt;=$C$107+$C$108),$C$111/$C$108,0)),IF(F$125=$C$107+$C$108,$C$111,0)+IF(AND($C$108&gt;0,F$125&gt;$C$107,F$125&lt;=$C$107+$C$108),$C$112/12*(F$125-$C$107)/$C$108,0))</f>
        <v/>
      </c>
      <c r="G129" s="15">
        <f>IF($C$113=1,IF($C$108=0,IF(G$125=$C$107,$C$111,0),IF(AND(G$125&gt;$C$107,G$125&lt;=$C$107+$C$108),$C$111/$C$108,0)),IF(G$125=$C$107+$C$108,$C$111,0)+IF(AND($C$108&gt;0,G$125&gt;$C$107,G$125&lt;=$C$107+$C$108),$C$112/12*(G$125-$C$107)/$C$108,0))</f>
        <v/>
      </c>
      <c r="H129" s="15">
        <f>IF($C$113=1,IF($C$108=0,IF(H$125=$C$107,$C$111,0),IF(AND(H$125&gt;$C$107,H$125&lt;=$C$107+$C$108),$C$111/$C$108,0)),IF(H$125=$C$107+$C$108,$C$111,0)+IF(AND($C$108&gt;0,H$125&gt;$C$107,H$125&lt;=$C$107+$C$108),$C$112/12*(H$125-$C$107)/$C$108,0))</f>
        <v/>
      </c>
      <c r="I129" s="15">
        <f>IF($C$113=1,IF($C$108=0,IF(I$125=$C$107,$C$111,0),IF(AND(I$125&gt;$C$107,I$125&lt;=$C$107+$C$108),$C$111/$C$108,0)),IF(I$125=$C$107+$C$108,$C$111,0)+IF(AND($C$108&gt;0,I$125&gt;$C$107,I$125&lt;=$C$107+$C$108),$C$112/12*(I$125-$C$107)/$C$108,0))</f>
        <v/>
      </c>
      <c r="J129" s="15">
        <f>IF($C$113=1,IF($C$108=0,IF(J$125=$C$107,$C$111,0),IF(AND(J$125&gt;$C$107,J$125&lt;=$C$107+$C$108),$C$111/$C$108,0)),IF(J$125=$C$107+$C$108,$C$111,0)+IF(AND($C$108&gt;0,J$125&gt;$C$107,J$125&lt;=$C$107+$C$108),$C$112/12*(J$125-$C$107)/$C$108,0))</f>
        <v/>
      </c>
      <c r="K129" s="15">
        <f>IF($C$113=1,IF($C$108=0,IF(K$125=$C$107,$C$111,0),IF(AND(K$125&gt;$C$107,K$125&lt;=$C$107+$C$108),$C$111/$C$108,0)),IF(K$125=$C$107+$C$108,$C$111,0)+IF(AND($C$108&gt;0,K$125&gt;$C$107,K$125&lt;=$C$107+$C$108),$C$112/12*(K$125-$C$107)/$C$108,0))</f>
        <v/>
      </c>
      <c r="L129" s="15">
        <f>IF($C$113=1,IF($C$108=0,IF(L$125=$C$107,$C$111,0),IF(AND(L$125&gt;$C$107,L$125&lt;=$C$107+$C$108),$C$111/$C$108,0)),IF(L$125=$C$107+$C$108,$C$111,0)+IF(AND($C$108&gt;0,L$125&gt;$C$107,L$125&lt;=$C$107+$C$108),$C$112/12*(L$125-$C$107)/$C$108,0))</f>
        <v/>
      </c>
      <c r="M129" s="15">
        <f>IF($C$113=1,IF($C$108=0,IF(M$125=$C$107,$C$111,0),IF(AND(M$125&gt;$C$107,M$125&lt;=$C$107+$C$108),$C$111/$C$108,0)),IF(M$125=$C$107+$C$108,$C$111,0)+IF(AND($C$108&gt;0,M$125&gt;$C$107,M$125&lt;=$C$107+$C$108),$C$112/12*(M$125-$C$107)/$C$108,0))</f>
        <v/>
      </c>
      <c r="N129" s="15">
        <f>IF($C$113=1,IF($C$108=0,IF(N$125=$C$107,$C$111,0),IF(AND(N$125&gt;$C$107,N$125&lt;=$C$107+$C$108),$C$111/$C$108,0)),IF(N$125=$C$107+$C$108,$C$111,0)+IF(AND($C$108&gt;0,N$125&gt;$C$107,N$125&lt;=$C$107+$C$108),$C$112/12*(N$125-$C$107)/$C$108,0))</f>
        <v/>
      </c>
      <c r="O129" s="15">
        <f>IF($C$113=1,IF($C$108=0,IF(O$125=$C$107,$C$111,0),IF(AND(O$125&gt;$C$107,O$125&lt;=$C$107+$C$108),$C$111/$C$108,0)),IF(O$125=$C$107+$C$108,$C$111,0)+IF(AND($C$108&gt;0,O$125&gt;$C$107,O$125&lt;=$C$107+$C$108),$C$112/12*(O$125-$C$107)/$C$108,0))</f>
        <v/>
      </c>
      <c r="P129" s="15">
        <f>IF($C$113=1,IF($C$108=0,IF(P$125=$C$107,$C$111,0),IF(AND(P$125&gt;$C$107,P$125&lt;=$C$107+$C$108),$C$111/$C$108,0)),IF(P$125=$C$107+$C$108,$C$111,0)+IF(AND($C$108&gt;0,P$125&gt;$C$107,P$125&lt;=$C$107+$C$108),$C$112/12*(P$125-$C$107)/$C$108,0))</f>
        <v/>
      </c>
      <c r="Q129" s="15">
        <f>IF($C$113=1,IF($C$108=0,IF(Q$125=$C$107,$C$111,0),IF(AND(Q$125&gt;$C$107,Q$125&lt;=$C$107+$C$108),$C$111/$C$108,0)),IF(Q$125=$C$107+$C$108,$C$111,0)+IF(AND($C$108&gt;0,Q$125&gt;$C$107,Q$125&lt;=$C$107+$C$108),$C$112/12*(Q$125-$C$107)/$C$108,0))</f>
        <v/>
      </c>
      <c r="R129" s="15">
        <f>IF($C$113=1,IF($C$108=0,IF(R$125=$C$107,$C$111,0),IF(AND(R$125&gt;$C$107,R$125&lt;=$C$107+$C$108),$C$111/$C$108,0)),IF(R$125=$C$107+$C$108,$C$111,0)+IF(AND($C$108&gt;0,R$125&gt;$C$107,R$125&lt;=$C$107+$C$108),$C$112/12*(R$125-$C$107)/$C$108,0))</f>
        <v/>
      </c>
      <c r="S129" s="15">
        <f>IF($C$113=1,IF($C$108=0,IF(S$125=$C$107,$C$111,0),IF(AND(S$125&gt;$C$107,S$125&lt;=$C$107+$C$108),$C$111/$C$108,0)),IF(S$125=$C$107+$C$108,$C$111,0)+IF(AND($C$108&gt;0,S$125&gt;$C$107,S$125&lt;=$C$107+$C$108),$C$112/12*(S$125-$C$107)/$C$108,0))</f>
        <v/>
      </c>
      <c r="T129" s="15">
        <f>IF($C$113=1,IF($C$108=0,IF(T$125=$C$107,$C$111,0),IF(AND(T$125&gt;$C$107,T$125&lt;=$C$107+$C$108),$C$111/$C$108,0)),IF(T$125=$C$107+$C$108,$C$111,0)+IF(AND($C$108&gt;0,T$125&gt;$C$107,T$125&lt;=$C$107+$C$108),$C$112/12*(T$125-$C$107)/$C$108,0))</f>
        <v/>
      </c>
      <c r="U129" s="15">
        <f>IF($C$113=1,IF($C$108=0,IF(U$125=$C$107,$C$111,0),IF(AND(U$125&gt;$C$107,U$125&lt;=$C$107+$C$108),$C$111/$C$108,0)),IF(U$125=$C$107+$C$108,$C$111,0)+IF(AND($C$108&gt;0,U$125&gt;$C$107,U$125&lt;=$C$107+$C$108),$C$112/12*(U$125-$C$107)/$C$108,0))</f>
        <v/>
      </c>
      <c r="V129" s="15">
        <f>IF($C$113=1,IF($C$108=0,IF(V$125=$C$107,$C$111,0),IF(AND(V$125&gt;$C$107,V$125&lt;=$C$107+$C$108),$C$111/$C$108,0)),IF(V$125=$C$107+$C$108,$C$111,0)+IF(AND($C$108&gt;0,V$125&gt;$C$107,V$125&lt;=$C$107+$C$108),$C$112/12*(V$125-$C$107)/$C$108,0))</f>
        <v/>
      </c>
      <c r="W129" s="15">
        <f>IF($C$113=1,IF($C$108=0,IF(W$125=$C$107,$C$111,0),IF(AND(W$125&gt;$C$107,W$125&lt;=$C$107+$C$108),$C$111/$C$108,0)),IF(W$125=$C$107+$C$108,$C$111,0)+IF(AND($C$108&gt;0,W$125&gt;$C$107,W$125&lt;=$C$107+$C$108),$C$112/12*(W$125-$C$107)/$C$108,0))</f>
        <v/>
      </c>
      <c r="X129" s="15">
        <f>IF($C$113=1,IF($C$108=0,IF(X$125=$C$107,$C$111,0),IF(AND(X$125&gt;$C$107,X$125&lt;=$C$107+$C$108),$C$111/$C$108,0)),IF(X$125=$C$107+$C$108,$C$111,0)+IF(AND($C$108&gt;0,X$125&gt;$C$107,X$125&lt;=$C$107+$C$108),$C$112/12*(X$125-$C$107)/$C$108,0))</f>
        <v/>
      </c>
      <c r="Y129" s="15">
        <f>IF($C$113=1,IF($C$108=0,IF(Y$125=$C$107,$C$111,0),IF(AND(Y$125&gt;$C$107,Y$125&lt;=$C$107+$C$108),$C$111/$C$108,0)),IF(Y$125=$C$107+$C$108,$C$111,0)+IF(AND($C$108&gt;0,Y$125&gt;$C$107,Y$125&lt;=$C$107+$C$108),$C$112/12*(Y$125-$C$107)/$C$108,0))</f>
        <v/>
      </c>
      <c r="Z129" s="15">
        <f>IF($C$113=1,IF($C$108=0,IF(Z$125=$C$107,$C$111,0),IF(AND(Z$125&gt;$C$107,Z$125&lt;=$C$107+$C$108),$C$111/$C$108,0)),IF(Z$125=$C$107+$C$108,$C$111,0)+IF(AND($C$108&gt;0,Z$125&gt;$C$107,Z$125&lt;=$C$107+$C$108),$C$112/12*(Z$125-$C$107)/$C$108,0))</f>
        <v/>
      </c>
      <c r="AA129" s="15">
        <f>IF($C$113=1,IF($C$108=0,IF(AA$125=$C$107,$C$111,0),IF(AND(AA$125&gt;$C$107,AA$125&lt;=$C$107+$C$108),$C$111/$C$108,0)),IF(AA$125=$C$107+$C$108,$C$111,0)+IF(AND($C$108&gt;0,AA$125&gt;$C$107,AA$125&lt;=$C$107+$C$108),$C$112/12*(AA$125-$C$107)/$C$108,0))</f>
        <v/>
      </c>
      <c r="AB129" s="15">
        <f>IF($C$113=1,IF($C$108=0,IF(AB$125=$C$107,$C$111,0),IF(AND(AB$125&gt;$C$107,AB$125&lt;=$C$107+$C$108),$C$111/$C$108,0)),IF(AB$125=$C$107+$C$108,$C$111,0)+IF(AND($C$108&gt;0,AB$125&gt;$C$107,AB$125&lt;=$C$107+$C$108),$C$112/12*(AB$125-$C$107)/$C$108,0))</f>
        <v/>
      </c>
      <c r="AC129" s="15">
        <f>IF($C$113=1,IF($C$108=0,IF(AC$125=$C$107,$C$111,0),IF(AND(AC$125&gt;$C$107,AC$125&lt;=$C$107+$C$108),$C$111/$C$108,0)),IF(AC$125=$C$107+$C$108,$C$111,0)+IF(AND($C$108&gt;0,AC$125&gt;$C$107,AC$125&lt;=$C$107+$C$108),$C$112/12*(AC$125-$C$107)/$C$108,0))</f>
        <v/>
      </c>
      <c r="AD129" s="15">
        <f>IF($C$113=1,IF($C$108=0,IF(AD$125=$C$107,$C$111,0),IF(AND(AD$125&gt;$C$107,AD$125&lt;=$C$107+$C$108),$C$111/$C$108,0)),IF(AD$125=$C$107+$C$108,$C$111,0)+IF(AND($C$108&gt;0,AD$125&gt;$C$107,AD$125&lt;=$C$107+$C$108),$C$112/12*(AD$125-$C$107)/$C$108,0))</f>
        <v/>
      </c>
      <c r="AE129" s="15">
        <f>IF($C$113=1,IF($C$108=0,IF(AE$125=$C$107,$C$111,0),IF(AND(AE$125&gt;$C$107,AE$125&lt;=$C$107+$C$108),$C$111/$C$108,0)),IF(AE$125=$C$107+$C$108,$C$111,0)+IF(AND($C$108&gt;0,AE$125&gt;$C$107,AE$125&lt;=$C$107+$C$108),$C$112/12*(AE$125-$C$107)/$C$108,0))</f>
        <v/>
      </c>
      <c r="AF129" s="15">
        <f>IF($C$113=1,IF($C$108=0,IF(AF$125=$C$107,$C$111,0),IF(AND(AF$125&gt;$C$107,AF$125&lt;=$C$107+$C$108),$C$111/$C$108,0)),IF(AF$125=$C$107+$C$108,$C$111,0)+IF(AND($C$108&gt;0,AF$125&gt;$C$107,AF$125&lt;=$C$107+$C$108),$C$112/12*(AF$125-$C$107)/$C$108,0))</f>
        <v/>
      </c>
      <c r="AG129" s="15">
        <f>IF($C$113=1,IF($C$108=0,IF(AG$125=$C$107,$C$111,0),IF(AND(AG$125&gt;$C$107,AG$125&lt;=$C$107+$C$108),$C$111/$C$108,0)),IF(AG$125=$C$107+$C$108,$C$111,0)+IF(AND($C$108&gt;0,AG$125&gt;$C$107,AG$125&lt;=$C$107+$C$108),$C$112/12*(AG$125-$C$107)/$C$108,0))</f>
        <v/>
      </c>
      <c r="AH129" s="15">
        <f>IF($C$113=1,IF($C$108=0,IF(AH$125=$C$107,$C$111,0),IF(AND(AH$125&gt;$C$107,AH$125&lt;=$C$107+$C$108),$C$111/$C$108,0)),IF(AH$125=$C$107+$C$108,$C$111,0)+IF(AND($C$108&gt;0,AH$125&gt;$C$107,AH$125&lt;=$C$107+$C$108),$C$112/12*(AH$125-$C$107)/$C$108,0))</f>
        <v/>
      </c>
      <c r="AI129" s="15">
        <f>IF($C$113=1,IF($C$108=0,IF(AI$125=$C$107,$C$111,0),IF(AND(AI$125&gt;$C$107,AI$125&lt;=$C$107+$C$108),$C$111/$C$108,0)),IF(AI$125=$C$107+$C$108,$C$111,0)+IF(AND($C$108&gt;0,AI$125&gt;$C$107,AI$125&lt;=$C$107+$C$108),$C$112/12*(AI$125-$C$107)/$C$108,0))</f>
        <v/>
      </c>
      <c r="AJ129" s="15">
        <f>IF($C$113=1,IF($C$108=0,IF(AJ$125=$C$107,$C$111,0),IF(AND(AJ$125&gt;$C$107,AJ$125&lt;=$C$107+$C$108),$C$111/$C$108,0)),IF(AJ$125=$C$107+$C$108,$C$111,0)+IF(AND($C$108&gt;0,AJ$125&gt;$C$107,AJ$125&lt;=$C$107+$C$108),$C$112/12*(AJ$125-$C$107)/$C$108,0))</f>
        <v/>
      </c>
      <c r="AK129" s="15">
        <f>IF($C$113=1,IF($C$108=0,IF(AK$125=$C$107,$C$111,0),IF(AND(AK$125&gt;$C$107,AK$125&lt;=$C$107+$C$108),$C$111/$C$108,0)),IF(AK$125=$C$107+$C$108,$C$111,0)+IF(AND($C$108&gt;0,AK$125&gt;$C$107,AK$125&lt;=$C$107+$C$108),$C$112/12*(AK$125-$C$107)/$C$108,0))</f>
        <v/>
      </c>
      <c r="AL129" s="15">
        <f>IF($C$113=1,IF($C$108=0,IF(AL$125=$C$107,$C$111,0),IF(AND(AL$125&gt;$C$107,AL$125&lt;=$C$107+$C$108),$C$111/$C$108,0)),IF(AL$125=$C$107+$C$108,$C$111,0)+IF(AND($C$108&gt;0,AL$125&gt;$C$107,AL$125&lt;=$C$107+$C$108),$C$112/12*(AL$125-$C$107)/$C$108,0))</f>
        <v/>
      </c>
      <c r="AM129" s="15">
        <f>IF($C$113=1,IF($C$108=0,IF(AM$125=$C$107,$C$111,0),IF(AND(AM$125&gt;$C$107,AM$125&lt;=$C$107+$C$108),$C$111/$C$108,0)),IF(AM$125=$C$107+$C$108,$C$111,0)+IF(AND($C$108&gt;0,AM$125&gt;$C$107,AM$125&lt;=$C$107+$C$108),$C$112/12*(AM$125-$C$107)/$C$108,0))</f>
        <v/>
      </c>
      <c r="AN129" s="15">
        <f>IF($C$113=1,IF($C$108=0,IF(AN$125=$C$107,$C$111,0),IF(AND(AN$125&gt;$C$107,AN$125&lt;=$C$107+$C$108),$C$111/$C$108,0)),IF(AN$125=$C$107+$C$108,$C$111,0)+IF(AND($C$108&gt;0,AN$125&gt;$C$107,AN$125&lt;=$C$107+$C$108),$C$112/12*(AN$125-$C$107)/$C$108,0))</f>
        <v/>
      </c>
      <c r="AO129" s="15">
        <f>IF($C$113=1,IF($C$108=0,IF(AO$125=$C$107,$C$111,0),IF(AND(AO$125&gt;$C$107,AO$125&lt;=$C$107+$C$108),$C$111/$C$108,0)),IF(AO$125=$C$107+$C$108,$C$111,0)+IF(AND($C$108&gt;0,AO$125&gt;$C$107,AO$125&lt;=$C$107+$C$108),$C$112/12*(AO$125-$C$107)/$C$108,0))</f>
        <v/>
      </c>
      <c r="AP129" s="15">
        <f>IF($C$113=1,IF($C$108=0,IF(AP$125=$C$107,$C$111,0),IF(AND(AP$125&gt;$C$107,AP$125&lt;=$C$107+$C$108),$C$111/$C$108,0)),IF(AP$125=$C$107+$C$108,$C$111,0)+IF(AND($C$108&gt;0,AP$125&gt;$C$107,AP$125&lt;=$C$107+$C$108),$C$112/12*(AP$125-$C$107)/$C$108,0))</f>
        <v/>
      </c>
      <c r="AQ129" s="15">
        <f>IF($C$113=1,IF($C$108=0,IF(AQ$125=$C$107,$C$111,0),IF(AND(AQ$125&gt;$C$107,AQ$125&lt;=$C$107+$C$108),$C$111/$C$108,0)),IF(AQ$125=$C$107+$C$108,$C$111,0)+IF(AND($C$108&gt;0,AQ$125&gt;$C$107,AQ$125&lt;=$C$107+$C$108),$C$112/12*(AQ$125-$C$107)/$C$108,0))</f>
        <v/>
      </c>
      <c r="AR129" s="15">
        <f>IF($C$113=1,IF($C$108=0,IF(AR$125=$C$107,$C$111,0),IF(AND(AR$125&gt;$C$107,AR$125&lt;=$C$107+$C$108),$C$111/$C$108,0)),IF(AR$125=$C$107+$C$108,$C$111,0)+IF(AND($C$108&gt;0,AR$125&gt;$C$107,AR$125&lt;=$C$107+$C$108),$C$112/12*(AR$125-$C$107)/$C$108,0))</f>
        <v/>
      </c>
      <c r="AS129" s="15">
        <f>IF($C$113=1,IF($C$108=0,IF(AS$125=$C$107,$C$111,0),IF(AND(AS$125&gt;$C$107,AS$125&lt;=$C$107+$C$108),$C$111/$C$108,0)),IF(AS$125=$C$107+$C$108,$C$111,0)+IF(AND($C$108&gt;0,AS$125&gt;$C$107,AS$125&lt;=$C$107+$C$108),$C$112/12*(AS$125-$C$107)/$C$108,0))</f>
        <v/>
      </c>
      <c r="AT129" s="15">
        <f>IF($C$113=1,IF($C$108=0,IF(AT$125=$C$107,$C$111,0),IF(AND(AT$125&gt;$C$107,AT$125&lt;=$C$107+$C$108),$C$111/$C$108,0)),IF(AT$125=$C$107+$C$108,$C$111,0)+IF(AND($C$108&gt;0,AT$125&gt;$C$107,AT$125&lt;=$C$107+$C$108),$C$112/12*(AT$125-$C$107)/$C$108,0))</f>
        <v/>
      </c>
      <c r="AU129" s="15">
        <f>IF($C$113=1,IF($C$108=0,IF(AU$125=$C$107,$C$111,0),IF(AND(AU$125&gt;$C$107,AU$125&lt;=$C$107+$C$108),$C$111/$C$108,0)),IF(AU$125=$C$107+$C$108,$C$111,0)+IF(AND($C$108&gt;0,AU$125&gt;$C$107,AU$125&lt;=$C$107+$C$108),$C$112/12*(AU$125-$C$107)/$C$108,0))</f>
        <v/>
      </c>
      <c r="AV129" s="15">
        <f>IF($C$113=1,IF($C$108=0,IF(AV$125=$C$107,$C$111,0),IF(AND(AV$125&gt;$C$107,AV$125&lt;=$C$107+$C$108),$C$111/$C$108,0)),IF(AV$125=$C$107+$C$108,$C$111,0)+IF(AND($C$108&gt;0,AV$125&gt;$C$107,AV$125&lt;=$C$107+$C$108),$C$112/12*(AV$125-$C$107)/$C$108,0))</f>
        <v/>
      </c>
      <c r="AW129" s="15">
        <f>IF($C$113=1,IF($C$108=0,IF(AW$125=$C$107,$C$111,0),IF(AND(AW$125&gt;$C$107,AW$125&lt;=$C$107+$C$108),$C$111/$C$108,0)),IF(AW$125=$C$107+$C$108,$C$111,0)+IF(AND($C$108&gt;0,AW$125&gt;$C$107,AW$125&lt;=$C$107+$C$108),$C$112/12*(AW$125-$C$107)/$C$108,0))</f>
        <v/>
      </c>
      <c r="AX129" s="15">
        <f>IF($C$113=1,IF($C$108=0,IF(AX$125=$C$107,$C$111,0),IF(AND(AX$125&gt;$C$107,AX$125&lt;=$C$107+$C$108),$C$111/$C$108,0)),IF(AX$125=$C$107+$C$108,$C$111,0)+IF(AND($C$108&gt;0,AX$125&gt;$C$107,AX$125&lt;=$C$107+$C$108),$C$112/12*(AX$125-$C$107)/$C$108,0))</f>
        <v/>
      </c>
      <c r="AY129" s="15">
        <f>IF($C$113=1,IF($C$108=0,IF(AY$125=$C$107,$C$111,0),IF(AND(AY$125&gt;$C$107,AY$125&lt;=$C$107+$C$108),$C$111/$C$108,0)),IF(AY$125=$C$107+$C$108,$C$111,0)+IF(AND($C$108&gt;0,AY$125&gt;$C$107,AY$125&lt;=$C$107+$C$108),$C$112/12*(AY$125-$C$107)/$C$108,0))</f>
        <v/>
      </c>
      <c r="AZ129" s="15">
        <f>IF($C$113=1,IF($C$108=0,IF(AZ$125=$C$107,$C$111,0),IF(AND(AZ$125&gt;$C$107,AZ$125&lt;=$C$107+$C$108),$C$111/$C$108,0)),IF(AZ$125=$C$107+$C$108,$C$111,0)+IF(AND($C$108&gt;0,AZ$125&gt;$C$107,AZ$125&lt;=$C$107+$C$108),$C$112/12*(AZ$125-$C$107)/$C$108,0))</f>
        <v/>
      </c>
      <c r="BA129" s="15">
        <f>IF($C$113=1,IF($C$108=0,IF(BA$125=$C$107,$C$111,0),IF(AND(BA$125&gt;$C$107,BA$125&lt;=$C$107+$C$108),$C$111/$C$108,0)),IF(BA$125=$C$107+$C$108,$C$111,0)+IF(AND($C$108&gt;0,BA$125&gt;$C$107,BA$125&lt;=$C$107+$C$108),$C$112/12*(BA$125-$C$107)/$C$108,0))</f>
        <v/>
      </c>
      <c r="BB129" s="15">
        <f>IF($C$113=1,IF($C$108=0,IF(BB$125=$C$107,$C$111,0),IF(AND(BB$125&gt;$C$107,BB$125&lt;=$C$107+$C$108),$C$111/$C$108,0)),IF(BB$125=$C$107+$C$108,$C$111,0)+IF(AND($C$108&gt;0,BB$125&gt;$C$107,BB$125&lt;=$C$107+$C$108),$C$112/12*(BB$125-$C$107)/$C$108,0))</f>
        <v/>
      </c>
      <c r="BC129" s="15">
        <f>IF($C$113=1,IF($C$108=0,IF(BC$125=$C$107,$C$111,0),IF(AND(BC$125&gt;$C$107,BC$125&lt;=$C$107+$C$108),$C$111/$C$108,0)),IF(BC$125=$C$107+$C$108,$C$111,0)+IF(AND($C$108&gt;0,BC$125&gt;$C$107,BC$125&lt;=$C$107+$C$108),$C$112/12*(BC$125-$C$107)/$C$108,0))</f>
        <v/>
      </c>
      <c r="BD129" s="15">
        <f>IF($C$113=1,IF($C$108=0,IF(BD$125=$C$107,$C$111,0),IF(AND(BD$125&gt;$C$107,BD$125&lt;=$C$107+$C$108),$C$111/$C$108,0)),IF(BD$125=$C$107+$C$108,$C$111,0)+IF(AND($C$108&gt;0,BD$125&gt;$C$107,BD$125&lt;=$C$107+$C$108),$C$112/12*(BD$125-$C$107)/$C$108,0))</f>
        <v/>
      </c>
      <c r="BE129" s="15">
        <f>IF($C$113=1,IF($C$108=0,IF(BE$125=$C$107,$C$111,0),IF(AND(BE$125&gt;$C$107,BE$125&lt;=$C$107+$C$108),$C$111/$C$108,0)),IF(BE$125=$C$107+$C$108,$C$111,0)+IF(AND($C$108&gt;0,BE$125&gt;$C$107,BE$125&lt;=$C$107+$C$108),$C$112/12*(BE$125-$C$107)/$C$108,0))</f>
        <v/>
      </c>
      <c r="BF129" s="15">
        <f>IF($C$113=1,IF($C$108=0,IF(BF$125=$C$107,$C$111,0),IF(AND(BF$125&gt;$C$107,BF$125&lt;=$C$107+$C$108),$C$111/$C$108,0)),IF(BF$125=$C$107+$C$108,$C$111,0)+IF(AND($C$108&gt;0,BF$125&gt;$C$107,BF$125&lt;=$C$107+$C$108),$C$112/12*(BF$125-$C$107)/$C$108,0))</f>
        <v/>
      </c>
      <c r="BG129" s="15">
        <f>IF($C$113=1,IF($C$108=0,IF(BG$125=$C$107,$C$111,0),IF(AND(BG$125&gt;$C$107,BG$125&lt;=$C$107+$C$108),$C$111/$C$108,0)),IF(BG$125=$C$107+$C$108,$C$111,0)+IF(AND($C$108&gt;0,BG$125&gt;$C$107,BG$125&lt;=$C$107+$C$108),$C$112/12*(BG$125-$C$107)/$C$108,0))</f>
        <v/>
      </c>
      <c r="BH129" s="15">
        <f>IF($C$113=1,IF($C$108=0,IF(BH$125=$C$107,$C$111,0),IF(AND(BH$125&gt;$C$107,BH$125&lt;=$C$107+$C$108),$C$111/$C$108,0)),IF(BH$125=$C$107+$C$108,$C$111,0)+IF(AND($C$108&gt;0,BH$125&gt;$C$107,BH$125&lt;=$C$107+$C$108),$C$112/12*(BH$125-$C$107)/$C$108,0))</f>
        <v/>
      </c>
      <c r="BI129" s="15">
        <f>IF($C$113=1,IF($C$108=0,IF(BI$125=$C$107,$C$111,0),IF(AND(BI$125&gt;$C$107,BI$125&lt;=$C$107+$C$108),$C$111/$C$108,0)),IF(BI$125=$C$107+$C$108,$C$111,0)+IF(AND($C$108&gt;0,BI$125&gt;$C$107,BI$125&lt;=$C$107+$C$108),$C$112/12*(BI$125-$C$107)/$C$108,0))</f>
        <v/>
      </c>
      <c r="BJ129" s="15">
        <f>IF($C$113=1,IF($C$108=0,IF(BJ$125=$C$107,$C$111,0),IF(AND(BJ$125&gt;$C$107,BJ$125&lt;=$C$107+$C$108),$C$111/$C$108,0)),IF(BJ$125=$C$107+$C$108,$C$111,0)+IF(AND($C$108&gt;0,BJ$125&gt;$C$107,BJ$125&lt;=$C$107+$C$108),$C$112/12*(BJ$125-$C$107)/$C$108,0))</f>
        <v/>
      </c>
      <c r="BK129" s="15">
        <f>IF($C$113=1,IF($C$108=0,IF(BK$125=$C$107,$C$111,0),IF(AND(BK$125&gt;$C$107,BK$125&lt;=$C$107+$C$108),$C$111/$C$108,0)),IF(BK$125=$C$107+$C$108,$C$111,0)+IF(AND($C$108&gt;0,BK$125&gt;$C$107,BK$125&lt;=$C$107+$C$108),$C$112/12*(BK$125-$C$107)/$C$108,0))</f>
        <v/>
      </c>
      <c r="BL129" s="15">
        <f>IF($C$113=1,IF($C$108=0,IF(BL$125=$C$107,$C$111,0),IF(AND(BL$125&gt;$C$107,BL$125&lt;=$C$107+$C$108),$C$111/$C$108,0)),IF(BL$125=$C$107+$C$108,$C$111,0)+IF(AND($C$108&gt;0,BL$125&gt;$C$107,BL$125&lt;=$C$107+$C$108),$C$112/12*(BL$125-$C$107)/$C$108,0))</f>
        <v/>
      </c>
      <c r="BM129" s="15">
        <f>IF($C$113=1,IF($C$108=0,IF(BM$125=$C$107,$C$111,0),IF(AND(BM$125&gt;$C$107,BM$125&lt;=$C$107+$C$108),$C$111/$C$108,0)),IF(BM$125=$C$107+$C$108,$C$111,0)+IF(AND($C$108&gt;0,BM$125&gt;$C$107,BM$125&lt;=$C$107+$C$108),$C$112/12*(BM$125-$C$107)/$C$108,0))</f>
        <v/>
      </c>
      <c r="BN129" s="15">
        <f>IF($C$113=1,IF($C$108=0,IF(BN$125=$C$107,$C$111,0),IF(AND(BN$125&gt;$C$107,BN$125&lt;=$C$107+$C$108),$C$111/$C$108,0)),IF(BN$125=$C$107+$C$108,$C$111,0)+IF(AND($C$108&gt;0,BN$125&gt;$C$107,BN$125&lt;=$C$107+$C$108),$C$112/12*(BN$125-$C$107)/$C$108,0))</f>
        <v/>
      </c>
      <c r="BO129" s="15">
        <f>IF($C$113=1,IF($C$108=0,IF(BO$125=$C$107,$C$111,0),IF(AND(BO$125&gt;$C$107,BO$125&lt;=$C$107+$C$108),$C$111/$C$108,0)),IF(BO$125=$C$107+$C$108,$C$111,0)+IF(AND($C$108&gt;0,BO$125&gt;$C$107,BO$125&lt;=$C$107+$C$108),$C$112/12*(BO$125-$C$107)/$C$108,0))</f>
        <v/>
      </c>
      <c r="BP129" s="15">
        <f>IF($C$113=1,IF($C$108=0,IF(BP$125=$C$107,$C$111,0),IF(AND(BP$125&gt;$C$107,BP$125&lt;=$C$107+$C$108),$C$111/$C$108,0)),IF(BP$125=$C$107+$C$108,$C$111,0)+IF(AND($C$108&gt;0,BP$125&gt;$C$107,BP$125&lt;=$C$107+$C$108),$C$112/12*(BP$125-$C$107)/$C$108,0))</f>
        <v/>
      </c>
      <c r="BQ129" s="15">
        <f>IF($C$113=1,IF($C$108=0,IF(BQ$125=$C$107,$C$111,0),IF(AND(BQ$125&gt;$C$107,BQ$125&lt;=$C$107+$C$108),$C$111/$C$108,0)),IF(BQ$125=$C$107+$C$108,$C$111,0)+IF(AND($C$108&gt;0,BQ$125&gt;$C$107,BQ$125&lt;=$C$107+$C$108),$C$112/12*(BQ$125-$C$107)/$C$108,0))</f>
        <v/>
      </c>
      <c r="BR129" s="15">
        <f>IF($C$113=1,IF($C$108=0,IF(BR$125=$C$107,$C$111,0),IF(AND(BR$125&gt;$C$107,BR$125&lt;=$C$107+$C$108),$C$111/$C$108,0)),IF(BR$125=$C$107+$C$108,$C$111,0)+IF(AND($C$108&gt;0,BR$125&gt;$C$107,BR$125&lt;=$C$107+$C$108),$C$112/12*(BR$125-$C$107)/$C$108,0))</f>
        <v/>
      </c>
      <c r="BS129" s="15">
        <f>IF($C$113=1,IF($C$108=0,IF(BS$125=$C$107,$C$111,0),IF(AND(BS$125&gt;$C$107,BS$125&lt;=$C$107+$C$108),$C$111/$C$108,0)),IF(BS$125=$C$107+$C$108,$C$111,0)+IF(AND($C$108&gt;0,BS$125&gt;$C$107,BS$125&lt;=$C$107+$C$108),$C$112/12*(BS$125-$C$107)/$C$108,0))</f>
        <v/>
      </c>
      <c r="BT129" s="15">
        <f>IF($C$113=1,IF($C$108=0,IF(BT$125=$C$107,$C$111,0),IF(AND(BT$125&gt;$C$107,BT$125&lt;=$C$107+$C$108),$C$111/$C$108,0)),IF(BT$125=$C$107+$C$108,$C$111,0)+IF(AND($C$108&gt;0,BT$125&gt;$C$107,BT$125&lt;=$C$107+$C$108),$C$112/12*(BT$125-$C$107)/$C$108,0))</f>
        <v/>
      </c>
      <c r="BU129" s="15">
        <f>IF($C$113=1,IF($C$108=0,IF(BU$125=$C$107,$C$111,0),IF(AND(BU$125&gt;$C$107,BU$125&lt;=$C$107+$C$108),$C$111/$C$108,0)),IF(BU$125=$C$107+$C$108,$C$111,0)+IF(AND($C$108&gt;0,BU$125&gt;$C$107,BU$125&lt;=$C$107+$C$108),$C$112/12*(BU$125-$C$107)/$C$108,0))</f>
        <v/>
      </c>
      <c r="BV129" s="15">
        <f>IF($C$113=1,IF($C$108=0,IF(BV$125=$C$107,$C$111,0),IF(AND(BV$125&gt;$C$107,BV$125&lt;=$C$107+$C$108),$C$111/$C$108,0)),IF(BV$125=$C$107+$C$108,$C$111,0)+IF(AND($C$108&gt;0,BV$125&gt;$C$107,BV$125&lt;=$C$107+$C$108),$C$112/12*(BV$125-$C$107)/$C$108,0))</f>
        <v/>
      </c>
      <c r="BW129" s="15">
        <f>IF($C$113=1,IF($C$108=0,IF(BW$125=$C$107,$C$111,0),IF(AND(BW$125&gt;$C$107,BW$125&lt;=$C$107+$C$108),$C$111/$C$108,0)),IF(BW$125=$C$107+$C$108,$C$111,0)+IF(AND($C$108&gt;0,BW$125&gt;$C$107,BW$125&lt;=$C$107+$C$108),$C$112/12*(BW$125-$C$107)/$C$108,0))</f>
        <v/>
      </c>
      <c r="BX129" s="15">
        <f>IF($C$113=1,IF($C$108=0,IF(BX$125=$C$107,$C$111,0),IF(AND(BX$125&gt;$C$107,BX$125&lt;=$C$107+$C$108),$C$111/$C$108,0)),IF(BX$125=$C$107+$C$108,$C$111,0)+IF(AND($C$108&gt;0,BX$125&gt;$C$107,BX$125&lt;=$C$107+$C$108),$C$112/12*(BX$125-$C$107)/$C$108,0))</f>
        <v/>
      </c>
      <c r="BY129" s="15">
        <f>IF($C$113=1,IF($C$108=0,IF(BY$125=$C$107,$C$111,0),IF(AND(BY$125&gt;$C$107,BY$125&lt;=$C$107+$C$108),$C$111/$C$108,0)),IF(BY$125=$C$107+$C$108,$C$111,0)+IF(AND($C$108&gt;0,BY$125&gt;$C$107,BY$125&lt;=$C$107+$C$108),$C$112/12*(BY$125-$C$107)/$C$108,0))</f>
        <v/>
      </c>
      <c r="BZ129" s="15">
        <f>IF($C$113=1,IF($C$108=0,IF(BZ$125=$C$107,$C$111,0),IF(AND(BZ$125&gt;$C$107,BZ$125&lt;=$C$107+$C$108),$C$111/$C$108,0)),IF(BZ$125=$C$107+$C$108,$C$111,0)+IF(AND($C$108&gt;0,BZ$125&gt;$C$107,BZ$125&lt;=$C$107+$C$108),$C$112/12*(BZ$125-$C$107)/$C$108,0))</f>
        <v/>
      </c>
      <c r="CA129" s="15">
        <f>IF($C$113=1,IF($C$108=0,IF(CA$125=$C$107,$C$111,0),IF(AND(CA$125&gt;$C$107,CA$125&lt;=$C$107+$C$108),$C$111/$C$108,0)),IF(CA$125=$C$107+$C$108,$C$111,0)+IF(AND($C$108&gt;0,CA$125&gt;$C$107,CA$125&lt;=$C$107+$C$108),$C$112/12*(CA$125-$C$107)/$C$108,0))</f>
        <v/>
      </c>
      <c r="CB129" s="15">
        <f>IF($C$113=1,IF($C$108=0,IF(CB$125=$C$107,$C$111,0),IF(AND(CB$125&gt;$C$107,CB$125&lt;=$C$107+$C$108),$C$111/$C$108,0)),IF(CB$125=$C$107+$C$108,$C$111,0)+IF(AND($C$108&gt;0,CB$125&gt;$C$107,CB$125&lt;=$C$107+$C$108),$C$112/12*(CB$125-$C$107)/$C$108,0))</f>
        <v/>
      </c>
      <c r="CC129" s="15">
        <f>IF($C$113=1,IF($C$108=0,IF(CC$125=$C$107,$C$111,0),IF(AND(CC$125&gt;$C$107,CC$125&lt;=$C$107+$C$108),$C$111/$C$108,0)),IF(CC$125=$C$107+$C$108,$C$111,0)+IF(AND($C$108&gt;0,CC$125&gt;$C$107,CC$125&lt;=$C$107+$C$108),$C$112/12*(CC$125-$C$107)/$C$108,0))</f>
        <v/>
      </c>
      <c r="CD129" s="15">
        <f>IF($C$113=1,IF($C$108=0,IF(CD$125=$C$107,$C$111,0),IF(AND(CD$125&gt;$C$107,CD$125&lt;=$C$107+$C$108),$C$111/$C$108,0)),IF(CD$125=$C$107+$C$108,$C$111,0)+IF(AND($C$108&gt;0,CD$125&gt;$C$107,CD$125&lt;=$C$107+$C$108),$C$112/12*(CD$125-$C$107)/$C$108,0))</f>
        <v/>
      </c>
      <c r="CE129" s="15">
        <f>IF($C$113=1,IF($C$108=0,IF(CE$125=$C$107,$C$111,0),IF(AND(CE$125&gt;$C$107,CE$125&lt;=$C$107+$C$108),$C$111/$C$108,0)),IF(CE$125=$C$107+$C$108,$C$111,0)+IF(AND($C$108&gt;0,CE$125&gt;$C$107,CE$125&lt;=$C$107+$C$108),$C$112/12*(CE$125-$C$107)/$C$108,0))</f>
        <v/>
      </c>
      <c r="CF129" s="15">
        <f>IF($C$113=1,IF($C$108=0,IF(CF$125=$C$107,$C$111,0),IF(AND(CF$125&gt;$C$107,CF$125&lt;=$C$107+$C$108),$C$111/$C$108,0)),IF(CF$125=$C$107+$C$108,$C$111,0)+IF(AND($C$108&gt;0,CF$125&gt;$C$107,CF$125&lt;=$C$107+$C$108),$C$112/12*(CF$125-$C$107)/$C$108,0))</f>
        <v/>
      </c>
      <c r="CG129" s="15">
        <f>IF($C$113=1,IF($C$108=0,IF(CG$125=$C$107,$C$111,0),IF(AND(CG$125&gt;$C$107,CG$125&lt;=$C$107+$C$108),$C$111/$C$108,0)),IF(CG$125=$C$107+$C$108,$C$111,0)+IF(AND($C$108&gt;0,CG$125&gt;$C$107,CG$125&lt;=$C$107+$C$108),$C$112/12*(CG$125-$C$107)/$C$108,0))</f>
        <v/>
      </c>
      <c r="CH129" s="15">
        <f>IF($C$113=1,IF($C$108=0,IF(CH$125=$C$107,$C$111,0),IF(AND(CH$125&gt;$C$107,CH$125&lt;=$C$107+$C$108),$C$111/$C$108,0)),IF(CH$125=$C$107+$C$108,$C$111,0)+IF(AND($C$108&gt;0,CH$125&gt;$C$107,CH$125&lt;=$C$107+$C$108),$C$112/12*(CH$125-$C$107)/$C$108,0))</f>
        <v/>
      </c>
      <c r="CI129" s="15">
        <f>IF($C$113=1,IF($C$108=0,IF(CI$125=$C$107,$C$111,0),IF(AND(CI$125&gt;$C$107,CI$125&lt;=$C$107+$C$108),$C$111/$C$108,0)),IF(CI$125=$C$107+$C$108,$C$111,0)+IF(AND($C$108&gt;0,CI$125&gt;$C$107,CI$125&lt;=$C$107+$C$108),$C$112/12*(CI$125-$C$107)/$C$108,0))</f>
        <v/>
      </c>
      <c r="CJ129" s="15">
        <f>IF($C$113=1,IF($C$108=0,IF(CJ$125=$C$107,$C$111,0),IF(AND(CJ$125&gt;$C$107,CJ$125&lt;=$C$107+$C$108),$C$111/$C$108,0)),IF(CJ$125=$C$107+$C$108,$C$111,0)+IF(AND($C$108&gt;0,CJ$125&gt;$C$107,CJ$125&lt;=$C$107+$C$108),$C$112/12*(CJ$125-$C$107)/$C$108,0))</f>
        <v/>
      </c>
      <c r="CK129" s="15">
        <f>IF($C$113=1,IF($C$108=0,IF(CK$125=$C$107,$C$111,0),IF(AND(CK$125&gt;$C$107,CK$125&lt;=$C$107+$C$108),$C$111/$C$108,0)),IF(CK$125=$C$107+$C$108,$C$111,0)+IF(AND($C$108&gt;0,CK$125&gt;$C$107,CK$125&lt;=$C$107+$C$108),$C$112/12*(CK$125-$C$107)/$C$108,0))</f>
        <v/>
      </c>
      <c r="CL129" s="15">
        <f>IF($C$113=1,IF($C$108=0,IF(CL$125=$C$107,$C$111,0),IF(AND(CL$125&gt;$C$107,CL$125&lt;=$C$107+$C$108),$C$111/$C$108,0)),IF(CL$125=$C$107+$C$108,$C$111,0)+IF(AND($C$108&gt;0,CL$125&gt;$C$107,CL$125&lt;=$C$107+$C$108),$C$112/12*(CL$125-$C$107)/$C$108,0))</f>
        <v/>
      </c>
      <c r="CM129" s="15">
        <f>IF($C$113=1,IF($C$108=0,IF(CM$125=$C$107,$C$111,0),IF(AND(CM$125&gt;$C$107,CM$125&lt;=$C$107+$C$108),$C$111/$C$108,0)),IF(CM$125=$C$107+$C$108,$C$111,0)+IF(AND($C$108&gt;0,CM$125&gt;$C$107,CM$125&lt;=$C$107+$C$108),$C$112/12*(CM$125-$C$107)/$C$108,0))</f>
        <v/>
      </c>
      <c r="CN129" s="15">
        <f>IF($C$113=1,IF($C$108=0,IF(CN$125=$C$107,$C$111,0),IF(AND(CN$125&gt;$C$107,CN$125&lt;=$C$107+$C$108),$C$111/$C$108,0)),IF(CN$125=$C$107+$C$108,$C$111,0)+IF(AND($C$108&gt;0,CN$125&gt;$C$107,CN$125&lt;=$C$107+$C$108),$C$112/12*(CN$125-$C$107)/$C$108,0))</f>
        <v/>
      </c>
      <c r="CO129" s="15">
        <f>IF($C$113=1,IF($C$108=0,IF(CO$125=$C$107,$C$111,0),IF(AND(CO$125&gt;$C$107,CO$125&lt;=$C$107+$C$108),$C$111/$C$108,0)),IF(CO$125=$C$107+$C$108,$C$111,0)+IF(AND($C$108&gt;0,CO$125&gt;$C$107,CO$125&lt;=$C$107+$C$108),$C$112/12*(CO$125-$C$107)/$C$108,0))</f>
        <v/>
      </c>
      <c r="CP129" s="15">
        <f>IF($C$113=1,IF($C$108=0,IF(CP$125=$C$107,$C$111,0),IF(AND(CP$125&gt;$C$107,CP$125&lt;=$C$107+$C$108),$C$111/$C$108,0)),IF(CP$125=$C$107+$C$108,$C$111,0)+IF(AND($C$108&gt;0,CP$125&gt;$C$107,CP$125&lt;=$C$107+$C$108),$C$112/12*(CP$125-$C$107)/$C$108,0))</f>
        <v/>
      </c>
      <c r="CQ129" s="15">
        <f>IF($C$113=1,IF($C$108=0,IF(CQ$125=$C$107,$C$111,0),IF(AND(CQ$125&gt;$C$107,CQ$125&lt;=$C$107+$C$108),$C$111/$C$108,0)),IF(CQ$125=$C$107+$C$108,$C$111,0)+IF(AND($C$108&gt;0,CQ$125&gt;$C$107,CQ$125&lt;=$C$107+$C$108),$C$112/12*(CQ$125-$C$107)/$C$108,0))</f>
        <v/>
      </c>
      <c r="CR129" s="15">
        <f>IF($C$113=1,IF($C$108=0,IF(CR$125=$C$107,$C$111,0),IF(AND(CR$125&gt;$C$107,CR$125&lt;=$C$107+$C$108),$C$111/$C$108,0)),IF(CR$125=$C$107+$C$108,$C$111,0)+IF(AND($C$108&gt;0,CR$125&gt;$C$107,CR$125&lt;=$C$107+$C$108),$C$112/12*(CR$125-$C$107)/$C$108,0))</f>
        <v/>
      </c>
      <c r="CS129" s="15">
        <f>IF($C$113=1,IF($C$108=0,IF(CS$125=$C$107,$C$111,0),IF(AND(CS$125&gt;$C$107,CS$125&lt;=$C$107+$C$108),$C$111/$C$108,0)),IF(CS$125=$C$107+$C$108,$C$111,0)+IF(AND($C$108&gt;0,CS$125&gt;$C$107,CS$125&lt;=$C$107+$C$108),$C$112/12*(CS$125-$C$107)/$C$108,0))</f>
        <v/>
      </c>
      <c r="CT129" s="15">
        <f>IF($C$113=1,IF($C$108=0,IF(CT$125=$C$107,$C$111,0),IF(AND(CT$125&gt;$C$107,CT$125&lt;=$C$107+$C$108),$C$111/$C$108,0)),IF(CT$125=$C$107+$C$108,$C$111,0)+IF(AND($C$108&gt;0,CT$125&gt;$C$107,CT$125&lt;=$C$107+$C$108),$C$112/12*(CT$125-$C$107)/$C$108,0))</f>
        <v/>
      </c>
      <c r="CU129" s="15">
        <f>IF($C$113=1,IF($C$108=0,IF(CU$125=$C$107,$C$111,0),IF(AND(CU$125&gt;$C$107,CU$125&lt;=$C$107+$C$108),$C$111/$C$108,0)),IF(CU$125=$C$107+$C$108,$C$111,0)+IF(AND($C$108&gt;0,CU$125&gt;$C$107,CU$125&lt;=$C$107+$C$108),$C$112/12*(CU$125-$C$107)/$C$108,0))</f>
        <v/>
      </c>
      <c r="CV129" s="15">
        <f>IF($C$113=1,IF($C$108=0,IF(CV$125=$C$107,$C$111,0),IF(AND(CV$125&gt;$C$107,CV$125&lt;=$C$107+$C$108),$C$111/$C$108,0)),IF(CV$125=$C$107+$C$108,$C$111,0)+IF(AND($C$108&gt;0,CV$125&gt;$C$107,CV$125&lt;=$C$107+$C$108),$C$112/12*(CV$125-$C$107)/$C$108,0))</f>
        <v/>
      </c>
      <c r="CW129" s="15">
        <f>IF($C$113=1,IF($C$108=0,IF(CW$125=$C$107,$C$111,0),IF(AND(CW$125&gt;$C$107,CW$125&lt;=$C$107+$C$108),$C$111/$C$108,0)),IF(CW$125=$C$107+$C$108,$C$111,0)+IF(AND($C$108&gt;0,CW$125&gt;$C$107,CW$125&lt;=$C$107+$C$108),$C$112/12*(CW$125-$C$107)/$C$108,0))</f>
        <v/>
      </c>
      <c r="CX129" s="15">
        <f>IF($C$113=1,IF($C$108=0,IF(CX$125=$C$107,$C$111,0),IF(AND(CX$125&gt;$C$107,CX$125&lt;=$C$107+$C$108),$C$111/$C$108,0)),IF(CX$125=$C$107+$C$108,$C$111,0)+IF(AND($C$108&gt;0,CX$125&gt;$C$107,CX$125&lt;=$C$107+$C$108),$C$112/12*(CX$125-$C$107)/$C$108,0))</f>
        <v/>
      </c>
      <c r="CY129" s="15">
        <f>IF($C$113=1,IF($C$108=0,IF(CY$125=$C$107,$C$111,0),IF(AND(CY$125&gt;$C$107,CY$125&lt;=$C$107+$C$108),$C$111/$C$108,0)),IF(CY$125=$C$107+$C$108,$C$111,0)+IF(AND($C$108&gt;0,CY$125&gt;$C$107,CY$125&lt;=$C$107+$C$108),$C$112/12*(CY$125-$C$107)/$C$108,0))</f>
        <v/>
      </c>
      <c r="CZ129" s="15">
        <f>IF($C$113=1,IF($C$108=0,IF(CZ$125=$C$107,$C$111,0),IF(AND(CZ$125&gt;$C$107,CZ$125&lt;=$C$107+$C$108),$C$111/$C$108,0)),IF(CZ$125=$C$107+$C$108,$C$111,0)+IF(AND($C$108&gt;0,CZ$125&gt;$C$107,CZ$125&lt;=$C$107+$C$108),$C$112/12*(CZ$125-$C$107)/$C$108,0))</f>
        <v/>
      </c>
      <c r="DA129" s="15">
        <f>IF($C$113=1,IF($C$108=0,IF(DA$125=$C$107,$C$111,0),IF(AND(DA$125&gt;$C$107,DA$125&lt;=$C$107+$C$108),$C$111/$C$108,0)),IF(DA$125=$C$107+$C$108,$C$111,0)+IF(AND($C$108&gt;0,DA$125&gt;$C$107,DA$125&lt;=$C$107+$C$108),$C$112/12*(DA$125-$C$107)/$C$108,0))</f>
        <v/>
      </c>
      <c r="DB129" s="15">
        <f>IF($C$113=1,IF($C$108=0,IF(DB$125=$C$107,$C$111,0),IF(AND(DB$125&gt;$C$107,DB$125&lt;=$C$107+$C$108),$C$111/$C$108,0)),IF(DB$125=$C$107+$C$108,$C$111,0)+IF(AND($C$108&gt;0,DB$125&gt;$C$107,DB$125&lt;=$C$107+$C$108),$C$112/12*(DB$125-$C$107)/$C$108,0))</f>
        <v/>
      </c>
      <c r="DC129" s="15">
        <f>IF($C$113=1,IF($C$108=0,IF(DC$125=$C$107,$C$111,0),IF(AND(DC$125&gt;$C$107,DC$125&lt;=$C$107+$C$108),$C$111/$C$108,0)),IF(DC$125=$C$107+$C$108,$C$111,0)+IF(AND($C$108&gt;0,DC$125&gt;$C$107,DC$125&lt;=$C$107+$C$108),$C$112/12*(DC$125-$C$107)/$C$108,0))</f>
        <v/>
      </c>
      <c r="DD129" s="15">
        <f>IF($C$113=1,IF($C$108=0,IF(DD$125=$C$107,$C$111,0),IF(AND(DD$125&gt;$C$107,DD$125&lt;=$C$107+$C$108),$C$111/$C$108,0)),IF(DD$125=$C$107+$C$108,$C$111,0)+IF(AND($C$108&gt;0,DD$125&gt;$C$107,DD$125&lt;=$C$107+$C$108),$C$112/12*(DD$125-$C$107)/$C$108,0))</f>
        <v/>
      </c>
      <c r="DE129" s="15">
        <f>IF($C$113=1,IF($C$108=0,IF(DE$125=$C$107,$C$111,0),IF(AND(DE$125&gt;$C$107,DE$125&lt;=$C$107+$C$108),$C$111/$C$108,0)),IF(DE$125=$C$107+$C$108,$C$111,0)+IF(AND($C$108&gt;0,DE$125&gt;$C$107,DE$125&lt;=$C$107+$C$108),$C$112/12*(DE$125-$C$107)/$C$108,0))</f>
        <v/>
      </c>
      <c r="DF129" s="15">
        <f>IF($C$113=1,IF($C$108=0,IF(DF$125=$C$107,$C$111,0),IF(AND(DF$125&gt;$C$107,DF$125&lt;=$C$107+$C$108),$C$111/$C$108,0)),IF(DF$125=$C$107+$C$108,$C$111,0)+IF(AND($C$108&gt;0,DF$125&gt;$C$107,DF$125&lt;=$C$107+$C$108),$C$112/12*(DF$125-$C$107)/$C$108,0))</f>
        <v/>
      </c>
      <c r="DG129" s="15">
        <f>IF($C$113=1,IF($C$108=0,IF(DG$125=$C$107,$C$111,0),IF(AND(DG$125&gt;$C$107,DG$125&lt;=$C$107+$C$108),$C$111/$C$108,0)),IF(DG$125=$C$107+$C$108,$C$111,0)+IF(AND($C$108&gt;0,DG$125&gt;$C$107,DG$125&lt;=$C$107+$C$108),$C$112/12*(DG$125-$C$107)/$C$108,0))</f>
        <v/>
      </c>
      <c r="DH129" s="15">
        <f>IF($C$113=1,IF($C$108=0,IF(DH$125=$C$107,$C$111,0),IF(AND(DH$125&gt;$C$107,DH$125&lt;=$C$107+$C$108),$C$111/$C$108,0)),IF(DH$125=$C$107+$C$108,$C$111,0)+IF(AND($C$108&gt;0,DH$125&gt;$C$107,DH$125&lt;=$C$107+$C$108),$C$112/12*(DH$125-$C$107)/$C$108,0))</f>
        <v/>
      </c>
      <c r="DI129" s="15">
        <f>IF($C$113=1,IF($C$108=0,IF(DI$125=$C$107,$C$111,0),IF(AND(DI$125&gt;$C$107,DI$125&lt;=$C$107+$C$108),$C$111/$C$108,0)),IF(DI$125=$C$107+$C$108,$C$111,0)+IF(AND($C$108&gt;0,DI$125&gt;$C$107,DI$125&lt;=$C$107+$C$108),$C$112/12*(DI$125-$C$107)/$C$108,0))</f>
        <v/>
      </c>
      <c r="DJ129" s="15">
        <f>IF($C$113=1,IF($C$108=0,IF(DJ$125=$C$107,$C$111,0),IF(AND(DJ$125&gt;$C$107,DJ$125&lt;=$C$107+$C$108),$C$111/$C$108,0)),IF(DJ$125=$C$107+$C$108,$C$111,0)+IF(AND($C$108&gt;0,DJ$125&gt;$C$107,DJ$125&lt;=$C$107+$C$108),$C$112/12*(DJ$125-$C$107)/$C$108,0))</f>
        <v/>
      </c>
      <c r="DK129" s="15">
        <f>IF($C$113=1,IF($C$108=0,IF(DK$125=$C$107,$C$111,0),IF(AND(DK$125&gt;$C$107,DK$125&lt;=$C$107+$C$108),$C$111/$C$108,0)),IF(DK$125=$C$107+$C$108,$C$111,0)+IF(AND($C$108&gt;0,DK$125&gt;$C$107,DK$125&lt;=$C$107+$C$108),$C$112/12*(DK$125-$C$107)/$C$108,0))</f>
        <v/>
      </c>
      <c r="DL129" s="15">
        <f>IF($C$113=1,IF($C$108=0,IF(DL$125=$C$107,$C$111,0),IF(AND(DL$125&gt;$C$107,DL$125&lt;=$C$107+$C$108),$C$111/$C$108,0)),IF(DL$125=$C$107+$C$108,$C$111,0)+IF(AND($C$108&gt;0,DL$125&gt;$C$107,DL$125&lt;=$C$107+$C$108),$C$112/12*(DL$125-$C$107)/$C$108,0))</f>
        <v/>
      </c>
      <c r="DM129" s="15">
        <f>IF($C$113=1,IF($C$108=0,IF(DM$125=$C$107,$C$111,0),IF(AND(DM$125&gt;$C$107,DM$125&lt;=$C$107+$C$108),$C$111/$C$108,0)),IF(DM$125=$C$107+$C$108,$C$111,0)+IF(AND($C$108&gt;0,DM$125&gt;$C$107,DM$125&lt;=$C$107+$C$108),$C$112/12*(DM$125-$C$107)/$C$108,0))</f>
        <v/>
      </c>
      <c r="DN129" s="15">
        <f>IF($C$113=1,IF($C$108=0,IF(DN$125=$C$107,$C$111,0),IF(AND(DN$125&gt;$C$107,DN$125&lt;=$C$107+$C$108),$C$111/$C$108,0)),IF(DN$125=$C$107+$C$108,$C$111,0)+IF(AND($C$108&gt;0,DN$125&gt;$C$107,DN$125&lt;=$C$107+$C$108),$C$112/12*(DN$125-$C$107)/$C$108,0))</f>
        <v/>
      </c>
      <c r="DO129" s="15">
        <f>IF($C$113=1,IF($C$108=0,IF(DO$125=$C$107,$C$111,0),IF(AND(DO$125&gt;$C$107,DO$125&lt;=$C$107+$C$108),$C$111/$C$108,0)),IF(DO$125=$C$107+$C$108,$C$111,0)+IF(AND($C$108&gt;0,DO$125&gt;$C$107,DO$125&lt;=$C$107+$C$108),$C$112/12*(DO$125-$C$107)/$C$108,0))</f>
        <v/>
      </c>
      <c r="DP129" s="15">
        <f>IF($C$113=1,IF($C$108=0,IF(DP$125=$C$107,$C$111,0),IF(AND(DP$125&gt;$C$107,DP$125&lt;=$C$107+$C$108),$C$111/$C$108,0)),IF(DP$125=$C$107+$C$108,$C$111,0)+IF(AND($C$108&gt;0,DP$125&gt;$C$107,DP$125&lt;=$C$107+$C$108),$C$112/12*(DP$125-$C$107)/$C$108,0))</f>
        <v/>
      </c>
      <c r="DQ129" s="15">
        <f>IF($C$113=1,IF($C$108=0,IF(DQ$125=$C$107,$C$111,0),IF(AND(DQ$125&gt;$C$107,DQ$125&lt;=$C$107+$C$108),$C$111/$C$108,0)),IF(DQ$125=$C$107+$C$108,$C$111,0)+IF(AND($C$108&gt;0,DQ$125&gt;$C$107,DQ$125&lt;=$C$107+$C$108),$C$112/12*(DQ$125-$C$107)/$C$108,0))</f>
        <v/>
      </c>
      <c r="DR129" s="15">
        <f>IF($C$113=1,IF($C$108=0,IF(DR$125=$C$107,$C$111,0),IF(AND(DR$125&gt;$C$107,DR$125&lt;=$C$107+$C$108),$C$111/$C$108,0)),IF(DR$125=$C$107+$C$108,$C$111,0)+IF(AND($C$108&gt;0,DR$125&gt;$C$107,DR$125&lt;=$C$107+$C$108),$C$112/12*(DR$125-$C$107)/$C$108,0))</f>
        <v/>
      </c>
      <c r="DS129" s="15">
        <f>IF($C$113=1,IF($C$108=0,IF(DS$125=$C$107,$C$111,0),IF(AND(DS$125&gt;$C$107,DS$125&lt;=$C$107+$C$108),$C$111/$C$108,0)),IF(DS$125=$C$107+$C$108,$C$111,0)+IF(AND($C$108&gt;0,DS$125&gt;$C$107,DS$125&lt;=$C$107+$C$108),$C$112/12*(DS$125-$C$107)/$C$108,0))</f>
        <v/>
      </c>
    </row>
    <row r="130">
      <c r="B130" s="4" t="inlineStr">
        <is>
          <t>Unlevered cash flow</t>
        </is>
      </c>
      <c r="C130" s="25">
        <f>SUM(C126:C129)</f>
        <v/>
      </c>
      <c r="D130" s="25">
        <f>SUM(D126:D129)</f>
        <v/>
      </c>
      <c r="E130" s="25">
        <f>SUM(E126:E129)</f>
        <v/>
      </c>
      <c r="F130" s="25">
        <f>SUM(F126:F129)</f>
        <v/>
      </c>
      <c r="G130" s="25">
        <f>SUM(G126:G129)</f>
        <v/>
      </c>
      <c r="H130" s="25">
        <f>SUM(H126:H129)</f>
        <v/>
      </c>
      <c r="I130" s="25">
        <f>SUM(I126:I129)</f>
        <v/>
      </c>
      <c r="J130" s="25">
        <f>SUM(J126:J129)</f>
        <v/>
      </c>
      <c r="K130" s="25">
        <f>SUM(K126:K129)</f>
        <v/>
      </c>
      <c r="L130" s="25">
        <f>SUM(L126:L129)</f>
        <v/>
      </c>
      <c r="M130" s="25">
        <f>SUM(M126:M129)</f>
        <v/>
      </c>
      <c r="N130" s="25">
        <f>SUM(N126:N129)</f>
        <v/>
      </c>
      <c r="O130" s="25">
        <f>SUM(O126:O129)</f>
        <v/>
      </c>
      <c r="P130" s="25">
        <f>SUM(P126:P129)</f>
        <v/>
      </c>
      <c r="Q130" s="25">
        <f>SUM(Q126:Q129)</f>
        <v/>
      </c>
      <c r="R130" s="25">
        <f>SUM(R126:R129)</f>
        <v/>
      </c>
      <c r="S130" s="25">
        <f>SUM(S126:S129)</f>
        <v/>
      </c>
      <c r="T130" s="25">
        <f>SUM(T126:T129)</f>
        <v/>
      </c>
      <c r="U130" s="25">
        <f>SUM(U126:U129)</f>
        <v/>
      </c>
      <c r="V130" s="25">
        <f>SUM(V126:V129)</f>
        <v/>
      </c>
      <c r="W130" s="25">
        <f>SUM(W126:W129)</f>
        <v/>
      </c>
      <c r="X130" s="25">
        <f>SUM(X126:X129)</f>
        <v/>
      </c>
      <c r="Y130" s="25">
        <f>SUM(Y126:Y129)</f>
        <v/>
      </c>
      <c r="Z130" s="25">
        <f>SUM(Z126:Z129)</f>
        <v/>
      </c>
      <c r="AA130" s="25">
        <f>SUM(AA126:AA129)</f>
        <v/>
      </c>
      <c r="AB130" s="25">
        <f>SUM(AB126:AB129)</f>
        <v/>
      </c>
      <c r="AC130" s="25">
        <f>SUM(AC126:AC129)</f>
        <v/>
      </c>
      <c r="AD130" s="25">
        <f>SUM(AD126:AD129)</f>
        <v/>
      </c>
      <c r="AE130" s="25">
        <f>SUM(AE126:AE129)</f>
        <v/>
      </c>
      <c r="AF130" s="25">
        <f>SUM(AF126:AF129)</f>
        <v/>
      </c>
      <c r="AG130" s="25">
        <f>SUM(AG126:AG129)</f>
        <v/>
      </c>
      <c r="AH130" s="25">
        <f>SUM(AH126:AH129)</f>
        <v/>
      </c>
      <c r="AI130" s="25">
        <f>SUM(AI126:AI129)</f>
        <v/>
      </c>
      <c r="AJ130" s="25">
        <f>SUM(AJ126:AJ129)</f>
        <v/>
      </c>
      <c r="AK130" s="25">
        <f>SUM(AK126:AK129)</f>
        <v/>
      </c>
      <c r="AL130" s="25">
        <f>SUM(AL126:AL129)</f>
        <v/>
      </c>
      <c r="AM130" s="25">
        <f>SUM(AM126:AM129)</f>
        <v/>
      </c>
      <c r="AN130" s="25">
        <f>SUM(AN126:AN129)</f>
        <v/>
      </c>
      <c r="AO130" s="25">
        <f>SUM(AO126:AO129)</f>
        <v/>
      </c>
      <c r="AP130" s="25">
        <f>SUM(AP126:AP129)</f>
        <v/>
      </c>
      <c r="AQ130" s="25">
        <f>SUM(AQ126:AQ129)</f>
        <v/>
      </c>
      <c r="AR130" s="25">
        <f>SUM(AR126:AR129)</f>
        <v/>
      </c>
      <c r="AS130" s="25">
        <f>SUM(AS126:AS129)</f>
        <v/>
      </c>
      <c r="AT130" s="25">
        <f>SUM(AT126:AT129)</f>
        <v/>
      </c>
      <c r="AU130" s="25">
        <f>SUM(AU126:AU129)</f>
        <v/>
      </c>
      <c r="AV130" s="25">
        <f>SUM(AV126:AV129)</f>
        <v/>
      </c>
      <c r="AW130" s="25">
        <f>SUM(AW126:AW129)</f>
        <v/>
      </c>
      <c r="AX130" s="25">
        <f>SUM(AX126:AX129)</f>
        <v/>
      </c>
      <c r="AY130" s="25">
        <f>SUM(AY126:AY129)</f>
        <v/>
      </c>
      <c r="AZ130" s="25">
        <f>SUM(AZ126:AZ129)</f>
        <v/>
      </c>
      <c r="BA130" s="25">
        <f>SUM(BA126:BA129)</f>
        <v/>
      </c>
      <c r="BB130" s="25">
        <f>SUM(BB126:BB129)</f>
        <v/>
      </c>
      <c r="BC130" s="25">
        <f>SUM(BC126:BC129)</f>
        <v/>
      </c>
      <c r="BD130" s="25">
        <f>SUM(BD126:BD129)</f>
        <v/>
      </c>
      <c r="BE130" s="25">
        <f>SUM(BE126:BE129)</f>
        <v/>
      </c>
      <c r="BF130" s="25">
        <f>SUM(BF126:BF129)</f>
        <v/>
      </c>
      <c r="BG130" s="25">
        <f>SUM(BG126:BG129)</f>
        <v/>
      </c>
      <c r="BH130" s="25">
        <f>SUM(BH126:BH129)</f>
        <v/>
      </c>
      <c r="BI130" s="25">
        <f>SUM(BI126:BI129)</f>
        <v/>
      </c>
      <c r="BJ130" s="25">
        <f>SUM(BJ126:BJ129)</f>
        <v/>
      </c>
      <c r="BK130" s="25">
        <f>SUM(BK126:BK129)</f>
        <v/>
      </c>
      <c r="BL130" s="25">
        <f>SUM(BL126:BL129)</f>
        <v/>
      </c>
      <c r="BM130" s="25">
        <f>SUM(BM126:BM129)</f>
        <v/>
      </c>
      <c r="BN130" s="25">
        <f>SUM(BN126:BN129)</f>
        <v/>
      </c>
      <c r="BO130" s="25">
        <f>SUM(BO126:BO129)</f>
        <v/>
      </c>
      <c r="BP130" s="25">
        <f>SUM(BP126:BP129)</f>
        <v/>
      </c>
      <c r="BQ130" s="25">
        <f>SUM(BQ126:BQ129)</f>
        <v/>
      </c>
      <c r="BR130" s="25">
        <f>SUM(BR126:BR129)</f>
        <v/>
      </c>
      <c r="BS130" s="25">
        <f>SUM(BS126:BS129)</f>
        <v/>
      </c>
      <c r="BT130" s="25">
        <f>SUM(BT126:BT129)</f>
        <v/>
      </c>
      <c r="BU130" s="25">
        <f>SUM(BU126:BU129)</f>
        <v/>
      </c>
      <c r="BV130" s="25">
        <f>SUM(BV126:BV129)</f>
        <v/>
      </c>
      <c r="BW130" s="25">
        <f>SUM(BW126:BW129)</f>
        <v/>
      </c>
      <c r="BX130" s="25">
        <f>SUM(BX126:BX129)</f>
        <v/>
      </c>
      <c r="BY130" s="25">
        <f>SUM(BY126:BY129)</f>
        <v/>
      </c>
      <c r="BZ130" s="25">
        <f>SUM(BZ126:BZ129)</f>
        <v/>
      </c>
      <c r="CA130" s="25">
        <f>SUM(CA126:CA129)</f>
        <v/>
      </c>
      <c r="CB130" s="25">
        <f>SUM(CB126:CB129)</f>
        <v/>
      </c>
      <c r="CC130" s="25">
        <f>SUM(CC126:CC129)</f>
        <v/>
      </c>
      <c r="CD130" s="25">
        <f>SUM(CD126:CD129)</f>
        <v/>
      </c>
      <c r="CE130" s="25">
        <f>SUM(CE126:CE129)</f>
        <v/>
      </c>
      <c r="CF130" s="25">
        <f>SUM(CF126:CF129)</f>
        <v/>
      </c>
      <c r="CG130" s="25">
        <f>SUM(CG126:CG129)</f>
        <v/>
      </c>
      <c r="CH130" s="25">
        <f>SUM(CH126:CH129)</f>
        <v/>
      </c>
      <c r="CI130" s="25">
        <f>SUM(CI126:CI129)</f>
        <v/>
      </c>
      <c r="CJ130" s="25">
        <f>SUM(CJ126:CJ129)</f>
        <v/>
      </c>
      <c r="CK130" s="25">
        <f>SUM(CK126:CK129)</f>
        <v/>
      </c>
      <c r="CL130" s="25">
        <f>SUM(CL126:CL129)</f>
        <v/>
      </c>
      <c r="CM130" s="25">
        <f>SUM(CM126:CM129)</f>
        <v/>
      </c>
      <c r="CN130" s="25">
        <f>SUM(CN126:CN129)</f>
        <v/>
      </c>
      <c r="CO130" s="25">
        <f>SUM(CO126:CO129)</f>
        <v/>
      </c>
      <c r="CP130" s="25">
        <f>SUM(CP126:CP129)</f>
        <v/>
      </c>
      <c r="CQ130" s="25">
        <f>SUM(CQ126:CQ129)</f>
        <v/>
      </c>
      <c r="CR130" s="25">
        <f>SUM(CR126:CR129)</f>
        <v/>
      </c>
      <c r="CS130" s="25">
        <f>SUM(CS126:CS129)</f>
        <v/>
      </c>
      <c r="CT130" s="25">
        <f>SUM(CT126:CT129)</f>
        <v/>
      </c>
      <c r="CU130" s="25">
        <f>SUM(CU126:CU129)</f>
        <v/>
      </c>
      <c r="CV130" s="25">
        <f>SUM(CV126:CV129)</f>
        <v/>
      </c>
      <c r="CW130" s="25">
        <f>SUM(CW126:CW129)</f>
        <v/>
      </c>
      <c r="CX130" s="25">
        <f>SUM(CX126:CX129)</f>
        <v/>
      </c>
      <c r="CY130" s="25">
        <f>SUM(CY126:CY129)</f>
        <v/>
      </c>
      <c r="CZ130" s="25">
        <f>SUM(CZ126:CZ129)</f>
        <v/>
      </c>
      <c r="DA130" s="25">
        <f>SUM(DA126:DA129)</f>
        <v/>
      </c>
      <c r="DB130" s="25">
        <f>SUM(DB126:DB129)</f>
        <v/>
      </c>
      <c r="DC130" s="25">
        <f>SUM(DC126:DC129)</f>
        <v/>
      </c>
      <c r="DD130" s="25">
        <f>SUM(DD126:DD129)</f>
        <v/>
      </c>
      <c r="DE130" s="25">
        <f>SUM(DE126:DE129)</f>
        <v/>
      </c>
      <c r="DF130" s="25">
        <f>SUM(DF126:DF129)</f>
        <v/>
      </c>
      <c r="DG130" s="25">
        <f>SUM(DG126:DG129)</f>
        <v/>
      </c>
      <c r="DH130" s="25">
        <f>SUM(DH126:DH129)</f>
        <v/>
      </c>
      <c r="DI130" s="25">
        <f>SUM(DI126:DI129)</f>
        <v/>
      </c>
      <c r="DJ130" s="25">
        <f>SUM(DJ126:DJ129)</f>
        <v/>
      </c>
      <c r="DK130" s="25">
        <f>SUM(DK126:DK129)</f>
        <v/>
      </c>
      <c r="DL130" s="25">
        <f>SUM(DL126:DL129)</f>
        <v/>
      </c>
      <c r="DM130" s="25">
        <f>SUM(DM126:DM129)</f>
        <v/>
      </c>
      <c r="DN130" s="25">
        <f>SUM(DN126:DN129)</f>
        <v/>
      </c>
      <c r="DO130" s="25">
        <f>SUM(DO126:DO129)</f>
        <v/>
      </c>
      <c r="DP130" s="25">
        <f>SUM(DP126:DP129)</f>
        <v/>
      </c>
      <c r="DQ130" s="25">
        <f>SUM(DQ126:DQ129)</f>
        <v/>
      </c>
      <c r="DR130" s="25">
        <f>SUM(DR126:DR129)</f>
        <v/>
      </c>
      <c r="DS130" s="25">
        <f>SUM(DS126:DS129)</f>
        <v/>
      </c>
    </row>
    <row r="131">
      <c r="B131" s="9" t="inlineStr">
        <is>
          <t>Loan draw</t>
        </is>
      </c>
      <c r="C131" s="15">
        <f>-(C126+C127+C128)*Assumptions!$C$15</f>
        <v/>
      </c>
      <c r="D131" s="15">
        <f>-(D126+D127+D128)*Assumptions!$C$15</f>
        <v/>
      </c>
      <c r="E131" s="15">
        <f>-(E126+E127+E128)*Assumptions!$C$15</f>
        <v/>
      </c>
      <c r="F131" s="15">
        <f>-(F126+F127+F128)*Assumptions!$C$15</f>
        <v/>
      </c>
      <c r="G131" s="15">
        <f>-(G126+G127+G128)*Assumptions!$C$15</f>
        <v/>
      </c>
      <c r="H131" s="15">
        <f>-(H126+H127+H128)*Assumptions!$C$15</f>
        <v/>
      </c>
      <c r="I131" s="15">
        <f>-(I126+I127+I128)*Assumptions!$C$15</f>
        <v/>
      </c>
      <c r="J131" s="15">
        <f>-(J126+J127+J128)*Assumptions!$C$15</f>
        <v/>
      </c>
      <c r="K131" s="15">
        <f>-(K126+K127+K128)*Assumptions!$C$15</f>
        <v/>
      </c>
      <c r="L131" s="15">
        <f>-(L126+L127+L128)*Assumptions!$C$15</f>
        <v/>
      </c>
      <c r="M131" s="15">
        <f>-(M126+M127+M128)*Assumptions!$C$15</f>
        <v/>
      </c>
      <c r="N131" s="15">
        <f>-(N126+N127+N128)*Assumptions!$C$15</f>
        <v/>
      </c>
      <c r="O131" s="15">
        <f>-(O126+O127+O128)*Assumptions!$C$15</f>
        <v/>
      </c>
      <c r="P131" s="15">
        <f>-(P126+P127+P128)*Assumptions!$C$15</f>
        <v/>
      </c>
      <c r="Q131" s="15">
        <f>-(Q126+Q127+Q128)*Assumptions!$C$15</f>
        <v/>
      </c>
      <c r="R131" s="15">
        <f>-(R126+R127+R128)*Assumptions!$C$15</f>
        <v/>
      </c>
      <c r="S131" s="15">
        <f>-(S126+S127+S128)*Assumptions!$C$15</f>
        <v/>
      </c>
      <c r="T131" s="15">
        <f>-(T126+T127+T128)*Assumptions!$C$15</f>
        <v/>
      </c>
      <c r="U131" s="15">
        <f>-(U126+U127+U128)*Assumptions!$C$15</f>
        <v/>
      </c>
      <c r="V131" s="15">
        <f>-(V126+V127+V128)*Assumptions!$C$15</f>
        <v/>
      </c>
      <c r="W131" s="15">
        <f>-(W126+W127+W128)*Assumptions!$C$15</f>
        <v/>
      </c>
      <c r="X131" s="15">
        <f>-(X126+X127+X128)*Assumptions!$C$15</f>
        <v/>
      </c>
      <c r="Y131" s="15">
        <f>-(Y126+Y127+Y128)*Assumptions!$C$15</f>
        <v/>
      </c>
      <c r="Z131" s="15">
        <f>-(Z126+Z127+Z128)*Assumptions!$C$15</f>
        <v/>
      </c>
      <c r="AA131" s="15">
        <f>-(AA126+AA127+AA128)*Assumptions!$C$15</f>
        <v/>
      </c>
      <c r="AB131" s="15">
        <f>-(AB126+AB127+AB128)*Assumptions!$C$15</f>
        <v/>
      </c>
      <c r="AC131" s="15">
        <f>-(AC126+AC127+AC128)*Assumptions!$C$15</f>
        <v/>
      </c>
      <c r="AD131" s="15">
        <f>-(AD126+AD127+AD128)*Assumptions!$C$15</f>
        <v/>
      </c>
      <c r="AE131" s="15">
        <f>-(AE126+AE127+AE128)*Assumptions!$C$15</f>
        <v/>
      </c>
      <c r="AF131" s="15">
        <f>-(AF126+AF127+AF128)*Assumptions!$C$15</f>
        <v/>
      </c>
      <c r="AG131" s="15">
        <f>-(AG126+AG127+AG128)*Assumptions!$C$15</f>
        <v/>
      </c>
      <c r="AH131" s="15">
        <f>-(AH126+AH127+AH128)*Assumptions!$C$15</f>
        <v/>
      </c>
      <c r="AI131" s="15">
        <f>-(AI126+AI127+AI128)*Assumptions!$C$15</f>
        <v/>
      </c>
      <c r="AJ131" s="15">
        <f>-(AJ126+AJ127+AJ128)*Assumptions!$C$15</f>
        <v/>
      </c>
      <c r="AK131" s="15">
        <f>-(AK126+AK127+AK128)*Assumptions!$C$15</f>
        <v/>
      </c>
      <c r="AL131" s="15">
        <f>-(AL126+AL127+AL128)*Assumptions!$C$15</f>
        <v/>
      </c>
      <c r="AM131" s="15">
        <f>-(AM126+AM127+AM128)*Assumptions!$C$15</f>
        <v/>
      </c>
      <c r="AN131" s="15">
        <f>-(AN126+AN127+AN128)*Assumptions!$C$15</f>
        <v/>
      </c>
      <c r="AO131" s="15">
        <f>-(AO126+AO127+AO128)*Assumptions!$C$15</f>
        <v/>
      </c>
      <c r="AP131" s="15">
        <f>-(AP126+AP127+AP128)*Assumptions!$C$15</f>
        <v/>
      </c>
      <c r="AQ131" s="15">
        <f>-(AQ126+AQ127+AQ128)*Assumptions!$C$15</f>
        <v/>
      </c>
      <c r="AR131" s="15">
        <f>-(AR126+AR127+AR128)*Assumptions!$C$15</f>
        <v/>
      </c>
      <c r="AS131" s="15">
        <f>-(AS126+AS127+AS128)*Assumptions!$C$15</f>
        <v/>
      </c>
      <c r="AT131" s="15">
        <f>-(AT126+AT127+AT128)*Assumptions!$C$15</f>
        <v/>
      </c>
      <c r="AU131" s="15">
        <f>-(AU126+AU127+AU128)*Assumptions!$C$15</f>
        <v/>
      </c>
      <c r="AV131" s="15">
        <f>-(AV126+AV127+AV128)*Assumptions!$C$15</f>
        <v/>
      </c>
      <c r="AW131" s="15">
        <f>-(AW126+AW127+AW128)*Assumptions!$C$15</f>
        <v/>
      </c>
      <c r="AX131" s="15">
        <f>-(AX126+AX127+AX128)*Assumptions!$C$15</f>
        <v/>
      </c>
      <c r="AY131" s="15">
        <f>-(AY126+AY127+AY128)*Assumptions!$C$15</f>
        <v/>
      </c>
      <c r="AZ131" s="15">
        <f>-(AZ126+AZ127+AZ128)*Assumptions!$C$15</f>
        <v/>
      </c>
      <c r="BA131" s="15">
        <f>-(BA126+BA127+BA128)*Assumptions!$C$15</f>
        <v/>
      </c>
      <c r="BB131" s="15">
        <f>-(BB126+BB127+BB128)*Assumptions!$C$15</f>
        <v/>
      </c>
      <c r="BC131" s="15">
        <f>-(BC126+BC127+BC128)*Assumptions!$C$15</f>
        <v/>
      </c>
      <c r="BD131" s="15">
        <f>-(BD126+BD127+BD128)*Assumptions!$C$15</f>
        <v/>
      </c>
      <c r="BE131" s="15">
        <f>-(BE126+BE127+BE128)*Assumptions!$C$15</f>
        <v/>
      </c>
      <c r="BF131" s="15">
        <f>-(BF126+BF127+BF128)*Assumptions!$C$15</f>
        <v/>
      </c>
      <c r="BG131" s="15">
        <f>-(BG126+BG127+BG128)*Assumptions!$C$15</f>
        <v/>
      </c>
      <c r="BH131" s="15">
        <f>-(BH126+BH127+BH128)*Assumptions!$C$15</f>
        <v/>
      </c>
      <c r="BI131" s="15">
        <f>-(BI126+BI127+BI128)*Assumptions!$C$15</f>
        <v/>
      </c>
      <c r="BJ131" s="15">
        <f>-(BJ126+BJ127+BJ128)*Assumptions!$C$15</f>
        <v/>
      </c>
      <c r="BK131" s="15">
        <f>-(BK126+BK127+BK128)*Assumptions!$C$15</f>
        <v/>
      </c>
      <c r="BL131" s="15">
        <f>-(BL126+BL127+BL128)*Assumptions!$C$15</f>
        <v/>
      </c>
      <c r="BM131" s="15">
        <f>-(BM126+BM127+BM128)*Assumptions!$C$15</f>
        <v/>
      </c>
      <c r="BN131" s="15">
        <f>-(BN126+BN127+BN128)*Assumptions!$C$15</f>
        <v/>
      </c>
      <c r="BO131" s="15">
        <f>-(BO126+BO127+BO128)*Assumptions!$C$15</f>
        <v/>
      </c>
      <c r="BP131" s="15">
        <f>-(BP126+BP127+BP128)*Assumptions!$C$15</f>
        <v/>
      </c>
      <c r="BQ131" s="15">
        <f>-(BQ126+BQ127+BQ128)*Assumptions!$C$15</f>
        <v/>
      </c>
      <c r="BR131" s="15">
        <f>-(BR126+BR127+BR128)*Assumptions!$C$15</f>
        <v/>
      </c>
      <c r="BS131" s="15">
        <f>-(BS126+BS127+BS128)*Assumptions!$C$15</f>
        <v/>
      </c>
      <c r="BT131" s="15">
        <f>-(BT126+BT127+BT128)*Assumptions!$C$15</f>
        <v/>
      </c>
      <c r="BU131" s="15">
        <f>-(BU126+BU127+BU128)*Assumptions!$C$15</f>
        <v/>
      </c>
      <c r="BV131" s="15">
        <f>-(BV126+BV127+BV128)*Assumptions!$C$15</f>
        <v/>
      </c>
      <c r="BW131" s="15">
        <f>-(BW126+BW127+BW128)*Assumptions!$C$15</f>
        <v/>
      </c>
      <c r="BX131" s="15">
        <f>-(BX126+BX127+BX128)*Assumptions!$C$15</f>
        <v/>
      </c>
      <c r="BY131" s="15">
        <f>-(BY126+BY127+BY128)*Assumptions!$C$15</f>
        <v/>
      </c>
      <c r="BZ131" s="15">
        <f>-(BZ126+BZ127+BZ128)*Assumptions!$C$15</f>
        <v/>
      </c>
      <c r="CA131" s="15">
        <f>-(CA126+CA127+CA128)*Assumptions!$C$15</f>
        <v/>
      </c>
      <c r="CB131" s="15">
        <f>-(CB126+CB127+CB128)*Assumptions!$C$15</f>
        <v/>
      </c>
      <c r="CC131" s="15">
        <f>-(CC126+CC127+CC128)*Assumptions!$C$15</f>
        <v/>
      </c>
      <c r="CD131" s="15">
        <f>-(CD126+CD127+CD128)*Assumptions!$C$15</f>
        <v/>
      </c>
      <c r="CE131" s="15">
        <f>-(CE126+CE127+CE128)*Assumptions!$C$15</f>
        <v/>
      </c>
      <c r="CF131" s="15">
        <f>-(CF126+CF127+CF128)*Assumptions!$C$15</f>
        <v/>
      </c>
      <c r="CG131" s="15">
        <f>-(CG126+CG127+CG128)*Assumptions!$C$15</f>
        <v/>
      </c>
      <c r="CH131" s="15">
        <f>-(CH126+CH127+CH128)*Assumptions!$C$15</f>
        <v/>
      </c>
      <c r="CI131" s="15">
        <f>-(CI126+CI127+CI128)*Assumptions!$C$15</f>
        <v/>
      </c>
      <c r="CJ131" s="15">
        <f>-(CJ126+CJ127+CJ128)*Assumptions!$C$15</f>
        <v/>
      </c>
      <c r="CK131" s="15">
        <f>-(CK126+CK127+CK128)*Assumptions!$C$15</f>
        <v/>
      </c>
      <c r="CL131" s="15">
        <f>-(CL126+CL127+CL128)*Assumptions!$C$15</f>
        <v/>
      </c>
      <c r="CM131" s="15">
        <f>-(CM126+CM127+CM128)*Assumptions!$C$15</f>
        <v/>
      </c>
      <c r="CN131" s="15">
        <f>-(CN126+CN127+CN128)*Assumptions!$C$15</f>
        <v/>
      </c>
      <c r="CO131" s="15">
        <f>-(CO126+CO127+CO128)*Assumptions!$C$15</f>
        <v/>
      </c>
      <c r="CP131" s="15">
        <f>-(CP126+CP127+CP128)*Assumptions!$C$15</f>
        <v/>
      </c>
      <c r="CQ131" s="15">
        <f>-(CQ126+CQ127+CQ128)*Assumptions!$C$15</f>
        <v/>
      </c>
      <c r="CR131" s="15">
        <f>-(CR126+CR127+CR128)*Assumptions!$C$15</f>
        <v/>
      </c>
      <c r="CS131" s="15">
        <f>-(CS126+CS127+CS128)*Assumptions!$C$15</f>
        <v/>
      </c>
      <c r="CT131" s="15">
        <f>-(CT126+CT127+CT128)*Assumptions!$C$15</f>
        <v/>
      </c>
      <c r="CU131" s="15">
        <f>-(CU126+CU127+CU128)*Assumptions!$C$15</f>
        <v/>
      </c>
      <c r="CV131" s="15">
        <f>-(CV126+CV127+CV128)*Assumptions!$C$15</f>
        <v/>
      </c>
      <c r="CW131" s="15">
        <f>-(CW126+CW127+CW128)*Assumptions!$C$15</f>
        <v/>
      </c>
      <c r="CX131" s="15">
        <f>-(CX126+CX127+CX128)*Assumptions!$C$15</f>
        <v/>
      </c>
      <c r="CY131" s="15">
        <f>-(CY126+CY127+CY128)*Assumptions!$C$15</f>
        <v/>
      </c>
      <c r="CZ131" s="15">
        <f>-(CZ126+CZ127+CZ128)*Assumptions!$C$15</f>
        <v/>
      </c>
      <c r="DA131" s="15">
        <f>-(DA126+DA127+DA128)*Assumptions!$C$15</f>
        <v/>
      </c>
      <c r="DB131" s="15">
        <f>-(DB126+DB127+DB128)*Assumptions!$C$15</f>
        <v/>
      </c>
      <c r="DC131" s="15">
        <f>-(DC126+DC127+DC128)*Assumptions!$C$15</f>
        <v/>
      </c>
      <c r="DD131" s="15">
        <f>-(DD126+DD127+DD128)*Assumptions!$C$15</f>
        <v/>
      </c>
      <c r="DE131" s="15">
        <f>-(DE126+DE127+DE128)*Assumptions!$C$15</f>
        <v/>
      </c>
      <c r="DF131" s="15">
        <f>-(DF126+DF127+DF128)*Assumptions!$C$15</f>
        <v/>
      </c>
      <c r="DG131" s="15">
        <f>-(DG126+DG127+DG128)*Assumptions!$C$15</f>
        <v/>
      </c>
      <c r="DH131" s="15">
        <f>-(DH126+DH127+DH128)*Assumptions!$C$15</f>
        <v/>
      </c>
      <c r="DI131" s="15">
        <f>-(DI126+DI127+DI128)*Assumptions!$C$15</f>
        <v/>
      </c>
      <c r="DJ131" s="15">
        <f>-(DJ126+DJ127+DJ128)*Assumptions!$C$15</f>
        <v/>
      </c>
      <c r="DK131" s="15">
        <f>-(DK126+DK127+DK128)*Assumptions!$C$15</f>
        <v/>
      </c>
      <c r="DL131" s="15">
        <f>-(DL126+DL127+DL128)*Assumptions!$C$15</f>
        <v/>
      </c>
      <c r="DM131" s="15">
        <f>-(DM126+DM127+DM128)*Assumptions!$C$15</f>
        <v/>
      </c>
      <c r="DN131" s="15">
        <f>-(DN126+DN127+DN128)*Assumptions!$C$15</f>
        <v/>
      </c>
      <c r="DO131" s="15">
        <f>-(DO126+DO127+DO128)*Assumptions!$C$15</f>
        <v/>
      </c>
      <c r="DP131" s="15">
        <f>-(DP126+DP127+DP128)*Assumptions!$C$15</f>
        <v/>
      </c>
      <c r="DQ131" s="15">
        <f>-(DQ126+DQ127+DQ128)*Assumptions!$C$15</f>
        <v/>
      </c>
      <c r="DR131" s="15">
        <f>-(DR126+DR127+DR128)*Assumptions!$C$15</f>
        <v/>
      </c>
      <c r="DS131" s="15">
        <f>-(DS126+DS127+DS128)*Assumptions!$C$15</f>
        <v/>
      </c>
    </row>
    <row r="132">
      <c r="B132" s="9" t="inlineStr">
        <is>
          <t>Loan repayment</t>
        </is>
      </c>
      <c r="C132" s="15">
        <f>-MIN((0*(1+Assumptions!$C$16/12)+C131),MAX(0,C129))</f>
        <v/>
      </c>
      <c r="D132" s="15">
        <f>-MIN((C134*(1+Assumptions!$C$16/12)+D131),MAX(0,D129))</f>
        <v/>
      </c>
      <c r="E132" s="15">
        <f>-MIN((D134*(1+Assumptions!$C$16/12)+E131),MAX(0,E129))</f>
        <v/>
      </c>
      <c r="F132" s="15">
        <f>-MIN((E134*(1+Assumptions!$C$16/12)+F131),MAX(0,F129))</f>
        <v/>
      </c>
      <c r="G132" s="15">
        <f>-MIN((F134*(1+Assumptions!$C$16/12)+G131),MAX(0,G129))</f>
        <v/>
      </c>
      <c r="H132" s="15">
        <f>-MIN((G134*(1+Assumptions!$C$16/12)+H131),MAX(0,H129))</f>
        <v/>
      </c>
      <c r="I132" s="15">
        <f>-MIN((H134*(1+Assumptions!$C$16/12)+I131),MAX(0,I129))</f>
        <v/>
      </c>
      <c r="J132" s="15">
        <f>-MIN((I134*(1+Assumptions!$C$16/12)+J131),MAX(0,J129))</f>
        <v/>
      </c>
      <c r="K132" s="15">
        <f>-MIN((J134*(1+Assumptions!$C$16/12)+K131),MAX(0,K129))</f>
        <v/>
      </c>
      <c r="L132" s="15">
        <f>-MIN((K134*(1+Assumptions!$C$16/12)+L131),MAX(0,L129))</f>
        <v/>
      </c>
      <c r="M132" s="15">
        <f>-MIN((L134*(1+Assumptions!$C$16/12)+M131),MAX(0,M129))</f>
        <v/>
      </c>
      <c r="N132" s="15">
        <f>-MIN((M134*(1+Assumptions!$C$16/12)+N131),MAX(0,N129))</f>
        <v/>
      </c>
      <c r="O132" s="15">
        <f>-MIN((N134*(1+Assumptions!$C$16/12)+O131),MAX(0,O129))</f>
        <v/>
      </c>
      <c r="P132" s="15">
        <f>-MIN((O134*(1+Assumptions!$C$16/12)+P131),MAX(0,P129))</f>
        <v/>
      </c>
      <c r="Q132" s="15">
        <f>-MIN((P134*(1+Assumptions!$C$16/12)+Q131),MAX(0,Q129))</f>
        <v/>
      </c>
      <c r="R132" s="15">
        <f>-MIN((Q134*(1+Assumptions!$C$16/12)+R131),MAX(0,R129))</f>
        <v/>
      </c>
      <c r="S132" s="15">
        <f>-MIN((R134*(1+Assumptions!$C$16/12)+S131),MAX(0,S129))</f>
        <v/>
      </c>
      <c r="T132" s="15">
        <f>-MIN((S134*(1+Assumptions!$C$16/12)+T131),MAX(0,T129))</f>
        <v/>
      </c>
      <c r="U132" s="15">
        <f>-MIN((T134*(1+Assumptions!$C$16/12)+U131),MAX(0,U129))</f>
        <v/>
      </c>
      <c r="V132" s="15">
        <f>-MIN((U134*(1+Assumptions!$C$16/12)+V131),MAX(0,V129))</f>
        <v/>
      </c>
      <c r="W132" s="15">
        <f>-MIN((V134*(1+Assumptions!$C$16/12)+W131),MAX(0,W129))</f>
        <v/>
      </c>
      <c r="X132" s="15">
        <f>-MIN((W134*(1+Assumptions!$C$16/12)+X131),MAX(0,X129))</f>
        <v/>
      </c>
      <c r="Y132" s="15">
        <f>-MIN((X134*(1+Assumptions!$C$16/12)+Y131),MAX(0,Y129))</f>
        <v/>
      </c>
      <c r="Z132" s="15">
        <f>-MIN((Y134*(1+Assumptions!$C$16/12)+Z131),MAX(0,Z129))</f>
        <v/>
      </c>
      <c r="AA132" s="15">
        <f>-MIN((Z134*(1+Assumptions!$C$16/12)+AA131),MAX(0,AA129))</f>
        <v/>
      </c>
      <c r="AB132" s="15">
        <f>-MIN((AA134*(1+Assumptions!$C$16/12)+AB131),MAX(0,AB129))</f>
        <v/>
      </c>
      <c r="AC132" s="15">
        <f>-MIN((AB134*(1+Assumptions!$C$16/12)+AC131),MAX(0,AC129))</f>
        <v/>
      </c>
      <c r="AD132" s="15">
        <f>-MIN((AC134*(1+Assumptions!$C$16/12)+AD131),MAX(0,AD129))</f>
        <v/>
      </c>
      <c r="AE132" s="15">
        <f>-MIN((AD134*(1+Assumptions!$C$16/12)+AE131),MAX(0,AE129))</f>
        <v/>
      </c>
      <c r="AF132" s="15">
        <f>-MIN((AE134*(1+Assumptions!$C$16/12)+AF131),MAX(0,AF129))</f>
        <v/>
      </c>
      <c r="AG132" s="15">
        <f>-MIN((AF134*(1+Assumptions!$C$16/12)+AG131),MAX(0,AG129))</f>
        <v/>
      </c>
      <c r="AH132" s="15">
        <f>-MIN((AG134*(1+Assumptions!$C$16/12)+AH131),MAX(0,AH129))</f>
        <v/>
      </c>
      <c r="AI132" s="15">
        <f>-MIN((AH134*(1+Assumptions!$C$16/12)+AI131),MAX(0,AI129))</f>
        <v/>
      </c>
      <c r="AJ132" s="15">
        <f>-MIN((AI134*(1+Assumptions!$C$16/12)+AJ131),MAX(0,AJ129))</f>
        <v/>
      </c>
      <c r="AK132" s="15">
        <f>-MIN((AJ134*(1+Assumptions!$C$16/12)+AK131),MAX(0,AK129))</f>
        <v/>
      </c>
      <c r="AL132" s="15">
        <f>-MIN((AK134*(1+Assumptions!$C$16/12)+AL131),MAX(0,AL129))</f>
        <v/>
      </c>
      <c r="AM132" s="15">
        <f>-MIN((AL134*(1+Assumptions!$C$16/12)+AM131),MAX(0,AM129))</f>
        <v/>
      </c>
      <c r="AN132" s="15">
        <f>-MIN((AM134*(1+Assumptions!$C$16/12)+AN131),MAX(0,AN129))</f>
        <v/>
      </c>
      <c r="AO132" s="15">
        <f>-MIN((AN134*(1+Assumptions!$C$16/12)+AO131),MAX(0,AO129))</f>
        <v/>
      </c>
      <c r="AP132" s="15">
        <f>-MIN((AO134*(1+Assumptions!$C$16/12)+AP131),MAX(0,AP129))</f>
        <v/>
      </c>
      <c r="AQ132" s="15">
        <f>-MIN((AP134*(1+Assumptions!$C$16/12)+AQ131),MAX(0,AQ129))</f>
        <v/>
      </c>
      <c r="AR132" s="15">
        <f>-MIN((AQ134*(1+Assumptions!$C$16/12)+AR131),MAX(0,AR129))</f>
        <v/>
      </c>
      <c r="AS132" s="15">
        <f>-MIN((AR134*(1+Assumptions!$C$16/12)+AS131),MAX(0,AS129))</f>
        <v/>
      </c>
      <c r="AT132" s="15">
        <f>-MIN((AS134*(1+Assumptions!$C$16/12)+AT131),MAX(0,AT129))</f>
        <v/>
      </c>
      <c r="AU132" s="15">
        <f>-MIN((AT134*(1+Assumptions!$C$16/12)+AU131),MAX(0,AU129))</f>
        <v/>
      </c>
      <c r="AV132" s="15">
        <f>-MIN((AU134*(1+Assumptions!$C$16/12)+AV131),MAX(0,AV129))</f>
        <v/>
      </c>
      <c r="AW132" s="15">
        <f>-MIN((AV134*(1+Assumptions!$C$16/12)+AW131),MAX(0,AW129))</f>
        <v/>
      </c>
      <c r="AX132" s="15">
        <f>-MIN((AW134*(1+Assumptions!$C$16/12)+AX131),MAX(0,AX129))</f>
        <v/>
      </c>
      <c r="AY132" s="15">
        <f>-MIN((AX134*(1+Assumptions!$C$16/12)+AY131),MAX(0,AY129))</f>
        <v/>
      </c>
      <c r="AZ132" s="15">
        <f>-MIN((AY134*(1+Assumptions!$C$16/12)+AZ131),MAX(0,AZ129))</f>
        <v/>
      </c>
      <c r="BA132" s="15">
        <f>-MIN((AZ134*(1+Assumptions!$C$16/12)+BA131),MAX(0,BA129))</f>
        <v/>
      </c>
      <c r="BB132" s="15">
        <f>-MIN((BA134*(1+Assumptions!$C$16/12)+BB131),MAX(0,BB129))</f>
        <v/>
      </c>
      <c r="BC132" s="15">
        <f>-MIN((BB134*(1+Assumptions!$C$16/12)+BC131),MAX(0,BC129))</f>
        <v/>
      </c>
      <c r="BD132" s="15">
        <f>-MIN((BC134*(1+Assumptions!$C$16/12)+BD131),MAX(0,BD129))</f>
        <v/>
      </c>
      <c r="BE132" s="15">
        <f>-MIN((BD134*(1+Assumptions!$C$16/12)+BE131),MAX(0,BE129))</f>
        <v/>
      </c>
      <c r="BF132" s="15">
        <f>-MIN((BE134*(1+Assumptions!$C$16/12)+BF131),MAX(0,BF129))</f>
        <v/>
      </c>
      <c r="BG132" s="15">
        <f>-MIN((BF134*(1+Assumptions!$C$16/12)+BG131),MAX(0,BG129))</f>
        <v/>
      </c>
      <c r="BH132" s="15">
        <f>-MIN((BG134*(1+Assumptions!$C$16/12)+BH131),MAX(0,BH129))</f>
        <v/>
      </c>
      <c r="BI132" s="15">
        <f>-MIN((BH134*(1+Assumptions!$C$16/12)+BI131),MAX(0,BI129))</f>
        <v/>
      </c>
      <c r="BJ132" s="15">
        <f>-MIN((BI134*(1+Assumptions!$C$16/12)+BJ131),MAX(0,BJ129))</f>
        <v/>
      </c>
      <c r="BK132" s="15">
        <f>-MIN((BJ134*(1+Assumptions!$C$16/12)+BK131),MAX(0,BK129))</f>
        <v/>
      </c>
      <c r="BL132" s="15">
        <f>-MIN((BK134*(1+Assumptions!$C$16/12)+BL131),MAX(0,BL129))</f>
        <v/>
      </c>
      <c r="BM132" s="15">
        <f>-MIN((BL134*(1+Assumptions!$C$16/12)+BM131),MAX(0,BM129))</f>
        <v/>
      </c>
      <c r="BN132" s="15">
        <f>-MIN((BM134*(1+Assumptions!$C$16/12)+BN131),MAX(0,BN129))</f>
        <v/>
      </c>
      <c r="BO132" s="15">
        <f>-MIN((BN134*(1+Assumptions!$C$16/12)+BO131),MAX(0,BO129))</f>
        <v/>
      </c>
      <c r="BP132" s="15">
        <f>-MIN((BO134*(1+Assumptions!$C$16/12)+BP131),MAX(0,BP129))</f>
        <v/>
      </c>
      <c r="BQ132" s="15">
        <f>-MIN((BP134*(1+Assumptions!$C$16/12)+BQ131),MAX(0,BQ129))</f>
        <v/>
      </c>
      <c r="BR132" s="15">
        <f>-MIN((BQ134*(1+Assumptions!$C$16/12)+BR131),MAX(0,BR129))</f>
        <v/>
      </c>
      <c r="BS132" s="15">
        <f>-MIN((BR134*(1+Assumptions!$C$16/12)+BS131),MAX(0,BS129))</f>
        <v/>
      </c>
      <c r="BT132" s="15">
        <f>-MIN((BS134*(1+Assumptions!$C$16/12)+BT131),MAX(0,BT129))</f>
        <v/>
      </c>
      <c r="BU132" s="15">
        <f>-MIN((BT134*(1+Assumptions!$C$16/12)+BU131),MAX(0,BU129))</f>
        <v/>
      </c>
      <c r="BV132" s="15">
        <f>-MIN((BU134*(1+Assumptions!$C$16/12)+BV131),MAX(0,BV129))</f>
        <v/>
      </c>
      <c r="BW132" s="15">
        <f>-MIN((BV134*(1+Assumptions!$C$16/12)+BW131),MAX(0,BW129))</f>
        <v/>
      </c>
      <c r="BX132" s="15">
        <f>-MIN((BW134*(1+Assumptions!$C$16/12)+BX131),MAX(0,BX129))</f>
        <v/>
      </c>
      <c r="BY132" s="15">
        <f>-MIN((BX134*(1+Assumptions!$C$16/12)+BY131),MAX(0,BY129))</f>
        <v/>
      </c>
      <c r="BZ132" s="15">
        <f>-MIN((BY134*(1+Assumptions!$C$16/12)+BZ131),MAX(0,BZ129))</f>
        <v/>
      </c>
      <c r="CA132" s="15">
        <f>-MIN((BZ134*(1+Assumptions!$C$16/12)+CA131),MAX(0,CA129))</f>
        <v/>
      </c>
      <c r="CB132" s="15">
        <f>-MIN((CA134*(1+Assumptions!$C$16/12)+CB131),MAX(0,CB129))</f>
        <v/>
      </c>
      <c r="CC132" s="15">
        <f>-MIN((CB134*(1+Assumptions!$C$16/12)+CC131),MAX(0,CC129))</f>
        <v/>
      </c>
      <c r="CD132" s="15">
        <f>-MIN((CC134*(1+Assumptions!$C$16/12)+CD131),MAX(0,CD129))</f>
        <v/>
      </c>
      <c r="CE132" s="15">
        <f>-MIN((CD134*(1+Assumptions!$C$16/12)+CE131),MAX(0,CE129))</f>
        <v/>
      </c>
      <c r="CF132" s="15">
        <f>-MIN((CE134*(1+Assumptions!$C$16/12)+CF131),MAX(0,CF129))</f>
        <v/>
      </c>
      <c r="CG132" s="15">
        <f>-MIN((CF134*(1+Assumptions!$C$16/12)+CG131),MAX(0,CG129))</f>
        <v/>
      </c>
      <c r="CH132" s="15">
        <f>-MIN((CG134*(1+Assumptions!$C$16/12)+CH131),MAX(0,CH129))</f>
        <v/>
      </c>
      <c r="CI132" s="15">
        <f>-MIN((CH134*(1+Assumptions!$C$16/12)+CI131),MAX(0,CI129))</f>
        <v/>
      </c>
      <c r="CJ132" s="15">
        <f>-MIN((CI134*(1+Assumptions!$C$16/12)+CJ131),MAX(0,CJ129))</f>
        <v/>
      </c>
      <c r="CK132" s="15">
        <f>-MIN((CJ134*(1+Assumptions!$C$16/12)+CK131),MAX(0,CK129))</f>
        <v/>
      </c>
      <c r="CL132" s="15">
        <f>-MIN((CK134*(1+Assumptions!$C$16/12)+CL131),MAX(0,CL129))</f>
        <v/>
      </c>
      <c r="CM132" s="15">
        <f>-MIN((CL134*(1+Assumptions!$C$16/12)+CM131),MAX(0,CM129))</f>
        <v/>
      </c>
      <c r="CN132" s="15">
        <f>-MIN((CM134*(1+Assumptions!$C$16/12)+CN131),MAX(0,CN129))</f>
        <v/>
      </c>
      <c r="CO132" s="15">
        <f>-MIN((CN134*(1+Assumptions!$C$16/12)+CO131),MAX(0,CO129))</f>
        <v/>
      </c>
      <c r="CP132" s="15">
        <f>-MIN((CO134*(1+Assumptions!$C$16/12)+CP131),MAX(0,CP129))</f>
        <v/>
      </c>
      <c r="CQ132" s="15">
        <f>-MIN((CP134*(1+Assumptions!$C$16/12)+CQ131),MAX(0,CQ129))</f>
        <v/>
      </c>
      <c r="CR132" s="15">
        <f>-MIN((CQ134*(1+Assumptions!$C$16/12)+CR131),MAX(0,CR129))</f>
        <v/>
      </c>
      <c r="CS132" s="15">
        <f>-MIN((CR134*(1+Assumptions!$C$16/12)+CS131),MAX(0,CS129))</f>
        <v/>
      </c>
      <c r="CT132" s="15">
        <f>-MIN((CS134*(1+Assumptions!$C$16/12)+CT131),MAX(0,CT129))</f>
        <v/>
      </c>
      <c r="CU132" s="15">
        <f>-MIN((CT134*(1+Assumptions!$C$16/12)+CU131),MAX(0,CU129))</f>
        <v/>
      </c>
      <c r="CV132" s="15">
        <f>-MIN((CU134*(1+Assumptions!$C$16/12)+CV131),MAX(0,CV129))</f>
        <v/>
      </c>
      <c r="CW132" s="15">
        <f>-MIN((CV134*(1+Assumptions!$C$16/12)+CW131),MAX(0,CW129))</f>
        <v/>
      </c>
      <c r="CX132" s="15">
        <f>-MIN((CW134*(1+Assumptions!$C$16/12)+CX131),MAX(0,CX129))</f>
        <v/>
      </c>
      <c r="CY132" s="15">
        <f>-MIN((CX134*(1+Assumptions!$C$16/12)+CY131),MAX(0,CY129))</f>
        <v/>
      </c>
      <c r="CZ132" s="15">
        <f>-MIN((CY134*(1+Assumptions!$C$16/12)+CZ131),MAX(0,CZ129))</f>
        <v/>
      </c>
      <c r="DA132" s="15">
        <f>-MIN((CZ134*(1+Assumptions!$C$16/12)+DA131),MAX(0,DA129))</f>
        <v/>
      </c>
      <c r="DB132" s="15">
        <f>-MIN((DA134*(1+Assumptions!$C$16/12)+DB131),MAX(0,DB129))</f>
        <v/>
      </c>
      <c r="DC132" s="15">
        <f>-MIN((DB134*(1+Assumptions!$C$16/12)+DC131),MAX(0,DC129))</f>
        <v/>
      </c>
      <c r="DD132" s="15">
        <f>-MIN((DC134*(1+Assumptions!$C$16/12)+DD131),MAX(0,DD129))</f>
        <v/>
      </c>
      <c r="DE132" s="15">
        <f>-MIN((DD134*(1+Assumptions!$C$16/12)+DE131),MAX(0,DE129))</f>
        <v/>
      </c>
      <c r="DF132" s="15">
        <f>-MIN((DE134*(1+Assumptions!$C$16/12)+DF131),MAX(0,DF129))</f>
        <v/>
      </c>
      <c r="DG132" s="15">
        <f>-MIN((DF134*(1+Assumptions!$C$16/12)+DG131),MAX(0,DG129))</f>
        <v/>
      </c>
      <c r="DH132" s="15">
        <f>-MIN((DG134*(1+Assumptions!$C$16/12)+DH131),MAX(0,DH129))</f>
        <v/>
      </c>
      <c r="DI132" s="15">
        <f>-MIN((DH134*(1+Assumptions!$C$16/12)+DI131),MAX(0,DI129))</f>
        <v/>
      </c>
      <c r="DJ132" s="15">
        <f>-MIN((DI134*(1+Assumptions!$C$16/12)+DJ131),MAX(0,DJ129))</f>
        <v/>
      </c>
      <c r="DK132" s="15">
        <f>-MIN((DJ134*(1+Assumptions!$C$16/12)+DK131),MAX(0,DK129))</f>
        <v/>
      </c>
      <c r="DL132" s="15">
        <f>-MIN((DK134*(1+Assumptions!$C$16/12)+DL131),MAX(0,DL129))</f>
        <v/>
      </c>
      <c r="DM132" s="15">
        <f>-MIN((DL134*(1+Assumptions!$C$16/12)+DM131),MAX(0,DM129))</f>
        <v/>
      </c>
      <c r="DN132" s="15">
        <f>-MIN((DM134*(1+Assumptions!$C$16/12)+DN131),MAX(0,DN129))</f>
        <v/>
      </c>
      <c r="DO132" s="15">
        <f>-MIN((DN134*(1+Assumptions!$C$16/12)+DO131),MAX(0,DO129))</f>
        <v/>
      </c>
      <c r="DP132" s="15">
        <f>-MIN((DO134*(1+Assumptions!$C$16/12)+DP131),MAX(0,DP129))</f>
        <v/>
      </c>
      <c r="DQ132" s="15">
        <f>-MIN((DP134*(1+Assumptions!$C$16/12)+DQ131),MAX(0,DQ129))</f>
        <v/>
      </c>
      <c r="DR132" s="15">
        <f>-MIN((DQ134*(1+Assumptions!$C$16/12)+DR131),MAX(0,DR129))</f>
        <v/>
      </c>
      <c r="DS132" s="15">
        <f>-MIN((DR134*(1+Assumptions!$C$16/12)+DS131),MAX(0,DS129))</f>
        <v/>
      </c>
    </row>
    <row r="133">
      <c r="B133" s="9" t="inlineStr">
        <is>
          <t>Loan points</t>
        </is>
      </c>
      <c r="C133" s="15">
        <f>IF(C$125=0,-Assumptions!$C$17*Assumptions!$C$15*($C$9*$C$114+$C$110),0)</f>
        <v/>
      </c>
      <c r="D133" s="15">
        <f>IF(D$125=0,-Assumptions!$C$17*Assumptions!$C$15*($C$9*$C$114+$C$110),0)</f>
        <v/>
      </c>
      <c r="E133" s="15">
        <f>IF(E$125=0,-Assumptions!$C$17*Assumptions!$C$15*($C$9*$C$114+$C$110),0)</f>
        <v/>
      </c>
      <c r="F133" s="15">
        <f>IF(F$125=0,-Assumptions!$C$17*Assumptions!$C$15*($C$9*$C$114+$C$110),0)</f>
        <v/>
      </c>
      <c r="G133" s="15">
        <f>IF(G$125=0,-Assumptions!$C$17*Assumptions!$C$15*($C$9*$C$114+$C$110),0)</f>
        <v/>
      </c>
      <c r="H133" s="15">
        <f>IF(H$125=0,-Assumptions!$C$17*Assumptions!$C$15*($C$9*$C$114+$C$110),0)</f>
        <v/>
      </c>
      <c r="I133" s="15">
        <f>IF(I$125=0,-Assumptions!$C$17*Assumptions!$C$15*($C$9*$C$114+$C$110),0)</f>
        <v/>
      </c>
      <c r="J133" s="15">
        <f>IF(J$125=0,-Assumptions!$C$17*Assumptions!$C$15*($C$9*$C$114+$C$110),0)</f>
        <v/>
      </c>
      <c r="K133" s="15">
        <f>IF(K$125=0,-Assumptions!$C$17*Assumptions!$C$15*($C$9*$C$114+$C$110),0)</f>
        <v/>
      </c>
      <c r="L133" s="15">
        <f>IF(L$125=0,-Assumptions!$C$17*Assumptions!$C$15*($C$9*$C$114+$C$110),0)</f>
        <v/>
      </c>
      <c r="M133" s="15">
        <f>IF(M$125=0,-Assumptions!$C$17*Assumptions!$C$15*($C$9*$C$114+$C$110),0)</f>
        <v/>
      </c>
      <c r="N133" s="15">
        <f>IF(N$125=0,-Assumptions!$C$17*Assumptions!$C$15*($C$9*$C$114+$C$110),0)</f>
        <v/>
      </c>
      <c r="O133" s="15">
        <f>IF(O$125=0,-Assumptions!$C$17*Assumptions!$C$15*($C$9*$C$114+$C$110),0)</f>
        <v/>
      </c>
      <c r="P133" s="15">
        <f>IF(P$125=0,-Assumptions!$C$17*Assumptions!$C$15*($C$9*$C$114+$C$110),0)</f>
        <v/>
      </c>
      <c r="Q133" s="15">
        <f>IF(Q$125=0,-Assumptions!$C$17*Assumptions!$C$15*($C$9*$C$114+$C$110),0)</f>
        <v/>
      </c>
      <c r="R133" s="15">
        <f>IF(R$125=0,-Assumptions!$C$17*Assumptions!$C$15*($C$9*$C$114+$C$110),0)</f>
        <v/>
      </c>
      <c r="S133" s="15">
        <f>IF(S$125=0,-Assumptions!$C$17*Assumptions!$C$15*($C$9*$C$114+$C$110),0)</f>
        <v/>
      </c>
      <c r="T133" s="15">
        <f>IF(T$125=0,-Assumptions!$C$17*Assumptions!$C$15*($C$9*$C$114+$C$110),0)</f>
        <v/>
      </c>
      <c r="U133" s="15">
        <f>IF(U$125=0,-Assumptions!$C$17*Assumptions!$C$15*($C$9*$C$114+$C$110),0)</f>
        <v/>
      </c>
      <c r="V133" s="15">
        <f>IF(V$125=0,-Assumptions!$C$17*Assumptions!$C$15*($C$9*$C$114+$C$110),0)</f>
        <v/>
      </c>
      <c r="W133" s="15">
        <f>IF(W$125=0,-Assumptions!$C$17*Assumptions!$C$15*($C$9*$C$114+$C$110),0)</f>
        <v/>
      </c>
      <c r="X133" s="15">
        <f>IF(X$125=0,-Assumptions!$C$17*Assumptions!$C$15*($C$9*$C$114+$C$110),0)</f>
        <v/>
      </c>
      <c r="Y133" s="15">
        <f>IF(Y$125=0,-Assumptions!$C$17*Assumptions!$C$15*($C$9*$C$114+$C$110),0)</f>
        <v/>
      </c>
      <c r="Z133" s="15">
        <f>IF(Z$125=0,-Assumptions!$C$17*Assumptions!$C$15*($C$9*$C$114+$C$110),0)</f>
        <v/>
      </c>
      <c r="AA133" s="15">
        <f>IF(AA$125=0,-Assumptions!$C$17*Assumptions!$C$15*($C$9*$C$114+$C$110),0)</f>
        <v/>
      </c>
      <c r="AB133" s="15">
        <f>IF(AB$125=0,-Assumptions!$C$17*Assumptions!$C$15*($C$9*$C$114+$C$110),0)</f>
        <v/>
      </c>
      <c r="AC133" s="15">
        <f>IF(AC$125=0,-Assumptions!$C$17*Assumptions!$C$15*($C$9*$C$114+$C$110),0)</f>
        <v/>
      </c>
      <c r="AD133" s="15">
        <f>IF(AD$125=0,-Assumptions!$C$17*Assumptions!$C$15*($C$9*$C$114+$C$110),0)</f>
        <v/>
      </c>
      <c r="AE133" s="15">
        <f>IF(AE$125=0,-Assumptions!$C$17*Assumptions!$C$15*($C$9*$C$114+$C$110),0)</f>
        <v/>
      </c>
      <c r="AF133" s="15">
        <f>IF(AF$125=0,-Assumptions!$C$17*Assumptions!$C$15*($C$9*$C$114+$C$110),0)</f>
        <v/>
      </c>
      <c r="AG133" s="15">
        <f>IF(AG$125=0,-Assumptions!$C$17*Assumptions!$C$15*($C$9*$C$114+$C$110),0)</f>
        <v/>
      </c>
      <c r="AH133" s="15">
        <f>IF(AH$125=0,-Assumptions!$C$17*Assumptions!$C$15*($C$9*$C$114+$C$110),0)</f>
        <v/>
      </c>
      <c r="AI133" s="15">
        <f>IF(AI$125=0,-Assumptions!$C$17*Assumptions!$C$15*($C$9*$C$114+$C$110),0)</f>
        <v/>
      </c>
      <c r="AJ133" s="15">
        <f>IF(AJ$125=0,-Assumptions!$C$17*Assumptions!$C$15*($C$9*$C$114+$C$110),0)</f>
        <v/>
      </c>
      <c r="AK133" s="15">
        <f>IF(AK$125=0,-Assumptions!$C$17*Assumptions!$C$15*($C$9*$C$114+$C$110),0)</f>
        <v/>
      </c>
      <c r="AL133" s="15">
        <f>IF(AL$125=0,-Assumptions!$C$17*Assumptions!$C$15*($C$9*$C$114+$C$110),0)</f>
        <v/>
      </c>
      <c r="AM133" s="15">
        <f>IF(AM$125=0,-Assumptions!$C$17*Assumptions!$C$15*($C$9*$C$114+$C$110),0)</f>
        <v/>
      </c>
      <c r="AN133" s="15">
        <f>IF(AN$125=0,-Assumptions!$C$17*Assumptions!$C$15*($C$9*$C$114+$C$110),0)</f>
        <v/>
      </c>
      <c r="AO133" s="15">
        <f>IF(AO$125=0,-Assumptions!$C$17*Assumptions!$C$15*($C$9*$C$114+$C$110),0)</f>
        <v/>
      </c>
      <c r="AP133" s="15">
        <f>IF(AP$125=0,-Assumptions!$C$17*Assumptions!$C$15*($C$9*$C$114+$C$110),0)</f>
        <v/>
      </c>
      <c r="AQ133" s="15">
        <f>IF(AQ$125=0,-Assumptions!$C$17*Assumptions!$C$15*($C$9*$C$114+$C$110),0)</f>
        <v/>
      </c>
      <c r="AR133" s="15">
        <f>IF(AR$125=0,-Assumptions!$C$17*Assumptions!$C$15*($C$9*$C$114+$C$110),0)</f>
        <v/>
      </c>
      <c r="AS133" s="15">
        <f>IF(AS$125=0,-Assumptions!$C$17*Assumptions!$C$15*($C$9*$C$114+$C$110),0)</f>
        <v/>
      </c>
      <c r="AT133" s="15">
        <f>IF(AT$125=0,-Assumptions!$C$17*Assumptions!$C$15*($C$9*$C$114+$C$110),0)</f>
        <v/>
      </c>
      <c r="AU133" s="15">
        <f>IF(AU$125=0,-Assumptions!$C$17*Assumptions!$C$15*($C$9*$C$114+$C$110),0)</f>
        <v/>
      </c>
      <c r="AV133" s="15">
        <f>IF(AV$125=0,-Assumptions!$C$17*Assumptions!$C$15*($C$9*$C$114+$C$110),0)</f>
        <v/>
      </c>
      <c r="AW133" s="15">
        <f>IF(AW$125=0,-Assumptions!$C$17*Assumptions!$C$15*($C$9*$C$114+$C$110),0)</f>
        <v/>
      </c>
      <c r="AX133" s="15">
        <f>IF(AX$125=0,-Assumptions!$C$17*Assumptions!$C$15*($C$9*$C$114+$C$110),0)</f>
        <v/>
      </c>
      <c r="AY133" s="15">
        <f>IF(AY$125=0,-Assumptions!$C$17*Assumptions!$C$15*($C$9*$C$114+$C$110),0)</f>
        <v/>
      </c>
      <c r="AZ133" s="15">
        <f>IF(AZ$125=0,-Assumptions!$C$17*Assumptions!$C$15*($C$9*$C$114+$C$110),0)</f>
        <v/>
      </c>
      <c r="BA133" s="15">
        <f>IF(BA$125=0,-Assumptions!$C$17*Assumptions!$C$15*($C$9*$C$114+$C$110),0)</f>
        <v/>
      </c>
      <c r="BB133" s="15">
        <f>IF(BB$125=0,-Assumptions!$C$17*Assumptions!$C$15*($C$9*$C$114+$C$110),0)</f>
        <v/>
      </c>
      <c r="BC133" s="15">
        <f>IF(BC$125=0,-Assumptions!$C$17*Assumptions!$C$15*($C$9*$C$114+$C$110),0)</f>
        <v/>
      </c>
      <c r="BD133" s="15">
        <f>IF(BD$125=0,-Assumptions!$C$17*Assumptions!$C$15*($C$9*$C$114+$C$110),0)</f>
        <v/>
      </c>
      <c r="BE133" s="15">
        <f>IF(BE$125=0,-Assumptions!$C$17*Assumptions!$C$15*($C$9*$C$114+$C$110),0)</f>
        <v/>
      </c>
      <c r="BF133" s="15">
        <f>IF(BF$125=0,-Assumptions!$C$17*Assumptions!$C$15*($C$9*$C$114+$C$110),0)</f>
        <v/>
      </c>
      <c r="BG133" s="15">
        <f>IF(BG$125=0,-Assumptions!$C$17*Assumptions!$C$15*($C$9*$C$114+$C$110),0)</f>
        <v/>
      </c>
      <c r="BH133" s="15">
        <f>IF(BH$125=0,-Assumptions!$C$17*Assumptions!$C$15*($C$9*$C$114+$C$110),0)</f>
        <v/>
      </c>
      <c r="BI133" s="15">
        <f>IF(BI$125=0,-Assumptions!$C$17*Assumptions!$C$15*($C$9*$C$114+$C$110),0)</f>
        <v/>
      </c>
      <c r="BJ133" s="15">
        <f>IF(BJ$125=0,-Assumptions!$C$17*Assumptions!$C$15*($C$9*$C$114+$C$110),0)</f>
        <v/>
      </c>
      <c r="BK133" s="15">
        <f>IF(BK$125=0,-Assumptions!$C$17*Assumptions!$C$15*($C$9*$C$114+$C$110),0)</f>
        <v/>
      </c>
      <c r="BL133" s="15">
        <f>IF(BL$125=0,-Assumptions!$C$17*Assumptions!$C$15*($C$9*$C$114+$C$110),0)</f>
        <v/>
      </c>
      <c r="BM133" s="15">
        <f>IF(BM$125=0,-Assumptions!$C$17*Assumptions!$C$15*($C$9*$C$114+$C$110),0)</f>
        <v/>
      </c>
      <c r="BN133" s="15">
        <f>IF(BN$125=0,-Assumptions!$C$17*Assumptions!$C$15*($C$9*$C$114+$C$110),0)</f>
        <v/>
      </c>
      <c r="BO133" s="15">
        <f>IF(BO$125=0,-Assumptions!$C$17*Assumptions!$C$15*($C$9*$C$114+$C$110),0)</f>
        <v/>
      </c>
      <c r="BP133" s="15">
        <f>IF(BP$125=0,-Assumptions!$C$17*Assumptions!$C$15*($C$9*$C$114+$C$110),0)</f>
        <v/>
      </c>
      <c r="BQ133" s="15">
        <f>IF(BQ$125=0,-Assumptions!$C$17*Assumptions!$C$15*($C$9*$C$114+$C$110),0)</f>
        <v/>
      </c>
      <c r="BR133" s="15">
        <f>IF(BR$125=0,-Assumptions!$C$17*Assumptions!$C$15*($C$9*$C$114+$C$110),0)</f>
        <v/>
      </c>
      <c r="BS133" s="15">
        <f>IF(BS$125=0,-Assumptions!$C$17*Assumptions!$C$15*($C$9*$C$114+$C$110),0)</f>
        <v/>
      </c>
      <c r="BT133" s="15">
        <f>IF(BT$125=0,-Assumptions!$C$17*Assumptions!$C$15*($C$9*$C$114+$C$110),0)</f>
        <v/>
      </c>
      <c r="BU133" s="15">
        <f>IF(BU$125=0,-Assumptions!$C$17*Assumptions!$C$15*($C$9*$C$114+$C$110),0)</f>
        <v/>
      </c>
      <c r="BV133" s="15">
        <f>IF(BV$125=0,-Assumptions!$C$17*Assumptions!$C$15*($C$9*$C$114+$C$110),0)</f>
        <v/>
      </c>
      <c r="BW133" s="15">
        <f>IF(BW$125=0,-Assumptions!$C$17*Assumptions!$C$15*($C$9*$C$114+$C$110),0)</f>
        <v/>
      </c>
      <c r="BX133" s="15">
        <f>IF(BX$125=0,-Assumptions!$C$17*Assumptions!$C$15*($C$9*$C$114+$C$110),0)</f>
        <v/>
      </c>
      <c r="BY133" s="15">
        <f>IF(BY$125=0,-Assumptions!$C$17*Assumptions!$C$15*($C$9*$C$114+$C$110),0)</f>
        <v/>
      </c>
      <c r="BZ133" s="15">
        <f>IF(BZ$125=0,-Assumptions!$C$17*Assumptions!$C$15*($C$9*$C$114+$C$110),0)</f>
        <v/>
      </c>
      <c r="CA133" s="15">
        <f>IF(CA$125=0,-Assumptions!$C$17*Assumptions!$C$15*($C$9*$C$114+$C$110),0)</f>
        <v/>
      </c>
      <c r="CB133" s="15">
        <f>IF(CB$125=0,-Assumptions!$C$17*Assumptions!$C$15*($C$9*$C$114+$C$110),0)</f>
        <v/>
      </c>
      <c r="CC133" s="15">
        <f>IF(CC$125=0,-Assumptions!$C$17*Assumptions!$C$15*($C$9*$C$114+$C$110),0)</f>
        <v/>
      </c>
      <c r="CD133" s="15">
        <f>IF(CD$125=0,-Assumptions!$C$17*Assumptions!$C$15*($C$9*$C$114+$C$110),0)</f>
        <v/>
      </c>
      <c r="CE133" s="15">
        <f>IF(CE$125=0,-Assumptions!$C$17*Assumptions!$C$15*($C$9*$C$114+$C$110),0)</f>
        <v/>
      </c>
      <c r="CF133" s="15">
        <f>IF(CF$125=0,-Assumptions!$C$17*Assumptions!$C$15*($C$9*$C$114+$C$110),0)</f>
        <v/>
      </c>
      <c r="CG133" s="15">
        <f>IF(CG$125=0,-Assumptions!$C$17*Assumptions!$C$15*($C$9*$C$114+$C$110),0)</f>
        <v/>
      </c>
      <c r="CH133" s="15">
        <f>IF(CH$125=0,-Assumptions!$C$17*Assumptions!$C$15*($C$9*$C$114+$C$110),0)</f>
        <v/>
      </c>
      <c r="CI133" s="15">
        <f>IF(CI$125=0,-Assumptions!$C$17*Assumptions!$C$15*($C$9*$C$114+$C$110),0)</f>
        <v/>
      </c>
      <c r="CJ133" s="15">
        <f>IF(CJ$125=0,-Assumptions!$C$17*Assumptions!$C$15*($C$9*$C$114+$C$110),0)</f>
        <v/>
      </c>
      <c r="CK133" s="15">
        <f>IF(CK$125=0,-Assumptions!$C$17*Assumptions!$C$15*($C$9*$C$114+$C$110),0)</f>
        <v/>
      </c>
      <c r="CL133" s="15">
        <f>IF(CL$125=0,-Assumptions!$C$17*Assumptions!$C$15*($C$9*$C$114+$C$110),0)</f>
        <v/>
      </c>
      <c r="CM133" s="15">
        <f>IF(CM$125=0,-Assumptions!$C$17*Assumptions!$C$15*($C$9*$C$114+$C$110),0)</f>
        <v/>
      </c>
      <c r="CN133" s="15">
        <f>IF(CN$125=0,-Assumptions!$C$17*Assumptions!$C$15*($C$9*$C$114+$C$110),0)</f>
        <v/>
      </c>
      <c r="CO133" s="15">
        <f>IF(CO$125=0,-Assumptions!$C$17*Assumptions!$C$15*($C$9*$C$114+$C$110),0)</f>
        <v/>
      </c>
      <c r="CP133" s="15">
        <f>IF(CP$125=0,-Assumptions!$C$17*Assumptions!$C$15*($C$9*$C$114+$C$110),0)</f>
        <v/>
      </c>
      <c r="CQ133" s="15">
        <f>IF(CQ$125=0,-Assumptions!$C$17*Assumptions!$C$15*($C$9*$C$114+$C$110),0)</f>
        <v/>
      </c>
      <c r="CR133" s="15">
        <f>IF(CR$125=0,-Assumptions!$C$17*Assumptions!$C$15*($C$9*$C$114+$C$110),0)</f>
        <v/>
      </c>
      <c r="CS133" s="15">
        <f>IF(CS$125=0,-Assumptions!$C$17*Assumptions!$C$15*($C$9*$C$114+$C$110),0)</f>
        <v/>
      </c>
      <c r="CT133" s="15">
        <f>IF(CT$125=0,-Assumptions!$C$17*Assumptions!$C$15*($C$9*$C$114+$C$110),0)</f>
        <v/>
      </c>
      <c r="CU133" s="15">
        <f>IF(CU$125=0,-Assumptions!$C$17*Assumptions!$C$15*($C$9*$C$114+$C$110),0)</f>
        <v/>
      </c>
      <c r="CV133" s="15">
        <f>IF(CV$125=0,-Assumptions!$C$17*Assumptions!$C$15*($C$9*$C$114+$C$110),0)</f>
        <v/>
      </c>
      <c r="CW133" s="15">
        <f>IF(CW$125=0,-Assumptions!$C$17*Assumptions!$C$15*($C$9*$C$114+$C$110),0)</f>
        <v/>
      </c>
      <c r="CX133" s="15">
        <f>IF(CX$125=0,-Assumptions!$C$17*Assumptions!$C$15*($C$9*$C$114+$C$110),0)</f>
        <v/>
      </c>
      <c r="CY133" s="15">
        <f>IF(CY$125=0,-Assumptions!$C$17*Assumptions!$C$15*($C$9*$C$114+$C$110),0)</f>
        <v/>
      </c>
      <c r="CZ133" s="15">
        <f>IF(CZ$125=0,-Assumptions!$C$17*Assumptions!$C$15*($C$9*$C$114+$C$110),0)</f>
        <v/>
      </c>
      <c r="DA133" s="15">
        <f>IF(DA$125=0,-Assumptions!$C$17*Assumptions!$C$15*($C$9*$C$114+$C$110),0)</f>
        <v/>
      </c>
      <c r="DB133" s="15">
        <f>IF(DB$125=0,-Assumptions!$C$17*Assumptions!$C$15*($C$9*$C$114+$C$110),0)</f>
        <v/>
      </c>
      <c r="DC133" s="15">
        <f>IF(DC$125=0,-Assumptions!$C$17*Assumptions!$C$15*($C$9*$C$114+$C$110),0)</f>
        <v/>
      </c>
      <c r="DD133" s="15">
        <f>IF(DD$125=0,-Assumptions!$C$17*Assumptions!$C$15*($C$9*$C$114+$C$110),0)</f>
        <v/>
      </c>
      <c r="DE133" s="15">
        <f>IF(DE$125=0,-Assumptions!$C$17*Assumptions!$C$15*($C$9*$C$114+$C$110),0)</f>
        <v/>
      </c>
      <c r="DF133" s="15">
        <f>IF(DF$125=0,-Assumptions!$C$17*Assumptions!$C$15*($C$9*$C$114+$C$110),0)</f>
        <v/>
      </c>
      <c r="DG133" s="15">
        <f>IF(DG$125=0,-Assumptions!$C$17*Assumptions!$C$15*($C$9*$C$114+$C$110),0)</f>
        <v/>
      </c>
      <c r="DH133" s="15">
        <f>IF(DH$125=0,-Assumptions!$C$17*Assumptions!$C$15*($C$9*$C$114+$C$110),0)</f>
        <v/>
      </c>
      <c r="DI133" s="15">
        <f>IF(DI$125=0,-Assumptions!$C$17*Assumptions!$C$15*($C$9*$C$114+$C$110),0)</f>
        <v/>
      </c>
      <c r="DJ133" s="15">
        <f>IF(DJ$125=0,-Assumptions!$C$17*Assumptions!$C$15*($C$9*$C$114+$C$110),0)</f>
        <v/>
      </c>
      <c r="DK133" s="15">
        <f>IF(DK$125=0,-Assumptions!$C$17*Assumptions!$C$15*($C$9*$C$114+$C$110),0)</f>
        <v/>
      </c>
      <c r="DL133" s="15">
        <f>IF(DL$125=0,-Assumptions!$C$17*Assumptions!$C$15*($C$9*$C$114+$C$110),0)</f>
        <v/>
      </c>
      <c r="DM133" s="15">
        <f>IF(DM$125=0,-Assumptions!$C$17*Assumptions!$C$15*($C$9*$C$114+$C$110),0)</f>
        <v/>
      </c>
      <c r="DN133" s="15">
        <f>IF(DN$125=0,-Assumptions!$C$17*Assumptions!$C$15*($C$9*$C$114+$C$110),0)</f>
        <v/>
      </c>
      <c r="DO133" s="15">
        <f>IF(DO$125=0,-Assumptions!$C$17*Assumptions!$C$15*($C$9*$C$114+$C$110),0)</f>
        <v/>
      </c>
      <c r="DP133" s="15">
        <f>IF(DP$125=0,-Assumptions!$C$17*Assumptions!$C$15*($C$9*$C$114+$C$110),0)</f>
        <v/>
      </c>
      <c r="DQ133" s="15">
        <f>IF(DQ$125=0,-Assumptions!$C$17*Assumptions!$C$15*($C$9*$C$114+$C$110),0)</f>
        <v/>
      </c>
      <c r="DR133" s="15">
        <f>IF(DR$125=0,-Assumptions!$C$17*Assumptions!$C$15*($C$9*$C$114+$C$110),0)</f>
        <v/>
      </c>
      <c r="DS133" s="15">
        <f>IF(DS$125=0,-Assumptions!$C$17*Assumptions!$C$15*($C$9*$C$114+$C$110),0)</f>
        <v/>
      </c>
    </row>
    <row r="134">
      <c r="B134" s="9" t="inlineStr">
        <is>
          <t>Loan balance (end of month)</t>
        </is>
      </c>
      <c r="C134" s="15">
        <f>(0*(1+Assumptions!$C$16/12)+C131)+C132</f>
        <v/>
      </c>
      <c r="D134" s="15">
        <f>(C134*(1+Assumptions!$C$16/12)+D131)+D132</f>
        <v/>
      </c>
      <c r="E134" s="15">
        <f>(D134*(1+Assumptions!$C$16/12)+E131)+E132</f>
        <v/>
      </c>
      <c r="F134" s="15">
        <f>(E134*(1+Assumptions!$C$16/12)+F131)+F132</f>
        <v/>
      </c>
      <c r="G134" s="15">
        <f>(F134*(1+Assumptions!$C$16/12)+G131)+G132</f>
        <v/>
      </c>
      <c r="H134" s="15">
        <f>(G134*(1+Assumptions!$C$16/12)+H131)+H132</f>
        <v/>
      </c>
      <c r="I134" s="15">
        <f>(H134*(1+Assumptions!$C$16/12)+I131)+I132</f>
        <v/>
      </c>
      <c r="J134" s="15">
        <f>(I134*(1+Assumptions!$C$16/12)+J131)+J132</f>
        <v/>
      </c>
      <c r="K134" s="15">
        <f>(J134*(1+Assumptions!$C$16/12)+K131)+K132</f>
        <v/>
      </c>
      <c r="L134" s="15">
        <f>(K134*(1+Assumptions!$C$16/12)+L131)+L132</f>
        <v/>
      </c>
      <c r="M134" s="15">
        <f>(L134*(1+Assumptions!$C$16/12)+M131)+M132</f>
        <v/>
      </c>
      <c r="N134" s="15">
        <f>(M134*(1+Assumptions!$C$16/12)+N131)+N132</f>
        <v/>
      </c>
      <c r="O134" s="15">
        <f>(N134*(1+Assumptions!$C$16/12)+O131)+O132</f>
        <v/>
      </c>
      <c r="P134" s="15">
        <f>(O134*(1+Assumptions!$C$16/12)+P131)+P132</f>
        <v/>
      </c>
      <c r="Q134" s="15">
        <f>(P134*(1+Assumptions!$C$16/12)+Q131)+Q132</f>
        <v/>
      </c>
      <c r="R134" s="15">
        <f>(Q134*(1+Assumptions!$C$16/12)+R131)+R132</f>
        <v/>
      </c>
      <c r="S134" s="15">
        <f>(R134*(1+Assumptions!$C$16/12)+S131)+S132</f>
        <v/>
      </c>
      <c r="T134" s="15">
        <f>(S134*(1+Assumptions!$C$16/12)+T131)+T132</f>
        <v/>
      </c>
      <c r="U134" s="15">
        <f>(T134*(1+Assumptions!$C$16/12)+U131)+U132</f>
        <v/>
      </c>
      <c r="V134" s="15">
        <f>(U134*(1+Assumptions!$C$16/12)+V131)+V132</f>
        <v/>
      </c>
      <c r="W134" s="15">
        <f>(V134*(1+Assumptions!$C$16/12)+W131)+W132</f>
        <v/>
      </c>
      <c r="X134" s="15">
        <f>(W134*(1+Assumptions!$C$16/12)+X131)+X132</f>
        <v/>
      </c>
      <c r="Y134" s="15">
        <f>(X134*(1+Assumptions!$C$16/12)+Y131)+Y132</f>
        <v/>
      </c>
      <c r="Z134" s="15">
        <f>(Y134*(1+Assumptions!$C$16/12)+Z131)+Z132</f>
        <v/>
      </c>
      <c r="AA134" s="15">
        <f>(Z134*(1+Assumptions!$C$16/12)+AA131)+AA132</f>
        <v/>
      </c>
      <c r="AB134" s="15">
        <f>(AA134*(1+Assumptions!$C$16/12)+AB131)+AB132</f>
        <v/>
      </c>
      <c r="AC134" s="15">
        <f>(AB134*(1+Assumptions!$C$16/12)+AC131)+AC132</f>
        <v/>
      </c>
      <c r="AD134" s="15">
        <f>(AC134*(1+Assumptions!$C$16/12)+AD131)+AD132</f>
        <v/>
      </c>
      <c r="AE134" s="15">
        <f>(AD134*(1+Assumptions!$C$16/12)+AE131)+AE132</f>
        <v/>
      </c>
      <c r="AF134" s="15">
        <f>(AE134*(1+Assumptions!$C$16/12)+AF131)+AF132</f>
        <v/>
      </c>
      <c r="AG134" s="15">
        <f>(AF134*(1+Assumptions!$C$16/12)+AG131)+AG132</f>
        <v/>
      </c>
      <c r="AH134" s="15">
        <f>(AG134*(1+Assumptions!$C$16/12)+AH131)+AH132</f>
        <v/>
      </c>
      <c r="AI134" s="15">
        <f>(AH134*(1+Assumptions!$C$16/12)+AI131)+AI132</f>
        <v/>
      </c>
      <c r="AJ134" s="15">
        <f>(AI134*(1+Assumptions!$C$16/12)+AJ131)+AJ132</f>
        <v/>
      </c>
      <c r="AK134" s="15">
        <f>(AJ134*(1+Assumptions!$C$16/12)+AK131)+AK132</f>
        <v/>
      </c>
      <c r="AL134" s="15">
        <f>(AK134*(1+Assumptions!$C$16/12)+AL131)+AL132</f>
        <v/>
      </c>
      <c r="AM134" s="15">
        <f>(AL134*(1+Assumptions!$C$16/12)+AM131)+AM132</f>
        <v/>
      </c>
      <c r="AN134" s="15">
        <f>(AM134*(1+Assumptions!$C$16/12)+AN131)+AN132</f>
        <v/>
      </c>
      <c r="AO134" s="15">
        <f>(AN134*(1+Assumptions!$C$16/12)+AO131)+AO132</f>
        <v/>
      </c>
      <c r="AP134" s="15">
        <f>(AO134*(1+Assumptions!$C$16/12)+AP131)+AP132</f>
        <v/>
      </c>
      <c r="AQ134" s="15">
        <f>(AP134*(1+Assumptions!$C$16/12)+AQ131)+AQ132</f>
        <v/>
      </c>
      <c r="AR134" s="15">
        <f>(AQ134*(1+Assumptions!$C$16/12)+AR131)+AR132</f>
        <v/>
      </c>
      <c r="AS134" s="15">
        <f>(AR134*(1+Assumptions!$C$16/12)+AS131)+AS132</f>
        <v/>
      </c>
      <c r="AT134" s="15">
        <f>(AS134*(1+Assumptions!$C$16/12)+AT131)+AT132</f>
        <v/>
      </c>
      <c r="AU134" s="15">
        <f>(AT134*(1+Assumptions!$C$16/12)+AU131)+AU132</f>
        <v/>
      </c>
      <c r="AV134" s="15">
        <f>(AU134*(1+Assumptions!$C$16/12)+AV131)+AV132</f>
        <v/>
      </c>
      <c r="AW134" s="15">
        <f>(AV134*(1+Assumptions!$C$16/12)+AW131)+AW132</f>
        <v/>
      </c>
      <c r="AX134" s="15">
        <f>(AW134*(1+Assumptions!$C$16/12)+AX131)+AX132</f>
        <v/>
      </c>
      <c r="AY134" s="15">
        <f>(AX134*(1+Assumptions!$C$16/12)+AY131)+AY132</f>
        <v/>
      </c>
      <c r="AZ134" s="15">
        <f>(AY134*(1+Assumptions!$C$16/12)+AZ131)+AZ132</f>
        <v/>
      </c>
      <c r="BA134" s="15">
        <f>(AZ134*(1+Assumptions!$C$16/12)+BA131)+BA132</f>
        <v/>
      </c>
      <c r="BB134" s="15">
        <f>(BA134*(1+Assumptions!$C$16/12)+BB131)+BB132</f>
        <v/>
      </c>
      <c r="BC134" s="15">
        <f>(BB134*(1+Assumptions!$C$16/12)+BC131)+BC132</f>
        <v/>
      </c>
      <c r="BD134" s="15">
        <f>(BC134*(1+Assumptions!$C$16/12)+BD131)+BD132</f>
        <v/>
      </c>
      <c r="BE134" s="15">
        <f>(BD134*(1+Assumptions!$C$16/12)+BE131)+BE132</f>
        <v/>
      </c>
      <c r="BF134" s="15">
        <f>(BE134*(1+Assumptions!$C$16/12)+BF131)+BF132</f>
        <v/>
      </c>
      <c r="BG134" s="15">
        <f>(BF134*(1+Assumptions!$C$16/12)+BG131)+BG132</f>
        <v/>
      </c>
      <c r="BH134" s="15">
        <f>(BG134*(1+Assumptions!$C$16/12)+BH131)+BH132</f>
        <v/>
      </c>
      <c r="BI134" s="15">
        <f>(BH134*(1+Assumptions!$C$16/12)+BI131)+BI132</f>
        <v/>
      </c>
      <c r="BJ134" s="15">
        <f>(BI134*(1+Assumptions!$C$16/12)+BJ131)+BJ132</f>
        <v/>
      </c>
      <c r="BK134" s="15">
        <f>(BJ134*(1+Assumptions!$C$16/12)+BK131)+BK132</f>
        <v/>
      </c>
      <c r="BL134" s="15">
        <f>(BK134*(1+Assumptions!$C$16/12)+BL131)+BL132</f>
        <v/>
      </c>
      <c r="BM134" s="15">
        <f>(BL134*(1+Assumptions!$C$16/12)+BM131)+BM132</f>
        <v/>
      </c>
      <c r="BN134" s="15">
        <f>(BM134*(1+Assumptions!$C$16/12)+BN131)+BN132</f>
        <v/>
      </c>
      <c r="BO134" s="15">
        <f>(BN134*(1+Assumptions!$C$16/12)+BO131)+BO132</f>
        <v/>
      </c>
      <c r="BP134" s="15">
        <f>(BO134*(1+Assumptions!$C$16/12)+BP131)+BP132</f>
        <v/>
      </c>
      <c r="BQ134" s="15">
        <f>(BP134*(1+Assumptions!$C$16/12)+BQ131)+BQ132</f>
        <v/>
      </c>
      <c r="BR134" s="15">
        <f>(BQ134*(1+Assumptions!$C$16/12)+BR131)+BR132</f>
        <v/>
      </c>
      <c r="BS134" s="15">
        <f>(BR134*(1+Assumptions!$C$16/12)+BS131)+BS132</f>
        <v/>
      </c>
      <c r="BT134" s="15">
        <f>(BS134*(1+Assumptions!$C$16/12)+BT131)+BT132</f>
        <v/>
      </c>
      <c r="BU134" s="15">
        <f>(BT134*(1+Assumptions!$C$16/12)+BU131)+BU132</f>
        <v/>
      </c>
      <c r="BV134" s="15">
        <f>(BU134*(1+Assumptions!$C$16/12)+BV131)+BV132</f>
        <v/>
      </c>
      <c r="BW134" s="15">
        <f>(BV134*(1+Assumptions!$C$16/12)+BW131)+BW132</f>
        <v/>
      </c>
      <c r="BX134" s="15">
        <f>(BW134*(1+Assumptions!$C$16/12)+BX131)+BX132</f>
        <v/>
      </c>
      <c r="BY134" s="15">
        <f>(BX134*(1+Assumptions!$C$16/12)+BY131)+BY132</f>
        <v/>
      </c>
      <c r="BZ134" s="15">
        <f>(BY134*(1+Assumptions!$C$16/12)+BZ131)+BZ132</f>
        <v/>
      </c>
      <c r="CA134" s="15">
        <f>(BZ134*(1+Assumptions!$C$16/12)+CA131)+CA132</f>
        <v/>
      </c>
      <c r="CB134" s="15">
        <f>(CA134*(1+Assumptions!$C$16/12)+CB131)+CB132</f>
        <v/>
      </c>
      <c r="CC134" s="15">
        <f>(CB134*(1+Assumptions!$C$16/12)+CC131)+CC132</f>
        <v/>
      </c>
      <c r="CD134" s="15">
        <f>(CC134*(1+Assumptions!$C$16/12)+CD131)+CD132</f>
        <v/>
      </c>
      <c r="CE134" s="15">
        <f>(CD134*(1+Assumptions!$C$16/12)+CE131)+CE132</f>
        <v/>
      </c>
      <c r="CF134" s="15">
        <f>(CE134*(1+Assumptions!$C$16/12)+CF131)+CF132</f>
        <v/>
      </c>
      <c r="CG134" s="15">
        <f>(CF134*(1+Assumptions!$C$16/12)+CG131)+CG132</f>
        <v/>
      </c>
      <c r="CH134" s="15">
        <f>(CG134*(1+Assumptions!$C$16/12)+CH131)+CH132</f>
        <v/>
      </c>
      <c r="CI134" s="15">
        <f>(CH134*(1+Assumptions!$C$16/12)+CI131)+CI132</f>
        <v/>
      </c>
      <c r="CJ134" s="15">
        <f>(CI134*(1+Assumptions!$C$16/12)+CJ131)+CJ132</f>
        <v/>
      </c>
      <c r="CK134" s="15">
        <f>(CJ134*(1+Assumptions!$C$16/12)+CK131)+CK132</f>
        <v/>
      </c>
      <c r="CL134" s="15">
        <f>(CK134*(1+Assumptions!$C$16/12)+CL131)+CL132</f>
        <v/>
      </c>
      <c r="CM134" s="15">
        <f>(CL134*(1+Assumptions!$C$16/12)+CM131)+CM132</f>
        <v/>
      </c>
      <c r="CN134" s="15">
        <f>(CM134*(1+Assumptions!$C$16/12)+CN131)+CN132</f>
        <v/>
      </c>
      <c r="CO134" s="15">
        <f>(CN134*(1+Assumptions!$C$16/12)+CO131)+CO132</f>
        <v/>
      </c>
      <c r="CP134" s="15">
        <f>(CO134*(1+Assumptions!$C$16/12)+CP131)+CP132</f>
        <v/>
      </c>
      <c r="CQ134" s="15">
        <f>(CP134*(1+Assumptions!$C$16/12)+CQ131)+CQ132</f>
        <v/>
      </c>
      <c r="CR134" s="15">
        <f>(CQ134*(1+Assumptions!$C$16/12)+CR131)+CR132</f>
        <v/>
      </c>
      <c r="CS134" s="15">
        <f>(CR134*(1+Assumptions!$C$16/12)+CS131)+CS132</f>
        <v/>
      </c>
      <c r="CT134" s="15">
        <f>(CS134*(1+Assumptions!$C$16/12)+CT131)+CT132</f>
        <v/>
      </c>
      <c r="CU134" s="15">
        <f>(CT134*(1+Assumptions!$C$16/12)+CU131)+CU132</f>
        <v/>
      </c>
      <c r="CV134" s="15">
        <f>(CU134*(1+Assumptions!$C$16/12)+CV131)+CV132</f>
        <v/>
      </c>
      <c r="CW134" s="15">
        <f>(CV134*(1+Assumptions!$C$16/12)+CW131)+CW132</f>
        <v/>
      </c>
      <c r="CX134" s="15">
        <f>(CW134*(1+Assumptions!$C$16/12)+CX131)+CX132</f>
        <v/>
      </c>
      <c r="CY134" s="15">
        <f>(CX134*(1+Assumptions!$C$16/12)+CY131)+CY132</f>
        <v/>
      </c>
      <c r="CZ134" s="15">
        <f>(CY134*(1+Assumptions!$C$16/12)+CZ131)+CZ132</f>
        <v/>
      </c>
      <c r="DA134" s="15">
        <f>(CZ134*(1+Assumptions!$C$16/12)+DA131)+DA132</f>
        <v/>
      </c>
      <c r="DB134" s="15">
        <f>(DA134*(1+Assumptions!$C$16/12)+DB131)+DB132</f>
        <v/>
      </c>
      <c r="DC134" s="15">
        <f>(DB134*(1+Assumptions!$C$16/12)+DC131)+DC132</f>
        <v/>
      </c>
      <c r="DD134" s="15">
        <f>(DC134*(1+Assumptions!$C$16/12)+DD131)+DD132</f>
        <v/>
      </c>
      <c r="DE134" s="15">
        <f>(DD134*(1+Assumptions!$C$16/12)+DE131)+DE132</f>
        <v/>
      </c>
      <c r="DF134" s="15">
        <f>(DE134*(1+Assumptions!$C$16/12)+DF131)+DF132</f>
        <v/>
      </c>
      <c r="DG134" s="15">
        <f>(DF134*(1+Assumptions!$C$16/12)+DG131)+DG132</f>
        <v/>
      </c>
      <c r="DH134" s="15">
        <f>(DG134*(1+Assumptions!$C$16/12)+DH131)+DH132</f>
        <v/>
      </c>
      <c r="DI134" s="15">
        <f>(DH134*(1+Assumptions!$C$16/12)+DI131)+DI132</f>
        <v/>
      </c>
      <c r="DJ134" s="15">
        <f>(DI134*(1+Assumptions!$C$16/12)+DJ131)+DJ132</f>
        <v/>
      </c>
      <c r="DK134" s="15">
        <f>(DJ134*(1+Assumptions!$C$16/12)+DK131)+DK132</f>
        <v/>
      </c>
      <c r="DL134" s="15">
        <f>(DK134*(1+Assumptions!$C$16/12)+DL131)+DL132</f>
        <v/>
      </c>
      <c r="DM134" s="15">
        <f>(DL134*(1+Assumptions!$C$16/12)+DM131)+DM132</f>
        <v/>
      </c>
      <c r="DN134" s="15">
        <f>(DM134*(1+Assumptions!$C$16/12)+DN131)+DN132</f>
        <v/>
      </c>
      <c r="DO134" s="15">
        <f>(DN134*(1+Assumptions!$C$16/12)+DO131)+DO132</f>
        <v/>
      </c>
      <c r="DP134" s="15">
        <f>(DO134*(1+Assumptions!$C$16/12)+DP131)+DP132</f>
        <v/>
      </c>
      <c r="DQ134" s="15">
        <f>(DP134*(1+Assumptions!$C$16/12)+DQ131)+DQ132</f>
        <v/>
      </c>
      <c r="DR134" s="15">
        <f>(DQ134*(1+Assumptions!$C$16/12)+DR131)+DR132</f>
        <v/>
      </c>
      <c r="DS134" s="15">
        <f>(DR134*(1+Assumptions!$C$16/12)+DS131)+DS132</f>
        <v/>
      </c>
    </row>
    <row r="135">
      <c r="B135" s="4" t="inlineStr">
        <is>
          <t>Levered cash flow</t>
        </is>
      </c>
      <c r="C135" s="25">
        <f>C130+C131+C132+C133</f>
        <v/>
      </c>
      <c r="D135" s="25">
        <f>D130+D131+D132+D133</f>
        <v/>
      </c>
      <c r="E135" s="25">
        <f>E130+E131+E132+E133</f>
        <v/>
      </c>
      <c r="F135" s="25">
        <f>F130+F131+F132+F133</f>
        <v/>
      </c>
      <c r="G135" s="25">
        <f>G130+G131+G132+G133</f>
        <v/>
      </c>
      <c r="H135" s="25">
        <f>H130+H131+H132+H133</f>
        <v/>
      </c>
      <c r="I135" s="25">
        <f>I130+I131+I132+I133</f>
        <v/>
      </c>
      <c r="J135" s="25">
        <f>J130+J131+J132+J133</f>
        <v/>
      </c>
      <c r="K135" s="25">
        <f>K130+K131+K132+K133</f>
        <v/>
      </c>
      <c r="L135" s="25">
        <f>L130+L131+L132+L133</f>
        <v/>
      </c>
      <c r="M135" s="25">
        <f>M130+M131+M132+M133</f>
        <v/>
      </c>
      <c r="N135" s="25">
        <f>N130+N131+N132+N133</f>
        <v/>
      </c>
      <c r="O135" s="25">
        <f>O130+O131+O132+O133</f>
        <v/>
      </c>
      <c r="P135" s="25">
        <f>P130+P131+P132+P133</f>
        <v/>
      </c>
      <c r="Q135" s="25">
        <f>Q130+Q131+Q132+Q133</f>
        <v/>
      </c>
      <c r="R135" s="25">
        <f>R130+R131+R132+R133</f>
        <v/>
      </c>
      <c r="S135" s="25">
        <f>S130+S131+S132+S133</f>
        <v/>
      </c>
      <c r="T135" s="25">
        <f>T130+T131+T132+T133</f>
        <v/>
      </c>
      <c r="U135" s="25">
        <f>U130+U131+U132+U133</f>
        <v/>
      </c>
      <c r="V135" s="25">
        <f>V130+V131+V132+V133</f>
        <v/>
      </c>
      <c r="W135" s="25">
        <f>W130+W131+W132+W133</f>
        <v/>
      </c>
      <c r="X135" s="25">
        <f>X130+X131+X132+X133</f>
        <v/>
      </c>
      <c r="Y135" s="25">
        <f>Y130+Y131+Y132+Y133</f>
        <v/>
      </c>
      <c r="Z135" s="25">
        <f>Z130+Z131+Z132+Z133</f>
        <v/>
      </c>
      <c r="AA135" s="25">
        <f>AA130+AA131+AA132+AA133</f>
        <v/>
      </c>
      <c r="AB135" s="25">
        <f>AB130+AB131+AB132+AB133</f>
        <v/>
      </c>
      <c r="AC135" s="25">
        <f>AC130+AC131+AC132+AC133</f>
        <v/>
      </c>
      <c r="AD135" s="25">
        <f>AD130+AD131+AD132+AD133</f>
        <v/>
      </c>
      <c r="AE135" s="25">
        <f>AE130+AE131+AE132+AE133</f>
        <v/>
      </c>
      <c r="AF135" s="25">
        <f>AF130+AF131+AF132+AF133</f>
        <v/>
      </c>
      <c r="AG135" s="25">
        <f>AG130+AG131+AG132+AG133</f>
        <v/>
      </c>
      <c r="AH135" s="25">
        <f>AH130+AH131+AH132+AH133</f>
        <v/>
      </c>
      <c r="AI135" s="25">
        <f>AI130+AI131+AI132+AI133</f>
        <v/>
      </c>
      <c r="AJ135" s="25">
        <f>AJ130+AJ131+AJ132+AJ133</f>
        <v/>
      </c>
      <c r="AK135" s="25">
        <f>AK130+AK131+AK132+AK133</f>
        <v/>
      </c>
      <c r="AL135" s="25">
        <f>AL130+AL131+AL132+AL133</f>
        <v/>
      </c>
      <c r="AM135" s="25">
        <f>AM130+AM131+AM132+AM133</f>
        <v/>
      </c>
      <c r="AN135" s="25">
        <f>AN130+AN131+AN132+AN133</f>
        <v/>
      </c>
      <c r="AO135" s="25">
        <f>AO130+AO131+AO132+AO133</f>
        <v/>
      </c>
      <c r="AP135" s="25">
        <f>AP130+AP131+AP132+AP133</f>
        <v/>
      </c>
      <c r="AQ135" s="25">
        <f>AQ130+AQ131+AQ132+AQ133</f>
        <v/>
      </c>
      <c r="AR135" s="25">
        <f>AR130+AR131+AR132+AR133</f>
        <v/>
      </c>
      <c r="AS135" s="25">
        <f>AS130+AS131+AS132+AS133</f>
        <v/>
      </c>
      <c r="AT135" s="25">
        <f>AT130+AT131+AT132+AT133</f>
        <v/>
      </c>
      <c r="AU135" s="25">
        <f>AU130+AU131+AU132+AU133</f>
        <v/>
      </c>
      <c r="AV135" s="25">
        <f>AV130+AV131+AV132+AV133</f>
        <v/>
      </c>
      <c r="AW135" s="25">
        <f>AW130+AW131+AW132+AW133</f>
        <v/>
      </c>
      <c r="AX135" s="25">
        <f>AX130+AX131+AX132+AX133</f>
        <v/>
      </c>
      <c r="AY135" s="25">
        <f>AY130+AY131+AY132+AY133</f>
        <v/>
      </c>
      <c r="AZ135" s="25">
        <f>AZ130+AZ131+AZ132+AZ133</f>
        <v/>
      </c>
      <c r="BA135" s="25">
        <f>BA130+BA131+BA132+BA133</f>
        <v/>
      </c>
      <c r="BB135" s="25">
        <f>BB130+BB131+BB132+BB133</f>
        <v/>
      </c>
      <c r="BC135" s="25">
        <f>BC130+BC131+BC132+BC133</f>
        <v/>
      </c>
      <c r="BD135" s="25">
        <f>BD130+BD131+BD132+BD133</f>
        <v/>
      </c>
      <c r="BE135" s="25">
        <f>BE130+BE131+BE132+BE133</f>
        <v/>
      </c>
      <c r="BF135" s="25">
        <f>BF130+BF131+BF132+BF133</f>
        <v/>
      </c>
      <c r="BG135" s="25">
        <f>BG130+BG131+BG132+BG133</f>
        <v/>
      </c>
      <c r="BH135" s="25">
        <f>BH130+BH131+BH132+BH133</f>
        <v/>
      </c>
      <c r="BI135" s="25">
        <f>BI130+BI131+BI132+BI133</f>
        <v/>
      </c>
      <c r="BJ135" s="25">
        <f>BJ130+BJ131+BJ132+BJ133</f>
        <v/>
      </c>
      <c r="BK135" s="25">
        <f>BK130+BK131+BK132+BK133</f>
        <v/>
      </c>
      <c r="BL135" s="25">
        <f>BL130+BL131+BL132+BL133</f>
        <v/>
      </c>
      <c r="BM135" s="25">
        <f>BM130+BM131+BM132+BM133</f>
        <v/>
      </c>
      <c r="BN135" s="25">
        <f>BN130+BN131+BN132+BN133</f>
        <v/>
      </c>
      <c r="BO135" s="25">
        <f>BO130+BO131+BO132+BO133</f>
        <v/>
      </c>
      <c r="BP135" s="25">
        <f>BP130+BP131+BP132+BP133</f>
        <v/>
      </c>
      <c r="BQ135" s="25">
        <f>BQ130+BQ131+BQ132+BQ133</f>
        <v/>
      </c>
      <c r="BR135" s="25">
        <f>BR130+BR131+BR132+BR133</f>
        <v/>
      </c>
      <c r="BS135" s="25">
        <f>BS130+BS131+BS132+BS133</f>
        <v/>
      </c>
      <c r="BT135" s="25">
        <f>BT130+BT131+BT132+BT133</f>
        <v/>
      </c>
      <c r="BU135" s="25">
        <f>BU130+BU131+BU132+BU133</f>
        <v/>
      </c>
      <c r="BV135" s="25">
        <f>BV130+BV131+BV132+BV133</f>
        <v/>
      </c>
      <c r="BW135" s="25">
        <f>BW130+BW131+BW132+BW133</f>
        <v/>
      </c>
      <c r="BX135" s="25">
        <f>BX130+BX131+BX132+BX133</f>
        <v/>
      </c>
      <c r="BY135" s="25">
        <f>BY130+BY131+BY132+BY133</f>
        <v/>
      </c>
      <c r="BZ135" s="25">
        <f>BZ130+BZ131+BZ132+BZ133</f>
        <v/>
      </c>
      <c r="CA135" s="25">
        <f>CA130+CA131+CA132+CA133</f>
        <v/>
      </c>
      <c r="CB135" s="25">
        <f>CB130+CB131+CB132+CB133</f>
        <v/>
      </c>
      <c r="CC135" s="25">
        <f>CC130+CC131+CC132+CC133</f>
        <v/>
      </c>
      <c r="CD135" s="25">
        <f>CD130+CD131+CD132+CD133</f>
        <v/>
      </c>
      <c r="CE135" s="25">
        <f>CE130+CE131+CE132+CE133</f>
        <v/>
      </c>
      <c r="CF135" s="25">
        <f>CF130+CF131+CF132+CF133</f>
        <v/>
      </c>
      <c r="CG135" s="25">
        <f>CG130+CG131+CG132+CG133</f>
        <v/>
      </c>
      <c r="CH135" s="25">
        <f>CH130+CH131+CH132+CH133</f>
        <v/>
      </c>
      <c r="CI135" s="25">
        <f>CI130+CI131+CI132+CI133</f>
        <v/>
      </c>
      <c r="CJ135" s="25">
        <f>CJ130+CJ131+CJ132+CJ133</f>
        <v/>
      </c>
      <c r="CK135" s="25">
        <f>CK130+CK131+CK132+CK133</f>
        <v/>
      </c>
      <c r="CL135" s="25">
        <f>CL130+CL131+CL132+CL133</f>
        <v/>
      </c>
      <c r="CM135" s="25">
        <f>CM130+CM131+CM132+CM133</f>
        <v/>
      </c>
      <c r="CN135" s="25">
        <f>CN130+CN131+CN132+CN133</f>
        <v/>
      </c>
      <c r="CO135" s="25">
        <f>CO130+CO131+CO132+CO133</f>
        <v/>
      </c>
      <c r="CP135" s="25">
        <f>CP130+CP131+CP132+CP133</f>
        <v/>
      </c>
      <c r="CQ135" s="25">
        <f>CQ130+CQ131+CQ132+CQ133</f>
        <v/>
      </c>
      <c r="CR135" s="25">
        <f>CR130+CR131+CR132+CR133</f>
        <v/>
      </c>
      <c r="CS135" s="25">
        <f>CS130+CS131+CS132+CS133</f>
        <v/>
      </c>
      <c r="CT135" s="25">
        <f>CT130+CT131+CT132+CT133</f>
        <v/>
      </c>
      <c r="CU135" s="25">
        <f>CU130+CU131+CU132+CU133</f>
        <v/>
      </c>
      <c r="CV135" s="25">
        <f>CV130+CV131+CV132+CV133</f>
        <v/>
      </c>
      <c r="CW135" s="25">
        <f>CW130+CW131+CW132+CW133</f>
        <v/>
      </c>
      <c r="CX135" s="25">
        <f>CX130+CX131+CX132+CX133</f>
        <v/>
      </c>
      <c r="CY135" s="25">
        <f>CY130+CY131+CY132+CY133</f>
        <v/>
      </c>
      <c r="CZ135" s="25">
        <f>CZ130+CZ131+CZ132+CZ133</f>
        <v/>
      </c>
      <c r="DA135" s="25">
        <f>DA130+DA131+DA132+DA133</f>
        <v/>
      </c>
      <c r="DB135" s="25">
        <f>DB130+DB131+DB132+DB133</f>
        <v/>
      </c>
      <c r="DC135" s="25">
        <f>DC130+DC131+DC132+DC133</f>
        <v/>
      </c>
      <c r="DD135" s="25">
        <f>DD130+DD131+DD132+DD133</f>
        <v/>
      </c>
      <c r="DE135" s="25">
        <f>DE130+DE131+DE132+DE133</f>
        <v/>
      </c>
      <c r="DF135" s="25">
        <f>DF130+DF131+DF132+DF133</f>
        <v/>
      </c>
      <c r="DG135" s="25">
        <f>DG130+DG131+DG132+DG133</f>
        <v/>
      </c>
      <c r="DH135" s="25">
        <f>DH130+DH131+DH132+DH133</f>
        <v/>
      </c>
      <c r="DI135" s="25">
        <f>DI130+DI131+DI132+DI133</f>
        <v/>
      </c>
      <c r="DJ135" s="25">
        <f>DJ130+DJ131+DJ132+DJ133</f>
        <v/>
      </c>
      <c r="DK135" s="25">
        <f>DK130+DK131+DK132+DK133</f>
        <v/>
      </c>
      <c r="DL135" s="25">
        <f>DL130+DL131+DL132+DL133</f>
        <v/>
      </c>
      <c r="DM135" s="25">
        <f>DM130+DM131+DM132+DM133</f>
        <v/>
      </c>
      <c r="DN135" s="25">
        <f>DN130+DN131+DN132+DN133</f>
        <v/>
      </c>
      <c r="DO135" s="25">
        <f>DO130+DO131+DO132+DO133</f>
        <v/>
      </c>
      <c r="DP135" s="25">
        <f>DP130+DP131+DP132+DP133</f>
        <v/>
      </c>
      <c r="DQ135" s="25">
        <f>DQ130+DQ131+DQ132+DQ133</f>
        <v/>
      </c>
      <c r="DR135" s="25">
        <f>DR130+DR131+DR132+DR133</f>
        <v/>
      </c>
      <c r="DS135" s="25">
        <f>DS130+DS131+DS132+DS133</f>
        <v/>
      </c>
    </row>
    <row r="136">
      <c r="B136" s="4" t="inlineStr">
        <is>
          <t>Cumulative levered cash flow</t>
        </is>
      </c>
      <c r="C136" s="15">
        <f>C135</f>
        <v/>
      </c>
      <c r="D136" s="15">
        <f>D135+C136</f>
        <v/>
      </c>
      <c r="E136" s="15">
        <f>E135+D136</f>
        <v/>
      </c>
      <c r="F136" s="15">
        <f>F135+E136</f>
        <v/>
      </c>
      <c r="G136" s="15">
        <f>G135+F136</f>
        <v/>
      </c>
      <c r="H136" s="15">
        <f>H135+G136</f>
        <v/>
      </c>
      <c r="I136" s="15">
        <f>I135+H136</f>
        <v/>
      </c>
      <c r="J136" s="15">
        <f>J135+I136</f>
        <v/>
      </c>
      <c r="K136" s="15">
        <f>K135+J136</f>
        <v/>
      </c>
      <c r="L136" s="15">
        <f>L135+K136</f>
        <v/>
      </c>
      <c r="M136" s="15">
        <f>M135+L136</f>
        <v/>
      </c>
      <c r="N136" s="15">
        <f>N135+M136</f>
        <v/>
      </c>
      <c r="O136" s="15">
        <f>O135+N136</f>
        <v/>
      </c>
      <c r="P136" s="15">
        <f>P135+O136</f>
        <v/>
      </c>
      <c r="Q136" s="15">
        <f>Q135+P136</f>
        <v/>
      </c>
      <c r="R136" s="15">
        <f>R135+Q136</f>
        <v/>
      </c>
      <c r="S136" s="15">
        <f>S135+R136</f>
        <v/>
      </c>
      <c r="T136" s="15">
        <f>T135+S136</f>
        <v/>
      </c>
      <c r="U136" s="15">
        <f>U135+T136</f>
        <v/>
      </c>
      <c r="V136" s="15">
        <f>V135+U136</f>
        <v/>
      </c>
      <c r="W136" s="15">
        <f>W135+V136</f>
        <v/>
      </c>
      <c r="X136" s="15">
        <f>X135+W136</f>
        <v/>
      </c>
      <c r="Y136" s="15">
        <f>Y135+X136</f>
        <v/>
      </c>
      <c r="Z136" s="15">
        <f>Z135+Y136</f>
        <v/>
      </c>
      <c r="AA136" s="15">
        <f>AA135+Z136</f>
        <v/>
      </c>
      <c r="AB136" s="15">
        <f>AB135+AA136</f>
        <v/>
      </c>
      <c r="AC136" s="15">
        <f>AC135+AB136</f>
        <v/>
      </c>
      <c r="AD136" s="15">
        <f>AD135+AC136</f>
        <v/>
      </c>
      <c r="AE136" s="15">
        <f>AE135+AD136</f>
        <v/>
      </c>
      <c r="AF136" s="15">
        <f>AF135+AE136</f>
        <v/>
      </c>
      <c r="AG136" s="15">
        <f>AG135+AF136</f>
        <v/>
      </c>
      <c r="AH136" s="15">
        <f>AH135+AG136</f>
        <v/>
      </c>
      <c r="AI136" s="15">
        <f>AI135+AH136</f>
        <v/>
      </c>
      <c r="AJ136" s="15">
        <f>AJ135+AI136</f>
        <v/>
      </c>
      <c r="AK136" s="15">
        <f>AK135+AJ136</f>
        <v/>
      </c>
      <c r="AL136" s="15">
        <f>AL135+AK136</f>
        <v/>
      </c>
      <c r="AM136" s="15">
        <f>AM135+AL136</f>
        <v/>
      </c>
      <c r="AN136" s="15">
        <f>AN135+AM136</f>
        <v/>
      </c>
      <c r="AO136" s="15">
        <f>AO135+AN136</f>
        <v/>
      </c>
      <c r="AP136" s="15">
        <f>AP135+AO136</f>
        <v/>
      </c>
      <c r="AQ136" s="15">
        <f>AQ135+AP136</f>
        <v/>
      </c>
      <c r="AR136" s="15">
        <f>AR135+AQ136</f>
        <v/>
      </c>
      <c r="AS136" s="15">
        <f>AS135+AR136</f>
        <v/>
      </c>
      <c r="AT136" s="15">
        <f>AT135+AS136</f>
        <v/>
      </c>
      <c r="AU136" s="15">
        <f>AU135+AT136</f>
        <v/>
      </c>
      <c r="AV136" s="15">
        <f>AV135+AU136</f>
        <v/>
      </c>
      <c r="AW136" s="15">
        <f>AW135+AV136</f>
        <v/>
      </c>
      <c r="AX136" s="15">
        <f>AX135+AW136</f>
        <v/>
      </c>
      <c r="AY136" s="15">
        <f>AY135+AX136</f>
        <v/>
      </c>
      <c r="AZ136" s="15">
        <f>AZ135+AY136</f>
        <v/>
      </c>
      <c r="BA136" s="15">
        <f>BA135+AZ136</f>
        <v/>
      </c>
      <c r="BB136" s="15">
        <f>BB135+BA136</f>
        <v/>
      </c>
      <c r="BC136" s="15">
        <f>BC135+BB136</f>
        <v/>
      </c>
      <c r="BD136" s="15">
        <f>BD135+BC136</f>
        <v/>
      </c>
      <c r="BE136" s="15">
        <f>BE135+BD136</f>
        <v/>
      </c>
      <c r="BF136" s="15">
        <f>BF135+BE136</f>
        <v/>
      </c>
      <c r="BG136" s="15">
        <f>BG135+BF136</f>
        <v/>
      </c>
      <c r="BH136" s="15">
        <f>BH135+BG136</f>
        <v/>
      </c>
      <c r="BI136" s="15">
        <f>BI135+BH136</f>
        <v/>
      </c>
      <c r="BJ136" s="15">
        <f>BJ135+BI136</f>
        <v/>
      </c>
      <c r="BK136" s="15">
        <f>BK135+BJ136</f>
        <v/>
      </c>
      <c r="BL136" s="15">
        <f>BL135+BK136</f>
        <v/>
      </c>
      <c r="BM136" s="15">
        <f>BM135+BL136</f>
        <v/>
      </c>
      <c r="BN136" s="15">
        <f>BN135+BM136</f>
        <v/>
      </c>
      <c r="BO136" s="15">
        <f>BO135+BN136</f>
        <v/>
      </c>
      <c r="BP136" s="15">
        <f>BP135+BO136</f>
        <v/>
      </c>
      <c r="BQ136" s="15">
        <f>BQ135+BP136</f>
        <v/>
      </c>
      <c r="BR136" s="15">
        <f>BR135+BQ136</f>
        <v/>
      </c>
      <c r="BS136" s="15">
        <f>BS135+BR136</f>
        <v/>
      </c>
      <c r="BT136" s="15">
        <f>BT135+BS136</f>
        <v/>
      </c>
      <c r="BU136" s="15">
        <f>BU135+BT136</f>
        <v/>
      </c>
      <c r="BV136" s="15">
        <f>BV135+BU136</f>
        <v/>
      </c>
      <c r="BW136" s="15">
        <f>BW135+BV136</f>
        <v/>
      </c>
      <c r="BX136" s="15">
        <f>BX135+BW136</f>
        <v/>
      </c>
      <c r="BY136" s="15">
        <f>BY135+BX136</f>
        <v/>
      </c>
      <c r="BZ136" s="15">
        <f>BZ135+BY136</f>
        <v/>
      </c>
      <c r="CA136" s="15">
        <f>CA135+BZ136</f>
        <v/>
      </c>
      <c r="CB136" s="15">
        <f>CB135+CA136</f>
        <v/>
      </c>
      <c r="CC136" s="15">
        <f>CC135+CB136</f>
        <v/>
      </c>
      <c r="CD136" s="15">
        <f>CD135+CC136</f>
        <v/>
      </c>
      <c r="CE136" s="15">
        <f>CE135+CD136</f>
        <v/>
      </c>
      <c r="CF136" s="15">
        <f>CF135+CE136</f>
        <v/>
      </c>
      <c r="CG136" s="15">
        <f>CG135+CF136</f>
        <v/>
      </c>
      <c r="CH136" s="15">
        <f>CH135+CG136</f>
        <v/>
      </c>
      <c r="CI136" s="15">
        <f>CI135+CH136</f>
        <v/>
      </c>
      <c r="CJ136" s="15">
        <f>CJ135+CI136</f>
        <v/>
      </c>
      <c r="CK136" s="15">
        <f>CK135+CJ136</f>
        <v/>
      </c>
      <c r="CL136" s="15">
        <f>CL135+CK136</f>
        <v/>
      </c>
      <c r="CM136" s="15">
        <f>CM135+CL136</f>
        <v/>
      </c>
      <c r="CN136" s="15">
        <f>CN135+CM136</f>
        <v/>
      </c>
      <c r="CO136" s="15">
        <f>CO135+CN136</f>
        <v/>
      </c>
      <c r="CP136" s="15">
        <f>CP135+CO136</f>
        <v/>
      </c>
      <c r="CQ136" s="15">
        <f>CQ135+CP136</f>
        <v/>
      </c>
      <c r="CR136" s="15">
        <f>CR135+CQ136</f>
        <v/>
      </c>
      <c r="CS136" s="15">
        <f>CS135+CR136</f>
        <v/>
      </c>
      <c r="CT136" s="15">
        <f>CT135+CS136</f>
        <v/>
      </c>
      <c r="CU136" s="15">
        <f>CU135+CT136</f>
        <v/>
      </c>
      <c r="CV136" s="15">
        <f>CV135+CU136</f>
        <v/>
      </c>
      <c r="CW136" s="15">
        <f>CW135+CV136</f>
        <v/>
      </c>
      <c r="CX136" s="15">
        <f>CX135+CW136</f>
        <v/>
      </c>
      <c r="CY136" s="15">
        <f>CY135+CX136</f>
        <v/>
      </c>
      <c r="CZ136" s="15">
        <f>CZ135+CY136</f>
        <v/>
      </c>
      <c r="DA136" s="15">
        <f>DA135+CZ136</f>
        <v/>
      </c>
      <c r="DB136" s="15">
        <f>DB135+DA136</f>
        <v/>
      </c>
      <c r="DC136" s="15">
        <f>DC135+DB136</f>
        <v/>
      </c>
      <c r="DD136" s="15">
        <f>DD135+DC136</f>
        <v/>
      </c>
      <c r="DE136" s="15">
        <f>DE135+DD136</f>
        <v/>
      </c>
      <c r="DF136" s="15">
        <f>DF135+DE136</f>
        <v/>
      </c>
      <c r="DG136" s="15">
        <f>DG135+DF136</f>
        <v/>
      </c>
      <c r="DH136" s="15">
        <f>DH135+DG136</f>
        <v/>
      </c>
      <c r="DI136" s="15">
        <f>DI135+DH136</f>
        <v/>
      </c>
      <c r="DJ136" s="15">
        <f>DJ135+DI136</f>
        <v/>
      </c>
      <c r="DK136" s="15">
        <f>DK135+DJ136</f>
        <v/>
      </c>
      <c r="DL136" s="15">
        <f>DL135+DK136</f>
        <v/>
      </c>
      <c r="DM136" s="15">
        <f>DM135+DL136</f>
        <v/>
      </c>
      <c r="DN136" s="15">
        <f>DN135+DM136</f>
        <v/>
      </c>
      <c r="DO136" s="15">
        <f>DO135+DN136</f>
        <v/>
      </c>
      <c r="DP136" s="15">
        <f>DP135+DO136</f>
        <v/>
      </c>
      <c r="DQ136" s="15">
        <f>DQ135+DP136</f>
        <v/>
      </c>
      <c r="DR136" s="15">
        <f>DR135+DQ136</f>
        <v/>
      </c>
      <c r="DS136" s="15">
        <f>DS135+DR136</f>
        <v/>
      </c>
    </row>
  </sheetData>
  <dataValidations count="2">
    <dataValidation sqref="C4" showDropDown="0" showInputMessage="0" showErrorMessage="0" allowBlank="1" type="list">
      <formula1>=Use_Library!$A$5:$A$66</formula1>
    </dataValidation>
    <dataValidation sqref="C5" showDropDown="0" showInputMessage="0" showErrorMessage="0" allowBlank="1" type="list">
      <formula1>=Lookups!$U$5:$U$8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20" customWidth="1" min="3" max="3"/>
  </cols>
  <sheetData>
    <row r="1">
      <c r="A1" s="1" t="inlineStr">
        <is>
          <t>Org Profile - who is looking</t>
        </is>
      </c>
    </row>
    <row r="2">
      <c r="A2" s="2" t="inlineStr">
        <is>
          <t>The org's development types drive the 'My uses' ranking and the prefilled proformas. Learned values come from the org's uploads and actuals.</t>
        </is>
      </c>
    </row>
    <row r="4">
      <c r="B4" s="4" t="inlineStr">
        <is>
          <t>Active org</t>
        </is>
      </c>
      <c r="C4" s="6" t="inlineStr">
        <is>
          <t>Ridge Stone Homes</t>
        </is>
      </c>
    </row>
    <row r="5">
      <c r="B5" s="4" t="inlineStr">
        <is>
          <t>Ranking shows</t>
        </is>
      </c>
      <c r="C5" s="6" t="inlineStr">
        <is>
          <t>All uses</t>
        </is>
      </c>
    </row>
    <row r="7">
      <c r="B7" s="3" t="inlineStr">
        <is>
          <t>Required margin by engine (blank = use library)</t>
        </is>
      </c>
    </row>
    <row r="8">
      <c r="B8" s="8" t="inlineStr">
        <is>
          <t>Engine</t>
        </is>
      </c>
      <c r="C8" s="8" t="inlineStr">
        <is>
          <t>Org margin</t>
        </is>
      </c>
    </row>
    <row r="9">
      <c r="B9" s="9" t="inlineStr">
        <is>
          <t>For-Sale</t>
        </is>
      </c>
      <c r="C9" s="11" t="n"/>
    </row>
    <row r="10">
      <c r="B10" s="9" t="inlineStr">
        <is>
          <t>Income</t>
        </is>
      </c>
      <c r="C10" s="11" t="n"/>
    </row>
    <row r="11">
      <c r="B11" s="9" t="inlineStr">
        <is>
          <t>Operator Pad</t>
        </is>
      </c>
      <c r="C11" s="11" t="n"/>
    </row>
    <row r="12">
      <c r="B12" s="9" t="inlineStr">
        <is>
          <t>Land Play</t>
        </is>
      </c>
      <c r="C12" s="11" t="n"/>
    </row>
    <row r="14">
      <c r="B14" s="3" t="inlineStr">
        <is>
          <t>Learned estimating bias (from Deal_History)</t>
        </is>
      </c>
    </row>
    <row r="15">
      <c r="B15" s="9" t="inlineStr">
        <is>
          <t>Deals with actuals</t>
        </is>
      </c>
      <c r="C15" s="15">
        <f>COUNTIFS(Deal_History!$A$6:$A$305,Org_Profile!$C$4,Deal_History!$W$6:$W$305,"&gt;-10")</f>
        <v/>
      </c>
    </row>
    <row r="16">
      <c r="B16" s="9" t="inlineStr">
        <is>
          <t>Average cost overrun</t>
        </is>
      </c>
      <c r="C16" s="23">
        <f>IF(C15=0,0,SUMIFS(Deal_History!$W$6:$W$305,Deal_History!$A$6:$A$305,Org_Profile!$C$4)/C15)</f>
        <v/>
      </c>
    </row>
    <row r="17">
      <c r="B17" s="4" t="inlineStr">
        <is>
          <t>Bias applied (shrunk toward 0)</t>
        </is>
      </c>
      <c r="C17" s="31">
        <f>IF(C18="Y",SUMIFS(Deal_History!$W$6:$W$305,Deal_History!$A$6:$A$305,Org_Profile!$C$4)/(C15+Assumptions!$C$30),0)</f>
        <v/>
      </c>
    </row>
    <row r="18">
      <c r="B18" s="9" t="inlineStr">
        <is>
          <t>Apply bias to new runs</t>
        </is>
      </c>
      <c r="C18" s="6" t="inlineStr">
        <is>
          <t>Y</t>
        </is>
      </c>
    </row>
    <row r="20">
      <c r="B20" s="3" t="inlineStr">
        <is>
          <t>Development types this org does</t>
        </is>
      </c>
    </row>
    <row r="21">
      <c r="B21" s="8" t="inlineStr">
        <is>
          <t>Use</t>
        </is>
      </c>
      <c r="C21" s="8" t="inlineStr">
        <is>
          <t>I build this (Y/N)</t>
        </is>
      </c>
    </row>
    <row r="22">
      <c r="B22" s="7">
        <f>Use_Library!$A$5</f>
        <v/>
      </c>
      <c r="C22" s="6" t="inlineStr">
        <is>
          <t>Y</t>
        </is>
      </c>
    </row>
    <row r="23">
      <c r="B23" s="7">
        <f>Use_Library!$A$6</f>
        <v/>
      </c>
      <c r="C23" s="6" t="inlineStr">
        <is>
          <t>Y</t>
        </is>
      </c>
    </row>
    <row r="24">
      <c r="B24" s="7">
        <f>Use_Library!$A$7</f>
        <v/>
      </c>
      <c r="C24" s="6" t="inlineStr">
        <is>
          <t>N</t>
        </is>
      </c>
    </row>
    <row r="25">
      <c r="B25" s="7">
        <f>Use_Library!$A$8</f>
        <v/>
      </c>
      <c r="C25" s="6" t="inlineStr">
        <is>
          <t>N</t>
        </is>
      </c>
    </row>
    <row r="26">
      <c r="B26" s="7">
        <f>Use_Library!$A$9</f>
        <v/>
      </c>
      <c r="C26" s="6" t="inlineStr">
        <is>
          <t>Y</t>
        </is>
      </c>
    </row>
    <row r="27">
      <c r="B27" s="7">
        <f>Use_Library!$A$10</f>
        <v/>
      </c>
      <c r="C27" s="6" t="inlineStr">
        <is>
          <t>N</t>
        </is>
      </c>
    </row>
    <row r="28">
      <c r="B28" s="7">
        <f>Use_Library!$A$11</f>
        <v/>
      </c>
      <c r="C28" s="6" t="inlineStr">
        <is>
          <t>Y</t>
        </is>
      </c>
    </row>
    <row r="29">
      <c r="B29" s="7">
        <f>Use_Library!$A$12</f>
        <v/>
      </c>
      <c r="C29" s="6" t="inlineStr">
        <is>
          <t>Y</t>
        </is>
      </c>
    </row>
    <row r="30">
      <c r="B30" s="7">
        <f>Use_Library!$A$13</f>
        <v/>
      </c>
      <c r="C30" s="6" t="inlineStr">
        <is>
          <t>N</t>
        </is>
      </c>
    </row>
    <row r="31">
      <c r="B31" s="7">
        <f>Use_Library!$A$14</f>
        <v/>
      </c>
      <c r="C31" s="6" t="inlineStr">
        <is>
          <t>N</t>
        </is>
      </c>
    </row>
    <row r="32">
      <c r="B32" s="7">
        <f>Use_Library!$A$15</f>
        <v/>
      </c>
      <c r="C32" s="6" t="inlineStr">
        <is>
          <t>N</t>
        </is>
      </c>
    </row>
    <row r="33">
      <c r="B33" s="7">
        <f>Use_Library!$A$16</f>
        <v/>
      </c>
      <c r="C33" s="6" t="inlineStr">
        <is>
          <t>Y</t>
        </is>
      </c>
    </row>
    <row r="34">
      <c r="B34" s="7">
        <f>Use_Library!$A$17</f>
        <v/>
      </c>
      <c r="C34" s="6" t="inlineStr">
        <is>
          <t>Y</t>
        </is>
      </c>
    </row>
    <row r="35">
      <c r="B35" s="7">
        <f>Use_Library!$A$18</f>
        <v/>
      </c>
      <c r="C35" s="6" t="inlineStr">
        <is>
          <t>Y</t>
        </is>
      </c>
    </row>
    <row r="36">
      <c r="B36" s="7">
        <f>Use_Library!$A$19</f>
        <v/>
      </c>
      <c r="C36" s="6" t="inlineStr">
        <is>
          <t>Y</t>
        </is>
      </c>
    </row>
    <row r="37">
      <c r="B37" s="7">
        <f>Use_Library!$A$20</f>
        <v/>
      </c>
      <c r="C37" s="6" t="inlineStr">
        <is>
          <t>Y</t>
        </is>
      </c>
    </row>
    <row r="38">
      <c r="B38" s="7">
        <f>Use_Library!$A$21</f>
        <v/>
      </c>
      <c r="C38" s="6" t="inlineStr">
        <is>
          <t>N</t>
        </is>
      </c>
    </row>
    <row r="39">
      <c r="B39" s="7">
        <f>Use_Library!$A$22</f>
        <v/>
      </c>
      <c r="C39" s="6" t="inlineStr">
        <is>
          <t>N</t>
        </is>
      </c>
    </row>
    <row r="40">
      <c r="B40" s="7">
        <f>Use_Library!$A$23</f>
        <v/>
      </c>
      <c r="C40" s="6" t="inlineStr">
        <is>
          <t>N</t>
        </is>
      </c>
    </row>
    <row r="41">
      <c r="B41" s="7">
        <f>Use_Library!$A$24</f>
        <v/>
      </c>
      <c r="C41" s="6" t="inlineStr">
        <is>
          <t>N</t>
        </is>
      </c>
    </row>
    <row r="42">
      <c r="B42" s="7">
        <f>Use_Library!$A$25</f>
        <v/>
      </c>
      <c r="C42" s="6" t="inlineStr">
        <is>
          <t>Y</t>
        </is>
      </c>
    </row>
    <row r="43">
      <c r="B43" s="7">
        <f>Use_Library!$A$26</f>
        <v/>
      </c>
      <c r="C43" s="6" t="inlineStr">
        <is>
          <t>N</t>
        </is>
      </c>
    </row>
    <row r="44">
      <c r="B44" s="7">
        <f>Use_Library!$A$27</f>
        <v/>
      </c>
      <c r="C44" s="6" t="inlineStr">
        <is>
          <t>N</t>
        </is>
      </c>
    </row>
    <row r="45">
      <c r="B45" s="7">
        <f>Use_Library!$A$28</f>
        <v/>
      </c>
      <c r="C45" s="6" t="inlineStr">
        <is>
          <t>N</t>
        </is>
      </c>
    </row>
    <row r="46">
      <c r="B46" s="7">
        <f>Use_Library!$A$29</f>
        <v/>
      </c>
      <c r="C46" s="6" t="inlineStr">
        <is>
          <t>N</t>
        </is>
      </c>
    </row>
    <row r="47">
      <c r="B47" s="7">
        <f>Use_Library!$A$30</f>
        <v/>
      </c>
      <c r="C47" s="6" t="inlineStr">
        <is>
          <t>N</t>
        </is>
      </c>
    </row>
    <row r="48">
      <c r="B48" s="7">
        <f>Use_Library!$A$31</f>
        <v/>
      </c>
      <c r="C48" s="6" t="inlineStr">
        <is>
          <t>N</t>
        </is>
      </c>
    </row>
    <row r="49">
      <c r="B49" s="7">
        <f>Use_Library!$A$32</f>
        <v/>
      </c>
      <c r="C49" s="6" t="inlineStr">
        <is>
          <t>N</t>
        </is>
      </c>
    </row>
    <row r="50">
      <c r="B50" s="7">
        <f>Use_Library!$A$33</f>
        <v/>
      </c>
      <c r="C50" s="6" t="inlineStr">
        <is>
          <t>N</t>
        </is>
      </c>
    </row>
    <row r="51">
      <c r="B51" s="7">
        <f>Use_Library!$A$34</f>
        <v/>
      </c>
      <c r="C51" s="6" t="inlineStr">
        <is>
          <t>N</t>
        </is>
      </c>
    </row>
    <row r="52">
      <c r="B52" s="7">
        <f>Use_Library!$A$35</f>
        <v/>
      </c>
      <c r="C52" s="6" t="inlineStr">
        <is>
          <t>N</t>
        </is>
      </c>
    </row>
    <row r="53">
      <c r="B53" s="7">
        <f>Use_Library!$A$36</f>
        <v/>
      </c>
      <c r="C53" s="6" t="inlineStr">
        <is>
          <t>N</t>
        </is>
      </c>
    </row>
    <row r="54">
      <c r="B54" s="7">
        <f>Use_Library!$A$37</f>
        <v/>
      </c>
      <c r="C54" s="6" t="inlineStr">
        <is>
          <t>N</t>
        </is>
      </c>
    </row>
    <row r="55">
      <c r="B55" s="7">
        <f>Use_Library!$A$38</f>
        <v/>
      </c>
      <c r="C55" s="6" t="inlineStr">
        <is>
          <t>N</t>
        </is>
      </c>
    </row>
    <row r="56">
      <c r="B56" s="7">
        <f>Use_Library!$A$39</f>
        <v/>
      </c>
      <c r="C56" s="6" t="inlineStr">
        <is>
          <t>N</t>
        </is>
      </c>
    </row>
    <row r="57">
      <c r="B57" s="7">
        <f>Use_Library!$A$40</f>
        <v/>
      </c>
      <c r="C57" s="6" t="inlineStr">
        <is>
          <t>N</t>
        </is>
      </c>
    </row>
    <row r="58">
      <c r="B58" s="7">
        <f>Use_Library!$A$41</f>
        <v/>
      </c>
      <c r="C58" s="6" t="inlineStr">
        <is>
          <t>N</t>
        </is>
      </c>
    </row>
    <row r="59">
      <c r="B59" s="7">
        <f>Use_Library!$A$42</f>
        <v/>
      </c>
      <c r="C59" s="6" t="inlineStr">
        <is>
          <t>N</t>
        </is>
      </c>
    </row>
    <row r="60">
      <c r="B60" s="7">
        <f>Use_Library!$A$43</f>
        <v/>
      </c>
      <c r="C60" s="6" t="inlineStr">
        <is>
          <t>N</t>
        </is>
      </c>
    </row>
    <row r="61">
      <c r="B61" s="7">
        <f>Use_Library!$A$44</f>
        <v/>
      </c>
      <c r="C61" s="6" t="inlineStr">
        <is>
          <t>N</t>
        </is>
      </c>
    </row>
    <row r="62">
      <c r="B62" s="7">
        <f>Use_Library!$A$45</f>
        <v/>
      </c>
      <c r="C62" s="6" t="inlineStr">
        <is>
          <t>N</t>
        </is>
      </c>
    </row>
    <row r="63">
      <c r="B63" s="7">
        <f>Use_Library!$A$46</f>
        <v/>
      </c>
      <c r="C63" s="6" t="inlineStr">
        <is>
          <t>N</t>
        </is>
      </c>
    </row>
    <row r="64">
      <c r="B64" s="7">
        <f>Use_Library!$A$47</f>
        <v/>
      </c>
      <c r="C64" s="6" t="inlineStr">
        <is>
          <t>N</t>
        </is>
      </c>
    </row>
    <row r="65">
      <c r="B65" s="7">
        <f>Use_Library!$A$48</f>
        <v/>
      </c>
      <c r="C65" s="6" t="inlineStr">
        <is>
          <t>N</t>
        </is>
      </c>
    </row>
    <row r="66">
      <c r="B66" s="7">
        <f>Use_Library!$A$49</f>
        <v/>
      </c>
      <c r="C66" s="6" t="inlineStr">
        <is>
          <t>N</t>
        </is>
      </c>
    </row>
    <row r="67">
      <c r="B67" s="7">
        <f>Use_Library!$A$50</f>
        <v/>
      </c>
      <c r="C67" s="6" t="inlineStr">
        <is>
          <t>N</t>
        </is>
      </c>
    </row>
    <row r="68">
      <c r="B68" s="7">
        <f>Use_Library!$A$51</f>
        <v/>
      </c>
      <c r="C68" s="6" t="inlineStr">
        <is>
          <t>Y</t>
        </is>
      </c>
    </row>
    <row r="69">
      <c r="B69" s="7">
        <f>Use_Library!$A$52</f>
        <v/>
      </c>
      <c r="C69" s="6" t="inlineStr">
        <is>
          <t>N</t>
        </is>
      </c>
    </row>
    <row r="70">
      <c r="B70" s="7">
        <f>Use_Library!$A$53</f>
        <v/>
      </c>
      <c r="C70" s="6" t="inlineStr">
        <is>
          <t>N</t>
        </is>
      </c>
    </row>
    <row r="71">
      <c r="B71" s="7">
        <f>Use_Library!$A$54</f>
        <v/>
      </c>
      <c r="C71" s="6" t="inlineStr">
        <is>
          <t>N</t>
        </is>
      </c>
    </row>
    <row r="72">
      <c r="B72" s="7">
        <f>Use_Library!$A$55</f>
        <v/>
      </c>
      <c r="C72" s="6" t="inlineStr">
        <is>
          <t>N</t>
        </is>
      </c>
    </row>
    <row r="73">
      <c r="B73" s="7">
        <f>Use_Library!$A$56</f>
        <v/>
      </c>
      <c r="C73" s="6" t="inlineStr">
        <is>
          <t>N</t>
        </is>
      </c>
    </row>
    <row r="74">
      <c r="B74" s="7">
        <f>Use_Library!$A$57</f>
        <v/>
      </c>
      <c r="C74" s="6" t="inlineStr">
        <is>
          <t>N</t>
        </is>
      </c>
    </row>
    <row r="75">
      <c r="B75" s="7">
        <f>Use_Library!$A$58</f>
        <v/>
      </c>
      <c r="C75" s="6" t="inlineStr">
        <is>
          <t>N</t>
        </is>
      </c>
    </row>
    <row r="76">
      <c r="B76" s="7">
        <f>Use_Library!$A$59</f>
        <v/>
      </c>
      <c r="C76" s="6" t="inlineStr">
        <is>
          <t>N</t>
        </is>
      </c>
    </row>
    <row r="77">
      <c r="B77" s="7">
        <f>Use_Library!$A$60</f>
        <v/>
      </c>
      <c r="C77" s="6" t="inlineStr">
        <is>
          <t>Y</t>
        </is>
      </c>
    </row>
    <row r="78">
      <c r="B78" s="7">
        <f>Use_Library!$A$61</f>
        <v/>
      </c>
      <c r="C78" s="6" t="inlineStr">
        <is>
          <t>N</t>
        </is>
      </c>
    </row>
    <row r="79">
      <c r="B79" s="7">
        <f>Use_Library!$A$62</f>
        <v/>
      </c>
      <c r="C79" s="6" t="inlineStr">
        <is>
          <t>N</t>
        </is>
      </c>
    </row>
    <row r="80">
      <c r="B80" s="7">
        <f>Use_Library!$A$63</f>
        <v/>
      </c>
      <c r="C80" s="6" t="inlineStr">
        <is>
          <t>N</t>
        </is>
      </c>
    </row>
    <row r="81">
      <c r="B81" s="7">
        <f>Use_Library!$A$64</f>
        <v/>
      </c>
      <c r="C81" s="6" t="inlineStr">
        <is>
          <t>N</t>
        </is>
      </c>
    </row>
    <row r="82">
      <c r="B82" s="7">
        <f>Use_Library!$A$65</f>
        <v/>
      </c>
      <c r="C82" s="6" t="inlineStr">
        <is>
          <t>N</t>
        </is>
      </c>
    </row>
    <row r="83">
      <c r="B83" s="7">
        <f>Use_Library!$A$66</f>
        <v/>
      </c>
      <c r="C83" s="6" t="inlineStr">
        <is>
          <t>N</t>
        </is>
      </c>
    </row>
  </sheetData>
  <dataValidations count="3">
    <dataValidation sqref="C5" showDropDown="0" showInputMessage="0" showErrorMessage="0" allowBlank="1" type="list">
      <formula1>=Lookups!$W$5:$W$6</formula1>
    </dataValidation>
    <dataValidation sqref="C18" showDropDown="0" showInputMessage="0" showErrorMessage="0" allowBlank="1" type="list">
      <formula1>=Lookups!$C$5:$C$6</formula1>
    </dataValidation>
    <dataValidation sqref="C22:C83" showDropDown="0" showInputMessage="0" showErrorMessage="0" allowBlank="1" type="list">
      <formula1>=Lookups!$C$5:$C$6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2" customWidth="1" min="3" max="3"/>
    <col width="14" customWidth="1" min="4" max="4"/>
  </cols>
  <sheetData>
    <row r="1">
      <c r="A1" s="1" t="inlineStr">
        <is>
          <t>Location - resolved values for this parcel</t>
        </is>
      </c>
    </row>
    <row r="2">
      <c r="A2" s="2" t="inlineStr">
        <is>
          <t>Each value comes from the most specific level that has it: City &gt; County &gt; State &gt; National. Source shows which level was used.</t>
        </is>
      </c>
    </row>
    <row r="4">
      <c r="B4" s="4" t="inlineStr">
        <is>
          <t>City key</t>
        </is>
      </c>
      <c r="C4" s="9">
        <f>IF(Parcel!$C$8="","#none",Parcel!$C$6&amp;"|"&amp;Parcel!$C$7&amp;"|"&amp;Parcel!$C$8)</f>
        <v/>
      </c>
    </row>
    <row r="5">
      <c r="B5" s="4" t="inlineStr">
        <is>
          <t>County key</t>
        </is>
      </c>
      <c r="C5" s="9">
        <f>Parcel!$C$6&amp;"|"&amp;Parcel!$C$7</f>
        <v/>
      </c>
    </row>
    <row r="6">
      <c r="B6" s="4" t="inlineStr">
        <is>
          <t>State key</t>
        </is>
      </c>
      <c r="C6" s="9">
        <f>Parcel!$C$6</f>
        <v/>
      </c>
    </row>
    <row r="8">
      <c r="B8" s="8" t="inlineStr">
        <is>
          <t>Field</t>
        </is>
      </c>
      <c r="C8" s="8" t="inlineStr">
        <is>
          <t>Resolved value</t>
        </is>
      </c>
      <c r="D8" s="8" t="inlineStr">
        <is>
          <t>Source level</t>
        </is>
      </c>
    </row>
    <row r="9">
      <c r="B9" s="9" t="inlineStr">
        <is>
          <t>Construction cost index</t>
        </is>
      </c>
      <c r="C9" s="32">
        <f>IF(IFERROR(INDEX(Regions!$D$5:$D$400,MATCH(Location!$C$4,Regions!$A$5:$A$400,0))&lt;&gt;"",FALSE),INDEX(Regions!$D$5:$D$400,MATCH(Location!$C$4,Regions!$A$5:$A$400,0)),IF(IFERROR(INDEX(Regions!$D$5:$D$400,MATCH(Location!$C$5,Regions!$A$5:$A$400,0))&lt;&gt;"",FALSE),INDEX(Regions!$D$5:$D$400,MATCH(Location!$C$5,Regions!$A$5:$A$400,0)),IF(IFERROR(INDEX(Regions!$D$5:$D$400,MATCH(Location!$C$6,Regions!$A$5:$A$400,0))&lt;&gt;"",FALSE),INDEX(Regions!$D$5:$D$400,MATCH(Location!$C$6,Regions!$A$5:$A$400,0)),INDEX(Regions!$D$5:$D$400,MATCH("US",Regions!$A$5:$A$400,0)))))</f>
        <v/>
      </c>
      <c r="D9" s="2">
        <f>IF(IFERROR(INDEX(Regions!$D$5:$D$400,MATCH(Location!$C$4,Regions!$A$5:$A$400,0))&lt;&gt;"",FALSE),"City",IF(IFERROR(INDEX(Regions!$D$5:$D$400,MATCH(Location!$C$5,Regions!$A$5:$A$400,0))&lt;&gt;"",FALSE),"County",IF(IFERROR(INDEX(Regions!$D$5:$D$400,MATCH(Location!$C$6,Regions!$A$5:$A$400,0))&lt;&gt;"",FALSE),"State","National")))</f>
        <v/>
      </c>
    </row>
    <row r="10">
      <c r="B10" s="9" t="inlineStr">
        <is>
          <t>Sale price index (homes, lots, pads)</t>
        </is>
      </c>
      <c r="C10" s="32">
        <f>IF(IFERROR(INDEX(Regions!$E$5:$E$400,MATCH(Location!$C$4,Regions!$A$5:$A$400,0))&lt;&gt;"",FALSE),INDEX(Regions!$E$5:$E$400,MATCH(Location!$C$4,Regions!$A$5:$A$400,0)),IF(IFERROR(INDEX(Regions!$E$5:$E$400,MATCH(Location!$C$5,Regions!$A$5:$A$400,0))&lt;&gt;"",FALSE),INDEX(Regions!$E$5:$E$400,MATCH(Location!$C$5,Regions!$A$5:$A$400,0)),IF(IFERROR(INDEX(Regions!$E$5:$E$400,MATCH(Location!$C$6,Regions!$A$5:$A$400,0))&lt;&gt;"",FALSE),INDEX(Regions!$E$5:$E$400,MATCH(Location!$C$6,Regions!$A$5:$A$400,0)),INDEX(Regions!$E$5:$E$400,MATCH("US",Regions!$A$5:$A$400,0)))))</f>
        <v/>
      </c>
      <c r="D10" s="2">
        <f>IF(IFERROR(INDEX(Regions!$E$5:$E$400,MATCH(Location!$C$4,Regions!$A$5:$A$400,0))&lt;&gt;"",FALSE),"City",IF(IFERROR(INDEX(Regions!$E$5:$E$400,MATCH(Location!$C$5,Regions!$A$5:$A$400,0))&lt;&gt;"",FALSE),"County",IF(IFERROR(INDEX(Regions!$E$5:$E$400,MATCH(Location!$C$6,Regions!$A$5:$A$400,0))&lt;&gt;"",FALSE),"State","National")))</f>
        <v/>
      </c>
    </row>
    <row r="11">
      <c r="B11" s="9" t="inlineStr">
        <is>
          <t>Rent index</t>
        </is>
      </c>
      <c r="C11" s="32">
        <f>IF(IFERROR(INDEX(Regions!$F$5:$F$400,MATCH(Location!$C$4,Regions!$A$5:$A$400,0))&lt;&gt;"",FALSE),INDEX(Regions!$F$5:$F$400,MATCH(Location!$C$4,Regions!$A$5:$A$400,0)),IF(IFERROR(INDEX(Regions!$F$5:$F$400,MATCH(Location!$C$5,Regions!$A$5:$A$400,0))&lt;&gt;"",FALSE),INDEX(Regions!$F$5:$F$400,MATCH(Location!$C$5,Regions!$A$5:$A$400,0)),IF(IFERROR(INDEX(Regions!$F$5:$F$400,MATCH(Location!$C$6,Regions!$A$5:$A$400,0))&lt;&gt;"",FALSE),INDEX(Regions!$F$5:$F$400,MATCH(Location!$C$6,Regions!$A$5:$A$400,0)),INDEX(Regions!$F$5:$F$400,MATCH("US",Regions!$A$5:$A$400,0)))))</f>
        <v/>
      </c>
      <c r="D11" s="2">
        <f>IF(IFERROR(INDEX(Regions!$F$5:$F$400,MATCH(Location!$C$4,Regions!$A$5:$A$400,0))&lt;&gt;"",FALSE),"City",IF(IFERROR(INDEX(Regions!$F$5:$F$400,MATCH(Location!$C$5,Regions!$A$5:$A$400,0))&lt;&gt;"",FALSE),"County",IF(IFERROR(INDEX(Regions!$F$5:$F$400,MATCH(Location!$C$6,Regions!$A$5:$A$400,0))&lt;&gt;"",FALSE),"State","National")))</f>
        <v/>
      </c>
    </row>
    <row r="12">
      <c r="B12" s="9" t="inlineStr">
        <is>
          <t>Cap rate adjustment (+ = higher cap)</t>
        </is>
      </c>
      <c r="C12" s="26">
        <f>IF(IFERROR(INDEX(Regions!$G$5:$G$400,MATCH(Location!$C$4,Regions!$A$5:$A$400,0))&lt;&gt;"",FALSE),INDEX(Regions!$G$5:$G$400,MATCH(Location!$C$4,Regions!$A$5:$A$400,0)),IF(IFERROR(INDEX(Regions!$G$5:$G$400,MATCH(Location!$C$5,Regions!$A$5:$A$400,0))&lt;&gt;"",FALSE),INDEX(Regions!$G$5:$G$400,MATCH(Location!$C$5,Regions!$A$5:$A$400,0)),IF(IFERROR(INDEX(Regions!$G$5:$G$400,MATCH(Location!$C$6,Regions!$A$5:$A$400,0))&lt;&gt;"",FALSE),INDEX(Regions!$G$5:$G$400,MATCH(Location!$C$6,Regions!$A$5:$A$400,0)),INDEX(Regions!$G$5:$G$400,MATCH("US",Regions!$A$5:$A$400,0)))))</f>
        <v/>
      </c>
      <c r="D12" s="2">
        <f>IF(IFERROR(INDEX(Regions!$G$5:$G$400,MATCH(Location!$C$4,Regions!$A$5:$A$400,0))&lt;&gt;"",FALSE),"City",IF(IFERROR(INDEX(Regions!$G$5:$G$400,MATCH(Location!$C$5,Regions!$A$5:$A$400,0))&lt;&gt;"",FALSE),"County",IF(IFERROR(INDEX(Regions!$G$5:$G$400,MATCH(Location!$C$6,Regions!$A$5:$A$400,0))&lt;&gt;"",FALSE),"State","National")))</f>
        <v/>
      </c>
    </row>
    <row r="13">
      <c r="B13" s="9" t="inlineStr">
        <is>
          <t>Opex index (insurance, utilities, labor)</t>
        </is>
      </c>
      <c r="C13" s="32">
        <f>IF(IFERROR(INDEX(Regions!$H$5:$H$400,MATCH(Location!$C$4,Regions!$A$5:$A$400,0))&lt;&gt;"",FALSE),INDEX(Regions!$H$5:$H$400,MATCH(Location!$C$4,Regions!$A$5:$A$400,0)),IF(IFERROR(INDEX(Regions!$H$5:$H$400,MATCH(Location!$C$5,Regions!$A$5:$A$400,0))&lt;&gt;"",FALSE),INDEX(Regions!$H$5:$H$400,MATCH(Location!$C$5,Regions!$A$5:$A$400,0)),IF(IFERROR(INDEX(Regions!$H$5:$H$400,MATCH(Location!$C$6,Regions!$A$5:$A$400,0))&lt;&gt;"",FALSE),INDEX(Regions!$H$5:$H$400,MATCH(Location!$C$6,Regions!$A$5:$A$400,0)),INDEX(Regions!$H$5:$H$400,MATCH("US",Regions!$A$5:$A$400,0)))))</f>
        <v/>
      </c>
      <c r="D13" s="2">
        <f>IF(IFERROR(INDEX(Regions!$H$5:$H$400,MATCH(Location!$C$4,Regions!$A$5:$A$400,0))&lt;&gt;"",FALSE),"City",IF(IFERROR(INDEX(Regions!$H$5:$H$400,MATCH(Location!$C$5,Regions!$A$5:$A$400,0))&lt;&gt;"",FALSE),"County",IF(IFERROR(INDEX(Regions!$H$5:$H$400,MATCH(Location!$C$6,Regions!$A$5:$A$400,0))&lt;&gt;"",FALSE),"State","National")))</f>
        <v/>
      </c>
    </row>
    <row r="14">
      <c r="B14" s="9" t="inlineStr">
        <is>
          <t>Raw land value $ / acre</t>
        </is>
      </c>
      <c r="C14" s="20">
        <f>IF(IFERROR(INDEX(Regions!$I$5:$I$400,MATCH(Location!$C$4,Regions!$A$5:$A$400,0))&lt;&gt;"",FALSE),INDEX(Regions!$I$5:$I$400,MATCH(Location!$C$4,Regions!$A$5:$A$400,0)),IF(IFERROR(INDEX(Regions!$I$5:$I$400,MATCH(Location!$C$5,Regions!$A$5:$A$400,0))&lt;&gt;"",FALSE),INDEX(Regions!$I$5:$I$400,MATCH(Location!$C$5,Regions!$A$5:$A$400,0)),IF(IFERROR(INDEX(Regions!$I$5:$I$400,MATCH(Location!$C$6,Regions!$A$5:$A$400,0))&lt;&gt;"",FALSE),INDEX(Regions!$I$5:$I$400,MATCH(Location!$C$6,Regions!$A$5:$A$400,0)),INDEX(Regions!$I$5:$I$400,MATCH("US",Regions!$A$5:$A$400,0)))))</f>
        <v/>
      </c>
      <c r="D14" s="2">
        <f>IF(IFERROR(INDEX(Regions!$I$5:$I$400,MATCH(Location!$C$4,Regions!$A$5:$A$400,0))&lt;&gt;"",FALSE),"City",IF(IFERROR(INDEX(Regions!$I$5:$I$400,MATCH(Location!$C$5,Regions!$A$5:$A$400,0))&lt;&gt;"",FALSE),"County",IF(IFERROR(INDEX(Regions!$I$5:$I$400,MATCH(Location!$C$6,Regions!$A$5:$A$400,0))&lt;&gt;"",FALSE),"State","National")))</f>
        <v/>
      </c>
    </row>
    <row r="15">
      <c r="B15" s="9" t="inlineStr">
        <is>
          <t>Property tax rate (all jurisdictions)</t>
        </is>
      </c>
      <c r="C15" s="26">
        <f>IF(IFERROR(INDEX(Regions!$J$5:$J$400,MATCH(Location!$C$4,Regions!$A$5:$A$400,0))&lt;&gt;"",FALSE),INDEX(Regions!$J$5:$J$400,MATCH(Location!$C$4,Regions!$A$5:$A$400,0)),IF(IFERROR(INDEX(Regions!$J$5:$J$400,MATCH(Location!$C$5,Regions!$A$5:$A$400,0))&lt;&gt;"",FALSE),INDEX(Regions!$J$5:$J$400,MATCH(Location!$C$5,Regions!$A$5:$A$400,0)),IF(IFERROR(INDEX(Regions!$J$5:$J$400,MATCH(Location!$C$6,Regions!$A$5:$A$400,0))&lt;&gt;"",FALSE),INDEX(Regions!$J$5:$J$400,MATCH(Location!$C$6,Regions!$A$5:$A$400,0)),INDEX(Regions!$J$5:$J$400,MATCH("US",Regions!$A$5:$A$400,0)))))</f>
        <v/>
      </c>
      <c r="D15" s="2">
        <f>IF(IFERROR(INDEX(Regions!$J$5:$J$400,MATCH(Location!$C$4,Regions!$A$5:$A$400,0))&lt;&gt;"",FALSE),"City",IF(IFERROR(INDEX(Regions!$J$5:$J$400,MATCH(Location!$C$5,Regions!$A$5:$A$400,0))&lt;&gt;"",FALSE),"County",IF(IFERROR(INDEX(Regions!$J$5:$J$400,MATCH(Location!$C$6,Regions!$A$5:$A$400,0))&lt;&gt;"",FALSE),"State","National")))</f>
        <v/>
      </c>
    </row>
    <row r="16">
      <c r="B16" s="9" t="inlineStr">
        <is>
          <t>Assessed value as % of total cost</t>
        </is>
      </c>
      <c r="C16" s="23">
        <f>IF(IFERROR(INDEX(Regions!$K$5:$K$400,MATCH(Location!$C$4,Regions!$A$5:$A$400,0))&lt;&gt;"",FALSE),INDEX(Regions!$K$5:$K$400,MATCH(Location!$C$4,Regions!$A$5:$A$400,0)),IF(IFERROR(INDEX(Regions!$K$5:$K$400,MATCH(Location!$C$5,Regions!$A$5:$A$400,0))&lt;&gt;"",FALSE),INDEX(Regions!$K$5:$K$400,MATCH(Location!$C$5,Regions!$A$5:$A$400,0)),IF(IFERROR(INDEX(Regions!$K$5:$K$400,MATCH(Location!$C$6,Regions!$A$5:$A$400,0))&lt;&gt;"",FALSE),INDEX(Regions!$K$5:$K$400,MATCH(Location!$C$6,Regions!$A$5:$A$400,0)),INDEX(Regions!$K$5:$K$400,MATCH("US",Regions!$A$5:$A$400,0)))))</f>
        <v/>
      </c>
      <c r="D16" s="2">
        <f>IF(IFERROR(INDEX(Regions!$K$5:$K$400,MATCH(Location!$C$4,Regions!$A$5:$A$400,0))&lt;&gt;"",FALSE),"City",IF(IFERROR(INDEX(Regions!$K$5:$K$400,MATCH(Location!$C$5,Regions!$A$5:$A$400,0))&lt;&gt;"",FALSE),"County",IF(IFERROR(INDEX(Regions!$K$5:$K$400,MATCH(Location!$C$6,Regions!$A$5:$A$400,0))&lt;&gt;"",FALSE),"State","National")))</f>
        <v/>
      </c>
    </row>
    <row r="17">
      <c r="B17" s="9" t="inlineStr">
        <is>
          <t>Buyer closing costs % of land</t>
        </is>
      </c>
      <c r="C17" s="23">
        <f>IF(IFERROR(INDEX(Regions!$L$5:$L$400,MATCH(Location!$C$4,Regions!$A$5:$A$400,0))&lt;&gt;"",FALSE),INDEX(Regions!$L$5:$L$400,MATCH(Location!$C$4,Regions!$A$5:$A$400,0)),IF(IFERROR(INDEX(Regions!$L$5:$L$400,MATCH(Location!$C$5,Regions!$A$5:$A$400,0))&lt;&gt;"",FALSE),INDEX(Regions!$L$5:$L$400,MATCH(Location!$C$5,Regions!$A$5:$A$400,0)),IF(IFERROR(INDEX(Regions!$L$5:$L$400,MATCH(Location!$C$6,Regions!$A$5:$A$400,0))&lt;&gt;"",FALSE),INDEX(Regions!$L$5:$L$400,MATCH(Location!$C$6,Regions!$A$5:$A$400,0)),INDEX(Regions!$L$5:$L$400,MATCH("US",Regions!$A$5:$A$400,0)))))</f>
        <v/>
      </c>
      <c r="D17" s="2">
        <f>IF(IFERROR(INDEX(Regions!$L$5:$L$400,MATCH(Location!$C$4,Regions!$A$5:$A$400,0))&lt;&gt;"",FALSE),"City",IF(IFERROR(INDEX(Regions!$L$5:$L$400,MATCH(Location!$C$5,Regions!$A$5:$A$400,0))&lt;&gt;"",FALSE),"County",IF(IFERROR(INDEX(Regions!$L$5:$L$400,MATCH(Location!$C$6,Regions!$A$5:$A$400,0))&lt;&gt;"",FALSE),"State","National")))</f>
        <v/>
      </c>
    </row>
    <row r="18">
      <c r="B18" s="9" t="inlineStr">
        <is>
          <t>Seller transfer tax % of sale</t>
        </is>
      </c>
      <c r="C18" s="26">
        <f>IF(IFERROR(INDEX(Regions!$M$5:$M$400,MATCH(Location!$C$4,Regions!$A$5:$A$400,0))&lt;&gt;"",FALSE),INDEX(Regions!$M$5:$M$400,MATCH(Location!$C$4,Regions!$A$5:$A$400,0)),IF(IFERROR(INDEX(Regions!$M$5:$M$400,MATCH(Location!$C$5,Regions!$A$5:$A$400,0))&lt;&gt;"",FALSE),INDEX(Regions!$M$5:$M$400,MATCH(Location!$C$5,Regions!$A$5:$A$400,0)),IF(IFERROR(INDEX(Regions!$M$5:$M$400,MATCH(Location!$C$6,Regions!$A$5:$A$400,0))&lt;&gt;"",FALSE),INDEX(Regions!$M$5:$M$400,MATCH(Location!$C$6,Regions!$A$5:$A$400,0)),INDEX(Regions!$M$5:$M$400,MATCH("US",Regions!$A$5:$A$400,0)))))</f>
        <v/>
      </c>
      <c r="D18" s="2">
        <f>IF(IFERROR(INDEX(Regions!$M$5:$M$400,MATCH(Location!$C$4,Regions!$A$5:$A$400,0))&lt;&gt;"",FALSE),"City",IF(IFERROR(INDEX(Regions!$M$5:$M$400,MATCH(Location!$C$5,Regions!$A$5:$A$400,0))&lt;&gt;"",FALSE),"County",IF(IFERROR(INDEX(Regions!$M$5:$M$400,MATCH(Location!$C$6,Regions!$A$5:$A$400,0))&lt;&gt;"",FALSE),"State","National")))</f>
        <v/>
      </c>
    </row>
    <row r="19">
      <c r="B19" s="9" t="inlineStr">
        <is>
          <t>Land carry % of land / yr (tax + insurance)</t>
        </is>
      </c>
      <c r="C19" s="23">
        <f>IF(IFERROR(INDEX(Regions!$N$5:$N$400,MATCH(Location!$C$4,Regions!$A$5:$A$400,0))&lt;&gt;"",FALSE),INDEX(Regions!$N$5:$N$400,MATCH(Location!$C$4,Regions!$A$5:$A$400,0)),IF(IFERROR(INDEX(Regions!$N$5:$N$400,MATCH(Location!$C$5,Regions!$A$5:$A$400,0))&lt;&gt;"",FALSE),INDEX(Regions!$N$5:$N$400,MATCH(Location!$C$5,Regions!$A$5:$A$400,0)),IF(IFERROR(INDEX(Regions!$N$5:$N$400,MATCH(Location!$C$6,Regions!$A$5:$A$400,0))&lt;&gt;"",FALSE),INDEX(Regions!$N$5:$N$400,MATCH(Location!$C$6,Regions!$A$5:$A$400,0)),INDEX(Regions!$N$5:$N$400,MATCH("US",Regions!$A$5:$A$400,0)))))</f>
        <v/>
      </c>
      <c r="D19" s="2">
        <f>IF(IFERROR(INDEX(Regions!$N$5:$N$400,MATCH(Location!$C$4,Regions!$A$5:$A$400,0))&lt;&gt;"",FALSE),"City",IF(IFERROR(INDEX(Regions!$N$5:$N$400,MATCH(Location!$C$5,Regions!$A$5:$A$400,0))&lt;&gt;"",FALSE),"County",IF(IFERROR(INDEX(Regions!$N$5:$N$400,MATCH(Location!$C$6,Regions!$A$5:$A$400,0))&lt;&gt;"",FALSE),"State","National")))</f>
        <v/>
      </c>
    </row>
    <row r="20">
      <c r="B20" s="9" t="inlineStr">
        <is>
          <t>Ag/open-space conversion penalty % of land price</t>
        </is>
      </c>
      <c r="C20" s="23">
        <f>IF(IFERROR(INDEX(Regions!$O$5:$O$400,MATCH(Location!$C$4,Regions!$A$5:$A$400,0))&lt;&gt;"",FALSE),INDEX(Regions!$O$5:$O$400,MATCH(Location!$C$4,Regions!$A$5:$A$400,0)),IF(IFERROR(INDEX(Regions!$O$5:$O$400,MATCH(Location!$C$5,Regions!$A$5:$A$400,0))&lt;&gt;"",FALSE),INDEX(Regions!$O$5:$O$400,MATCH(Location!$C$5,Regions!$A$5:$A$400,0)),IF(IFERROR(INDEX(Regions!$O$5:$O$400,MATCH(Location!$C$6,Regions!$A$5:$A$400,0))&lt;&gt;"",FALSE),INDEX(Regions!$O$5:$O$400,MATCH(Location!$C$6,Regions!$A$5:$A$400,0)),INDEX(Regions!$O$5:$O$400,MATCH("US",Regions!$A$5:$A$400,0)))))</f>
        <v/>
      </c>
      <c r="D20" s="2">
        <f>IF(IFERROR(INDEX(Regions!$O$5:$O$400,MATCH(Location!$C$4,Regions!$A$5:$A$400,0))&lt;&gt;"",FALSE),"City",IF(IFERROR(INDEX(Regions!$O$5:$O$400,MATCH(Location!$C$5,Regions!$A$5:$A$400,0))&lt;&gt;"",FALSE),"County",IF(IFERROR(INDEX(Regions!$O$5:$O$400,MATCH(Location!$C$6,Regions!$A$5:$A$400,0))&lt;&gt;"",FALSE),"State","National")))</f>
        <v/>
      </c>
    </row>
    <row r="21">
      <c r="B21" s="9" t="inlineStr">
        <is>
          <t>Impact / capital recovery fees $ per dwelling</t>
        </is>
      </c>
      <c r="C21" s="20">
        <f>IF(IFERROR(INDEX(Regions!$P$5:$P$400,MATCH(Location!$C$4,Regions!$A$5:$A$400,0))&lt;&gt;"",FALSE),INDEX(Regions!$P$5:$P$400,MATCH(Location!$C$4,Regions!$A$5:$A$400,0)),IF(IFERROR(INDEX(Regions!$P$5:$P$400,MATCH(Location!$C$5,Regions!$A$5:$A$400,0))&lt;&gt;"",FALSE),INDEX(Regions!$P$5:$P$400,MATCH(Location!$C$5,Regions!$A$5:$A$400,0)),IF(IFERROR(INDEX(Regions!$P$5:$P$400,MATCH(Location!$C$6,Regions!$A$5:$A$400,0))&lt;&gt;"",FALSE),INDEX(Regions!$P$5:$P$400,MATCH(Location!$C$6,Regions!$A$5:$A$400,0)),INDEX(Regions!$P$5:$P$400,MATCH("US",Regions!$A$5:$A$400,0)))))</f>
        <v/>
      </c>
      <c r="D21" s="2">
        <f>IF(IFERROR(INDEX(Regions!$P$5:$P$400,MATCH(Location!$C$4,Regions!$A$5:$A$400,0))&lt;&gt;"",FALSE),"City",IF(IFERROR(INDEX(Regions!$P$5:$P$400,MATCH(Location!$C$5,Regions!$A$5:$A$400,0))&lt;&gt;"",FALSE),"County",IF(IFERROR(INDEX(Regions!$P$5:$P$400,MATCH(Location!$C$6,Regions!$A$5:$A$400,0))&lt;&gt;"",FALSE),"State","National")))</f>
        <v/>
      </c>
    </row>
    <row r="22">
      <c r="B22" s="9" t="inlineStr">
        <is>
          <t>Cities zone (Y/N)</t>
        </is>
      </c>
      <c r="C22" s="9">
        <f>IF(IFERROR(INDEX(Regions!$Q$5:$Q$400,MATCH(Location!$C$4,Regions!$A$5:$A$400,0))&lt;&gt;"",FALSE),INDEX(Regions!$Q$5:$Q$400,MATCH(Location!$C$4,Regions!$A$5:$A$400,0)),IF(IFERROR(INDEX(Regions!$Q$5:$Q$400,MATCH(Location!$C$5,Regions!$A$5:$A$400,0))&lt;&gt;"",FALSE),INDEX(Regions!$Q$5:$Q$400,MATCH(Location!$C$5,Regions!$A$5:$A$400,0)),IF(IFERROR(INDEX(Regions!$Q$5:$Q$400,MATCH(Location!$C$6,Regions!$A$5:$A$400,0))&lt;&gt;"",FALSE),INDEX(Regions!$Q$5:$Q$400,MATCH(Location!$C$6,Regions!$A$5:$A$400,0)),INDEX(Regions!$Q$5:$Q$400,MATCH("US",Regions!$A$5:$A$400,0)))))</f>
        <v/>
      </c>
      <c r="D22" s="2">
        <f>IF(IFERROR(INDEX(Regions!$Q$5:$Q$400,MATCH(Location!$C$4,Regions!$A$5:$A$400,0))&lt;&gt;"",FALSE),"City",IF(IFERROR(INDEX(Regions!$Q$5:$Q$400,MATCH(Location!$C$5,Regions!$A$5:$A$400,0))&lt;&gt;"",FALSE),"County",IF(IFERROR(INDEX(Regions!$Q$5:$Q$400,MATCH(Location!$C$6,Regions!$A$5:$A$400,0))&lt;&gt;"",FALSE),"State","National")))</f>
        <v/>
      </c>
    </row>
    <row r="23">
      <c r="B23" s="9" t="inlineStr">
        <is>
          <t>ETJ / extraterritorial zoning (Y/N)</t>
        </is>
      </c>
      <c r="C23" s="9">
        <f>IF(IFERROR(INDEX(Regions!$R$5:$R$400,MATCH(Location!$C$4,Regions!$A$5:$A$400,0))&lt;&gt;"",FALSE),INDEX(Regions!$R$5:$R$400,MATCH(Location!$C$4,Regions!$A$5:$A$400,0)),IF(IFERROR(INDEX(Regions!$R$5:$R$400,MATCH(Location!$C$5,Regions!$A$5:$A$400,0))&lt;&gt;"",FALSE),INDEX(Regions!$R$5:$R$400,MATCH(Location!$C$5,Regions!$A$5:$A$400,0)),IF(IFERROR(INDEX(Regions!$R$5:$R$400,MATCH(Location!$C$6,Regions!$A$5:$A$400,0))&lt;&gt;"",FALSE),INDEX(Regions!$R$5:$R$400,MATCH(Location!$C$6,Regions!$A$5:$A$400,0)),INDEX(Regions!$R$5:$R$400,MATCH("US",Regions!$A$5:$A$400,0)))))</f>
        <v/>
      </c>
      <c r="D23" s="2">
        <f>IF(IFERROR(INDEX(Regions!$R$5:$R$400,MATCH(Location!$C$4,Regions!$A$5:$A$400,0))&lt;&gt;"",FALSE),"City",IF(IFERROR(INDEX(Regions!$R$5:$R$400,MATCH(Location!$C$5,Regions!$A$5:$A$400,0))&lt;&gt;"",FALSE),"County",IF(IFERROR(INDEX(Regions!$R$5:$R$400,MATCH(Location!$C$6,Regions!$A$5:$A$400,0))&lt;&gt;"",FALSE),"State","National")))</f>
        <v/>
      </c>
    </row>
    <row r="24">
      <c r="B24" s="9" t="inlineStr">
        <is>
          <t>Counties zone unincorporated land (Y/N)</t>
        </is>
      </c>
      <c r="C24" s="9">
        <f>IF(IFERROR(INDEX(Regions!$S$5:$S$400,MATCH(Location!$C$4,Regions!$A$5:$A$400,0))&lt;&gt;"",FALSE),INDEX(Regions!$S$5:$S$400,MATCH(Location!$C$4,Regions!$A$5:$A$400,0)),IF(IFERROR(INDEX(Regions!$S$5:$S$400,MATCH(Location!$C$5,Regions!$A$5:$A$400,0))&lt;&gt;"",FALSE),INDEX(Regions!$S$5:$S$400,MATCH(Location!$C$5,Regions!$A$5:$A$400,0)),IF(IFERROR(INDEX(Regions!$S$5:$S$400,MATCH(Location!$C$6,Regions!$A$5:$A$400,0))&lt;&gt;"",FALSE),INDEX(Regions!$S$5:$S$400,MATCH(Location!$C$6,Regions!$A$5:$A$400,0)),INDEX(Regions!$S$5:$S$400,MATCH("US",Regions!$A$5:$A$400,0)))))</f>
        <v/>
      </c>
      <c r="D24" s="2">
        <f>IF(IFERROR(INDEX(Regions!$S$5:$S$400,MATCH(Location!$C$4,Regions!$A$5:$A$400,0))&lt;&gt;"",FALSE),"City",IF(IFERROR(INDEX(Regions!$S$5:$S$400,MATCH(Location!$C$5,Regions!$A$5:$A$400,0))&lt;&gt;"",FALSE),"County",IF(IFERROR(INDEX(Regions!$S$5:$S$400,MATCH(Location!$C$6,Regions!$A$5:$A$400,0))&lt;&gt;"",FALSE),"State","National")))</f>
        <v/>
      </c>
    </row>
    <row r="25">
      <c r="B25" s="9" t="inlineStr">
        <is>
          <t>Min septic lot, public water (ac)</t>
        </is>
      </c>
      <c r="C25" s="16">
        <f>IF(IFERROR(INDEX(Regions!$T$5:$T$400,MATCH(Location!$C$4,Regions!$A$5:$A$400,0))&lt;&gt;"",FALSE),INDEX(Regions!$T$5:$T$400,MATCH(Location!$C$4,Regions!$A$5:$A$400,0)),IF(IFERROR(INDEX(Regions!$T$5:$T$400,MATCH(Location!$C$5,Regions!$A$5:$A$400,0))&lt;&gt;"",FALSE),INDEX(Regions!$T$5:$T$400,MATCH(Location!$C$5,Regions!$A$5:$A$400,0)),IF(IFERROR(INDEX(Regions!$T$5:$T$400,MATCH(Location!$C$6,Regions!$A$5:$A$400,0))&lt;&gt;"",FALSE),INDEX(Regions!$T$5:$T$400,MATCH(Location!$C$6,Regions!$A$5:$A$400,0)),INDEX(Regions!$T$5:$T$400,MATCH("US",Regions!$A$5:$A$400,0)))))</f>
        <v/>
      </c>
      <c r="D25" s="2">
        <f>IF(IFERROR(INDEX(Regions!$T$5:$T$400,MATCH(Location!$C$4,Regions!$A$5:$A$400,0))&lt;&gt;"",FALSE),"City",IF(IFERROR(INDEX(Regions!$T$5:$T$400,MATCH(Location!$C$5,Regions!$A$5:$A$400,0))&lt;&gt;"",FALSE),"County",IF(IFERROR(INDEX(Regions!$T$5:$T$400,MATCH(Location!$C$6,Regions!$A$5:$A$400,0))&lt;&gt;"",FALSE),"State","National")))</f>
        <v/>
      </c>
    </row>
    <row r="26">
      <c r="B26" s="9" t="inlineStr">
        <is>
          <t>Min septic lot, private well (ac)</t>
        </is>
      </c>
      <c r="C26" s="16">
        <f>IF(IFERROR(INDEX(Regions!$U$5:$U$400,MATCH(Location!$C$4,Regions!$A$5:$A$400,0))&lt;&gt;"",FALSE),INDEX(Regions!$U$5:$U$400,MATCH(Location!$C$4,Regions!$A$5:$A$400,0)),IF(IFERROR(INDEX(Regions!$U$5:$U$400,MATCH(Location!$C$5,Regions!$A$5:$A$400,0))&lt;&gt;"",FALSE),INDEX(Regions!$U$5:$U$400,MATCH(Location!$C$5,Regions!$A$5:$A$400,0)),IF(IFERROR(INDEX(Regions!$U$5:$U$400,MATCH(Location!$C$6,Regions!$A$5:$A$400,0))&lt;&gt;"",FALSE),INDEX(Regions!$U$5:$U$400,MATCH(Location!$C$6,Regions!$A$5:$A$400,0)),INDEX(Regions!$U$5:$U$400,MATCH("US",Regions!$A$5:$A$400,0)))))</f>
        <v/>
      </c>
      <c r="D26" s="2">
        <f>IF(IFERROR(INDEX(Regions!$U$5:$U$400,MATCH(Location!$C$4,Regions!$A$5:$A$400,0))&lt;&gt;"",FALSE),"City",IF(IFERROR(INDEX(Regions!$U$5:$U$400,MATCH(Location!$C$5,Regions!$A$5:$A$400,0))&lt;&gt;"",FALSE),"County",IF(IFERROR(INDEX(Regions!$U$5:$U$400,MATCH(Location!$C$6,Regions!$A$5:$A$400,0))&lt;&gt;"",FALSE),"State","National")))</f>
        <v/>
      </c>
    </row>
    <row r="27">
      <c r="B27" s="9" t="inlineStr">
        <is>
          <t>On-site septic capacity, gal/day per usable acre (good soil)</t>
        </is>
      </c>
      <c r="C27" s="15">
        <f>IF(IFERROR(INDEX(Regions!$V$5:$V$400,MATCH(Location!$C$4,Regions!$A$5:$A$400,0))&lt;&gt;"",FALSE),INDEX(Regions!$V$5:$V$400,MATCH(Location!$C$4,Regions!$A$5:$A$400,0)),IF(IFERROR(INDEX(Regions!$V$5:$V$400,MATCH(Location!$C$5,Regions!$A$5:$A$400,0))&lt;&gt;"",FALSE),INDEX(Regions!$V$5:$V$400,MATCH(Location!$C$5,Regions!$A$5:$A$400,0)),IF(IFERROR(INDEX(Regions!$V$5:$V$400,MATCH(Location!$C$6,Regions!$A$5:$A$400,0))&lt;&gt;"",FALSE),INDEX(Regions!$V$5:$V$400,MATCH(Location!$C$6,Regions!$A$5:$A$400,0)),INDEX(Regions!$V$5:$V$400,MATCH("US",Regions!$A$5:$A$400,0)))))</f>
        <v/>
      </c>
      <c r="D27" s="2">
        <f>IF(IFERROR(INDEX(Regions!$V$5:$V$400,MATCH(Location!$C$4,Regions!$A$5:$A$400,0))&lt;&gt;"",FALSE),"City",IF(IFERROR(INDEX(Regions!$V$5:$V$400,MATCH(Location!$C$5,Regions!$A$5:$A$400,0))&lt;&gt;"",FALSE),"County",IF(IFERROR(INDEX(Regions!$V$5:$V$400,MATCH(Location!$C$6,Regions!$A$5:$A$400,0))&lt;&gt;"",FALSE),"State","National")))</f>
        <v/>
      </c>
    </row>
    <row r="28">
      <c r="B28" s="9" t="inlineStr">
        <is>
          <t>Wastewater flow needing a state permit (gal/day)</t>
        </is>
      </c>
      <c r="C28" s="15">
        <f>IF(IFERROR(INDEX(Regions!$W$5:$W$400,MATCH(Location!$C$4,Regions!$A$5:$A$400,0))&lt;&gt;"",FALSE),INDEX(Regions!$W$5:$W$400,MATCH(Location!$C$4,Regions!$A$5:$A$400,0)),IF(IFERROR(INDEX(Regions!$W$5:$W$400,MATCH(Location!$C$5,Regions!$A$5:$A$400,0))&lt;&gt;"",FALSE),INDEX(Regions!$W$5:$W$400,MATCH(Location!$C$5,Regions!$A$5:$A$400,0)),IF(IFERROR(INDEX(Regions!$W$5:$W$400,MATCH(Location!$C$6,Regions!$A$5:$A$400,0))&lt;&gt;"",FALSE),INDEX(Regions!$W$5:$W$400,MATCH(Location!$C$6,Regions!$A$5:$A$400,0)),INDEX(Regions!$W$5:$W$400,MATCH("US",Regions!$A$5:$A$400,0)))))</f>
        <v/>
      </c>
      <c r="D28" s="2">
        <f>IF(IFERROR(INDEX(Regions!$W$5:$W$400,MATCH(Location!$C$4,Regions!$A$5:$A$400,0))&lt;&gt;"",FALSE),"City",IF(IFERROR(INDEX(Regions!$W$5:$W$400,MATCH(Location!$C$5,Regions!$A$5:$A$400,0))&lt;&gt;"",FALSE),"County",IF(IFERROR(INDEX(Regions!$W$5:$W$400,MATCH(Location!$C$6,Regions!$A$5:$A$400,0))&lt;&gt;"",FALSE),"State","National")))</f>
        <v/>
      </c>
    </row>
    <row r="29">
      <c r="B29" s="9" t="inlineStr">
        <is>
          <t>State wastewater permit months</t>
        </is>
      </c>
      <c r="C29" s="16">
        <f>IF(IFERROR(INDEX(Regions!$X$5:$X$400,MATCH(Location!$C$4,Regions!$A$5:$A$400,0))&lt;&gt;"",FALSE),INDEX(Regions!$X$5:$X$400,MATCH(Location!$C$4,Regions!$A$5:$A$400,0)),IF(IFERROR(INDEX(Regions!$X$5:$X$400,MATCH(Location!$C$5,Regions!$A$5:$A$400,0))&lt;&gt;"",FALSE),INDEX(Regions!$X$5:$X$400,MATCH(Location!$C$5,Regions!$A$5:$A$400,0)),IF(IFERROR(INDEX(Regions!$X$5:$X$400,MATCH(Location!$C$6,Regions!$A$5:$A$400,0))&lt;&gt;"",FALSE),INDEX(Regions!$X$5:$X$400,MATCH(Location!$C$6,Regions!$A$5:$A$400,0)),INDEX(Regions!$X$5:$X$400,MATCH("US",Regions!$A$5:$A$400,0)))))</f>
        <v/>
      </c>
      <c r="D29" s="2">
        <f>IF(IFERROR(INDEX(Regions!$X$5:$X$400,MATCH(Location!$C$4,Regions!$A$5:$A$400,0))&lt;&gt;"",FALSE),"City",IF(IFERROR(INDEX(Regions!$X$5:$X$400,MATCH(Location!$C$5,Regions!$A$5:$A$400,0))&lt;&gt;"",FALSE),"County",IF(IFERROR(INDEX(Regions!$X$5:$X$400,MATCH(Location!$C$6,Regions!$A$5:$A$400,0))&lt;&gt;"",FALSE),"State","National")))</f>
        <v/>
      </c>
    </row>
    <row r="30">
      <c r="B30" s="9" t="inlineStr">
        <is>
          <t>Connections that make a public water system</t>
        </is>
      </c>
      <c r="C30" s="16">
        <f>IF(IFERROR(INDEX(Regions!$Y$5:$Y$400,MATCH(Location!$C$4,Regions!$A$5:$A$400,0))&lt;&gt;"",FALSE),INDEX(Regions!$Y$5:$Y$400,MATCH(Location!$C$4,Regions!$A$5:$A$400,0)),IF(IFERROR(INDEX(Regions!$Y$5:$Y$400,MATCH(Location!$C$5,Regions!$A$5:$A$400,0))&lt;&gt;"",FALSE),INDEX(Regions!$Y$5:$Y$400,MATCH(Location!$C$5,Regions!$A$5:$A$400,0)),IF(IFERROR(INDEX(Regions!$Y$5:$Y$400,MATCH(Location!$C$6,Regions!$A$5:$A$400,0))&lt;&gt;"",FALSE),INDEX(Regions!$Y$5:$Y$400,MATCH(Location!$C$6,Regions!$A$5:$A$400,0)),INDEX(Regions!$Y$5:$Y$400,MATCH("US",Regions!$A$5:$A$400,0)))))</f>
        <v/>
      </c>
      <c r="D30" s="2">
        <f>IF(IFERROR(INDEX(Regions!$Y$5:$Y$400,MATCH(Location!$C$4,Regions!$A$5:$A$400,0))&lt;&gt;"",FALSE),"City",IF(IFERROR(INDEX(Regions!$Y$5:$Y$400,MATCH(Location!$C$5,Regions!$A$5:$A$400,0))&lt;&gt;"",FALSE),"County",IF(IFERROR(INDEX(Regions!$Y$5:$Y$400,MATCH(Location!$C$6,Regions!$A$5:$A$400,0))&lt;&gt;"",FALSE),"State","National")))</f>
        <v/>
      </c>
    </row>
    <row r="31">
      <c r="B31" s="9" t="inlineStr">
        <is>
          <t>Rezoning cost $</t>
        </is>
      </c>
      <c r="C31" s="20">
        <f>IF(IFERROR(INDEX(Regions!$Z$5:$Z$400,MATCH(Location!$C$4,Regions!$A$5:$A$400,0))&lt;&gt;"",FALSE),INDEX(Regions!$Z$5:$Z$400,MATCH(Location!$C$4,Regions!$A$5:$A$400,0)),IF(IFERROR(INDEX(Regions!$Z$5:$Z$400,MATCH(Location!$C$5,Regions!$A$5:$A$400,0))&lt;&gt;"",FALSE),INDEX(Regions!$Z$5:$Z$400,MATCH(Location!$C$5,Regions!$A$5:$A$400,0)),IF(IFERROR(INDEX(Regions!$Z$5:$Z$400,MATCH(Location!$C$6,Regions!$A$5:$A$400,0))&lt;&gt;"",FALSE),INDEX(Regions!$Z$5:$Z$400,MATCH(Location!$C$6,Regions!$A$5:$A$400,0)),INDEX(Regions!$Z$5:$Z$400,MATCH("US",Regions!$A$5:$A$400,0)))))</f>
        <v/>
      </c>
      <c r="D31" s="2">
        <f>IF(IFERROR(INDEX(Regions!$Z$5:$Z$400,MATCH(Location!$C$4,Regions!$A$5:$A$400,0))&lt;&gt;"",FALSE),"City",IF(IFERROR(INDEX(Regions!$Z$5:$Z$400,MATCH(Location!$C$5,Regions!$A$5:$A$400,0))&lt;&gt;"",FALSE),"County",IF(IFERROR(INDEX(Regions!$Z$5:$Z$400,MATCH(Location!$C$6,Regions!$A$5:$A$400,0))&lt;&gt;"",FALSE),"State","National")))</f>
        <v/>
      </c>
    </row>
    <row r="32">
      <c r="B32" s="9" t="inlineStr">
        <is>
          <t>Rezoning months</t>
        </is>
      </c>
      <c r="C32" s="16">
        <f>IF(IFERROR(INDEX(Regions!$AA$5:$AA$400,MATCH(Location!$C$4,Regions!$A$5:$A$400,0))&lt;&gt;"",FALSE),INDEX(Regions!$AA$5:$AA$400,MATCH(Location!$C$4,Regions!$A$5:$A$400,0)),IF(IFERROR(INDEX(Regions!$AA$5:$AA$400,MATCH(Location!$C$5,Regions!$A$5:$A$400,0))&lt;&gt;"",FALSE),INDEX(Regions!$AA$5:$AA$400,MATCH(Location!$C$5,Regions!$A$5:$A$400,0)),IF(IFERROR(INDEX(Regions!$AA$5:$AA$400,MATCH(Location!$C$6,Regions!$A$5:$A$400,0))&lt;&gt;"",FALSE),INDEX(Regions!$AA$5:$AA$400,MATCH(Location!$C$6,Regions!$A$5:$A$400,0)),INDEX(Regions!$AA$5:$AA$400,MATCH("US",Regions!$A$5:$A$400,0)))))</f>
        <v/>
      </c>
      <c r="D32" s="2">
        <f>IF(IFERROR(INDEX(Regions!$AA$5:$AA$400,MATCH(Location!$C$4,Regions!$A$5:$A$400,0))&lt;&gt;"",FALSE),"City",IF(IFERROR(INDEX(Regions!$AA$5:$AA$400,MATCH(Location!$C$5,Regions!$A$5:$A$400,0))&lt;&gt;"",FALSE),"County",IF(IFERROR(INDEX(Regions!$AA$5:$AA$400,MATCH(Location!$C$6,Regions!$A$5:$A$400,0))&lt;&gt;"",FALSE),"State","National")))</f>
        <v/>
      </c>
    </row>
    <row r="34">
      <c r="B34" s="4" t="inlineStr">
        <is>
          <t>Location name</t>
        </is>
      </c>
      <c r="C34" s="9">
        <f>IF(Parcel!$C$8&lt;&gt;"",Parcel!$C$8&amp;", ","")&amp;Parcel!$C$7&amp;" County, "&amp;Parcel!$C$6&amp;"  (cost index from "&amp;LOWER(D9)&amp;" data)"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6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60" customWidth="1" min="61" max="61"/>
    <col width="50" customWidth="1" min="62" max="62"/>
  </cols>
  <sheetData>
    <row r="1">
      <c r="A1" s="1" t="inlineStr">
        <is>
          <t>Use Library</t>
        </is>
      </c>
    </row>
    <row r="2">
      <c r="A2" s="2" t="inlineStr">
        <is>
          <t>One row per use, at the REFERENCE BASIS (index 1.0 = Grayson County, TX). The engine localizes and learns through Use_Effective. Every economic value is a PLACEHOLDER.</t>
        </is>
      </c>
    </row>
    <row r="4" ht="75" customHeight="1">
      <c r="A4" s="8" t="inlineStr">
        <is>
          <t>Use</t>
        </is>
      </c>
      <c r="B4" s="8" t="inlineStr">
        <is>
          <t>Category</t>
        </is>
      </c>
      <c r="C4" s="8" t="inlineStr">
        <is>
          <t>Engine</t>
        </is>
      </c>
      <c r="D4" s="8" t="inlineStr">
        <is>
          <t>Capacity unit</t>
        </is>
      </c>
      <c r="E4" s="8" t="inlineStr">
        <is>
          <t>Discrete units (Y/N)</t>
        </is>
      </c>
      <c r="F4" s="8" t="inlineStr">
        <is>
          <t>Zoning class (see Lookups)</t>
        </is>
      </c>
      <c r="G4" s="8" t="inlineStr">
        <is>
          <t>Max density (units / net ac; 0 = n/a)</t>
        </is>
      </c>
      <c r="H4" s="8" t="inlineStr">
        <is>
          <t>Site SF per unit (0 = n/a)</t>
        </is>
      </c>
      <c r="I4" s="8" t="inlineStr">
        <is>
          <t>Min lot size, gross ac per unit (0 = n/a)</t>
        </is>
      </c>
      <c r="J4" s="8" t="inlineStr">
        <is>
          <t>Road frontage LF per unit (0 = n/a)</t>
        </is>
      </c>
      <c r="K4" s="8" t="inlineStr">
        <is>
          <t>Subdivided lots: septic min-lot rule applies (Y/N)</t>
        </is>
      </c>
      <c r="L4" s="8" t="inlineStr">
        <is>
          <t>Min usable acres needed (0 = none)</t>
        </is>
      </c>
      <c r="M4" s="8" t="inlineStr">
        <is>
          <t>Max usable acres market supports (0 = no cap)</t>
        </is>
      </c>
      <c r="N4" s="8" t="inlineStr">
        <is>
          <t>Open space % of net</t>
        </is>
      </c>
      <c r="O4" s="8" t="inlineStr">
        <is>
          <t>Demand per household in trade area (capacity units / HH; 0 = no cap)</t>
        </is>
      </c>
      <c r="P4" s="8" t="inlineStr">
        <is>
          <t>Trade area (3 or 10 mi)</t>
        </is>
      </c>
      <c r="Q4" s="8" t="inlineStr">
        <is>
          <t>Share of trade-area demand we capture</t>
        </is>
      </c>
      <c r="R4" s="8" t="inlineStr">
        <is>
          <t>Absorption: units sold (For-Sale) or leased (Income) per month; 0 = use lease-up months</t>
        </is>
      </c>
      <c r="S4" s="8" t="inlineStr">
        <is>
          <t>Exit 1 sell-out pace: lots (For-Sale) or acres (other) per month; 0 = single sale</t>
        </is>
      </c>
      <c r="T4" s="8" t="inlineStr">
        <is>
          <t>Requires public sewer (Y/N)</t>
        </is>
      </c>
      <c r="U4" s="8" t="inlineStr">
        <is>
          <t>Requires public water (Y/N)</t>
        </is>
      </c>
      <c r="V4" s="8" t="inlineStr">
        <is>
          <t>Utility taps / connections per unit</t>
        </is>
      </c>
      <c r="W4" s="8" t="inlineStr">
        <is>
          <t>Septic systems per unit (if no sewer)</t>
        </is>
      </c>
      <c r="X4" s="8" t="inlineStr">
        <is>
          <t>Private wells per unit (if no public water and below public-water-system threshold)</t>
        </is>
      </c>
      <c r="Y4" s="8" t="inlineStr">
        <is>
          <t>Wastewater gallons per day per unit</t>
        </is>
      </c>
      <c r="Z4" s="8" t="inlineStr">
        <is>
          <t>Horizontal work by us (Y/N)</t>
        </is>
      </c>
      <c r="AA4" s="8" t="inlineStr">
        <is>
          <t>Share of developed acres cleared / graded</t>
        </is>
      </c>
      <c r="AB4" s="8" t="inlineStr">
        <is>
          <t>Detention required (Y/N)</t>
        </is>
      </c>
      <c r="AC4" s="8" t="inlineStr">
        <is>
          <t>Road / drive LF per unit</t>
        </is>
      </c>
      <c r="AD4" s="8" t="inlineStr">
        <is>
          <t>Paving SF per unit</t>
        </is>
      </c>
      <c r="AE4" s="8" t="inlineStr">
        <is>
          <t>Entitlement &amp; zoning $ (fixed, reference basis)</t>
        </is>
      </c>
      <c r="AF4" s="8" t="inlineStr">
        <is>
          <t>Vertical cost per unit</t>
        </is>
      </c>
      <c r="AG4" s="8" t="inlineStr">
        <is>
          <t>TI + leasing commissions per unit</t>
        </is>
      </c>
      <c r="AH4" s="8" t="inlineStr">
        <is>
          <t>Development months</t>
        </is>
      </c>
      <c r="AI4" s="8" t="inlineStr">
        <is>
          <t>Lot sale price per unit (For-Sale)</t>
        </is>
      </c>
      <c r="AJ4" s="8" t="inlineStr">
        <is>
          <t>Finished sale price per unit (For-Sale)</t>
        </is>
      </c>
      <c r="AK4" s="8" t="inlineStr">
        <is>
          <t>Rent per unit per year (Income)</t>
        </is>
      </c>
      <c r="AL4" s="8" t="inlineStr">
        <is>
          <t>Other income % of rent</t>
        </is>
      </c>
      <c r="AM4" s="8" t="inlineStr">
        <is>
          <t>Stabilized vacancy (or 1 - occupancy for nightly uses)</t>
        </is>
      </c>
      <c r="AN4" s="8" t="inlineStr">
        <is>
          <t>Opex per unit per year, excl. tax</t>
        </is>
      </c>
      <c r="AO4" s="8" t="inlineStr">
        <is>
          <t>Management % of EGI</t>
        </is>
      </c>
      <c r="AP4" s="8" t="inlineStr">
        <is>
          <t>Expense recovery % (NNN)</t>
        </is>
      </c>
      <c r="AQ4" s="8" t="inlineStr">
        <is>
          <t>Minimum lease-up months</t>
        </is>
      </c>
      <c r="AR4" s="8" t="inlineStr">
        <is>
          <t>Exit / lease cap rate (reference basis)</t>
        </is>
      </c>
      <c r="AS4" s="8" t="inlineStr">
        <is>
          <t>Land / pad sale price per acre (For-Sale: per gross lot acre, added to lot price)</t>
        </is>
      </c>
      <c r="AT4" s="8" t="inlineStr">
        <is>
          <t>Ground / land lease rent per acre per year</t>
        </is>
      </c>
      <c r="AU4" s="8" t="inlineStr">
        <is>
          <t>Required margin (first 12 months)</t>
        </is>
      </c>
      <c r="AV4" s="8" t="inlineStr">
        <is>
          <t>Exit allowed: Land / pad sale (1/0)</t>
        </is>
      </c>
      <c r="AW4" s="8" t="inlineStr">
        <is>
          <t>Exit allowed: Build &amp; sell (1/0)</t>
        </is>
      </c>
      <c r="AX4" s="8" t="inlineStr">
        <is>
          <t>Exit allowed: Build &amp; hold / lease (1/0)</t>
        </is>
      </c>
      <c r="AY4" s="8" t="inlineStr">
        <is>
          <t>Min road frontage LF</t>
        </is>
      </c>
      <c r="AZ4" s="8" t="inlineStr">
        <is>
          <t>Frontage minimum is a hard gate (Y/N)</t>
        </is>
      </c>
      <c r="BA4" s="8" t="inlineStr">
        <is>
          <t>Needs public road access (Y/N)</t>
        </is>
      </c>
      <c r="BB4" s="8" t="inlineStr">
        <is>
          <t>Min traffic count on frontage (VPD; 0 = none)</t>
        </is>
      </c>
      <c r="BC4" s="8" t="inlineStr">
        <is>
          <t>Min households within 3 mi (0 = none)</t>
        </is>
      </c>
      <c r="BD4" s="8" t="inlineStr">
        <is>
          <t>Max miles to highway interchange (0 = none)</t>
        </is>
      </c>
      <c r="BE4" s="8" t="inlineStr">
        <is>
          <t>Corner lot required (Y/N)</t>
        </is>
      </c>
      <c r="BF4" s="8" t="inlineStr">
        <is>
          <t>Max miles to substation w/ capacity (0 = none)</t>
        </is>
      </c>
      <c r="BG4" s="8" t="inlineStr">
        <is>
          <t>Max miles to major employer / anchor (0 = none)</t>
        </is>
      </c>
      <c r="BH4" s="8" t="inlineStr">
        <is>
          <t>Location notes fully machine-tested (Y/N)</t>
        </is>
      </c>
      <c r="BI4" s="8" t="inlineStr">
        <is>
          <t>Location requirements (land-search filters)</t>
        </is>
      </c>
      <c r="BJ4" s="8" t="inlineStr">
        <is>
          <t>Notes</t>
        </is>
      </c>
    </row>
    <row r="5">
      <c r="A5" s="4" t="inlineStr">
        <is>
          <t>Homesites (stick-built, for sale)</t>
        </is>
      </c>
      <c r="B5" s="9" t="inlineStr">
        <is>
          <t>Housing</t>
        </is>
      </c>
      <c r="C5" s="6" t="inlineStr">
        <is>
          <t>For-Sale</t>
        </is>
      </c>
      <c r="D5" s="6" t="inlineStr">
        <is>
          <t>lot / home</t>
        </is>
      </c>
      <c r="E5" s="6" t="inlineStr">
        <is>
          <t>Y</t>
        </is>
      </c>
      <c r="F5" s="6" t="inlineStr">
        <is>
          <t>RES-SF</t>
        </is>
      </c>
      <c r="G5" s="33" t="n">
        <v>4</v>
      </c>
      <c r="H5" s="34" t="n">
        <v>0</v>
      </c>
      <c r="I5" s="33" t="n">
        <v>0</v>
      </c>
      <c r="J5" s="6" t="n">
        <v>0</v>
      </c>
      <c r="K5" s="6" t="inlineStr">
        <is>
          <t>Y</t>
        </is>
      </c>
      <c r="L5" s="33" t="n">
        <v>0</v>
      </c>
      <c r="M5" s="33" t="n">
        <v>0</v>
      </c>
      <c r="N5" s="11" t="n">
        <v>0.05</v>
      </c>
      <c r="O5" s="34" t="n">
        <v>0</v>
      </c>
      <c r="P5" s="6" t="n">
        <v>3</v>
      </c>
      <c r="Q5" s="11" t="n">
        <v>0</v>
      </c>
      <c r="R5" s="33" t="n">
        <v>3</v>
      </c>
      <c r="S5" s="33" t="n">
        <v>4</v>
      </c>
      <c r="T5" s="6" t="inlineStr">
        <is>
          <t>N</t>
        </is>
      </c>
      <c r="U5" s="6" t="inlineStr">
        <is>
          <t>N</t>
        </is>
      </c>
      <c r="V5" s="34" t="n">
        <v>1</v>
      </c>
      <c r="W5" s="34" t="n">
        <v>1</v>
      </c>
      <c r="X5" s="34" t="n">
        <v>1</v>
      </c>
      <c r="Y5" s="34" t="n">
        <v>300</v>
      </c>
      <c r="Z5" s="6" t="inlineStr">
        <is>
          <t>Y</t>
        </is>
      </c>
      <c r="AA5" s="11" t="n">
        <v>1</v>
      </c>
      <c r="AB5" s="6" t="inlineStr">
        <is>
          <t>Y</t>
        </is>
      </c>
      <c r="AC5" s="34" t="n">
        <v>50</v>
      </c>
      <c r="AD5" s="34" t="n">
        <v>0</v>
      </c>
      <c r="AE5" s="13" t="n">
        <v>25000</v>
      </c>
      <c r="AF5" s="13" t="n">
        <v>245000</v>
      </c>
      <c r="AG5" s="13" t="n">
        <v>0</v>
      </c>
      <c r="AH5" s="6" t="n">
        <v>12</v>
      </c>
      <c r="AI5" s="13" t="n">
        <v>80000</v>
      </c>
      <c r="AJ5" s="13" t="n">
        <v>375000</v>
      </c>
      <c r="AK5" s="13" t="n">
        <v>0</v>
      </c>
      <c r="AL5" s="11" t="n">
        <v>0</v>
      </c>
      <c r="AM5" s="11" t="n">
        <v>0</v>
      </c>
      <c r="AN5" s="13" t="n">
        <v>0</v>
      </c>
      <c r="AO5" s="11" t="n">
        <v>0</v>
      </c>
      <c r="AP5" s="11" t="n">
        <v>0</v>
      </c>
      <c r="AQ5" s="6" t="n">
        <v>0</v>
      </c>
      <c r="AR5" s="11" t="n">
        <v>0.07000000000000001</v>
      </c>
      <c r="AS5" s="13" t="n">
        <v>0</v>
      </c>
      <c r="AT5" s="13" t="n">
        <v>0</v>
      </c>
      <c r="AU5" s="11" t="n">
        <v>0.15</v>
      </c>
      <c r="AV5" s="6" t="n">
        <v>1</v>
      </c>
      <c r="AW5" s="6" t="n">
        <v>1</v>
      </c>
      <c r="AX5" s="6" t="n">
        <v>0</v>
      </c>
      <c r="AY5" s="6" t="n">
        <v>60</v>
      </c>
      <c r="AZ5" s="6" t="inlineStr">
        <is>
          <t>N</t>
        </is>
      </c>
      <c r="BA5" s="6" t="inlineStr">
        <is>
          <t>Y</t>
        </is>
      </c>
      <c r="BB5" s="6" t="n">
        <v>0</v>
      </c>
      <c r="BC5" s="6" t="n">
        <v>0</v>
      </c>
      <c r="BD5" s="6" t="n">
        <v>0</v>
      </c>
      <c r="BE5" s="6" t="inlineStr">
        <is>
          <t>N</t>
        </is>
      </c>
      <c r="BF5" s="6" t="n">
        <v>0</v>
      </c>
      <c r="BG5" s="6" t="n">
        <v>0</v>
      </c>
      <c r="BH5" s="6" t="inlineStr">
        <is>
          <t>N</t>
        </is>
      </c>
      <c r="BI5" s="2" t="inlineStr">
        <is>
          <t>Within growth area; school district; &lt; 30 min to job centers; no deed restriction on lot size</t>
        </is>
      </c>
      <c r="BJ5" s="2" t="inlineStr">
        <is>
          <t>Placeholder values</t>
        </is>
      </c>
    </row>
    <row r="6">
      <c r="A6" s="4" t="inlineStr">
        <is>
          <t>Finished / entitled lots</t>
        </is>
      </c>
      <c r="B6" s="9" t="inlineStr">
        <is>
          <t>Housing</t>
        </is>
      </c>
      <c r="C6" s="6" t="inlineStr">
        <is>
          <t>For-Sale</t>
        </is>
      </c>
      <c r="D6" s="6" t="inlineStr">
        <is>
          <t>lot</t>
        </is>
      </c>
      <c r="E6" s="6" t="inlineStr">
        <is>
          <t>Y</t>
        </is>
      </c>
      <c r="F6" s="6" t="inlineStr">
        <is>
          <t>RES-SF</t>
        </is>
      </c>
      <c r="G6" s="33" t="n">
        <v>4</v>
      </c>
      <c r="H6" s="34" t="n">
        <v>0</v>
      </c>
      <c r="I6" s="33" t="n">
        <v>0</v>
      </c>
      <c r="J6" s="6" t="n">
        <v>0</v>
      </c>
      <c r="K6" s="6" t="inlineStr">
        <is>
          <t>Y</t>
        </is>
      </c>
      <c r="L6" s="33" t="n">
        <v>0</v>
      </c>
      <c r="M6" s="33" t="n">
        <v>0</v>
      </c>
      <c r="N6" s="11" t="n">
        <v>0.05</v>
      </c>
      <c r="O6" s="34" t="n">
        <v>0</v>
      </c>
      <c r="P6" s="6" t="n">
        <v>3</v>
      </c>
      <c r="Q6" s="11" t="n">
        <v>0</v>
      </c>
      <c r="R6" s="33" t="n">
        <v>3</v>
      </c>
      <c r="S6" s="33" t="n">
        <v>4</v>
      </c>
      <c r="T6" s="6" t="inlineStr">
        <is>
          <t>N</t>
        </is>
      </c>
      <c r="U6" s="6" t="inlineStr">
        <is>
          <t>N</t>
        </is>
      </c>
      <c r="V6" s="34" t="n">
        <v>1</v>
      </c>
      <c r="W6" s="34" t="n">
        <v>1</v>
      </c>
      <c r="X6" s="34" t="n">
        <v>1</v>
      </c>
      <c r="Y6" s="34" t="n">
        <v>300</v>
      </c>
      <c r="Z6" s="6" t="inlineStr">
        <is>
          <t>Y</t>
        </is>
      </c>
      <c r="AA6" s="11" t="n">
        <v>1</v>
      </c>
      <c r="AB6" s="6" t="inlineStr">
        <is>
          <t>Y</t>
        </is>
      </c>
      <c r="AC6" s="34" t="n">
        <v>50</v>
      </c>
      <c r="AD6" s="34" t="n">
        <v>0</v>
      </c>
      <c r="AE6" s="13" t="n">
        <v>25000</v>
      </c>
      <c r="AF6" s="13" t="n">
        <v>0</v>
      </c>
      <c r="AG6" s="13" t="n">
        <v>0</v>
      </c>
      <c r="AH6" s="6" t="n">
        <v>12</v>
      </c>
      <c r="AI6" s="13" t="n">
        <v>75000</v>
      </c>
      <c r="AJ6" s="13" t="n">
        <v>0</v>
      </c>
      <c r="AK6" s="13" t="n">
        <v>0</v>
      </c>
      <c r="AL6" s="11" t="n">
        <v>0</v>
      </c>
      <c r="AM6" s="11" t="n">
        <v>0</v>
      </c>
      <c r="AN6" s="13" t="n">
        <v>0</v>
      </c>
      <c r="AO6" s="11" t="n">
        <v>0</v>
      </c>
      <c r="AP6" s="11" t="n">
        <v>0</v>
      </c>
      <c r="AQ6" s="6" t="n">
        <v>0</v>
      </c>
      <c r="AR6" s="11" t="n">
        <v>0.07000000000000001</v>
      </c>
      <c r="AS6" s="13" t="n">
        <v>0</v>
      </c>
      <c r="AT6" s="13" t="n">
        <v>0</v>
      </c>
      <c r="AU6" s="11" t="n">
        <v>0.15</v>
      </c>
      <c r="AV6" s="6" t="n">
        <v>1</v>
      </c>
      <c r="AW6" s="6" t="n">
        <v>0</v>
      </c>
      <c r="AX6" s="6" t="n">
        <v>0</v>
      </c>
      <c r="AY6" s="6" t="n">
        <v>60</v>
      </c>
      <c r="AZ6" s="6" t="inlineStr">
        <is>
          <t>N</t>
        </is>
      </c>
      <c r="BA6" s="6" t="inlineStr">
        <is>
          <t>Y</t>
        </is>
      </c>
      <c r="BB6" s="6" t="n">
        <v>0</v>
      </c>
      <c r="BC6" s="6" t="n">
        <v>0</v>
      </c>
      <c r="BD6" s="6" t="n">
        <v>0</v>
      </c>
      <c r="BE6" s="6" t="inlineStr">
        <is>
          <t>N</t>
        </is>
      </c>
      <c r="BF6" s="6" t="n">
        <v>0</v>
      </c>
      <c r="BG6" s="6" t="n">
        <v>0</v>
      </c>
      <c r="BH6" s="6" t="inlineStr">
        <is>
          <t>N</t>
        </is>
      </c>
      <c r="BI6" s="2" t="inlineStr">
        <is>
          <t>Builder demand in submarket; utilities within reach; platting allowed</t>
        </is>
      </c>
      <c r="BJ6" s="2" t="inlineStr">
        <is>
          <t>Placeholder values</t>
        </is>
      </c>
    </row>
    <row r="7">
      <c r="A7" s="4" t="inlineStr">
        <is>
          <t>Active-adult 55+ (for sale)</t>
        </is>
      </c>
      <c r="B7" s="9" t="inlineStr">
        <is>
          <t>Housing</t>
        </is>
      </c>
      <c r="C7" s="6" t="inlineStr">
        <is>
          <t>For-Sale</t>
        </is>
      </c>
      <c r="D7" s="6" t="inlineStr">
        <is>
          <t>lot / home</t>
        </is>
      </c>
      <c r="E7" s="6" t="inlineStr">
        <is>
          <t>Y</t>
        </is>
      </c>
      <c r="F7" s="6" t="inlineStr">
        <is>
          <t>RES-SF</t>
        </is>
      </c>
      <c r="G7" s="33" t="n">
        <v>5</v>
      </c>
      <c r="H7" s="34" t="n">
        <v>0</v>
      </c>
      <c r="I7" s="33" t="n">
        <v>0</v>
      </c>
      <c r="J7" s="6" t="n">
        <v>0</v>
      </c>
      <c r="K7" s="6" t="inlineStr">
        <is>
          <t>Y</t>
        </is>
      </c>
      <c r="L7" s="33" t="n">
        <v>0</v>
      </c>
      <c r="M7" s="33" t="n">
        <v>0</v>
      </c>
      <c r="N7" s="11" t="n">
        <v>0.05</v>
      </c>
      <c r="O7" s="34" t="n">
        <v>0</v>
      </c>
      <c r="P7" s="6" t="n">
        <v>3</v>
      </c>
      <c r="Q7" s="11" t="n">
        <v>0</v>
      </c>
      <c r="R7" s="33" t="n">
        <v>2</v>
      </c>
      <c r="S7" s="33" t="n">
        <v>3</v>
      </c>
      <c r="T7" s="6" t="inlineStr">
        <is>
          <t>N</t>
        </is>
      </c>
      <c r="U7" s="6" t="inlineStr">
        <is>
          <t>N</t>
        </is>
      </c>
      <c r="V7" s="34" t="n">
        <v>1</v>
      </c>
      <c r="W7" s="34" t="n">
        <v>1</v>
      </c>
      <c r="X7" s="34" t="n">
        <v>1</v>
      </c>
      <c r="Y7" s="34" t="n">
        <v>300</v>
      </c>
      <c r="Z7" s="6" t="inlineStr">
        <is>
          <t>Y</t>
        </is>
      </c>
      <c r="AA7" s="11" t="n">
        <v>1</v>
      </c>
      <c r="AB7" s="6" t="inlineStr">
        <is>
          <t>Y</t>
        </is>
      </c>
      <c r="AC7" s="34" t="n">
        <v>45</v>
      </c>
      <c r="AD7" s="34" t="n">
        <v>0</v>
      </c>
      <c r="AE7" s="13" t="n">
        <v>25000</v>
      </c>
      <c r="AF7" s="13" t="n">
        <v>230000</v>
      </c>
      <c r="AG7" s="13" t="n">
        <v>0</v>
      </c>
      <c r="AH7" s="6" t="n">
        <v>12</v>
      </c>
      <c r="AI7" s="13" t="n">
        <v>70000</v>
      </c>
      <c r="AJ7" s="13" t="n">
        <v>360000</v>
      </c>
      <c r="AK7" s="13" t="n">
        <v>0</v>
      </c>
      <c r="AL7" s="11" t="n">
        <v>0</v>
      </c>
      <c r="AM7" s="11" t="n">
        <v>0</v>
      </c>
      <c r="AN7" s="13" t="n">
        <v>0</v>
      </c>
      <c r="AO7" s="11" t="n">
        <v>0</v>
      </c>
      <c r="AP7" s="11" t="n">
        <v>0</v>
      </c>
      <c r="AQ7" s="6" t="n">
        <v>0</v>
      </c>
      <c r="AR7" s="11" t="n">
        <v>0.07000000000000001</v>
      </c>
      <c r="AS7" s="13" t="n">
        <v>0</v>
      </c>
      <c r="AT7" s="13" t="n">
        <v>0</v>
      </c>
      <c r="AU7" s="11" t="n">
        <v>0.15</v>
      </c>
      <c r="AV7" s="6" t="n">
        <v>1</v>
      </c>
      <c r="AW7" s="6" t="n">
        <v>1</v>
      </c>
      <c r="AX7" s="6" t="n">
        <v>0</v>
      </c>
      <c r="AY7" s="6" t="n">
        <v>60</v>
      </c>
      <c r="AZ7" s="6" t="inlineStr">
        <is>
          <t>N</t>
        </is>
      </c>
      <c r="BA7" s="6" t="inlineStr">
        <is>
          <t>Y</t>
        </is>
      </c>
      <c r="BB7" s="6" t="n">
        <v>0</v>
      </c>
      <c r="BC7" s="6" t="n">
        <v>0</v>
      </c>
      <c r="BD7" s="6" t="n">
        <v>0</v>
      </c>
      <c r="BE7" s="6" t="inlineStr">
        <is>
          <t>N</t>
        </is>
      </c>
      <c r="BF7" s="6" t="n">
        <v>0</v>
      </c>
      <c r="BG7" s="6" t="n">
        <v>0</v>
      </c>
      <c r="BH7" s="6" t="inlineStr">
        <is>
          <t>N</t>
        </is>
      </c>
      <c r="BI7" s="2" t="inlineStr">
        <is>
          <t>Near healthcare, retail and lakes/golf; 60+ population growth</t>
        </is>
      </c>
      <c r="BJ7" s="2" t="inlineStr">
        <is>
          <t>Placeholder values</t>
        </is>
      </c>
    </row>
    <row r="8">
      <c r="A8" s="4" t="inlineStr">
        <is>
          <t>Entry-level for-sale homes</t>
        </is>
      </c>
      <c r="B8" s="9" t="inlineStr">
        <is>
          <t>Housing</t>
        </is>
      </c>
      <c r="C8" s="6" t="inlineStr">
        <is>
          <t>For-Sale</t>
        </is>
      </c>
      <c r="D8" s="6" t="inlineStr">
        <is>
          <t>lot / home</t>
        </is>
      </c>
      <c r="E8" s="6" t="inlineStr">
        <is>
          <t>Y</t>
        </is>
      </c>
      <c r="F8" s="6" t="inlineStr">
        <is>
          <t>RES-SF</t>
        </is>
      </c>
      <c r="G8" s="33" t="n">
        <v>5</v>
      </c>
      <c r="H8" s="34" t="n">
        <v>0</v>
      </c>
      <c r="I8" s="33" t="n">
        <v>0</v>
      </c>
      <c r="J8" s="6" t="n">
        <v>0</v>
      </c>
      <c r="K8" s="6" t="inlineStr">
        <is>
          <t>Y</t>
        </is>
      </c>
      <c r="L8" s="33" t="n">
        <v>0</v>
      </c>
      <c r="M8" s="33" t="n">
        <v>0</v>
      </c>
      <c r="N8" s="11" t="n">
        <v>0.05</v>
      </c>
      <c r="O8" s="34" t="n">
        <v>0</v>
      </c>
      <c r="P8" s="6" t="n">
        <v>3</v>
      </c>
      <c r="Q8" s="11" t="n">
        <v>0</v>
      </c>
      <c r="R8" s="33" t="n">
        <v>4</v>
      </c>
      <c r="S8" s="33" t="n">
        <v>5</v>
      </c>
      <c r="T8" s="6" t="inlineStr">
        <is>
          <t>N</t>
        </is>
      </c>
      <c r="U8" s="6" t="inlineStr">
        <is>
          <t>N</t>
        </is>
      </c>
      <c r="V8" s="34" t="n">
        <v>1</v>
      </c>
      <c r="W8" s="34" t="n">
        <v>1</v>
      </c>
      <c r="X8" s="34" t="n">
        <v>1</v>
      </c>
      <c r="Y8" s="34" t="n">
        <v>300</v>
      </c>
      <c r="Z8" s="6" t="inlineStr">
        <is>
          <t>Y</t>
        </is>
      </c>
      <c r="AA8" s="11" t="n">
        <v>1</v>
      </c>
      <c r="AB8" s="6" t="inlineStr">
        <is>
          <t>Y</t>
        </is>
      </c>
      <c r="AC8" s="34" t="n">
        <v>45</v>
      </c>
      <c r="AD8" s="34" t="n">
        <v>0</v>
      </c>
      <c r="AE8" s="13" t="n">
        <v>25000</v>
      </c>
      <c r="AF8" s="13" t="n">
        <v>210000</v>
      </c>
      <c r="AG8" s="13" t="n">
        <v>0</v>
      </c>
      <c r="AH8" s="6" t="n">
        <v>12</v>
      </c>
      <c r="AI8" s="13" t="n">
        <v>65000</v>
      </c>
      <c r="AJ8" s="13" t="n">
        <v>310000</v>
      </c>
      <c r="AK8" s="13" t="n">
        <v>0</v>
      </c>
      <c r="AL8" s="11" t="n">
        <v>0</v>
      </c>
      <c r="AM8" s="11" t="n">
        <v>0</v>
      </c>
      <c r="AN8" s="13" t="n">
        <v>0</v>
      </c>
      <c r="AO8" s="11" t="n">
        <v>0</v>
      </c>
      <c r="AP8" s="11" t="n">
        <v>0</v>
      </c>
      <c r="AQ8" s="6" t="n">
        <v>0</v>
      </c>
      <c r="AR8" s="11" t="n">
        <v>0.07000000000000001</v>
      </c>
      <c r="AS8" s="13" t="n">
        <v>0</v>
      </c>
      <c r="AT8" s="13" t="n">
        <v>0</v>
      </c>
      <c r="AU8" s="11" t="n">
        <v>0.15</v>
      </c>
      <c r="AV8" s="6" t="n">
        <v>1</v>
      </c>
      <c r="AW8" s="6" t="n">
        <v>1</v>
      </c>
      <c r="AX8" s="6" t="n">
        <v>0</v>
      </c>
      <c r="AY8" s="6" t="n">
        <v>60</v>
      </c>
      <c r="AZ8" s="6" t="inlineStr">
        <is>
          <t>N</t>
        </is>
      </c>
      <c r="BA8" s="6" t="inlineStr">
        <is>
          <t>Y</t>
        </is>
      </c>
      <c r="BB8" s="6" t="n">
        <v>0</v>
      </c>
      <c r="BC8" s="6" t="n">
        <v>0</v>
      </c>
      <c r="BD8" s="6" t="n">
        <v>0</v>
      </c>
      <c r="BE8" s="6" t="inlineStr">
        <is>
          <t>N</t>
        </is>
      </c>
      <c r="BF8" s="6" t="n">
        <v>0</v>
      </c>
      <c r="BG8" s="6" t="n">
        <v>0</v>
      </c>
      <c r="BH8" s="6" t="inlineStr">
        <is>
          <t>N</t>
        </is>
      </c>
      <c r="BI8" s="2" t="inlineStr">
        <is>
          <t>Workforce demand (job growth); price-point gap vs. resale</t>
        </is>
      </c>
      <c r="BJ8" s="2" t="inlineStr">
        <is>
          <t>Placeholder values</t>
        </is>
      </c>
    </row>
    <row r="9">
      <c r="A9" s="4" t="inlineStr">
        <is>
          <t>Manufactured home subdivision</t>
        </is>
      </c>
      <c r="B9" s="9" t="inlineStr">
        <is>
          <t>Housing</t>
        </is>
      </c>
      <c r="C9" s="6" t="inlineStr">
        <is>
          <t>For-Sale</t>
        </is>
      </c>
      <c r="D9" s="6" t="inlineStr">
        <is>
          <t>lot / home</t>
        </is>
      </c>
      <c r="E9" s="6" t="inlineStr">
        <is>
          <t>Y</t>
        </is>
      </c>
      <c r="F9" s="6" t="inlineStr">
        <is>
          <t>MH</t>
        </is>
      </c>
      <c r="G9" s="33" t="n">
        <v>4</v>
      </c>
      <c r="H9" s="34" t="n">
        <v>0</v>
      </c>
      <c r="I9" s="33" t="n">
        <v>0</v>
      </c>
      <c r="J9" s="6" t="n">
        <v>0</v>
      </c>
      <c r="K9" s="6" t="inlineStr">
        <is>
          <t>Y</t>
        </is>
      </c>
      <c r="L9" s="33" t="n">
        <v>0</v>
      </c>
      <c r="M9" s="33" t="n">
        <v>0</v>
      </c>
      <c r="N9" s="11" t="n">
        <v>0.05</v>
      </c>
      <c r="O9" s="34" t="n">
        <v>0</v>
      </c>
      <c r="P9" s="6" t="n">
        <v>3</v>
      </c>
      <c r="Q9" s="11" t="n">
        <v>0</v>
      </c>
      <c r="R9" s="33" t="n">
        <v>3</v>
      </c>
      <c r="S9" s="33" t="n">
        <v>3</v>
      </c>
      <c r="T9" s="6" t="inlineStr">
        <is>
          <t>N</t>
        </is>
      </c>
      <c r="U9" s="6" t="inlineStr">
        <is>
          <t>N</t>
        </is>
      </c>
      <c r="V9" s="34" t="n">
        <v>1</v>
      </c>
      <c r="W9" s="34" t="n">
        <v>1</v>
      </c>
      <c r="X9" s="34" t="n">
        <v>1</v>
      </c>
      <c r="Y9" s="34" t="n">
        <v>300</v>
      </c>
      <c r="Z9" s="6" t="inlineStr">
        <is>
          <t>Y</t>
        </is>
      </c>
      <c r="AA9" s="11" t="n">
        <v>1</v>
      </c>
      <c r="AB9" s="6" t="inlineStr">
        <is>
          <t>Y</t>
        </is>
      </c>
      <c r="AC9" s="34" t="n">
        <v>50</v>
      </c>
      <c r="AD9" s="34" t="n">
        <v>0</v>
      </c>
      <c r="AE9" s="13" t="n">
        <v>25000</v>
      </c>
      <c r="AF9" s="13" t="n">
        <v>116500</v>
      </c>
      <c r="AG9" s="13" t="n">
        <v>0</v>
      </c>
      <c r="AH9" s="6" t="n">
        <v>12</v>
      </c>
      <c r="AI9" s="13" t="n">
        <v>55000</v>
      </c>
      <c r="AJ9" s="13" t="n">
        <v>245000</v>
      </c>
      <c r="AK9" s="13" t="n">
        <v>0</v>
      </c>
      <c r="AL9" s="11" t="n">
        <v>0</v>
      </c>
      <c r="AM9" s="11" t="n">
        <v>0</v>
      </c>
      <c r="AN9" s="13" t="n">
        <v>0</v>
      </c>
      <c r="AO9" s="11" t="n">
        <v>0</v>
      </c>
      <c r="AP9" s="11" t="n">
        <v>0</v>
      </c>
      <c r="AQ9" s="6" t="n">
        <v>0</v>
      </c>
      <c r="AR9" s="11" t="n">
        <v>0.07000000000000001</v>
      </c>
      <c r="AS9" s="13" t="n">
        <v>0</v>
      </c>
      <c r="AT9" s="13" t="n">
        <v>0</v>
      </c>
      <c r="AU9" s="11" t="n">
        <v>0.15</v>
      </c>
      <c r="AV9" s="6" t="n">
        <v>1</v>
      </c>
      <c r="AW9" s="6" t="n">
        <v>1</v>
      </c>
      <c r="AX9" s="6" t="n">
        <v>0</v>
      </c>
      <c r="AY9" s="6" t="n">
        <v>60</v>
      </c>
      <c r="AZ9" s="6" t="inlineStr">
        <is>
          <t>N</t>
        </is>
      </c>
      <c r="BA9" s="6" t="inlineStr">
        <is>
          <t>Y</t>
        </is>
      </c>
      <c r="BB9" s="6" t="n">
        <v>0</v>
      </c>
      <c r="BC9" s="6" t="n">
        <v>0</v>
      </c>
      <c r="BD9" s="6" t="n">
        <v>0</v>
      </c>
      <c r="BE9" s="6" t="inlineStr">
        <is>
          <t>N</t>
        </is>
      </c>
      <c r="BF9" s="6" t="n">
        <v>0</v>
      </c>
      <c r="BG9" s="6" t="n">
        <v>0</v>
      </c>
      <c r="BH9" s="6" t="inlineStr">
        <is>
          <t>N</t>
        </is>
      </c>
      <c r="BI9" s="2" t="inlineStr">
        <is>
          <t>No deed restriction against MH; MH-friendly zoning or unzoned county</t>
        </is>
      </c>
      <c r="BJ9" s="2" t="inlineStr">
        <is>
          <t>Vertical = Ridge Stone dealer cost ~$94K + set-up/foundation/skirting + flatwork (user-stated home cost; rest placeholder)</t>
        </is>
      </c>
    </row>
    <row r="10">
      <c r="A10" s="4" t="inlineStr">
        <is>
          <t>Townhomes</t>
        </is>
      </c>
      <c r="B10" s="9" t="inlineStr">
        <is>
          <t>Housing</t>
        </is>
      </c>
      <c r="C10" s="6" t="inlineStr">
        <is>
          <t>For-Sale</t>
        </is>
      </c>
      <c r="D10" s="6" t="inlineStr">
        <is>
          <t>unit</t>
        </is>
      </c>
      <c r="E10" s="6" t="inlineStr">
        <is>
          <t>Y</t>
        </is>
      </c>
      <c r="F10" s="6" t="inlineStr">
        <is>
          <t>RES-ATT</t>
        </is>
      </c>
      <c r="G10" s="33" t="n">
        <v>10</v>
      </c>
      <c r="H10" s="34" t="n">
        <v>0</v>
      </c>
      <c r="I10" s="33" t="n">
        <v>0</v>
      </c>
      <c r="J10" s="6" t="n">
        <v>0</v>
      </c>
      <c r="K10" s="6" t="inlineStr">
        <is>
          <t>N</t>
        </is>
      </c>
      <c r="L10" s="33" t="n">
        <v>0</v>
      </c>
      <c r="M10" s="33" t="n">
        <v>0</v>
      </c>
      <c r="N10" s="11" t="n">
        <v>0.05</v>
      </c>
      <c r="O10" s="34" t="n">
        <v>0</v>
      </c>
      <c r="P10" s="6" t="n">
        <v>3</v>
      </c>
      <c r="Q10" s="11" t="n">
        <v>0</v>
      </c>
      <c r="R10" s="33" t="n">
        <v>4</v>
      </c>
      <c r="S10" s="33" t="n">
        <v>6</v>
      </c>
      <c r="T10" s="6" t="inlineStr">
        <is>
          <t>Y</t>
        </is>
      </c>
      <c r="U10" s="6" t="inlineStr">
        <is>
          <t>Y</t>
        </is>
      </c>
      <c r="V10" s="34" t="n">
        <v>1</v>
      </c>
      <c r="W10" s="34" t="n">
        <v>0</v>
      </c>
      <c r="X10" s="34" t="n">
        <v>0</v>
      </c>
      <c r="Y10" s="34" t="n">
        <v>300</v>
      </c>
      <c r="Z10" s="6" t="inlineStr">
        <is>
          <t>Y</t>
        </is>
      </c>
      <c r="AA10" s="11" t="n">
        <v>1</v>
      </c>
      <c r="AB10" s="6" t="inlineStr">
        <is>
          <t>Y</t>
        </is>
      </c>
      <c r="AC10" s="34" t="n">
        <v>25</v>
      </c>
      <c r="AD10" s="34" t="n">
        <v>0</v>
      </c>
      <c r="AE10" s="13" t="n">
        <v>25000</v>
      </c>
      <c r="AF10" s="13" t="n">
        <v>200000</v>
      </c>
      <c r="AG10" s="13" t="n">
        <v>0</v>
      </c>
      <c r="AH10" s="6" t="n">
        <v>12</v>
      </c>
      <c r="AI10" s="13" t="n">
        <v>45000</v>
      </c>
      <c r="AJ10" s="13" t="n">
        <v>300000</v>
      </c>
      <c r="AK10" s="13" t="n">
        <v>0</v>
      </c>
      <c r="AL10" s="11" t="n">
        <v>0</v>
      </c>
      <c r="AM10" s="11" t="n">
        <v>0</v>
      </c>
      <c r="AN10" s="13" t="n">
        <v>0</v>
      </c>
      <c r="AO10" s="11" t="n">
        <v>0</v>
      </c>
      <c r="AP10" s="11" t="n">
        <v>0</v>
      </c>
      <c r="AQ10" s="6" t="n">
        <v>0</v>
      </c>
      <c r="AR10" s="11" t="n">
        <v>0.07000000000000001</v>
      </c>
      <c r="AS10" s="13" t="n">
        <v>0</v>
      </c>
      <c r="AT10" s="13" t="n">
        <v>0</v>
      </c>
      <c r="AU10" s="11" t="n">
        <v>0.15</v>
      </c>
      <c r="AV10" s="6" t="n">
        <v>1</v>
      </c>
      <c r="AW10" s="6" t="n">
        <v>1</v>
      </c>
      <c r="AX10" s="6" t="n">
        <v>0</v>
      </c>
      <c r="AY10" s="6" t="n">
        <v>60</v>
      </c>
      <c r="AZ10" s="6" t="inlineStr">
        <is>
          <t>N</t>
        </is>
      </c>
      <c r="BA10" s="6" t="inlineStr">
        <is>
          <t>Y</t>
        </is>
      </c>
      <c r="BB10" s="6" t="n">
        <v>0</v>
      </c>
      <c r="BC10" s="6" t="n">
        <v>0</v>
      </c>
      <c r="BD10" s="6" t="n">
        <v>0</v>
      </c>
      <c r="BE10" s="6" t="inlineStr">
        <is>
          <t>N</t>
        </is>
      </c>
      <c r="BF10" s="6" t="n">
        <v>0</v>
      </c>
      <c r="BG10" s="6" t="n">
        <v>0</v>
      </c>
      <c r="BH10" s="6" t="inlineStr">
        <is>
          <t>N</t>
        </is>
      </c>
      <c r="BI10" s="2" t="inlineStr">
        <is>
          <t>City water/sewer; zoning allows attached SF; near retail</t>
        </is>
      </c>
      <c r="BJ10" s="2" t="inlineStr">
        <is>
          <t>Placeholder values</t>
        </is>
      </c>
    </row>
    <row r="11">
      <c r="A11" s="4" t="inlineStr">
        <is>
          <t>Ranchette subdivision (new internal road)</t>
        </is>
      </c>
      <c r="B11" s="9" t="inlineStr">
        <is>
          <t>Housing</t>
        </is>
      </c>
      <c r="C11" s="6" t="inlineStr">
        <is>
          <t>For-Sale</t>
        </is>
      </c>
      <c r="D11" s="6" t="inlineStr">
        <is>
          <t>lot</t>
        </is>
      </c>
      <c r="E11" s="6" t="inlineStr">
        <is>
          <t>Y</t>
        </is>
      </c>
      <c r="F11" s="6" t="inlineStr">
        <is>
          <t>RES-SF</t>
        </is>
      </c>
      <c r="G11" s="33" t="n">
        <v>0</v>
      </c>
      <c r="H11" s="34" t="n">
        <v>0</v>
      </c>
      <c r="I11" s="33" t="n">
        <v>5</v>
      </c>
      <c r="J11" s="6" t="n">
        <v>0</v>
      </c>
      <c r="K11" s="6" t="inlineStr">
        <is>
          <t>Y</t>
        </is>
      </c>
      <c r="L11" s="33" t="n">
        <v>0</v>
      </c>
      <c r="M11" s="33" t="n">
        <v>0</v>
      </c>
      <c r="N11" s="11" t="n">
        <v>0.05</v>
      </c>
      <c r="O11" s="34" t="n">
        <v>0</v>
      </c>
      <c r="P11" s="6" t="n">
        <v>3</v>
      </c>
      <c r="Q11" s="11" t="n">
        <v>0</v>
      </c>
      <c r="R11" s="33" t="n">
        <v>3</v>
      </c>
      <c r="S11" s="33" t="n">
        <v>1</v>
      </c>
      <c r="T11" s="6" t="inlineStr">
        <is>
          <t>N</t>
        </is>
      </c>
      <c r="U11" s="6" t="inlineStr">
        <is>
          <t>N</t>
        </is>
      </c>
      <c r="V11" s="34" t="n">
        <v>1</v>
      </c>
      <c r="W11" s="34" t="n">
        <v>1</v>
      </c>
      <c r="X11" s="34" t="n">
        <v>1</v>
      </c>
      <c r="Y11" s="34" t="n">
        <v>300</v>
      </c>
      <c r="Z11" s="6" t="inlineStr">
        <is>
          <t>Y</t>
        </is>
      </c>
      <c r="AA11" s="11" t="n">
        <v>0.15</v>
      </c>
      <c r="AB11" s="6" t="inlineStr">
        <is>
          <t>N</t>
        </is>
      </c>
      <c r="AC11" s="34" t="n">
        <v>150</v>
      </c>
      <c r="AD11" s="34" t="n">
        <v>0</v>
      </c>
      <c r="AE11" s="13" t="n">
        <v>15000</v>
      </c>
      <c r="AF11" s="13" t="n">
        <v>0</v>
      </c>
      <c r="AG11" s="13" t="n">
        <v>0</v>
      </c>
      <c r="AH11" s="6" t="n">
        <v>12</v>
      </c>
      <c r="AI11" s="13" t="n">
        <v>15000</v>
      </c>
      <c r="AJ11" s="13" t="n">
        <v>0</v>
      </c>
      <c r="AK11" s="13" t="n">
        <v>0</v>
      </c>
      <c r="AL11" s="11" t="n">
        <v>0</v>
      </c>
      <c r="AM11" s="11" t="n">
        <v>0</v>
      </c>
      <c r="AN11" s="13" t="n">
        <v>0</v>
      </c>
      <c r="AO11" s="11" t="n">
        <v>0</v>
      </c>
      <c r="AP11" s="11" t="n">
        <v>0</v>
      </c>
      <c r="AQ11" s="6" t="n">
        <v>0</v>
      </c>
      <c r="AR11" s="11" t="n">
        <v>0.07000000000000001</v>
      </c>
      <c r="AS11" s="13" t="n">
        <v>15000</v>
      </c>
      <c r="AT11" s="13" t="n">
        <v>0</v>
      </c>
      <c r="AU11" s="11" t="n">
        <v>0.15</v>
      </c>
      <c r="AV11" s="6" t="n">
        <v>1</v>
      </c>
      <c r="AW11" s="6" t="n">
        <v>0</v>
      </c>
      <c r="AX11" s="6" t="n">
        <v>0</v>
      </c>
      <c r="AY11" s="6" t="n">
        <v>60</v>
      </c>
      <c r="AZ11" s="6" t="inlineStr">
        <is>
          <t>N</t>
        </is>
      </c>
      <c r="BA11" s="6" t="inlineStr">
        <is>
          <t>Y</t>
        </is>
      </c>
      <c r="BB11" s="6" t="n">
        <v>0</v>
      </c>
      <c r="BC11" s="6" t="n">
        <v>0</v>
      </c>
      <c r="BD11" s="6" t="n">
        <v>0</v>
      </c>
      <c r="BE11" s="6" t="inlineStr">
        <is>
          <t>N</t>
        </is>
      </c>
      <c r="BF11" s="6" t="n">
        <v>0</v>
      </c>
      <c r="BG11" s="6" t="n">
        <v>0</v>
      </c>
      <c r="BH11" s="6" t="inlineStr">
        <is>
          <t>N</t>
        </is>
      </c>
      <c r="BI11" s="2" t="inlineStr">
        <is>
          <t>Rural; low flood exposure; county allows 5+ ac lots without full subdivision improvements</t>
        </is>
      </c>
      <c r="BJ11" s="2" t="inlineStr">
        <is>
          <t>Revenue = lot premium + $/gross acre. Disturbance limited to road and pads</t>
        </is>
      </c>
    </row>
    <row r="12">
      <c r="A12" s="4" t="inlineStr">
        <is>
          <t>Frontage split lots (no new road)</t>
        </is>
      </c>
      <c r="B12" s="9" t="inlineStr">
        <is>
          <t>Housing</t>
        </is>
      </c>
      <c r="C12" s="6" t="inlineStr">
        <is>
          <t>For-Sale</t>
        </is>
      </c>
      <c r="D12" s="6" t="inlineStr">
        <is>
          <t>lot</t>
        </is>
      </c>
      <c r="E12" s="6" t="inlineStr">
        <is>
          <t>Y</t>
        </is>
      </c>
      <c r="F12" s="6" t="inlineStr">
        <is>
          <t>RES-SF</t>
        </is>
      </c>
      <c r="G12" s="33" t="n">
        <v>0</v>
      </c>
      <c r="H12" s="34" t="n">
        <v>0</v>
      </c>
      <c r="I12" s="33" t="n">
        <v>2</v>
      </c>
      <c r="J12" s="6" t="n">
        <v>150</v>
      </c>
      <c r="K12" s="6" t="inlineStr">
        <is>
          <t>Y</t>
        </is>
      </c>
      <c r="L12" s="33" t="n">
        <v>0</v>
      </c>
      <c r="M12" s="33" t="n">
        <v>0</v>
      </c>
      <c r="N12" s="11" t="n">
        <v>0.05</v>
      </c>
      <c r="O12" s="34" t="n">
        <v>0</v>
      </c>
      <c r="P12" s="6" t="n">
        <v>3</v>
      </c>
      <c r="Q12" s="11" t="n">
        <v>0</v>
      </c>
      <c r="R12" s="33" t="n">
        <v>3</v>
      </c>
      <c r="S12" s="33" t="n">
        <v>1</v>
      </c>
      <c r="T12" s="6" t="inlineStr">
        <is>
          <t>N</t>
        </is>
      </c>
      <c r="U12" s="6" t="inlineStr">
        <is>
          <t>N</t>
        </is>
      </c>
      <c r="V12" s="34" t="n">
        <v>1</v>
      </c>
      <c r="W12" s="34" t="n">
        <v>1</v>
      </c>
      <c r="X12" s="34" t="n">
        <v>1</v>
      </c>
      <c r="Y12" s="34" t="n">
        <v>300</v>
      </c>
      <c r="Z12" s="6" t="inlineStr">
        <is>
          <t>Y</t>
        </is>
      </c>
      <c r="AA12" s="11" t="n">
        <v>0.02</v>
      </c>
      <c r="AB12" s="6" t="inlineStr">
        <is>
          <t>N</t>
        </is>
      </c>
      <c r="AC12" s="34" t="n">
        <v>0</v>
      </c>
      <c r="AD12" s="34" t="n">
        <v>0</v>
      </c>
      <c r="AE12" s="13" t="n">
        <v>5000</v>
      </c>
      <c r="AF12" s="13" t="n">
        <v>0</v>
      </c>
      <c r="AG12" s="13" t="n">
        <v>0</v>
      </c>
      <c r="AH12" s="6" t="n">
        <v>12</v>
      </c>
      <c r="AI12" s="13" t="n">
        <v>10000</v>
      </c>
      <c r="AJ12" s="13" t="n">
        <v>0</v>
      </c>
      <c r="AK12" s="13" t="n">
        <v>0</v>
      </c>
      <c r="AL12" s="11" t="n">
        <v>0</v>
      </c>
      <c r="AM12" s="11" t="n">
        <v>0</v>
      </c>
      <c r="AN12" s="13" t="n">
        <v>0</v>
      </c>
      <c r="AO12" s="11" t="n">
        <v>0</v>
      </c>
      <c r="AP12" s="11" t="n">
        <v>0</v>
      </c>
      <c r="AQ12" s="6" t="n">
        <v>0</v>
      </c>
      <c r="AR12" s="11" t="n">
        <v>0.07000000000000001</v>
      </c>
      <c r="AS12" s="13" t="n">
        <v>15000</v>
      </c>
      <c r="AT12" s="13" t="n">
        <v>0</v>
      </c>
      <c r="AU12" s="11" t="n">
        <v>0.15</v>
      </c>
      <c r="AV12" s="6" t="n">
        <v>1</v>
      </c>
      <c r="AW12" s="6" t="n">
        <v>0</v>
      </c>
      <c r="AX12" s="6" t="n">
        <v>0</v>
      </c>
      <c r="AY12" s="6" t="n">
        <v>60</v>
      </c>
      <c r="AZ12" s="6" t="inlineStr">
        <is>
          <t>N</t>
        </is>
      </c>
      <c r="BA12" s="6" t="inlineStr">
        <is>
          <t>Y</t>
        </is>
      </c>
      <c r="BB12" s="6" t="n">
        <v>0</v>
      </c>
      <c r="BC12" s="6" t="n">
        <v>0</v>
      </c>
      <c r="BD12" s="6" t="n">
        <v>0</v>
      </c>
      <c r="BE12" s="6" t="inlineStr">
        <is>
          <t>N</t>
        </is>
      </c>
      <c r="BF12" s="6" t="n">
        <v>0</v>
      </c>
      <c r="BG12" s="6" t="n">
        <v>0</v>
      </c>
      <c r="BH12" s="6" t="inlineStr">
        <is>
          <t>Y</t>
        </is>
      </c>
      <c r="BI12" s="2" t="inlineStr">
        <is>
          <t>Existing public road frontage; county minimum lot size and frontage per lot</t>
        </is>
      </c>
      <c r="BJ12" s="2" t="inlineStr">
        <is>
          <t>Classic split-and-sell. Lots limited by frontage and min lot size; no internal road or detention</t>
        </is>
      </c>
    </row>
    <row r="13">
      <c r="A13" s="4" t="inlineStr">
        <is>
          <t>Garage / car condos</t>
        </is>
      </c>
      <c r="B13" s="9" t="inlineStr">
        <is>
          <t>Storage</t>
        </is>
      </c>
      <c r="C13" s="6" t="inlineStr">
        <is>
          <t>For-Sale</t>
        </is>
      </c>
      <c r="D13" s="6" t="inlineStr">
        <is>
          <t>condo</t>
        </is>
      </c>
      <c r="E13" s="6" t="inlineStr">
        <is>
          <t>Y</t>
        </is>
      </c>
      <c r="F13" s="6" t="inlineStr">
        <is>
          <t>COM</t>
        </is>
      </c>
      <c r="G13" s="33" t="n">
        <v>0</v>
      </c>
      <c r="H13" s="34" t="n">
        <v>2900</v>
      </c>
      <c r="I13" s="33" t="n">
        <v>0</v>
      </c>
      <c r="J13" s="6" t="n">
        <v>0</v>
      </c>
      <c r="K13" s="6" t="inlineStr">
        <is>
          <t>N</t>
        </is>
      </c>
      <c r="L13" s="33" t="n">
        <v>0</v>
      </c>
      <c r="M13" s="33" t="n">
        <v>0</v>
      </c>
      <c r="N13" s="11" t="n">
        <v>0.05</v>
      </c>
      <c r="O13" s="34" t="n">
        <v>0.004</v>
      </c>
      <c r="P13" s="6" t="n">
        <v>10</v>
      </c>
      <c r="Q13" s="11" t="n">
        <v>0.3</v>
      </c>
      <c r="R13" s="33" t="n">
        <v>4</v>
      </c>
      <c r="S13" s="33" t="n">
        <v>4</v>
      </c>
      <c r="T13" s="6" t="inlineStr">
        <is>
          <t>N</t>
        </is>
      </c>
      <c r="U13" s="6" t="inlineStr">
        <is>
          <t>N</t>
        </is>
      </c>
      <c r="V13" s="34" t="n">
        <v>0.1</v>
      </c>
      <c r="W13" s="34" t="n">
        <v>0.1</v>
      </c>
      <c r="X13" s="34" t="n">
        <v>0.1</v>
      </c>
      <c r="Y13" s="34" t="n">
        <v>10</v>
      </c>
      <c r="Z13" s="6" t="inlineStr">
        <is>
          <t>Y</t>
        </is>
      </c>
      <c r="AA13" s="11" t="n">
        <v>1</v>
      </c>
      <c r="AB13" s="6" t="inlineStr">
        <is>
          <t>Y</t>
        </is>
      </c>
      <c r="AC13" s="34" t="n">
        <v>8</v>
      </c>
      <c r="AD13" s="34" t="n">
        <v>900</v>
      </c>
      <c r="AE13" s="13" t="n">
        <v>25000</v>
      </c>
      <c r="AF13" s="13" t="n">
        <v>85000</v>
      </c>
      <c r="AG13" s="13" t="n">
        <v>0</v>
      </c>
      <c r="AH13" s="6" t="n">
        <v>12</v>
      </c>
      <c r="AI13" s="13" t="n">
        <v>0</v>
      </c>
      <c r="AJ13" s="13" t="n">
        <v>135000</v>
      </c>
      <c r="AK13" s="13" t="n">
        <v>0</v>
      </c>
      <c r="AL13" s="11" t="n">
        <v>0</v>
      </c>
      <c r="AM13" s="11" t="n">
        <v>0</v>
      </c>
      <c r="AN13" s="13" t="n">
        <v>0</v>
      </c>
      <c r="AO13" s="11" t="n">
        <v>0</v>
      </c>
      <c r="AP13" s="11" t="n">
        <v>0</v>
      </c>
      <c r="AQ13" s="6" t="n">
        <v>0</v>
      </c>
      <c r="AR13" s="11" t="n">
        <v>0.07000000000000001</v>
      </c>
      <c r="AS13" s="13" t="n">
        <v>0</v>
      </c>
      <c r="AT13" s="13" t="n">
        <v>0</v>
      </c>
      <c r="AU13" s="11" t="n">
        <v>0.15</v>
      </c>
      <c r="AV13" s="6" t="n">
        <v>0</v>
      </c>
      <c r="AW13" s="6" t="n">
        <v>1</v>
      </c>
      <c r="AX13" s="6" t="n">
        <v>0</v>
      </c>
      <c r="AY13" s="6" t="n">
        <v>100</v>
      </c>
      <c r="AZ13" s="6" t="inlineStr">
        <is>
          <t>N</t>
        </is>
      </c>
      <c r="BA13" s="6" t="inlineStr">
        <is>
          <t>Y</t>
        </is>
      </c>
      <c r="BB13" s="6" t="n">
        <v>0</v>
      </c>
      <c r="BC13" s="6" t="n">
        <v>0</v>
      </c>
      <c r="BD13" s="6" t="n">
        <v>0</v>
      </c>
      <c r="BE13" s="6" t="inlineStr">
        <is>
          <t>N</t>
        </is>
      </c>
      <c r="BF13" s="6" t="n">
        <v>0</v>
      </c>
      <c r="BG13" s="6" t="n">
        <v>0</v>
      </c>
      <c r="BH13" s="6" t="inlineStr">
        <is>
          <t>N</t>
        </is>
      </c>
      <c r="BI13" s="2" t="inlineStr">
        <is>
          <t>Affluent submarket; near lakes/airports; visible frontage</t>
        </is>
      </c>
      <c r="BJ13" s="2" t="inlineStr">
        <is>
          <t>Placeholder values</t>
        </is>
      </c>
    </row>
    <row r="14">
      <c r="A14" s="4" t="inlineStr">
        <is>
          <t>Contractor shop condos</t>
        </is>
      </c>
      <c r="B14" s="9" t="inlineStr">
        <is>
          <t>Business &amp; Trades</t>
        </is>
      </c>
      <c r="C14" s="6" t="inlineStr">
        <is>
          <t>For-Sale</t>
        </is>
      </c>
      <c r="D14" s="6" t="inlineStr">
        <is>
          <t>condo (2,000 SF)</t>
        </is>
      </c>
      <c r="E14" s="6" t="inlineStr">
        <is>
          <t>Y</t>
        </is>
      </c>
      <c r="F14" s="6" t="inlineStr">
        <is>
          <t>IND</t>
        </is>
      </c>
      <c r="G14" s="33" t="n">
        <v>0</v>
      </c>
      <c r="H14" s="34" t="n">
        <v>5700</v>
      </c>
      <c r="I14" s="33" t="n">
        <v>0</v>
      </c>
      <c r="J14" s="6" t="n">
        <v>0</v>
      </c>
      <c r="K14" s="6" t="inlineStr">
        <is>
          <t>N</t>
        </is>
      </c>
      <c r="L14" s="33" t="n">
        <v>0</v>
      </c>
      <c r="M14" s="33" t="n">
        <v>6</v>
      </c>
      <c r="N14" s="11" t="n">
        <v>0.05</v>
      </c>
      <c r="O14" s="34" t="n">
        <v>0.002</v>
      </c>
      <c r="P14" s="6" t="n">
        <v>10</v>
      </c>
      <c r="Q14" s="11" t="n">
        <v>0.3</v>
      </c>
      <c r="R14" s="33" t="n">
        <v>2</v>
      </c>
      <c r="S14" s="33" t="n">
        <v>4</v>
      </c>
      <c r="T14" s="6" t="inlineStr">
        <is>
          <t>N</t>
        </is>
      </c>
      <c r="U14" s="6" t="inlineStr">
        <is>
          <t>N</t>
        </is>
      </c>
      <c r="V14" s="34" t="n">
        <v>0.2</v>
      </c>
      <c r="W14" s="34" t="n">
        <v>0.2</v>
      </c>
      <c r="X14" s="34" t="n">
        <v>0.2</v>
      </c>
      <c r="Y14" s="34" t="n">
        <v>20</v>
      </c>
      <c r="Z14" s="6" t="inlineStr">
        <is>
          <t>Y</t>
        </is>
      </c>
      <c r="AA14" s="11" t="n">
        <v>1</v>
      </c>
      <c r="AB14" s="6" t="inlineStr">
        <is>
          <t>Y</t>
        </is>
      </c>
      <c r="AC14" s="34" t="n">
        <v>10</v>
      </c>
      <c r="AD14" s="34" t="n">
        <v>2500</v>
      </c>
      <c r="AE14" s="13" t="n">
        <v>25000</v>
      </c>
      <c r="AF14" s="13" t="n">
        <v>190000</v>
      </c>
      <c r="AG14" s="13" t="n">
        <v>0</v>
      </c>
      <c r="AH14" s="6" t="n">
        <v>12</v>
      </c>
      <c r="AI14" s="13" t="n">
        <v>0</v>
      </c>
      <c r="AJ14" s="13" t="n">
        <v>280000</v>
      </c>
      <c r="AK14" s="13" t="n">
        <v>0</v>
      </c>
      <c r="AL14" s="11" t="n">
        <v>0</v>
      </c>
      <c r="AM14" s="11" t="n">
        <v>0</v>
      </c>
      <c r="AN14" s="13" t="n">
        <v>0</v>
      </c>
      <c r="AO14" s="11" t="n">
        <v>0</v>
      </c>
      <c r="AP14" s="11" t="n">
        <v>0</v>
      </c>
      <c r="AQ14" s="6" t="n">
        <v>0</v>
      </c>
      <c r="AR14" s="11" t="n">
        <v>0.07000000000000001</v>
      </c>
      <c r="AS14" s="13" t="n">
        <v>0</v>
      </c>
      <c r="AT14" s="13" t="n">
        <v>0</v>
      </c>
      <c r="AU14" s="11" t="n">
        <v>0.15</v>
      </c>
      <c r="AV14" s="6" t="n">
        <v>0</v>
      </c>
      <c r="AW14" s="6" t="n">
        <v>1</v>
      </c>
      <c r="AX14" s="6" t="n">
        <v>0</v>
      </c>
      <c r="AY14" s="6" t="n">
        <v>150</v>
      </c>
      <c r="AZ14" s="6" t="inlineStr">
        <is>
          <t>N</t>
        </is>
      </c>
      <c r="BA14" s="6" t="inlineStr">
        <is>
          <t>Y</t>
        </is>
      </c>
      <c r="BB14" s="6" t="n">
        <v>0</v>
      </c>
      <c r="BC14" s="6" t="n">
        <v>0</v>
      </c>
      <c r="BD14" s="6" t="n">
        <v>0</v>
      </c>
      <c r="BE14" s="6" t="inlineStr">
        <is>
          <t>N</t>
        </is>
      </c>
      <c r="BF14" s="6" t="n">
        <v>0</v>
      </c>
      <c r="BG14" s="6" t="n">
        <v>0</v>
      </c>
      <c r="BH14" s="6" t="inlineStr">
        <is>
          <t>N</t>
        </is>
      </c>
      <c r="BI14" s="2" t="inlineStr">
        <is>
          <t>Arterial access; trades demand; light industrial / commercial zoning or unzoned county</t>
        </is>
      </c>
      <c r="BJ14" s="2" t="inlineStr">
        <is>
          <t>Placeholder values</t>
        </is>
      </c>
    </row>
    <row r="15">
      <c r="A15" s="4" t="inlineStr">
        <is>
          <t>Professional office condos</t>
        </is>
      </c>
      <c r="B15" s="9" t="inlineStr">
        <is>
          <t>Business &amp; Trades</t>
        </is>
      </c>
      <c r="C15" s="6" t="inlineStr">
        <is>
          <t>For-Sale</t>
        </is>
      </c>
      <c r="D15" s="6" t="inlineStr">
        <is>
          <t>condo (1,500 SF)</t>
        </is>
      </c>
      <c r="E15" s="6" t="inlineStr">
        <is>
          <t>Y</t>
        </is>
      </c>
      <c r="F15" s="6" t="inlineStr">
        <is>
          <t>OFF</t>
        </is>
      </c>
      <c r="G15" s="33" t="n">
        <v>0</v>
      </c>
      <c r="H15" s="34" t="n">
        <v>6000</v>
      </c>
      <c r="I15" s="33" t="n">
        <v>0</v>
      </c>
      <c r="J15" s="6" t="n">
        <v>0</v>
      </c>
      <c r="K15" s="6" t="inlineStr">
        <is>
          <t>N</t>
        </is>
      </c>
      <c r="L15" s="33" t="n">
        <v>0</v>
      </c>
      <c r="M15" s="33" t="n">
        <v>4</v>
      </c>
      <c r="N15" s="11" t="n">
        <v>0.05</v>
      </c>
      <c r="O15" s="34" t="n">
        <v>0.002</v>
      </c>
      <c r="P15" s="6" t="n">
        <v>10</v>
      </c>
      <c r="Q15" s="11" t="n">
        <v>0.25</v>
      </c>
      <c r="R15" s="33" t="n">
        <v>1.5</v>
      </c>
      <c r="S15" s="33" t="n">
        <v>4</v>
      </c>
      <c r="T15" s="6" t="inlineStr">
        <is>
          <t>N</t>
        </is>
      </c>
      <c r="U15" s="6" t="inlineStr">
        <is>
          <t>Y</t>
        </is>
      </c>
      <c r="V15" s="34" t="n">
        <v>0.25</v>
      </c>
      <c r="W15" s="34" t="n">
        <v>0.25</v>
      </c>
      <c r="X15" s="34" t="n">
        <v>0.25</v>
      </c>
      <c r="Y15" s="34" t="n">
        <v>30</v>
      </c>
      <c r="Z15" s="6" t="inlineStr">
        <is>
          <t>Y</t>
        </is>
      </c>
      <c r="AA15" s="11" t="n">
        <v>1</v>
      </c>
      <c r="AB15" s="6" t="inlineStr">
        <is>
          <t>Y</t>
        </is>
      </c>
      <c r="AC15" s="34" t="n">
        <v>8</v>
      </c>
      <c r="AD15" s="34" t="n">
        <v>3000</v>
      </c>
      <c r="AE15" s="13" t="n">
        <v>25000</v>
      </c>
      <c r="AF15" s="13" t="n">
        <v>300000</v>
      </c>
      <c r="AG15" s="13" t="n">
        <v>0</v>
      </c>
      <c r="AH15" s="6" t="n">
        <v>12</v>
      </c>
      <c r="AI15" s="13" t="n">
        <v>0</v>
      </c>
      <c r="AJ15" s="13" t="n">
        <v>450000</v>
      </c>
      <c r="AK15" s="13" t="n">
        <v>0</v>
      </c>
      <c r="AL15" s="11" t="n">
        <v>0</v>
      </c>
      <c r="AM15" s="11" t="n">
        <v>0</v>
      </c>
      <c r="AN15" s="13" t="n">
        <v>0</v>
      </c>
      <c r="AO15" s="11" t="n">
        <v>0</v>
      </c>
      <c r="AP15" s="11" t="n">
        <v>0</v>
      </c>
      <c r="AQ15" s="6" t="n">
        <v>0</v>
      </c>
      <c r="AR15" s="11" t="n">
        <v>0.07000000000000001</v>
      </c>
      <c r="AS15" s="13" t="n">
        <v>0</v>
      </c>
      <c r="AT15" s="13" t="n">
        <v>0</v>
      </c>
      <c r="AU15" s="11" t="n">
        <v>0.15</v>
      </c>
      <c r="AV15" s="6" t="n">
        <v>0</v>
      </c>
      <c r="AW15" s="6" t="n">
        <v>1</v>
      </c>
      <c r="AX15" s="6" t="n">
        <v>0</v>
      </c>
      <c r="AY15" s="6" t="n">
        <v>150</v>
      </c>
      <c r="AZ15" s="6" t="inlineStr">
        <is>
          <t>N</t>
        </is>
      </c>
      <c r="BA15" s="6" t="inlineStr">
        <is>
          <t>Y</t>
        </is>
      </c>
      <c r="BB15" s="6" t="n">
        <v>0</v>
      </c>
      <c r="BC15" s="6" t="n">
        <v>0</v>
      </c>
      <c r="BD15" s="6" t="n">
        <v>0</v>
      </c>
      <c r="BE15" s="6" t="inlineStr">
        <is>
          <t>N</t>
        </is>
      </c>
      <c r="BF15" s="6" t="n">
        <v>0</v>
      </c>
      <c r="BG15" s="6" t="n">
        <v>0</v>
      </c>
      <c r="BH15" s="6" t="inlineStr">
        <is>
          <t>N</t>
        </is>
      </c>
      <c r="BI15" s="2" t="inlineStr">
        <is>
          <t>Near rooftops and medical/retail; commercial zoning</t>
        </is>
      </c>
      <c r="BJ15" s="2" t="inlineStr">
        <is>
          <t>Placeholder values</t>
        </is>
      </c>
    </row>
    <row r="16">
      <c r="A16" s="4" t="inlineStr">
        <is>
          <t>Manufactured home community (MHC)</t>
        </is>
      </c>
      <c r="B16" s="9" t="inlineStr">
        <is>
          <t>Housing</t>
        </is>
      </c>
      <c r="C16" s="6" t="inlineStr">
        <is>
          <t>Income</t>
        </is>
      </c>
      <c r="D16" s="6" t="inlineStr">
        <is>
          <t>pad</t>
        </is>
      </c>
      <c r="E16" s="6" t="inlineStr">
        <is>
          <t>Y</t>
        </is>
      </c>
      <c r="F16" s="6" t="inlineStr">
        <is>
          <t>MH</t>
        </is>
      </c>
      <c r="G16" s="33" t="n">
        <v>7</v>
      </c>
      <c r="H16" s="34" t="n">
        <v>0</v>
      </c>
      <c r="I16" s="33" t="n">
        <v>0</v>
      </c>
      <c r="J16" s="6" t="n">
        <v>0</v>
      </c>
      <c r="K16" s="6" t="inlineStr">
        <is>
          <t>N</t>
        </is>
      </c>
      <c r="L16" s="33" t="n">
        <v>5</v>
      </c>
      <c r="M16" s="33" t="n">
        <v>0</v>
      </c>
      <c r="N16" s="11" t="n">
        <v>0.05</v>
      </c>
      <c r="O16" s="34" t="n">
        <v>0</v>
      </c>
      <c r="P16" s="6" t="n">
        <v>3</v>
      </c>
      <c r="Q16" s="11" t="n">
        <v>0</v>
      </c>
      <c r="R16" s="33" t="n">
        <v>3</v>
      </c>
      <c r="S16" s="33" t="n">
        <v>0</v>
      </c>
      <c r="T16" s="6" t="inlineStr">
        <is>
          <t>N</t>
        </is>
      </c>
      <c r="U16" s="6" t="inlineStr">
        <is>
          <t>N</t>
        </is>
      </c>
      <c r="V16" s="34" t="n">
        <v>1</v>
      </c>
      <c r="W16" s="34" t="n">
        <v>0.25</v>
      </c>
      <c r="X16" s="34" t="n">
        <v>0</v>
      </c>
      <c r="Y16" s="34" t="n">
        <v>250</v>
      </c>
      <c r="Z16" s="6" t="inlineStr">
        <is>
          <t>Y</t>
        </is>
      </c>
      <c r="AA16" s="11" t="n">
        <v>1</v>
      </c>
      <c r="AB16" s="6" t="inlineStr">
        <is>
          <t>Y</t>
        </is>
      </c>
      <c r="AC16" s="34" t="n">
        <v>40</v>
      </c>
      <c r="AD16" s="34" t="n">
        <v>0</v>
      </c>
      <c r="AE16" s="13" t="n">
        <v>40000</v>
      </c>
      <c r="AF16" s="13" t="n">
        <v>12000</v>
      </c>
      <c r="AG16" s="13" t="n">
        <v>0</v>
      </c>
      <c r="AH16" s="6" t="n">
        <v>12</v>
      </c>
      <c r="AI16" s="13" t="n">
        <v>0</v>
      </c>
      <c r="AJ16" s="13" t="n">
        <v>0</v>
      </c>
      <c r="AK16" s="13" t="n">
        <v>6600</v>
      </c>
      <c r="AL16" s="11" t="n">
        <v>0.05</v>
      </c>
      <c r="AM16" s="11" t="n">
        <v>0.07000000000000001</v>
      </c>
      <c r="AN16" s="13" t="n">
        <v>1200</v>
      </c>
      <c r="AO16" s="11" t="n">
        <v>0.05</v>
      </c>
      <c r="AP16" s="11" t="n">
        <v>0.15</v>
      </c>
      <c r="AQ16" s="6" t="n">
        <v>24</v>
      </c>
      <c r="AR16" s="11" t="n">
        <v>0.065</v>
      </c>
      <c r="AS16" s="13" t="n">
        <v>40000</v>
      </c>
      <c r="AT16" s="13" t="n">
        <v>0</v>
      </c>
      <c r="AU16" s="11" t="n">
        <v>0.15</v>
      </c>
      <c r="AV16" s="6" t="n">
        <v>1</v>
      </c>
      <c r="AW16" s="6" t="n">
        <v>1</v>
      </c>
      <c r="AX16" s="6" t="n">
        <v>1</v>
      </c>
      <c r="AY16" s="6" t="n">
        <v>60</v>
      </c>
      <c r="AZ16" s="6" t="inlineStr">
        <is>
          <t>N</t>
        </is>
      </c>
      <c r="BA16" s="6" t="inlineStr">
        <is>
          <t>Y</t>
        </is>
      </c>
      <c r="BB16" s="6" t="n">
        <v>0</v>
      </c>
      <c r="BC16" s="6" t="n">
        <v>0</v>
      </c>
      <c r="BD16" s="6" t="n">
        <v>0</v>
      </c>
      <c r="BE16" s="6" t="inlineStr">
        <is>
          <t>N</t>
        </is>
      </c>
      <c r="BF16" s="6" t="n">
        <v>0</v>
      </c>
      <c r="BG16" s="6" t="n">
        <v>0</v>
      </c>
      <c r="BH16" s="6" t="inlineStr">
        <is>
          <t>N</t>
        </is>
      </c>
      <c r="BI16" s="2" t="inlineStr">
        <is>
          <t>MHC zoning or unzoned county; sewer or package plant for density; workforce job growth</t>
        </is>
      </c>
      <c r="BJ16" s="2" t="inlineStr">
        <is>
          <t>Pad-only model. Rental community: septic limited by gallons/day per acre, not the subdivided-lot rule</t>
        </is>
      </c>
    </row>
    <row r="17">
      <c r="A17" s="4" t="inlineStr">
        <is>
          <t>MHC with park-owned homes</t>
        </is>
      </c>
      <c r="B17" s="9" t="inlineStr">
        <is>
          <t>Housing</t>
        </is>
      </c>
      <c r="C17" s="6" t="inlineStr">
        <is>
          <t>Income</t>
        </is>
      </c>
      <c r="D17" s="6" t="inlineStr">
        <is>
          <t>home + pad</t>
        </is>
      </c>
      <c r="E17" s="6" t="inlineStr">
        <is>
          <t>Y</t>
        </is>
      </c>
      <c r="F17" s="6" t="inlineStr">
        <is>
          <t>MH</t>
        </is>
      </c>
      <c r="G17" s="33" t="n">
        <v>7</v>
      </c>
      <c r="H17" s="34" t="n">
        <v>0</v>
      </c>
      <c r="I17" s="33" t="n">
        <v>0</v>
      </c>
      <c r="J17" s="6" t="n">
        <v>0</v>
      </c>
      <c r="K17" s="6" t="inlineStr">
        <is>
          <t>N</t>
        </is>
      </c>
      <c r="L17" s="33" t="n">
        <v>5</v>
      </c>
      <c r="M17" s="33" t="n">
        <v>0</v>
      </c>
      <c r="N17" s="11" t="n">
        <v>0.05</v>
      </c>
      <c r="O17" s="34" t="n">
        <v>0</v>
      </c>
      <c r="P17" s="6" t="n">
        <v>3</v>
      </c>
      <c r="Q17" s="11" t="n">
        <v>0</v>
      </c>
      <c r="R17" s="33" t="n">
        <v>2</v>
      </c>
      <c r="S17" s="33" t="n">
        <v>0</v>
      </c>
      <c r="T17" s="6" t="inlineStr">
        <is>
          <t>N</t>
        </is>
      </c>
      <c r="U17" s="6" t="inlineStr">
        <is>
          <t>N</t>
        </is>
      </c>
      <c r="V17" s="34" t="n">
        <v>1</v>
      </c>
      <c r="W17" s="34" t="n">
        <v>0.25</v>
      </c>
      <c r="X17" s="34" t="n">
        <v>0</v>
      </c>
      <c r="Y17" s="34" t="n">
        <v>250</v>
      </c>
      <c r="Z17" s="6" t="inlineStr">
        <is>
          <t>Y</t>
        </is>
      </c>
      <c r="AA17" s="11" t="n">
        <v>1</v>
      </c>
      <c r="AB17" s="6" t="inlineStr">
        <is>
          <t>Y</t>
        </is>
      </c>
      <c r="AC17" s="34" t="n">
        <v>40</v>
      </c>
      <c r="AD17" s="34" t="n">
        <v>0</v>
      </c>
      <c r="AE17" s="13" t="n">
        <v>40000</v>
      </c>
      <c r="AF17" s="13" t="n">
        <v>87000</v>
      </c>
      <c r="AG17" s="13" t="n">
        <v>0</v>
      </c>
      <c r="AH17" s="6" t="n">
        <v>14</v>
      </c>
      <c r="AI17" s="13" t="n">
        <v>0</v>
      </c>
      <c r="AJ17" s="13" t="n">
        <v>0</v>
      </c>
      <c r="AK17" s="13" t="n">
        <v>15600</v>
      </c>
      <c r="AL17" s="11" t="n">
        <v>0.03</v>
      </c>
      <c r="AM17" s="11" t="n">
        <v>0.06</v>
      </c>
      <c r="AN17" s="13" t="n">
        <v>2600</v>
      </c>
      <c r="AO17" s="11" t="n">
        <v>0.06</v>
      </c>
      <c r="AP17" s="11" t="n">
        <v>0.05</v>
      </c>
      <c r="AQ17" s="6" t="n">
        <v>24</v>
      </c>
      <c r="AR17" s="11" t="n">
        <v>0.07000000000000001</v>
      </c>
      <c r="AS17" s="13" t="n">
        <v>40000</v>
      </c>
      <c r="AT17" s="13" t="n">
        <v>0</v>
      </c>
      <c r="AU17" s="11" t="n">
        <v>0.15</v>
      </c>
      <c r="AV17" s="6" t="n">
        <v>1</v>
      </c>
      <c r="AW17" s="6" t="n">
        <v>1</v>
      </c>
      <c r="AX17" s="6" t="n">
        <v>1</v>
      </c>
      <c r="AY17" s="6" t="n">
        <v>60</v>
      </c>
      <c r="AZ17" s="6" t="inlineStr">
        <is>
          <t>N</t>
        </is>
      </c>
      <c r="BA17" s="6" t="inlineStr">
        <is>
          <t>Y</t>
        </is>
      </c>
      <c r="BB17" s="6" t="n">
        <v>0</v>
      </c>
      <c r="BC17" s="6" t="n">
        <v>0</v>
      </c>
      <c r="BD17" s="6" t="n">
        <v>0</v>
      </c>
      <c r="BE17" s="6" t="inlineStr">
        <is>
          <t>N</t>
        </is>
      </c>
      <c r="BF17" s="6" t="n">
        <v>0</v>
      </c>
      <c r="BG17" s="6" t="n">
        <v>0</v>
      </c>
      <c r="BH17" s="6" t="inlineStr">
        <is>
          <t>N</t>
        </is>
      </c>
      <c r="BI17" s="2" t="inlineStr">
        <is>
          <t>Same as MHC; dealer-cost advantage on homes</t>
        </is>
      </c>
      <c r="BJ17" s="2" t="inlineStr">
        <is>
          <t>Vertical = pad work + home at dealer cost (Ridge Stone edge). Rent = lot + home rent</t>
        </is>
      </c>
    </row>
    <row r="18">
      <c r="A18" s="4" t="inlineStr">
        <is>
          <t>Workforce / extended-stay RV park</t>
        </is>
      </c>
      <c r="B18" s="9" t="inlineStr">
        <is>
          <t>Housing</t>
        </is>
      </c>
      <c r="C18" s="6" t="inlineStr">
        <is>
          <t>Income</t>
        </is>
      </c>
      <c r="D18" s="6" t="inlineStr">
        <is>
          <t>site</t>
        </is>
      </c>
      <c r="E18" s="6" t="inlineStr">
        <is>
          <t>Y</t>
        </is>
      </c>
      <c r="F18" s="6" t="inlineStr">
        <is>
          <t>RV</t>
        </is>
      </c>
      <c r="G18" s="33" t="n">
        <v>15</v>
      </c>
      <c r="H18" s="34" t="n">
        <v>0</v>
      </c>
      <c r="I18" s="33" t="n">
        <v>0</v>
      </c>
      <c r="J18" s="6" t="n">
        <v>0</v>
      </c>
      <c r="K18" s="6" t="inlineStr">
        <is>
          <t>N</t>
        </is>
      </c>
      <c r="L18" s="33" t="n">
        <v>5</v>
      </c>
      <c r="M18" s="33" t="n">
        <v>20</v>
      </c>
      <c r="N18" s="11" t="n">
        <v>0.05</v>
      </c>
      <c r="O18" s="34" t="n">
        <v>0</v>
      </c>
      <c r="P18" s="6" t="n">
        <v>3</v>
      </c>
      <c r="Q18" s="11" t="n">
        <v>0</v>
      </c>
      <c r="R18" s="33" t="n">
        <v>15</v>
      </c>
      <c r="S18" s="33" t="n">
        <v>0</v>
      </c>
      <c r="T18" s="6" t="inlineStr">
        <is>
          <t>N</t>
        </is>
      </c>
      <c r="U18" s="6" t="inlineStr">
        <is>
          <t>N</t>
        </is>
      </c>
      <c r="V18" s="34" t="n">
        <v>1</v>
      </c>
      <c r="W18" s="34" t="n">
        <v>0.25</v>
      </c>
      <c r="X18" s="34" t="n">
        <v>0</v>
      </c>
      <c r="Y18" s="34" t="n">
        <v>75</v>
      </c>
      <c r="Z18" s="6" t="inlineStr">
        <is>
          <t>Y</t>
        </is>
      </c>
      <c r="AA18" s="11" t="n">
        <v>1</v>
      </c>
      <c r="AB18" s="6" t="inlineStr">
        <is>
          <t>Y</t>
        </is>
      </c>
      <c r="AC18" s="34" t="n">
        <v>30</v>
      </c>
      <c r="AD18" s="34" t="n">
        <v>0</v>
      </c>
      <c r="AE18" s="13" t="n">
        <v>40000</v>
      </c>
      <c r="AF18" s="13" t="n">
        <v>18000</v>
      </c>
      <c r="AG18" s="13" t="n">
        <v>0</v>
      </c>
      <c r="AH18" s="6" t="n">
        <v>10</v>
      </c>
      <c r="AI18" s="13" t="n">
        <v>0</v>
      </c>
      <c r="AJ18" s="13" t="n">
        <v>0</v>
      </c>
      <c r="AK18" s="13" t="n">
        <v>7800</v>
      </c>
      <c r="AL18" s="11" t="n">
        <v>0.05</v>
      </c>
      <c r="AM18" s="11" t="n">
        <v>0.15</v>
      </c>
      <c r="AN18" s="13" t="n">
        <v>1800</v>
      </c>
      <c r="AO18" s="11" t="n">
        <v>0.08</v>
      </c>
      <c r="AP18" s="11" t="n">
        <v>0</v>
      </c>
      <c r="AQ18" s="6" t="n">
        <v>12</v>
      </c>
      <c r="AR18" s="11" t="n">
        <v>0.08500000000000001</v>
      </c>
      <c r="AS18" s="13" t="n">
        <v>40000</v>
      </c>
      <c r="AT18" s="13" t="n">
        <v>0</v>
      </c>
      <c r="AU18" s="11" t="n">
        <v>0.15</v>
      </c>
      <c r="AV18" s="6" t="n">
        <v>1</v>
      </c>
      <c r="AW18" s="6" t="n">
        <v>1</v>
      </c>
      <c r="AX18" s="6" t="n">
        <v>1</v>
      </c>
      <c r="AY18" s="6" t="n">
        <v>60</v>
      </c>
      <c r="AZ18" s="6" t="inlineStr">
        <is>
          <t>N</t>
        </is>
      </c>
      <c r="BA18" s="6" t="inlineStr">
        <is>
          <t>Y</t>
        </is>
      </c>
      <c r="BB18" s="6" t="n">
        <v>0</v>
      </c>
      <c r="BC18" s="6" t="n">
        <v>0</v>
      </c>
      <c r="BD18" s="6" t="n">
        <v>10</v>
      </c>
      <c r="BE18" s="6" t="inlineStr">
        <is>
          <t>N</t>
        </is>
      </c>
      <c r="BF18" s="6" t="n">
        <v>0</v>
      </c>
      <c r="BG18" s="6" t="n">
        <v>15</v>
      </c>
      <c r="BH18" s="6" t="inlineStr">
        <is>
          <t>Y</t>
        </is>
      </c>
      <c r="BI18" s="2" t="inlineStr">
        <is>
          <t>Within 15 mi of major construction/industrial employers; highway access</t>
        </is>
      </c>
      <c r="BJ18" s="2" t="inlineStr">
        <is>
          <t>Placeholder values</t>
        </is>
      </c>
    </row>
    <row r="19">
      <c r="A19" s="4" t="inlineStr">
        <is>
          <t>Leisure RV park / campground</t>
        </is>
      </c>
      <c r="B19" s="9" t="inlineStr">
        <is>
          <t>Hospitality</t>
        </is>
      </c>
      <c r="C19" s="6" t="inlineStr">
        <is>
          <t>Income</t>
        </is>
      </c>
      <c r="D19" s="6" t="inlineStr">
        <is>
          <t>site</t>
        </is>
      </c>
      <c r="E19" s="6" t="inlineStr">
        <is>
          <t>Y</t>
        </is>
      </c>
      <c r="F19" s="6" t="inlineStr">
        <is>
          <t>RV</t>
        </is>
      </c>
      <c r="G19" s="33" t="n">
        <v>12</v>
      </c>
      <c r="H19" s="34" t="n">
        <v>0</v>
      </c>
      <c r="I19" s="33" t="n">
        <v>0</v>
      </c>
      <c r="J19" s="6" t="n">
        <v>0</v>
      </c>
      <c r="K19" s="6" t="inlineStr">
        <is>
          <t>N</t>
        </is>
      </c>
      <c r="L19" s="33" t="n">
        <v>5</v>
      </c>
      <c r="M19" s="33" t="n">
        <v>20</v>
      </c>
      <c r="N19" s="11" t="n">
        <v>0.05</v>
      </c>
      <c r="O19" s="34" t="n">
        <v>0</v>
      </c>
      <c r="P19" s="6" t="n">
        <v>3</v>
      </c>
      <c r="Q19" s="11" t="n">
        <v>0</v>
      </c>
      <c r="R19" s="33" t="n">
        <v>0</v>
      </c>
      <c r="S19" s="33" t="n">
        <v>0</v>
      </c>
      <c r="T19" s="6" t="inlineStr">
        <is>
          <t>N</t>
        </is>
      </c>
      <c r="U19" s="6" t="inlineStr">
        <is>
          <t>N</t>
        </is>
      </c>
      <c r="V19" s="34" t="n">
        <v>1</v>
      </c>
      <c r="W19" s="34" t="n">
        <v>0.25</v>
      </c>
      <c r="X19" s="34" t="n">
        <v>0</v>
      </c>
      <c r="Y19" s="34" t="n">
        <v>60</v>
      </c>
      <c r="Z19" s="6" t="inlineStr">
        <is>
          <t>Y</t>
        </is>
      </c>
      <c r="AA19" s="11" t="n">
        <v>1</v>
      </c>
      <c r="AB19" s="6" t="inlineStr">
        <is>
          <t>Y</t>
        </is>
      </c>
      <c r="AC19" s="34" t="n">
        <v>35</v>
      </c>
      <c r="AD19" s="34" t="n">
        <v>0</v>
      </c>
      <c r="AE19" s="13" t="n">
        <v>40000</v>
      </c>
      <c r="AF19" s="13" t="n">
        <v>22000</v>
      </c>
      <c r="AG19" s="13" t="n">
        <v>0</v>
      </c>
      <c r="AH19" s="6" t="n">
        <v>12</v>
      </c>
      <c r="AI19" s="13" t="n">
        <v>0</v>
      </c>
      <c r="AJ19" s="13" t="n">
        <v>0</v>
      </c>
      <c r="AK19" s="13" t="n">
        <v>20075</v>
      </c>
      <c r="AL19" s="11" t="n">
        <v>0.08</v>
      </c>
      <c r="AM19" s="11" t="n">
        <v>0.45</v>
      </c>
      <c r="AN19" s="13" t="n">
        <v>3000</v>
      </c>
      <c r="AO19" s="11" t="n">
        <v>0.12</v>
      </c>
      <c r="AP19" s="11" t="n">
        <v>0</v>
      </c>
      <c r="AQ19" s="6" t="n">
        <v>24</v>
      </c>
      <c r="AR19" s="11" t="n">
        <v>0.09</v>
      </c>
      <c r="AS19" s="13" t="n">
        <v>40000</v>
      </c>
      <c r="AT19" s="13" t="n">
        <v>0</v>
      </c>
      <c r="AU19" s="11" t="n">
        <v>0.15</v>
      </c>
      <c r="AV19" s="6" t="n">
        <v>1</v>
      </c>
      <c r="AW19" s="6" t="n">
        <v>1</v>
      </c>
      <c r="AX19" s="6" t="n">
        <v>1</v>
      </c>
      <c r="AY19" s="6" t="n">
        <v>60</v>
      </c>
      <c r="AZ19" s="6" t="inlineStr">
        <is>
          <t>N</t>
        </is>
      </c>
      <c r="BA19" s="6" t="inlineStr">
        <is>
          <t>Y</t>
        </is>
      </c>
      <c r="BB19" s="6" t="n">
        <v>0</v>
      </c>
      <c r="BC19" s="6" t="n">
        <v>0</v>
      </c>
      <c r="BD19" s="6" t="n">
        <v>15</v>
      </c>
      <c r="BE19" s="6" t="inlineStr">
        <is>
          <t>N</t>
        </is>
      </c>
      <c r="BF19" s="6" t="n">
        <v>0</v>
      </c>
      <c r="BG19" s="6" t="n">
        <v>0</v>
      </c>
      <c r="BH19" s="6" t="inlineStr">
        <is>
          <t>N</t>
        </is>
      </c>
      <c r="BI19" s="2" t="inlineStr">
        <is>
          <t>Within 30 min of lake, state park or attraction; scenic; highway access</t>
        </is>
      </c>
      <c r="BJ19" s="2" t="inlineStr">
        <is>
          <t>Nightly use: rent = ADR $55 x 365; vacancy = 1 - occupancy (55%)</t>
        </is>
      </c>
    </row>
    <row r="20">
      <c r="A20" s="4" t="inlineStr">
        <is>
          <t>STR tiny-home resort / glamping</t>
        </is>
      </c>
      <c r="B20" s="9" t="inlineStr">
        <is>
          <t>Hospitality</t>
        </is>
      </c>
      <c r="C20" s="6" t="inlineStr">
        <is>
          <t>Income</t>
        </is>
      </c>
      <c r="D20" s="6" t="inlineStr">
        <is>
          <t>cabin</t>
        </is>
      </c>
      <c r="E20" s="6" t="inlineStr">
        <is>
          <t>Y</t>
        </is>
      </c>
      <c r="F20" s="6" t="inlineStr">
        <is>
          <t>LODG</t>
        </is>
      </c>
      <c r="G20" s="33" t="n">
        <v>6</v>
      </c>
      <c r="H20" s="34" t="n">
        <v>0</v>
      </c>
      <c r="I20" s="33" t="n">
        <v>0</v>
      </c>
      <c r="J20" s="6" t="n">
        <v>0</v>
      </c>
      <c r="K20" s="6" t="inlineStr">
        <is>
          <t>N</t>
        </is>
      </c>
      <c r="L20" s="33" t="n">
        <v>3</v>
      </c>
      <c r="M20" s="33" t="n">
        <v>15</v>
      </c>
      <c r="N20" s="11" t="n">
        <v>0.05</v>
      </c>
      <c r="O20" s="34" t="n">
        <v>0</v>
      </c>
      <c r="P20" s="6" t="n">
        <v>3</v>
      </c>
      <c r="Q20" s="11" t="n">
        <v>0</v>
      </c>
      <c r="R20" s="33" t="n">
        <v>0</v>
      </c>
      <c r="S20" s="33" t="n">
        <v>0</v>
      </c>
      <c r="T20" s="6" t="inlineStr">
        <is>
          <t>N</t>
        </is>
      </c>
      <c r="U20" s="6" t="inlineStr">
        <is>
          <t>N</t>
        </is>
      </c>
      <c r="V20" s="34" t="n">
        <v>1</v>
      </c>
      <c r="W20" s="34" t="n">
        <v>0.25</v>
      </c>
      <c r="X20" s="34" t="n">
        <v>0</v>
      </c>
      <c r="Y20" s="34" t="n">
        <v>150</v>
      </c>
      <c r="Z20" s="6" t="inlineStr">
        <is>
          <t>Y</t>
        </is>
      </c>
      <c r="AA20" s="11" t="n">
        <v>1</v>
      </c>
      <c r="AB20" s="6" t="inlineStr">
        <is>
          <t>Y</t>
        </is>
      </c>
      <c r="AC20" s="34" t="n">
        <v>40</v>
      </c>
      <c r="AD20" s="34" t="n">
        <v>0</v>
      </c>
      <c r="AE20" s="13" t="n">
        <v>40000</v>
      </c>
      <c r="AF20" s="13" t="n">
        <v>110000</v>
      </c>
      <c r="AG20" s="13" t="n">
        <v>0</v>
      </c>
      <c r="AH20" s="6" t="n">
        <v>14</v>
      </c>
      <c r="AI20" s="13" t="n">
        <v>0</v>
      </c>
      <c r="AJ20" s="13" t="n">
        <v>0</v>
      </c>
      <c r="AK20" s="13" t="n">
        <v>63875</v>
      </c>
      <c r="AL20" s="11" t="n">
        <v>0.05</v>
      </c>
      <c r="AM20" s="11" t="n">
        <v>0.45</v>
      </c>
      <c r="AN20" s="13" t="n">
        <v>9000</v>
      </c>
      <c r="AO20" s="11" t="n">
        <v>0.2</v>
      </c>
      <c r="AP20" s="11" t="n">
        <v>0</v>
      </c>
      <c r="AQ20" s="6" t="n">
        <v>18</v>
      </c>
      <c r="AR20" s="11" t="n">
        <v>0.08500000000000001</v>
      </c>
      <c r="AS20" s="13" t="n">
        <v>40000</v>
      </c>
      <c r="AT20" s="13" t="n">
        <v>0</v>
      </c>
      <c r="AU20" s="11" t="n">
        <v>0.15</v>
      </c>
      <c r="AV20" s="6" t="n">
        <v>1</v>
      </c>
      <c r="AW20" s="6" t="n">
        <v>1</v>
      </c>
      <c r="AX20" s="6" t="n">
        <v>1</v>
      </c>
      <c r="AY20" s="6" t="n">
        <v>60</v>
      </c>
      <c r="AZ20" s="6" t="inlineStr">
        <is>
          <t>N</t>
        </is>
      </c>
      <c r="BA20" s="6" t="inlineStr">
        <is>
          <t>Y</t>
        </is>
      </c>
      <c r="BB20" s="6" t="n">
        <v>0</v>
      </c>
      <c r="BC20" s="6" t="n">
        <v>0</v>
      </c>
      <c r="BD20" s="6" t="n">
        <v>0</v>
      </c>
      <c r="BE20" s="6" t="inlineStr">
        <is>
          <t>N</t>
        </is>
      </c>
      <c r="BF20" s="6" t="n">
        <v>0</v>
      </c>
      <c r="BG20" s="6" t="n">
        <v>0</v>
      </c>
      <c r="BH20" s="6" t="inlineStr">
        <is>
          <t>N</t>
        </is>
      </c>
      <c r="BI20" s="2" t="inlineStr">
        <is>
          <t>Scenic land (trees, water, views); &lt; 2 hrs from metro; short-term rentals allowed</t>
        </is>
      </c>
      <c r="BJ20" s="2" t="inlineStr">
        <is>
          <t>Nightly use: rent = ADR $175 x 365; vacancy = 1 - occupancy (55%); mgmt includes platform fees</t>
        </is>
      </c>
    </row>
    <row r="21">
      <c r="A21" s="4" t="inlineStr">
        <is>
          <t>Workforce rental housing (garden)</t>
        </is>
      </c>
      <c r="B21" s="9" t="inlineStr">
        <is>
          <t>Housing</t>
        </is>
      </c>
      <c r="C21" s="6" t="inlineStr">
        <is>
          <t>Income</t>
        </is>
      </c>
      <c r="D21" s="6" t="inlineStr">
        <is>
          <t>unit</t>
        </is>
      </c>
      <c r="E21" s="6" t="inlineStr">
        <is>
          <t>Y</t>
        </is>
      </c>
      <c r="F21" s="6" t="inlineStr">
        <is>
          <t>RES-MF</t>
        </is>
      </c>
      <c r="G21" s="33" t="n">
        <v>20</v>
      </c>
      <c r="H21" s="34" t="n">
        <v>1300</v>
      </c>
      <c r="I21" s="33" t="n">
        <v>0</v>
      </c>
      <c r="J21" s="6" t="n">
        <v>0</v>
      </c>
      <c r="K21" s="6" t="inlineStr">
        <is>
          <t>N</t>
        </is>
      </c>
      <c r="L21" s="33" t="n">
        <v>3</v>
      </c>
      <c r="M21" s="33" t="n">
        <v>15</v>
      </c>
      <c r="N21" s="11" t="n">
        <v>0.05</v>
      </c>
      <c r="O21" s="34" t="n">
        <v>0</v>
      </c>
      <c r="P21" s="6" t="n">
        <v>3</v>
      </c>
      <c r="Q21" s="11" t="n">
        <v>0</v>
      </c>
      <c r="R21" s="33" t="n">
        <v>15</v>
      </c>
      <c r="S21" s="33" t="n">
        <v>0</v>
      </c>
      <c r="T21" s="6" t="inlineStr">
        <is>
          <t>Y</t>
        </is>
      </c>
      <c r="U21" s="6" t="inlineStr">
        <is>
          <t>Y</t>
        </is>
      </c>
      <c r="V21" s="34" t="n">
        <v>0.05</v>
      </c>
      <c r="W21" s="34" t="n">
        <v>0</v>
      </c>
      <c r="X21" s="34" t="n">
        <v>0</v>
      </c>
      <c r="Y21" s="34" t="n">
        <v>0</v>
      </c>
      <c r="Z21" s="6" t="inlineStr">
        <is>
          <t>Y</t>
        </is>
      </c>
      <c r="AA21" s="11" t="n">
        <v>1</v>
      </c>
      <c r="AB21" s="6" t="inlineStr">
        <is>
          <t>Y</t>
        </is>
      </c>
      <c r="AC21" s="34" t="n">
        <v>8</v>
      </c>
      <c r="AD21" s="34" t="n">
        <v>560</v>
      </c>
      <c r="AE21" s="13" t="n">
        <v>75000</v>
      </c>
      <c r="AF21" s="13" t="n">
        <v>140000</v>
      </c>
      <c r="AG21" s="13" t="n">
        <v>0</v>
      </c>
      <c r="AH21" s="6" t="n">
        <v>18</v>
      </c>
      <c r="AI21" s="13" t="n">
        <v>0</v>
      </c>
      <c r="AJ21" s="13" t="n">
        <v>0</v>
      </c>
      <c r="AK21" s="13" t="n">
        <v>17400</v>
      </c>
      <c r="AL21" s="11" t="n">
        <v>0.05</v>
      </c>
      <c r="AM21" s="11" t="n">
        <v>0.06</v>
      </c>
      <c r="AN21" s="13" t="n">
        <v>4500</v>
      </c>
      <c r="AO21" s="11" t="n">
        <v>0.035</v>
      </c>
      <c r="AP21" s="11" t="n">
        <v>0.05</v>
      </c>
      <c r="AQ21" s="6" t="n">
        <v>15</v>
      </c>
      <c r="AR21" s="11" t="n">
        <v>0.0575</v>
      </c>
      <c r="AS21" s="13" t="n">
        <v>250000</v>
      </c>
      <c r="AT21" s="13" t="n">
        <v>0</v>
      </c>
      <c r="AU21" s="11" t="n">
        <v>0.15</v>
      </c>
      <c r="AV21" s="6" t="n">
        <v>1</v>
      </c>
      <c r="AW21" s="6" t="n">
        <v>1</v>
      </c>
      <c r="AX21" s="6" t="n">
        <v>1</v>
      </c>
      <c r="AY21" s="6" t="n">
        <v>200</v>
      </c>
      <c r="AZ21" s="6" t="inlineStr">
        <is>
          <t>N</t>
        </is>
      </c>
      <c r="BA21" s="6" t="inlineStr">
        <is>
          <t>Y</t>
        </is>
      </c>
      <c r="BB21" s="6" t="n">
        <v>0</v>
      </c>
      <c r="BC21" s="6" t="n">
        <v>4000</v>
      </c>
      <c r="BD21" s="6" t="n">
        <v>0</v>
      </c>
      <c r="BE21" s="6" t="inlineStr">
        <is>
          <t>N</t>
        </is>
      </c>
      <c r="BF21" s="6" t="n">
        <v>0</v>
      </c>
      <c r="BG21" s="6" t="n">
        <v>0</v>
      </c>
      <c r="BH21" s="6" t="inlineStr">
        <is>
          <t>N</t>
        </is>
      </c>
      <c r="BI21" s="2" t="inlineStr">
        <is>
          <t>MF zoning or rezonable; job growth; schools; sewer capacity</t>
        </is>
      </c>
      <c r="BJ21" s="2" t="inlineStr">
        <is>
          <t>Placeholder values</t>
        </is>
      </c>
    </row>
    <row r="22">
      <c r="A22" s="4" t="inlineStr">
        <is>
          <t>Multifamily - large garden (150+ units)</t>
        </is>
      </c>
      <c r="B22" s="9" t="inlineStr">
        <is>
          <t>Housing</t>
        </is>
      </c>
      <c r="C22" s="6" t="inlineStr">
        <is>
          <t>Income</t>
        </is>
      </c>
      <c r="D22" s="6" t="inlineStr">
        <is>
          <t>unit</t>
        </is>
      </c>
      <c r="E22" s="6" t="inlineStr">
        <is>
          <t>Y</t>
        </is>
      </c>
      <c r="F22" s="6" t="inlineStr">
        <is>
          <t>RES-MF</t>
        </is>
      </c>
      <c r="G22" s="33" t="n">
        <v>24</v>
      </c>
      <c r="H22" s="34" t="n">
        <v>1200</v>
      </c>
      <c r="I22" s="33" t="n">
        <v>0</v>
      </c>
      <c r="J22" s="6" t="n">
        <v>0</v>
      </c>
      <c r="K22" s="6" t="inlineStr">
        <is>
          <t>N</t>
        </is>
      </c>
      <c r="L22" s="33" t="n">
        <v>6</v>
      </c>
      <c r="M22" s="33" t="n">
        <v>20</v>
      </c>
      <c r="N22" s="11" t="n">
        <v>0.05</v>
      </c>
      <c r="O22" s="34" t="n">
        <v>0</v>
      </c>
      <c r="P22" s="6" t="n">
        <v>3</v>
      </c>
      <c r="Q22" s="11" t="n">
        <v>0</v>
      </c>
      <c r="R22" s="33" t="n">
        <v>18</v>
      </c>
      <c r="S22" s="33" t="n">
        <v>0</v>
      </c>
      <c r="T22" s="6" t="inlineStr">
        <is>
          <t>Y</t>
        </is>
      </c>
      <c r="U22" s="6" t="inlineStr">
        <is>
          <t>Y</t>
        </is>
      </c>
      <c r="V22" s="34" t="n">
        <v>0.04</v>
      </c>
      <c r="W22" s="34" t="n">
        <v>0</v>
      </c>
      <c r="X22" s="34" t="n">
        <v>0</v>
      </c>
      <c r="Y22" s="34" t="n">
        <v>0</v>
      </c>
      <c r="Z22" s="6" t="inlineStr">
        <is>
          <t>Y</t>
        </is>
      </c>
      <c r="AA22" s="11" t="n">
        <v>1</v>
      </c>
      <c r="AB22" s="6" t="inlineStr">
        <is>
          <t>Y</t>
        </is>
      </c>
      <c r="AC22" s="34" t="n">
        <v>8</v>
      </c>
      <c r="AD22" s="34" t="n">
        <v>560</v>
      </c>
      <c r="AE22" s="13" t="n">
        <v>100000</v>
      </c>
      <c r="AF22" s="13" t="n">
        <v>150000</v>
      </c>
      <c r="AG22" s="13" t="n">
        <v>0</v>
      </c>
      <c r="AH22" s="6" t="n">
        <v>20</v>
      </c>
      <c r="AI22" s="13" t="n">
        <v>0</v>
      </c>
      <c r="AJ22" s="13" t="n">
        <v>0</v>
      </c>
      <c r="AK22" s="13" t="n">
        <v>21000</v>
      </c>
      <c r="AL22" s="11" t="n">
        <v>0.06</v>
      </c>
      <c r="AM22" s="11" t="n">
        <v>0.06</v>
      </c>
      <c r="AN22" s="13" t="n">
        <v>5000</v>
      </c>
      <c r="AO22" s="11" t="n">
        <v>0.03</v>
      </c>
      <c r="AP22" s="11" t="n">
        <v>0.05</v>
      </c>
      <c r="AQ22" s="6" t="n">
        <v>18</v>
      </c>
      <c r="AR22" s="11" t="n">
        <v>0.055</v>
      </c>
      <c r="AS22" s="13" t="n">
        <v>350000</v>
      </c>
      <c r="AT22" s="13" t="n">
        <v>0</v>
      </c>
      <c r="AU22" s="11" t="n">
        <v>0.15</v>
      </c>
      <c r="AV22" s="6" t="n">
        <v>1</v>
      </c>
      <c r="AW22" s="6" t="n">
        <v>1</v>
      </c>
      <c r="AX22" s="6" t="n">
        <v>1</v>
      </c>
      <c r="AY22" s="6" t="n">
        <v>300</v>
      </c>
      <c r="AZ22" s="6" t="inlineStr">
        <is>
          <t>N</t>
        </is>
      </c>
      <c r="BA22" s="6" t="inlineStr">
        <is>
          <t>Y</t>
        </is>
      </c>
      <c r="BB22" s="6" t="n">
        <v>0</v>
      </c>
      <c r="BC22" s="6" t="n">
        <v>8000</v>
      </c>
      <c r="BD22" s="6" t="n">
        <v>10</v>
      </c>
      <c r="BE22" s="6" t="inlineStr">
        <is>
          <t>N</t>
        </is>
      </c>
      <c r="BF22" s="6" t="n">
        <v>0</v>
      </c>
      <c r="BG22" s="6" t="n">
        <v>0</v>
      </c>
      <c r="BH22" s="6" t="inlineStr">
        <is>
          <t>N</t>
        </is>
      </c>
      <c r="BI22" s="2" t="inlineStr">
        <is>
          <t>MF zoning; arterial frontage; employment within 20 min; sewer capacity letter</t>
        </is>
      </c>
      <c r="BJ22" s="2" t="inlineStr">
        <is>
          <t>Simplified. Unit mix, draws and LP/GP waterfall belong in the separate MF module (see build guide)</t>
        </is>
      </c>
    </row>
    <row r="23">
      <c r="A23" s="4" t="inlineStr">
        <is>
          <t>Multifamily - mid-rise / wrap</t>
        </is>
      </c>
      <c r="B23" s="9" t="inlineStr">
        <is>
          <t>Housing</t>
        </is>
      </c>
      <c r="C23" s="6" t="inlineStr">
        <is>
          <t>Income</t>
        </is>
      </c>
      <c r="D23" s="6" t="inlineStr">
        <is>
          <t>unit</t>
        </is>
      </c>
      <c r="E23" s="6" t="inlineStr">
        <is>
          <t>Y</t>
        </is>
      </c>
      <c r="F23" s="6" t="inlineStr">
        <is>
          <t>RES-MF</t>
        </is>
      </c>
      <c r="G23" s="33" t="n">
        <v>60</v>
      </c>
      <c r="H23" s="34" t="n">
        <v>500</v>
      </c>
      <c r="I23" s="33" t="n">
        <v>0</v>
      </c>
      <c r="J23" s="6" t="n">
        <v>0</v>
      </c>
      <c r="K23" s="6" t="inlineStr">
        <is>
          <t>N</t>
        </is>
      </c>
      <c r="L23" s="33" t="n">
        <v>2</v>
      </c>
      <c r="M23" s="33" t="n">
        <v>6</v>
      </c>
      <c r="N23" s="11" t="n">
        <v>0.05</v>
      </c>
      <c r="O23" s="34" t="n">
        <v>0</v>
      </c>
      <c r="P23" s="6" t="n">
        <v>3</v>
      </c>
      <c r="Q23" s="11" t="n">
        <v>0</v>
      </c>
      <c r="R23" s="33" t="n">
        <v>20</v>
      </c>
      <c r="S23" s="33" t="n">
        <v>0</v>
      </c>
      <c r="T23" s="6" t="inlineStr">
        <is>
          <t>Y</t>
        </is>
      </c>
      <c r="U23" s="6" t="inlineStr">
        <is>
          <t>Y</t>
        </is>
      </c>
      <c r="V23" s="34" t="n">
        <v>0.02</v>
      </c>
      <c r="W23" s="34" t="n">
        <v>0</v>
      </c>
      <c r="X23" s="34" t="n">
        <v>0</v>
      </c>
      <c r="Y23" s="34" t="n">
        <v>0</v>
      </c>
      <c r="Z23" s="6" t="inlineStr">
        <is>
          <t>Y</t>
        </is>
      </c>
      <c r="AA23" s="11" t="n">
        <v>1</v>
      </c>
      <c r="AB23" s="6" t="inlineStr">
        <is>
          <t>Y</t>
        </is>
      </c>
      <c r="AC23" s="34" t="n">
        <v>3</v>
      </c>
      <c r="AD23" s="34" t="n">
        <v>0</v>
      </c>
      <c r="AE23" s="13" t="n">
        <v>150000</v>
      </c>
      <c r="AF23" s="13" t="n">
        <v>240000</v>
      </c>
      <c r="AG23" s="13" t="n">
        <v>0</v>
      </c>
      <c r="AH23" s="6" t="n">
        <v>26</v>
      </c>
      <c r="AI23" s="13" t="n">
        <v>0</v>
      </c>
      <c r="AJ23" s="13" t="n">
        <v>0</v>
      </c>
      <c r="AK23" s="13" t="n">
        <v>25200</v>
      </c>
      <c r="AL23" s="11" t="n">
        <v>0.07000000000000001</v>
      </c>
      <c r="AM23" s="11" t="n">
        <v>0.06</v>
      </c>
      <c r="AN23" s="13" t="n">
        <v>5500</v>
      </c>
      <c r="AO23" s="11" t="n">
        <v>0.03</v>
      </c>
      <c r="AP23" s="11" t="n">
        <v>0.05</v>
      </c>
      <c r="AQ23" s="6" t="n">
        <v>20</v>
      </c>
      <c r="AR23" s="11" t="n">
        <v>0.0525</v>
      </c>
      <c r="AS23" s="13" t="n">
        <v>900000</v>
      </c>
      <c r="AT23" s="13" t="n">
        <v>0</v>
      </c>
      <c r="AU23" s="11" t="n">
        <v>0.15</v>
      </c>
      <c r="AV23" s="6" t="n">
        <v>1</v>
      </c>
      <c r="AW23" s="6" t="n">
        <v>1</v>
      </c>
      <c r="AX23" s="6" t="n">
        <v>1</v>
      </c>
      <c r="AY23" s="6" t="n">
        <v>250</v>
      </c>
      <c r="AZ23" s="6" t="inlineStr">
        <is>
          <t>N</t>
        </is>
      </c>
      <c r="BA23" s="6" t="inlineStr">
        <is>
          <t>Y</t>
        </is>
      </c>
      <c r="BB23" s="6" t="n">
        <v>0</v>
      </c>
      <c r="BC23" s="6" t="n">
        <v>15000</v>
      </c>
      <c r="BD23" s="6" t="n">
        <v>0</v>
      </c>
      <c r="BE23" s="6" t="inlineStr">
        <is>
          <t>N</t>
        </is>
      </c>
      <c r="BF23" s="6" t="n">
        <v>0</v>
      </c>
      <c r="BG23" s="6" t="n">
        <v>0</v>
      </c>
      <c r="BH23" s="6" t="inlineStr">
        <is>
          <t>N</t>
        </is>
      </c>
      <c r="BI23" s="2" t="inlineStr">
        <is>
          <t>Urban/suburban core; high-density zoning; walkable retail</t>
        </is>
      </c>
      <c r="BJ23" s="2" t="inlineStr">
        <is>
          <t>Structured parking included in vertical</t>
        </is>
      </c>
    </row>
    <row r="24">
      <c r="A24" s="4" t="inlineStr">
        <is>
          <t>Duplex / fourplex rental</t>
        </is>
      </c>
      <c r="B24" s="9" t="inlineStr">
        <is>
          <t>Housing</t>
        </is>
      </c>
      <c r="C24" s="6" t="inlineStr">
        <is>
          <t>Income</t>
        </is>
      </c>
      <c r="D24" s="6" t="inlineStr">
        <is>
          <t>unit</t>
        </is>
      </c>
      <c r="E24" s="6" t="inlineStr">
        <is>
          <t>Y</t>
        </is>
      </c>
      <c r="F24" s="6" t="inlineStr">
        <is>
          <t>RES-ATT</t>
        </is>
      </c>
      <c r="G24" s="33" t="n">
        <v>8</v>
      </c>
      <c r="H24" s="34" t="n">
        <v>0</v>
      </c>
      <c r="I24" s="33" t="n">
        <v>0</v>
      </c>
      <c r="J24" s="6" t="n">
        <v>0</v>
      </c>
      <c r="K24" s="6" t="inlineStr">
        <is>
          <t>N</t>
        </is>
      </c>
      <c r="L24" s="33" t="n">
        <v>0</v>
      </c>
      <c r="M24" s="33" t="n">
        <v>0</v>
      </c>
      <c r="N24" s="11" t="n">
        <v>0.05</v>
      </c>
      <c r="O24" s="34" t="n">
        <v>0</v>
      </c>
      <c r="P24" s="6" t="n">
        <v>3</v>
      </c>
      <c r="Q24" s="11" t="n">
        <v>0</v>
      </c>
      <c r="R24" s="33" t="n">
        <v>4</v>
      </c>
      <c r="S24" s="33" t="n">
        <v>0</v>
      </c>
      <c r="T24" s="6" t="inlineStr">
        <is>
          <t>Y</t>
        </is>
      </c>
      <c r="U24" s="6" t="inlineStr">
        <is>
          <t>Y</t>
        </is>
      </c>
      <c r="V24" s="34" t="n">
        <v>0.5</v>
      </c>
      <c r="W24" s="34" t="n">
        <v>0</v>
      </c>
      <c r="X24" s="34" t="n">
        <v>0</v>
      </c>
      <c r="Y24" s="34" t="n">
        <v>0</v>
      </c>
      <c r="Z24" s="6" t="inlineStr">
        <is>
          <t>Y</t>
        </is>
      </c>
      <c r="AA24" s="11" t="n">
        <v>1</v>
      </c>
      <c r="AB24" s="6" t="inlineStr">
        <is>
          <t>Y</t>
        </is>
      </c>
      <c r="AC24" s="34" t="n">
        <v>20</v>
      </c>
      <c r="AD24" s="34" t="n">
        <v>0</v>
      </c>
      <c r="AE24" s="13" t="n">
        <v>25000</v>
      </c>
      <c r="AF24" s="13" t="n">
        <v>175000</v>
      </c>
      <c r="AG24" s="13" t="n">
        <v>0</v>
      </c>
      <c r="AH24" s="6" t="n">
        <v>12</v>
      </c>
      <c r="AI24" s="13" t="n">
        <v>0</v>
      </c>
      <c r="AJ24" s="13" t="n">
        <v>0</v>
      </c>
      <c r="AK24" s="13" t="n">
        <v>19800</v>
      </c>
      <c r="AL24" s="11" t="n">
        <v>0.02</v>
      </c>
      <c r="AM24" s="11" t="n">
        <v>0.05</v>
      </c>
      <c r="AN24" s="13" t="n">
        <v>3500</v>
      </c>
      <c r="AO24" s="11" t="n">
        <v>0.08</v>
      </c>
      <c r="AP24" s="11" t="n">
        <v>0.05</v>
      </c>
      <c r="AQ24" s="6" t="n">
        <v>6</v>
      </c>
      <c r="AR24" s="11" t="n">
        <v>0.0625</v>
      </c>
      <c r="AS24" s="13" t="n">
        <v>150000</v>
      </c>
      <c r="AT24" s="13" t="n">
        <v>0</v>
      </c>
      <c r="AU24" s="11" t="n">
        <v>0.15</v>
      </c>
      <c r="AV24" s="6" t="n">
        <v>1</v>
      </c>
      <c r="AW24" s="6" t="n">
        <v>1</v>
      </c>
      <c r="AX24" s="6" t="n">
        <v>1</v>
      </c>
      <c r="AY24" s="6" t="n">
        <v>60</v>
      </c>
      <c r="AZ24" s="6" t="inlineStr">
        <is>
          <t>N</t>
        </is>
      </c>
      <c r="BA24" s="6" t="inlineStr">
        <is>
          <t>Y</t>
        </is>
      </c>
      <c r="BB24" s="6" t="n">
        <v>0</v>
      </c>
      <c r="BC24" s="6" t="n">
        <v>0</v>
      </c>
      <c r="BD24" s="6" t="n">
        <v>0</v>
      </c>
      <c r="BE24" s="6" t="inlineStr">
        <is>
          <t>N</t>
        </is>
      </c>
      <c r="BF24" s="6" t="n">
        <v>0</v>
      </c>
      <c r="BG24" s="6" t="n">
        <v>0</v>
      </c>
      <c r="BH24" s="6" t="inlineStr">
        <is>
          <t>N</t>
        </is>
      </c>
      <c r="BI24" s="2" t="inlineStr">
        <is>
          <t>SF/2F zoning; schools; city utilities</t>
        </is>
      </c>
      <c r="BJ24" s="2" t="inlineStr">
        <is>
          <t>Placeholder values</t>
        </is>
      </c>
    </row>
    <row r="25">
      <c r="A25" s="4" t="inlineStr">
        <is>
          <t>Tiny-home long-term rental community</t>
        </is>
      </c>
      <c r="B25" s="9" t="inlineStr">
        <is>
          <t>Housing</t>
        </is>
      </c>
      <c r="C25" s="6" t="inlineStr">
        <is>
          <t>Income</t>
        </is>
      </c>
      <c r="D25" s="6" t="inlineStr">
        <is>
          <t>home</t>
        </is>
      </c>
      <c r="E25" s="6" t="inlineStr">
        <is>
          <t>Y</t>
        </is>
      </c>
      <c r="F25" s="6" t="inlineStr">
        <is>
          <t>MH</t>
        </is>
      </c>
      <c r="G25" s="33" t="n">
        <v>10</v>
      </c>
      <c r="H25" s="34" t="n">
        <v>0</v>
      </c>
      <c r="I25" s="33" t="n">
        <v>0</v>
      </c>
      <c r="J25" s="6" t="n">
        <v>0</v>
      </c>
      <c r="K25" s="6" t="inlineStr">
        <is>
          <t>N</t>
        </is>
      </c>
      <c r="L25" s="33" t="n">
        <v>0</v>
      </c>
      <c r="M25" s="33" t="n">
        <v>0</v>
      </c>
      <c r="N25" s="11" t="n">
        <v>0.05</v>
      </c>
      <c r="O25" s="34" t="n">
        <v>0</v>
      </c>
      <c r="P25" s="6" t="n">
        <v>3</v>
      </c>
      <c r="Q25" s="11" t="n">
        <v>0</v>
      </c>
      <c r="R25" s="33" t="n">
        <v>4</v>
      </c>
      <c r="S25" s="33" t="n">
        <v>0</v>
      </c>
      <c r="T25" s="6" t="inlineStr">
        <is>
          <t>N</t>
        </is>
      </c>
      <c r="U25" s="6" t="inlineStr">
        <is>
          <t>N</t>
        </is>
      </c>
      <c r="V25" s="34" t="n">
        <v>1</v>
      </c>
      <c r="W25" s="34" t="n">
        <v>0.25</v>
      </c>
      <c r="X25" s="34" t="n">
        <v>0</v>
      </c>
      <c r="Y25" s="34" t="n">
        <v>150</v>
      </c>
      <c r="Z25" s="6" t="inlineStr">
        <is>
          <t>Y</t>
        </is>
      </c>
      <c r="AA25" s="11" t="n">
        <v>1</v>
      </c>
      <c r="AB25" s="6" t="inlineStr">
        <is>
          <t>Y</t>
        </is>
      </c>
      <c r="AC25" s="34" t="n">
        <v>25</v>
      </c>
      <c r="AD25" s="34" t="n">
        <v>0</v>
      </c>
      <c r="AE25" s="13" t="n">
        <v>25000</v>
      </c>
      <c r="AF25" s="13" t="n">
        <v>85000</v>
      </c>
      <c r="AG25" s="13" t="n">
        <v>0</v>
      </c>
      <c r="AH25" s="6" t="n">
        <v>12</v>
      </c>
      <c r="AI25" s="13" t="n">
        <v>0</v>
      </c>
      <c r="AJ25" s="13" t="n">
        <v>0</v>
      </c>
      <c r="AK25" s="13" t="n">
        <v>13200</v>
      </c>
      <c r="AL25" s="11" t="n">
        <v>0.03</v>
      </c>
      <c r="AM25" s="11" t="n">
        <v>0.07000000000000001</v>
      </c>
      <c r="AN25" s="13" t="n">
        <v>2500</v>
      </c>
      <c r="AO25" s="11" t="n">
        <v>0.08</v>
      </c>
      <c r="AP25" s="11" t="n">
        <v>0.05</v>
      </c>
      <c r="AQ25" s="6" t="n">
        <v>9</v>
      </c>
      <c r="AR25" s="11" t="n">
        <v>0.0675</v>
      </c>
      <c r="AS25" s="13" t="n">
        <v>40000</v>
      </c>
      <c r="AT25" s="13" t="n">
        <v>0</v>
      </c>
      <c r="AU25" s="11" t="n">
        <v>0.15</v>
      </c>
      <c r="AV25" s="6" t="n">
        <v>1</v>
      </c>
      <c r="AW25" s="6" t="n">
        <v>1</v>
      </c>
      <c r="AX25" s="6" t="n">
        <v>1</v>
      </c>
      <c r="AY25" s="6" t="n">
        <v>60</v>
      </c>
      <c r="AZ25" s="6" t="inlineStr">
        <is>
          <t>N</t>
        </is>
      </c>
      <c r="BA25" s="6" t="inlineStr">
        <is>
          <t>Y</t>
        </is>
      </c>
      <c r="BB25" s="6" t="n">
        <v>0</v>
      </c>
      <c r="BC25" s="6" t="n">
        <v>0</v>
      </c>
      <c r="BD25" s="6" t="n">
        <v>0</v>
      </c>
      <c r="BE25" s="6" t="inlineStr">
        <is>
          <t>N</t>
        </is>
      </c>
      <c r="BF25" s="6" t="n">
        <v>0</v>
      </c>
      <c r="BG25" s="6" t="n">
        <v>0</v>
      </c>
      <c r="BH25" s="6" t="inlineStr">
        <is>
          <t>N</t>
        </is>
      </c>
      <c r="BI25" s="2" t="inlineStr">
        <is>
          <t>Unzoned county or tiny-home zoning; workforce demand; lake/amenity proximity</t>
        </is>
      </c>
      <c r="BJ25" s="2" t="inlineStr">
        <is>
          <t>Placeholder values</t>
        </is>
      </c>
    </row>
    <row r="26">
      <c r="A26" s="4" t="inlineStr">
        <is>
          <t>Build-to-rent cottages</t>
        </is>
      </c>
      <c r="B26" s="9" t="inlineStr">
        <is>
          <t>Housing</t>
        </is>
      </c>
      <c r="C26" s="6" t="inlineStr">
        <is>
          <t>Income</t>
        </is>
      </c>
      <c r="D26" s="6" t="inlineStr">
        <is>
          <t>home</t>
        </is>
      </c>
      <c r="E26" s="6" t="inlineStr">
        <is>
          <t>Y</t>
        </is>
      </c>
      <c r="F26" s="6" t="inlineStr">
        <is>
          <t>RES-SF</t>
        </is>
      </c>
      <c r="G26" s="33" t="n">
        <v>8</v>
      </c>
      <c r="H26" s="34" t="n">
        <v>0</v>
      </c>
      <c r="I26" s="33" t="n">
        <v>0</v>
      </c>
      <c r="J26" s="6" t="n">
        <v>0</v>
      </c>
      <c r="K26" s="6" t="inlineStr">
        <is>
          <t>N</t>
        </is>
      </c>
      <c r="L26" s="33" t="n">
        <v>0</v>
      </c>
      <c r="M26" s="33" t="n">
        <v>0</v>
      </c>
      <c r="N26" s="11" t="n">
        <v>0.05</v>
      </c>
      <c r="O26" s="34" t="n">
        <v>0</v>
      </c>
      <c r="P26" s="6" t="n">
        <v>3</v>
      </c>
      <c r="Q26" s="11" t="n">
        <v>0</v>
      </c>
      <c r="R26" s="33" t="n">
        <v>6</v>
      </c>
      <c r="S26" s="33" t="n">
        <v>0</v>
      </c>
      <c r="T26" s="6" t="inlineStr">
        <is>
          <t>Y</t>
        </is>
      </c>
      <c r="U26" s="6" t="inlineStr">
        <is>
          <t>Y</t>
        </is>
      </c>
      <c r="V26" s="34" t="n">
        <v>1</v>
      </c>
      <c r="W26" s="34" t="n">
        <v>0</v>
      </c>
      <c r="X26" s="34" t="n">
        <v>0</v>
      </c>
      <c r="Y26" s="34" t="n">
        <v>0</v>
      </c>
      <c r="Z26" s="6" t="inlineStr">
        <is>
          <t>Y</t>
        </is>
      </c>
      <c r="AA26" s="11" t="n">
        <v>1</v>
      </c>
      <c r="AB26" s="6" t="inlineStr">
        <is>
          <t>Y</t>
        </is>
      </c>
      <c r="AC26" s="34" t="n">
        <v>20</v>
      </c>
      <c r="AD26" s="34" t="n">
        <v>0</v>
      </c>
      <c r="AE26" s="13" t="n">
        <v>60000</v>
      </c>
      <c r="AF26" s="13" t="n">
        <v>185000</v>
      </c>
      <c r="AG26" s="13" t="n">
        <v>0</v>
      </c>
      <c r="AH26" s="6" t="n">
        <v>16</v>
      </c>
      <c r="AI26" s="13" t="n">
        <v>0</v>
      </c>
      <c r="AJ26" s="13" t="n">
        <v>0</v>
      </c>
      <c r="AK26" s="13" t="n">
        <v>22800</v>
      </c>
      <c r="AL26" s="11" t="n">
        <v>0.03</v>
      </c>
      <c r="AM26" s="11" t="n">
        <v>0.05</v>
      </c>
      <c r="AN26" s="13" t="n">
        <v>4000</v>
      </c>
      <c r="AO26" s="11" t="n">
        <v>0.06</v>
      </c>
      <c r="AP26" s="11" t="n">
        <v>0.05</v>
      </c>
      <c r="AQ26" s="6" t="n">
        <v>12</v>
      </c>
      <c r="AR26" s="11" t="n">
        <v>0.0575</v>
      </c>
      <c r="AS26" s="13" t="n">
        <v>150000</v>
      </c>
      <c r="AT26" s="13" t="n">
        <v>0</v>
      </c>
      <c r="AU26" s="11" t="n">
        <v>0.15</v>
      </c>
      <c r="AV26" s="6" t="n">
        <v>1</v>
      </c>
      <c r="AW26" s="6" t="n">
        <v>1</v>
      </c>
      <c r="AX26" s="6" t="n">
        <v>1</v>
      </c>
      <c r="AY26" s="6" t="n">
        <v>60</v>
      </c>
      <c r="AZ26" s="6" t="inlineStr">
        <is>
          <t>N</t>
        </is>
      </c>
      <c r="BA26" s="6" t="inlineStr">
        <is>
          <t>Y</t>
        </is>
      </c>
      <c r="BB26" s="6" t="n">
        <v>0</v>
      </c>
      <c r="BC26" s="6" t="n">
        <v>0</v>
      </c>
      <c r="BD26" s="6" t="n">
        <v>0</v>
      </c>
      <c r="BE26" s="6" t="inlineStr">
        <is>
          <t>N</t>
        </is>
      </c>
      <c r="BF26" s="6" t="n">
        <v>0</v>
      </c>
      <c r="BG26" s="6" t="n">
        <v>0</v>
      </c>
      <c r="BH26" s="6" t="inlineStr">
        <is>
          <t>N</t>
        </is>
      </c>
      <c r="BI26" s="2" t="inlineStr">
        <is>
          <t>Good schools; job growth; city utilities</t>
        </is>
      </c>
      <c r="BJ26" s="2" t="inlineStr">
        <is>
          <t>Placeholder values</t>
        </is>
      </c>
    </row>
    <row r="27">
      <c r="A27" s="4" t="inlineStr">
        <is>
          <t>Senior housing (assisted living / memory care)</t>
        </is>
      </c>
      <c r="B27" s="9" t="inlineStr">
        <is>
          <t>Housing</t>
        </is>
      </c>
      <c r="C27" s="6" t="inlineStr">
        <is>
          <t>Operator Pad</t>
        </is>
      </c>
      <c r="D27" s="6" t="inlineStr">
        <is>
          <t>acre</t>
        </is>
      </c>
      <c r="E27" s="6" t="inlineStr">
        <is>
          <t>N</t>
        </is>
      </c>
      <c r="F27" s="6" t="inlineStr">
        <is>
          <t>INST</t>
        </is>
      </c>
      <c r="G27" s="33" t="n">
        <v>0</v>
      </c>
      <c r="H27" s="34" t="n">
        <v>43560</v>
      </c>
      <c r="I27" s="33" t="n">
        <v>0</v>
      </c>
      <c r="J27" s="6" t="n">
        <v>0</v>
      </c>
      <c r="K27" s="6" t="inlineStr">
        <is>
          <t>N</t>
        </is>
      </c>
      <c r="L27" s="33" t="n">
        <v>0</v>
      </c>
      <c r="M27" s="33" t="n">
        <v>6</v>
      </c>
      <c r="N27" s="11" t="n">
        <v>0.05</v>
      </c>
      <c r="O27" s="34" t="n">
        <v>0</v>
      </c>
      <c r="P27" s="6" t="n">
        <v>3</v>
      </c>
      <c r="Q27" s="11" t="n">
        <v>0</v>
      </c>
      <c r="R27" s="33" t="n">
        <v>0</v>
      </c>
      <c r="S27" s="33" t="n">
        <v>0</v>
      </c>
      <c r="T27" s="6" t="inlineStr">
        <is>
          <t>Y</t>
        </is>
      </c>
      <c r="U27" s="6" t="inlineStr">
        <is>
          <t>N</t>
        </is>
      </c>
      <c r="V27" s="34" t="n">
        <v>0</v>
      </c>
      <c r="W27" s="34" t="n">
        <v>0</v>
      </c>
      <c r="X27" s="34" t="n">
        <v>0</v>
      </c>
      <c r="Y27" s="34" t="n">
        <v>0</v>
      </c>
      <c r="Z27" s="6" t="inlineStr">
        <is>
          <t>Y</t>
        </is>
      </c>
      <c r="AA27" s="11" t="n">
        <v>1</v>
      </c>
      <c r="AB27" s="6" t="inlineStr">
        <is>
          <t>Y</t>
        </is>
      </c>
      <c r="AC27" s="34" t="n">
        <v>0</v>
      </c>
      <c r="AD27" s="34" t="n">
        <v>0</v>
      </c>
      <c r="AE27" s="13" t="n">
        <v>40000</v>
      </c>
      <c r="AF27" s="13" t="n">
        <v>0</v>
      </c>
      <c r="AG27" s="13" t="n">
        <v>0</v>
      </c>
      <c r="AH27" s="6" t="n">
        <v>12</v>
      </c>
      <c r="AI27" s="13" t="n">
        <v>0</v>
      </c>
      <c r="AJ27" s="13" t="n">
        <v>0</v>
      </c>
      <c r="AK27" s="13" t="n">
        <v>0</v>
      </c>
      <c r="AL27" s="11" t="n">
        <v>0</v>
      </c>
      <c r="AM27" s="11" t="n">
        <v>0</v>
      </c>
      <c r="AN27" s="13" t="n">
        <v>0</v>
      </c>
      <c r="AO27" s="11" t="n">
        <v>0</v>
      </c>
      <c r="AP27" s="11" t="n">
        <v>0</v>
      </c>
      <c r="AQ27" s="6" t="n">
        <v>0</v>
      </c>
      <c r="AR27" s="11" t="n">
        <v>0.065</v>
      </c>
      <c r="AS27" s="13" t="n">
        <v>250000</v>
      </c>
      <c r="AT27" s="13" t="n">
        <v>17500</v>
      </c>
      <c r="AU27" s="11" t="n">
        <v>0.2</v>
      </c>
      <c r="AV27" s="6" t="n">
        <v>1</v>
      </c>
      <c r="AW27" s="6" t="n">
        <v>0</v>
      </c>
      <c r="AX27" s="6" t="n">
        <v>1</v>
      </c>
      <c r="AY27" s="6" t="n">
        <v>100</v>
      </c>
      <c r="AZ27" s="6" t="inlineStr">
        <is>
          <t>N</t>
        </is>
      </c>
      <c r="BA27" s="6" t="inlineStr">
        <is>
          <t>Y</t>
        </is>
      </c>
      <c r="BB27" s="6" t="n">
        <v>0</v>
      </c>
      <c r="BC27" s="6" t="n">
        <v>8000</v>
      </c>
      <c r="BD27" s="6" t="n">
        <v>0</v>
      </c>
      <c r="BE27" s="6" t="inlineStr">
        <is>
          <t>N</t>
        </is>
      </c>
      <c r="BF27" s="6" t="n">
        <v>0</v>
      </c>
      <c r="BG27" s="6" t="n">
        <v>0</v>
      </c>
      <c r="BH27" s="6" t="inlineStr">
        <is>
          <t>N</t>
        </is>
      </c>
      <c r="BI27" s="2" t="inlineStr">
        <is>
          <t>65+ population density within 5 mi; near hospital; affluent adult-children base</t>
        </is>
      </c>
      <c r="BJ27" s="2" t="inlineStr">
        <is>
          <t>Landova delivers a pad-ready site; operator builds and runs the business</t>
        </is>
      </c>
    </row>
    <row r="28">
      <c r="A28" s="4" t="inlineStr">
        <is>
          <t>Medical office building</t>
        </is>
      </c>
      <c r="B28" s="9" t="inlineStr">
        <is>
          <t>Medical &amp; Care</t>
        </is>
      </c>
      <c r="C28" s="6" t="inlineStr">
        <is>
          <t>Income</t>
        </is>
      </c>
      <c r="D28" s="6" t="inlineStr">
        <is>
          <t>bldg SF</t>
        </is>
      </c>
      <c r="E28" s="6" t="inlineStr">
        <is>
          <t>N</t>
        </is>
      </c>
      <c r="F28" s="6" t="inlineStr">
        <is>
          <t>OFF</t>
        </is>
      </c>
      <c r="G28" s="33" t="n">
        <v>0</v>
      </c>
      <c r="H28" s="34" t="n">
        <v>4.545</v>
      </c>
      <c r="I28" s="33" t="n">
        <v>0</v>
      </c>
      <c r="J28" s="6" t="n">
        <v>0</v>
      </c>
      <c r="K28" s="6" t="inlineStr">
        <is>
          <t>N</t>
        </is>
      </c>
      <c r="L28" s="33" t="n">
        <v>0</v>
      </c>
      <c r="M28" s="33" t="n">
        <v>4</v>
      </c>
      <c r="N28" s="11" t="n">
        <v>0.08</v>
      </c>
      <c r="O28" s="34" t="n">
        <v>0</v>
      </c>
      <c r="P28" s="6" t="n">
        <v>3</v>
      </c>
      <c r="Q28" s="11" t="n">
        <v>0</v>
      </c>
      <c r="R28" s="33" t="n">
        <v>1500</v>
      </c>
      <c r="S28" s="33" t="n">
        <v>0.5</v>
      </c>
      <c r="T28" s="6" t="inlineStr">
        <is>
          <t>N</t>
        </is>
      </c>
      <c r="U28" s="6" t="inlineStr">
        <is>
          <t>Y</t>
        </is>
      </c>
      <c r="V28" s="34" t="n">
        <v>0.0001</v>
      </c>
      <c r="W28" s="34" t="n">
        <v>0.0001</v>
      </c>
      <c r="X28" s="34" t="n">
        <v>0.0001</v>
      </c>
      <c r="Y28" s="34" t="n">
        <v>0.2</v>
      </c>
      <c r="Z28" s="6" t="inlineStr">
        <is>
          <t>Y</t>
        </is>
      </c>
      <c r="AA28" s="11" t="n">
        <v>1</v>
      </c>
      <c r="AB28" s="6" t="inlineStr">
        <is>
          <t>Y</t>
        </is>
      </c>
      <c r="AC28" s="34" t="n">
        <v>0.006</v>
      </c>
      <c r="AD28" s="34" t="n">
        <v>3.5</v>
      </c>
      <c r="AE28" s="13" t="n">
        <v>40000</v>
      </c>
      <c r="AF28" s="13" t="n">
        <v>325</v>
      </c>
      <c r="AG28" s="13" t="n">
        <v>45</v>
      </c>
      <c r="AH28" s="6" t="n">
        <v>14</v>
      </c>
      <c r="AI28" s="13" t="n">
        <v>0</v>
      </c>
      <c r="AJ28" s="13" t="n">
        <v>0</v>
      </c>
      <c r="AK28" s="13" t="n">
        <v>30</v>
      </c>
      <c r="AL28" s="11" t="n">
        <v>0</v>
      </c>
      <c r="AM28" s="11" t="n">
        <v>0.07000000000000001</v>
      </c>
      <c r="AN28" s="13" t="n">
        <v>9</v>
      </c>
      <c r="AO28" s="11" t="n">
        <v>0.03</v>
      </c>
      <c r="AP28" s="11" t="n">
        <v>0.9</v>
      </c>
      <c r="AQ28" s="6" t="n">
        <v>12</v>
      </c>
      <c r="AR28" s="11" t="n">
        <v>0.0675</v>
      </c>
      <c r="AS28" s="13" t="n">
        <v>450000</v>
      </c>
      <c r="AT28" s="13" t="n">
        <v>0</v>
      </c>
      <c r="AU28" s="11" t="n">
        <v>0.15</v>
      </c>
      <c r="AV28" s="6" t="n">
        <v>1</v>
      </c>
      <c r="AW28" s="6" t="n">
        <v>1</v>
      </c>
      <c r="AX28" s="6" t="n">
        <v>1</v>
      </c>
      <c r="AY28" s="6" t="n">
        <v>150</v>
      </c>
      <c r="AZ28" s="6" t="inlineStr">
        <is>
          <t>N</t>
        </is>
      </c>
      <c r="BA28" s="6" t="inlineStr">
        <is>
          <t>Y</t>
        </is>
      </c>
      <c r="BB28" s="6" t="n">
        <v>0</v>
      </c>
      <c r="BC28" s="6" t="n">
        <v>10000</v>
      </c>
      <c r="BD28" s="6" t="n">
        <v>0</v>
      </c>
      <c r="BE28" s="6" t="inlineStr">
        <is>
          <t>N</t>
        </is>
      </c>
      <c r="BF28" s="6" t="n">
        <v>0</v>
      </c>
      <c r="BG28" s="6" t="n">
        <v>0</v>
      </c>
      <c r="BH28" s="6" t="inlineStr">
        <is>
          <t>N</t>
        </is>
      </c>
      <c r="BI28" s="2" t="inlineStr">
        <is>
          <t>Within 2 mi of hospital or growth node; 25k+ rooftops in 3 mi; arterial frontage</t>
        </is>
      </c>
      <c r="BJ28" s="2" t="inlineStr">
        <is>
          <t>Placeholder values</t>
        </is>
      </c>
    </row>
    <row r="29">
      <c r="A29" s="4" t="inlineStr">
        <is>
          <t>Urgent care / freestanding ER</t>
        </is>
      </c>
      <c r="B29" s="9" t="inlineStr">
        <is>
          <t>Medical &amp; Care</t>
        </is>
      </c>
      <c r="C29" s="6" t="inlineStr">
        <is>
          <t>Income</t>
        </is>
      </c>
      <c r="D29" s="6" t="inlineStr">
        <is>
          <t>bldg SF</t>
        </is>
      </c>
      <c r="E29" s="6" t="inlineStr">
        <is>
          <t>N</t>
        </is>
      </c>
      <c r="F29" s="6" t="inlineStr">
        <is>
          <t>OFF</t>
        </is>
      </c>
      <c r="G29" s="33" t="n">
        <v>0</v>
      </c>
      <c r="H29" s="34" t="n">
        <v>5</v>
      </c>
      <c r="I29" s="33" t="n">
        <v>0</v>
      </c>
      <c r="J29" s="6" t="n">
        <v>0</v>
      </c>
      <c r="K29" s="6" t="inlineStr">
        <is>
          <t>N</t>
        </is>
      </c>
      <c r="L29" s="33" t="n">
        <v>0</v>
      </c>
      <c r="M29" s="33" t="n">
        <v>1.5</v>
      </c>
      <c r="N29" s="11" t="n">
        <v>0.08</v>
      </c>
      <c r="O29" s="34" t="n">
        <v>0</v>
      </c>
      <c r="P29" s="6" t="n">
        <v>3</v>
      </c>
      <c r="Q29" s="11" t="n">
        <v>0</v>
      </c>
      <c r="R29" s="33" t="n">
        <v>0</v>
      </c>
      <c r="S29" s="33" t="n">
        <v>0.5</v>
      </c>
      <c r="T29" s="6" t="inlineStr">
        <is>
          <t>N</t>
        </is>
      </c>
      <c r="U29" s="6" t="inlineStr">
        <is>
          <t>Y</t>
        </is>
      </c>
      <c r="V29" s="34" t="n">
        <v>0.0001</v>
      </c>
      <c r="W29" s="34" t="n">
        <v>0.0001</v>
      </c>
      <c r="X29" s="34" t="n">
        <v>0.0001</v>
      </c>
      <c r="Y29" s="34" t="n">
        <v>0.2</v>
      </c>
      <c r="Z29" s="6" t="inlineStr">
        <is>
          <t>Y</t>
        </is>
      </c>
      <c r="AA29" s="11" t="n">
        <v>1</v>
      </c>
      <c r="AB29" s="6" t="inlineStr">
        <is>
          <t>Y</t>
        </is>
      </c>
      <c r="AC29" s="34" t="n">
        <v>0.006</v>
      </c>
      <c r="AD29" s="34" t="n">
        <v>4</v>
      </c>
      <c r="AE29" s="13" t="n">
        <v>40000</v>
      </c>
      <c r="AF29" s="13" t="n">
        <v>450</v>
      </c>
      <c r="AG29" s="13" t="n">
        <v>20</v>
      </c>
      <c r="AH29" s="6" t="n">
        <v>14</v>
      </c>
      <c r="AI29" s="13" t="n">
        <v>0</v>
      </c>
      <c r="AJ29" s="13" t="n">
        <v>0</v>
      </c>
      <c r="AK29" s="13" t="n">
        <v>45</v>
      </c>
      <c r="AL29" s="11" t="n">
        <v>0</v>
      </c>
      <c r="AM29" s="11" t="n">
        <v>0.07000000000000001</v>
      </c>
      <c r="AN29" s="13" t="n">
        <v>10</v>
      </c>
      <c r="AO29" s="11" t="n">
        <v>0.03</v>
      </c>
      <c r="AP29" s="11" t="n">
        <v>1</v>
      </c>
      <c r="AQ29" s="6" t="n">
        <v>6</v>
      </c>
      <c r="AR29" s="11" t="n">
        <v>0.0625</v>
      </c>
      <c r="AS29" s="13" t="n">
        <v>650000</v>
      </c>
      <c r="AT29" s="13" t="n">
        <v>0</v>
      </c>
      <c r="AU29" s="11" t="n">
        <v>0.15</v>
      </c>
      <c r="AV29" s="6" t="n">
        <v>1</v>
      </c>
      <c r="AW29" s="6" t="n">
        <v>1</v>
      </c>
      <c r="AX29" s="6" t="n">
        <v>1</v>
      </c>
      <c r="AY29" s="6" t="n">
        <v>150</v>
      </c>
      <c r="AZ29" s="6" t="inlineStr">
        <is>
          <t>Y</t>
        </is>
      </c>
      <c r="BA29" s="6" t="inlineStr">
        <is>
          <t>Y</t>
        </is>
      </c>
      <c r="BB29" s="6" t="n">
        <v>15000</v>
      </c>
      <c r="BC29" s="6" t="n">
        <v>8000</v>
      </c>
      <c r="BD29" s="6" t="n">
        <v>0</v>
      </c>
      <c r="BE29" s="6" t="inlineStr">
        <is>
          <t>N</t>
        </is>
      </c>
      <c r="BF29" s="6" t="n">
        <v>0</v>
      </c>
      <c r="BG29" s="6" t="n">
        <v>0</v>
      </c>
      <c r="BH29" s="6" t="inlineStr">
        <is>
          <t>N</t>
        </is>
      </c>
      <c r="BI29" s="2" t="inlineStr">
        <is>
          <t>Hard or signalized corner; 20k+ VPD; rooftop growth; no competitor within 2 mi</t>
        </is>
      </c>
      <c r="BJ29" s="2" t="inlineStr">
        <is>
          <t>Placeholder values</t>
        </is>
      </c>
    </row>
    <row r="30">
      <c r="A30" s="4" t="inlineStr">
        <is>
          <t>Dental / specialty clinic pad</t>
        </is>
      </c>
      <c r="B30" s="9" t="inlineStr">
        <is>
          <t>Medical &amp; Care</t>
        </is>
      </c>
      <c r="C30" s="6" t="inlineStr">
        <is>
          <t>Income</t>
        </is>
      </c>
      <c r="D30" s="6" t="inlineStr">
        <is>
          <t>bldg SF</t>
        </is>
      </c>
      <c r="E30" s="6" t="inlineStr">
        <is>
          <t>N</t>
        </is>
      </c>
      <c r="F30" s="6" t="inlineStr">
        <is>
          <t>OFF</t>
        </is>
      </c>
      <c r="G30" s="33" t="n">
        <v>0</v>
      </c>
      <c r="H30" s="34" t="n">
        <v>5</v>
      </c>
      <c r="I30" s="33" t="n">
        <v>0</v>
      </c>
      <c r="J30" s="6" t="n">
        <v>0</v>
      </c>
      <c r="K30" s="6" t="inlineStr">
        <is>
          <t>N</t>
        </is>
      </c>
      <c r="L30" s="33" t="n">
        <v>0</v>
      </c>
      <c r="M30" s="33" t="n">
        <v>1</v>
      </c>
      <c r="N30" s="11" t="n">
        <v>0.08</v>
      </c>
      <c r="O30" s="34" t="n">
        <v>0</v>
      </c>
      <c r="P30" s="6" t="n">
        <v>3</v>
      </c>
      <c r="Q30" s="11" t="n">
        <v>0</v>
      </c>
      <c r="R30" s="33" t="n">
        <v>0</v>
      </c>
      <c r="S30" s="33" t="n">
        <v>0.5</v>
      </c>
      <c r="T30" s="6" t="inlineStr">
        <is>
          <t>N</t>
        </is>
      </c>
      <c r="U30" s="6" t="inlineStr">
        <is>
          <t>Y</t>
        </is>
      </c>
      <c r="V30" s="34" t="n">
        <v>0.0001</v>
      </c>
      <c r="W30" s="34" t="n">
        <v>0.0001</v>
      </c>
      <c r="X30" s="34" t="n">
        <v>0.0001</v>
      </c>
      <c r="Y30" s="34" t="n">
        <v>0.2</v>
      </c>
      <c r="Z30" s="6" t="inlineStr">
        <is>
          <t>Y</t>
        </is>
      </c>
      <c r="AA30" s="11" t="n">
        <v>1</v>
      </c>
      <c r="AB30" s="6" t="inlineStr">
        <is>
          <t>Y</t>
        </is>
      </c>
      <c r="AC30" s="34" t="n">
        <v>0.006</v>
      </c>
      <c r="AD30" s="34" t="n">
        <v>3.5</v>
      </c>
      <c r="AE30" s="13" t="n">
        <v>40000</v>
      </c>
      <c r="AF30" s="13" t="n">
        <v>300</v>
      </c>
      <c r="AG30" s="13" t="n">
        <v>50</v>
      </c>
      <c r="AH30" s="6" t="n">
        <v>14</v>
      </c>
      <c r="AI30" s="13" t="n">
        <v>0</v>
      </c>
      <c r="AJ30" s="13" t="n">
        <v>0</v>
      </c>
      <c r="AK30" s="13" t="n">
        <v>32</v>
      </c>
      <c r="AL30" s="11" t="n">
        <v>0</v>
      </c>
      <c r="AM30" s="11" t="n">
        <v>0.07000000000000001</v>
      </c>
      <c r="AN30" s="13" t="n">
        <v>9</v>
      </c>
      <c r="AO30" s="11" t="n">
        <v>0.03</v>
      </c>
      <c r="AP30" s="11" t="n">
        <v>0.95</v>
      </c>
      <c r="AQ30" s="6" t="n">
        <v>9</v>
      </c>
      <c r="AR30" s="11" t="n">
        <v>0.0675</v>
      </c>
      <c r="AS30" s="13" t="n">
        <v>450000</v>
      </c>
      <c r="AT30" s="13" t="n">
        <v>0</v>
      </c>
      <c r="AU30" s="11" t="n">
        <v>0.15</v>
      </c>
      <c r="AV30" s="6" t="n">
        <v>1</v>
      </c>
      <c r="AW30" s="6" t="n">
        <v>1</v>
      </c>
      <c r="AX30" s="6" t="n">
        <v>1</v>
      </c>
      <c r="AY30" s="6" t="n">
        <v>150</v>
      </c>
      <c r="AZ30" s="6" t="inlineStr">
        <is>
          <t>N</t>
        </is>
      </c>
      <c r="BA30" s="6" t="inlineStr">
        <is>
          <t>Y</t>
        </is>
      </c>
      <c r="BB30" s="6" t="n">
        <v>0</v>
      </c>
      <c r="BC30" s="6" t="n">
        <v>6000</v>
      </c>
      <c r="BD30" s="6" t="n">
        <v>0</v>
      </c>
      <c r="BE30" s="6" t="inlineStr">
        <is>
          <t>N</t>
        </is>
      </c>
      <c r="BF30" s="6" t="n">
        <v>0</v>
      </c>
      <c r="BG30" s="6" t="n">
        <v>0</v>
      </c>
      <c r="BH30" s="6" t="inlineStr">
        <is>
          <t>N</t>
        </is>
      </c>
      <c r="BI30" s="2" t="inlineStr">
        <is>
          <t>Retail corridor near rooftops; visibility</t>
        </is>
      </c>
      <c r="BJ30" s="2" t="inlineStr">
        <is>
          <t>Placeholder values</t>
        </is>
      </c>
    </row>
    <row r="31">
      <c r="A31" s="4" t="inlineStr">
        <is>
          <t>Dialysis / outpatient therapy</t>
        </is>
      </c>
      <c r="B31" s="9" t="inlineStr">
        <is>
          <t>Medical &amp; Care</t>
        </is>
      </c>
      <c r="C31" s="6" t="inlineStr">
        <is>
          <t>Income</t>
        </is>
      </c>
      <c r="D31" s="6" t="inlineStr">
        <is>
          <t>bldg SF</t>
        </is>
      </c>
      <c r="E31" s="6" t="inlineStr">
        <is>
          <t>N</t>
        </is>
      </c>
      <c r="F31" s="6" t="inlineStr">
        <is>
          <t>OFF</t>
        </is>
      </c>
      <c r="G31" s="33" t="n">
        <v>0</v>
      </c>
      <c r="H31" s="34" t="n">
        <v>4</v>
      </c>
      <c r="I31" s="33" t="n">
        <v>0</v>
      </c>
      <c r="J31" s="6" t="n">
        <v>0</v>
      </c>
      <c r="K31" s="6" t="inlineStr">
        <is>
          <t>N</t>
        </is>
      </c>
      <c r="L31" s="33" t="n">
        <v>0</v>
      </c>
      <c r="M31" s="33" t="n">
        <v>1.5</v>
      </c>
      <c r="N31" s="11" t="n">
        <v>0.08</v>
      </c>
      <c r="O31" s="34" t="n">
        <v>0</v>
      </c>
      <c r="P31" s="6" t="n">
        <v>3</v>
      </c>
      <c r="Q31" s="11" t="n">
        <v>0</v>
      </c>
      <c r="R31" s="33" t="n">
        <v>0</v>
      </c>
      <c r="S31" s="33" t="n">
        <v>0.5</v>
      </c>
      <c r="T31" s="6" t="inlineStr">
        <is>
          <t>N</t>
        </is>
      </c>
      <c r="U31" s="6" t="inlineStr">
        <is>
          <t>Y</t>
        </is>
      </c>
      <c r="V31" s="34" t="n">
        <v>0.0001</v>
      </c>
      <c r="W31" s="34" t="n">
        <v>0.0001</v>
      </c>
      <c r="X31" s="34" t="n">
        <v>0.0001</v>
      </c>
      <c r="Y31" s="34" t="n">
        <v>0.2</v>
      </c>
      <c r="Z31" s="6" t="inlineStr">
        <is>
          <t>Y</t>
        </is>
      </c>
      <c r="AA31" s="11" t="n">
        <v>1</v>
      </c>
      <c r="AB31" s="6" t="inlineStr">
        <is>
          <t>Y</t>
        </is>
      </c>
      <c r="AC31" s="34" t="n">
        <v>0.006</v>
      </c>
      <c r="AD31" s="34" t="n">
        <v>3</v>
      </c>
      <c r="AE31" s="13" t="n">
        <v>40000</v>
      </c>
      <c r="AF31" s="13" t="n">
        <v>280</v>
      </c>
      <c r="AG31" s="13" t="n">
        <v>20</v>
      </c>
      <c r="AH31" s="6" t="n">
        <v>14</v>
      </c>
      <c r="AI31" s="13" t="n">
        <v>0</v>
      </c>
      <c r="AJ31" s="13" t="n">
        <v>0</v>
      </c>
      <c r="AK31" s="13" t="n">
        <v>28</v>
      </c>
      <c r="AL31" s="11" t="n">
        <v>0</v>
      </c>
      <c r="AM31" s="11" t="n">
        <v>0.07000000000000001</v>
      </c>
      <c r="AN31" s="13" t="n">
        <v>8</v>
      </c>
      <c r="AO31" s="11" t="n">
        <v>0.03</v>
      </c>
      <c r="AP31" s="11" t="n">
        <v>1</v>
      </c>
      <c r="AQ31" s="6" t="n">
        <v>6</v>
      </c>
      <c r="AR31" s="11" t="n">
        <v>0.065</v>
      </c>
      <c r="AS31" s="13" t="n">
        <v>350000</v>
      </c>
      <c r="AT31" s="13" t="n">
        <v>0</v>
      </c>
      <c r="AU31" s="11" t="n">
        <v>0.15</v>
      </c>
      <c r="AV31" s="6" t="n">
        <v>1</v>
      </c>
      <c r="AW31" s="6" t="n">
        <v>1</v>
      </c>
      <c r="AX31" s="6" t="n">
        <v>1</v>
      </c>
      <c r="AY31" s="6" t="n">
        <v>150</v>
      </c>
      <c r="AZ31" s="6" t="inlineStr">
        <is>
          <t>N</t>
        </is>
      </c>
      <c r="BA31" s="6" t="inlineStr">
        <is>
          <t>Y</t>
        </is>
      </c>
      <c r="BB31" s="6" t="n">
        <v>0</v>
      </c>
      <c r="BC31" s="6" t="n">
        <v>8000</v>
      </c>
      <c r="BD31" s="6" t="n">
        <v>0</v>
      </c>
      <c r="BE31" s="6" t="inlineStr">
        <is>
          <t>N</t>
        </is>
      </c>
      <c r="BF31" s="6" t="n">
        <v>0</v>
      </c>
      <c r="BG31" s="6" t="n">
        <v>0</v>
      </c>
      <c r="BH31" s="6" t="inlineStr">
        <is>
          <t>N</t>
        </is>
      </c>
      <c r="BI31" s="2" t="inlineStr">
        <is>
          <t>Within 10 min of population center; transit/road access</t>
        </is>
      </c>
      <c r="BJ31" s="2" t="inlineStr">
        <is>
          <t>Placeholder values</t>
        </is>
      </c>
    </row>
    <row r="32">
      <c r="A32" s="4" t="inlineStr">
        <is>
          <t>Pharmacy / drugstore pad</t>
        </is>
      </c>
      <c r="B32" s="9" t="inlineStr">
        <is>
          <t>Medical &amp; Care</t>
        </is>
      </c>
      <c r="C32" s="6" t="inlineStr">
        <is>
          <t>Income</t>
        </is>
      </c>
      <c r="D32" s="6" t="inlineStr">
        <is>
          <t>bldg SF</t>
        </is>
      </c>
      <c r="E32" s="6" t="inlineStr">
        <is>
          <t>N</t>
        </is>
      </c>
      <c r="F32" s="6" t="inlineStr">
        <is>
          <t>COM</t>
        </is>
      </c>
      <c r="G32" s="33" t="n">
        <v>0</v>
      </c>
      <c r="H32" s="34" t="n">
        <v>5.556</v>
      </c>
      <c r="I32" s="33" t="n">
        <v>0</v>
      </c>
      <c r="J32" s="6" t="n">
        <v>0</v>
      </c>
      <c r="K32" s="6" t="inlineStr">
        <is>
          <t>N</t>
        </is>
      </c>
      <c r="L32" s="33" t="n">
        <v>0</v>
      </c>
      <c r="M32" s="33" t="n">
        <v>1.5</v>
      </c>
      <c r="N32" s="11" t="n">
        <v>0.08</v>
      </c>
      <c r="O32" s="34" t="n">
        <v>0</v>
      </c>
      <c r="P32" s="6" t="n">
        <v>3</v>
      </c>
      <c r="Q32" s="11" t="n">
        <v>0</v>
      </c>
      <c r="R32" s="33" t="n">
        <v>0</v>
      </c>
      <c r="S32" s="33" t="n">
        <v>0.5</v>
      </c>
      <c r="T32" s="6" t="inlineStr">
        <is>
          <t>N</t>
        </is>
      </c>
      <c r="U32" s="6" t="inlineStr">
        <is>
          <t>Y</t>
        </is>
      </c>
      <c r="V32" s="34" t="n">
        <v>0.0001</v>
      </c>
      <c r="W32" s="34" t="n">
        <v>0.0001</v>
      </c>
      <c r="X32" s="34" t="n">
        <v>0.0001</v>
      </c>
      <c r="Y32" s="34" t="n">
        <v>0.1</v>
      </c>
      <c r="Z32" s="6" t="inlineStr">
        <is>
          <t>Y</t>
        </is>
      </c>
      <c r="AA32" s="11" t="n">
        <v>1</v>
      </c>
      <c r="AB32" s="6" t="inlineStr">
        <is>
          <t>Y</t>
        </is>
      </c>
      <c r="AC32" s="34" t="n">
        <v>0.006</v>
      </c>
      <c r="AD32" s="34" t="n">
        <v>4.5</v>
      </c>
      <c r="AE32" s="13" t="n">
        <v>40000</v>
      </c>
      <c r="AF32" s="13" t="n">
        <v>300</v>
      </c>
      <c r="AG32" s="13" t="n">
        <v>0</v>
      </c>
      <c r="AH32" s="6" t="n">
        <v>14</v>
      </c>
      <c r="AI32" s="13" t="n">
        <v>0</v>
      </c>
      <c r="AJ32" s="13" t="n">
        <v>0</v>
      </c>
      <c r="AK32" s="13" t="n">
        <v>30</v>
      </c>
      <c r="AL32" s="11" t="n">
        <v>0</v>
      </c>
      <c r="AM32" s="11" t="n">
        <v>0.07000000000000001</v>
      </c>
      <c r="AN32" s="13" t="n">
        <v>8</v>
      </c>
      <c r="AO32" s="11" t="n">
        <v>0.03</v>
      </c>
      <c r="AP32" s="11" t="n">
        <v>1</v>
      </c>
      <c r="AQ32" s="6" t="n">
        <v>3</v>
      </c>
      <c r="AR32" s="11" t="n">
        <v>0.06</v>
      </c>
      <c r="AS32" s="13" t="n">
        <v>700000</v>
      </c>
      <c r="AT32" s="13" t="n">
        <v>0</v>
      </c>
      <c r="AU32" s="11" t="n">
        <v>0.15</v>
      </c>
      <c r="AV32" s="6" t="n">
        <v>1</v>
      </c>
      <c r="AW32" s="6" t="n">
        <v>1</v>
      </c>
      <c r="AX32" s="6" t="n">
        <v>1</v>
      </c>
      <c r="AY32" s="6" t="n">
        <v>150</v>
      </c>
      <c r="AZ32" s="6" t="inlineStr">
        <is>
          <t>Y</t>
        </is>
      </c>
      <c r="BA32" s="6" t="inlineStr">
        <is>
          <t>Y</t>
        </is>
      </c>
      <c r="BB32" s="6" t="n">
        <v>20000</v>
      </c>
      <c r="BC32" s="6" t="n">
        <v>8000</v>
      </c>
      <c r="BD32" s="6" t="n">
        <v>0</v>
      </c>
      <c r="BE32" s="6" t="inlineStr">
        <is>
          <t>Y</t>
        </is>
      </c>
      <c r="BF32" s="6" t="n">
        <v>0</v>
      </c>
      <c r="BG32" s="6" t="n">
        <v>0</v>
      </c>
      <c r="BH32" s="6" t="inlineStr">
        <is>
          <t>N</t>
        </is>
      </c>
      <c r="BI32" s="2" t="inlineStr">
        <is>
          <t>Signalized hard corner; 25k+ VPD; drive-thru access</t>
        </is>
      </c>
      <c r="BJ32" s="2" t="inlineStr">
        <is>
          <t>Placeholder values</t>
        </is>
      </c>
    </row>
    <row r="33">
      <c r="A33" s="4" t="inlineStr">
        <is>
          <t>Veterinary clinic</t>
        </is>
      </c>
      <c r="B33" s="9" t="inlineStr">
        <is>
          <t>Medical &amp; Care</t>
        </is>
      </c>
      <c r="C33" s="6" t="inlineStr">
        <is>
          <t>Income</t>
        </is>
      </c>
      <c r="D33" s="6" t="inlineStr">
        <is>
          <t>bldg SF</t>
        </is>
      </c>
      <c r="E33" s="6" t="inlineStr">
        <is>
          <t>N</t>
        </is>
      </c>
      <c r="F33" s="6" t="inlineStr">
        <is>
          <t>COM</t>
        </is>
      </c>
      <c r="G33" s="33" t="n">
        <v>0</v>
      </c>
      <c r="H33" s="34" t="n">
        <v>4.545</v>
      </c>
      <c r="I33" s="33" t="n">
        <v>0</v>
      </c>
      <c r="J33" s="6" t="n">
        <v>0</v>
      </c>
      <c r="K33" s="6" t="inlineStr">
        <is>
          <t>N</t>
        </is>
      </c>
      <c r="L33" s="33" t="n">
        <v>0</v>
      </c>
      <c r="M33" s="33" t="n">
        <v>1.5</v>
      </c>
      <c r="N33" s="11" t="n">
        <v>0.08</v>
      </c>
      <c r="O33" s="34" t="n">
        <v>0</v>
      </c>
      <c r="P33" s="6" t="n">
        <v>3</v>
      </c>
      <c r="Q33" s="11" t="n">
        <v>0</v>
      </c>
      <c r="R33" s="33" t="n">
        <v>0</v>
      </c>
      <c r="S33" s="33" t="n">
        <v>0.5</v>
      </c>
      <c r="T33" s="6" t="inlineStr">
        <is>
          <t>N</t>
        </is>
      </c>
      <c r="U33" s="6" t="inlineStr">
        <is>
          <t>Y</t>
        </is>
      </c>
      <c r="V33" s="34" t="n">
        <v>0.0001</v>
      </c>
      <c r="W33" s="34" t="n">
        <v>0.0001</v>
      </c>
      <c r="X33" s="34" t="n">
        <v>0.0001</v>
      </c>
      <c r="Y33" s="34" t="n">
        <v>0.1</v>
      </c>
      <c r="Z33" s="6" t="inlineStr">
        <is>
          <t>Y</t>
        </is>
      </c>
      <c r="AA33" s="11" t="n">
        <v>1</v>
      </c>
      <c r="AB33" s="6" t="inlineStr">
        <is>
          <t>Y</t>
        </is>
      </c>
      <c r="AC33" s="34" t="n">
        <v>0.006</v>
      </c>
      <c r="AD33" s="34" t="n">
        <v>3</v>
      </c>
      <c r="AE33" s="13" t="n">
        <v>40000</v>
      </c>
      <c r="AF33" s="13" t="n">
        <v>300</v>
      </c>
      <c r="AG33" s="13" t="n">
        <v>25</v>
      </c>
      <c r="AH33" s="6" t="n">
        <v>14</v>
      </c>
      <c r="AI33" s="13" t="n">
        <v>0</v>
      </c>
      <c r="AJ33" s="13" t="n">
        <v>0</v>
      </c>
      <c r="AK33" s="13" t="n">
        <v>30</v>
      </c>
      <c r="AL33" s="11" t="n">
        <v>0</v>
      </c>
      <c r="AM33" s="11" t="n">
        <v>0.07000000000000001</v>
      </c>
      <c r="AN33" s="13" t="n">
        <v>8</v>
      </c>
      <c r="AO33" s="11" t="n">
        <v>0.03</v>
      </c>
      <c r="AP33" s="11" t="n">
        <v>1</v>
      </c>
      <c r="AQ33" s="6" t="n">
        <v>6</v>
      </c>
      <c r="AR33" s="11" t="n">
        <v>0.07000000000000001</v>
      </c>
      <c r="AS33" s="13" t="n">
        <v>350000</v>
      </c>
      <c r="AT33" s="13" t="n">
        <v>0</v>
      </c>
      <c r="AU33" s="11" t="n">
        <v>0.15</v>
      </c>
      <c r="AV33" s="6" t="n">
        <v>1</v>
      </c>
      <c r="AW33" s="6" t="n">
        <v>1</v>
      </c>
      <c r="AX33" s="6" t="n">
        <v>1</v>
      </c>
      <c r="AY33" s="6" t="n">
        <v>150</v>
      </c>
      <c r="AZ33" s="6" t="inlineStr">
        <is>
          <t>N</t>
        </is>
      </c>
      <c r="BA33" s="6" t="inlineStr">
        <is>
          <t>Y</t>
        </is>
      </c>
      <c r="BB33" s="6" t="n">
        <v>0</v>
      </c>
      <c r="BC33" s="6" t="n">
        <v>5000</v>
      </c>
      <c r="BD33" s="6" t="n">
        <v>0</v>
      </c>
      <c r="BE33" s="6" t="inlineStr">
        <is>
          <t>N</t>
        </is>
      </c>
      <c r="BF33" s="6" t="n">
        <v>0</v>
      </c>
      <c r="BG33" s="6" t="n">
        <v>0</v>
      </c>
      <c r="BH33" s="6" t="inlineStr">
        <is>
          <t>N</t>
        </is>
      </c>
      <c r="BI33" s="2" t="inlineStr">
        <is>
          <t>Growing household base; retail corridor</t>
        </is>
      </c>
      <c r="BJ33" s="2" t="inlineStr">
        <is>
          <t>Placeholder values</t>
        </is>
      </c>
    </row>
    <row r="34">
      <c r="A34" s="4" t="inlineStr">
        <is>
          <t>Grocery-anchored center</t>
        </is>
      </c>
      <c r="B34" s="9" t="inlineStr">
        <is>
          <t>Daily-Needs Retail</t>
        </is>
      </c>
      <c r="C34" s="6" t="inlineStr">
        <is>
          <t>Income</t>
        </is>
      </c>
      <c r="D34" s="6" t="inlineStr">
        <is>
          <t>bldg SF</t>
        </is>
      </c>
      <c r="E34" s="6" t="inlineStr">
        <is>
          <t>N</t>
        </is>
      </c>
      <c r="F34" s="6" t="inlineStr">
        <is>
          <t>COM</t>
        </is>
      </c>
      <c r="G34" s="33" t="n">
        <v>0</v>
      </c>
      <c r="H34" s="34" t="n">
        <v>4.545</v>
      </c>
      <c r="I34" s="33" t="n">
        <v>0</v>
      </c>
      <c r="J34" s="6" t="n">
        <v>0</v>
      </c>
      <c r="K34" s="6" t="inlineStr">
        <is>
          <t>N</t>
        </is>
      </c>
      <c r="L34" s="33" t="n">
        <v>10</v>
      </c>
      <c r="M34" s="33" t="n">
        <v>15</v>
      </c>
      <c r="N34" s="11" t="n">
        <v>0.08</v>
      </c>
      <c r="O34" s="34" t="n">
        <v>0</v>
      </c>
      <c r="P34" s="6" t="n">
        <v>3</v>
      </c>
      <c r="Q34" s="11" t="n">
        <v>0</v>
      </c>
      <c r="R34" s="33" t="n">
        <v>0</v>
      </c>
      <c r="S34" s="33" t="n">
        <v>0</v>
      </c>
      <c r="T34" s="6" t="inlineStr">
        <is>
          <t>N</t>
        </is>
      </c>
      <c r="U34" s="6" t="inlineStr">
        <is>
          <t>Y</t>
        </is>
      </c>
      <c r="V34" s="34" t="n">
        <v>0.0001</v>
      </c>
      <c r="W34" s="34" t="n">
        <v>0.0001</v>
      </c>
      <c r="X34" s="34" t="n">
        <v>0.0001</v>
      </c>
      <c r="Y34" s="34" t="n">
        <v>0.1</v>
      </c>
      <c r="Z34" s="6" t="inlineStr">
        <is>
          <t>Y</t>
        </is>
      </c>
      <c r="AA34" s="11" t="n">
        <v>1</v>
      </c>
      <c r="AB34" s="6" t="inlineStr">
        <is>
          <t>Y</t>
        </is>
      </c>
      <c r="AC34" s="34" t="n">
        <v>0.006</v>
      </c>
      <c r="AD34" s="34" t="n">
        <v>3.5</v>
      </c>
      <c r="AE34" s="13" t="n">
        <v>75000</v>
      </c>
      <c r="AF34" s="13" t="n">
        <v>220</v>
      </c>
      <c r="AG34" s="13" t="n">
        <v>25</v>
      </c>
      <c r="AH34" s="6" t="n">
        <v>14</v>
      </c>
      <c r="AI34" s="13" t="n">
        <v>0</v>
      </c>
      <c r="AJ34" s="13" t="n">
        <v>0</v>
      </c>
      <c r="AK34" s="13" t="n">
        <v>22</v>
      </c>
      <c r="AL34" s="11" t="n">
        <v>0</v>
      </c>
      <c r="AM34" s="11" t="n">
        <v>0.07000000000000001</v>
      </c>
      <c r="AN34" s="13" t="n">
        <v>7</v>
      </c>
      <c r="AO34" s="11" t="n">
        <v>0.03</v>
      </c>
      <c r="AP34" s="11" t="n">
        <v>0.85</v>
      </c>
      <c r="AQ34" s="6" t="n">
        <v>18</v>
      </c>
      <c r="AR34" s="11" t="n">
        <v>0.07000000000000001</v>
      </c>
      <c r="AS34" s="13" t="n">
        <v>500000</v>
      </c>
      <c r="AT34" s="13" t="n">
        <v>0</v>
      </c>
      <c r="AU34" s="11" t="n">
        <v>0.15</v>
      </c>
      <c r="AV34" s="6" t="n">
        <v>1</v>
      </c>
      <c r="AW34" s="6" t="n">
        <v>1</v>
      </c>
      <c r="AX34" s="6" t="n">
        <v>1</v>
      </c>
      <c r="AY34" s="6" t="n">
        <v>500</v>
      </c>
      <c r="AZ34" s="6" t="inlineStr">
        <is>
          <t>N</t>
        </is>
      </c>
      <c r="BA34" s="6" t="inlineStr">
        <is>
          <t>Y</t>
        </is>
      </c>
      <c r="BB34" s="6" t="n">
        <v>15000</v>
      </c>
      <c r="BC34" s="6" t="n">
        <v>10000</v>
      </c>
      <c r="BD34" s="6" t="n">
        <v>0</v>
      </c>
      <c r="BE34" s="6" t="inlineStr">
        <is>
          <t>Y</t>
        </is>
      </c>
      <c r="BF34" s="6" t="n">
        <v>0</v>
      </c>
      <c r="BG34" s="6" t="n">
        <v>0</v>
      </c>
      <c r="BH34" s="6" t="inlineStr">
        <is>
          <t>N</t>
        </is>
      </c>
      <c r="BI34" s="2" t="inlineStr">
        <is>
          <t>Anchor commitment; 15k+ households in 3 mi; signalized intersection</t>
        </is>
      </c>
      <c r="BJ34" s="2" t="inlineStr">
        <is>
          <t>Placeholder values</t>
        </is>
      </c>
    </row>
    <row r="35">
      <c r="A35" s="4" t="inlineStr">
        <is>
          <t>Gas station / c-store pad</t>
        </is>
      </c>
      <c r="B35" s="9" t="inlineStr">
        <is>
          <t>Daily-Needs Retail</t>
        </is>
      </c>
      <c r="C35" s="6" t="inlineStr">
        <is>
          <t>Income</t>
        </is>
      </c>
      <c r="D35" s="6" t="inlineStr">
        <is>
          <t>bldg SF</t>
        </is>
      </c>
      <c r="E35" s="6" t="inlineStr">
        <is>
          <t>N</t>
        </is>
      </c>
      <c r="F35" s="6" t="inlineStr">
        <is>
          <t>COM</t>
        </is>
      </c>
      <c r="G35" s="33" t="n">
        <v>0</v>
      </c>
      <c r="H35" s="34" t="n">
        <v>16.667</v>
      </c>
      <c r="I35" s="33" t="n">
        <v>0</v>
      </c>
      <c r="J35" s="6" t="n">
        <v>0</v>
      </c>
      <c r="K35" s="6" t="inlineStr">
        <is>
          <t>N</t>
        </is>
      </c>
      <c r="L35" s="33" t="n">
        <v>0</v>
      </c>
      <c r="M35" s="33" t="n">
        <v>2</v>
      </c>
      <c r="N35" s="11" t="n">
        <v>0.08</v>
      </c>
      <c r="O35" s="34" t="n">
        <v>0</v>
      </c>
      <c r="P35" s="6" t="n">
        <v>3</v>
      </c>
      <c r="Q35" s="11" t="n">
        <v>0</v>
      </c>
      <c r="R35" s="33" t="n">
        <v>0</v>
      </c>
      <c r="S35" s="33" t="n">
        <v>0.5</v>
      </c>
      <c r="T35" s="6" t="inlineStr">
        <is>
          <t>N</t>
        </is>
      </c>
      <c r="U35" s="6" t="inlineStr">
        <is>
          <t>Y</t>
        </is>
      </c>
      <c r="V35" s="34" t="n">
        <v>0.0001</v>
      </c>
      <c r="W35" s="34" t="n">
        <v>0.0001</v>
      </c>
      <c r="X35" s="34" t="n">
        <v>0.0001</v>
      </c>
      <c r="Y35" s="34" t="n">
        <v>0.1</v>
      </c>
      <c r="Z35" s="6" t="inlineStr">
        <is>
          <t>Y</t>
        </is>
      </c>
      <c r="AA35" s="11" t="n">
        <v>1</v>
      </c>
      <c r="AB35" s="6" t="inlineStr">
        <is>
          <t>Y</t>
        </is>
      </c>
      <c r="AC35" s="34" t="n">
        <v>0.006</v>
      </c>
      <c r="AD35" s="34" t="n">
        <v>9</v>
      </c>
      <c r="AE35" s="13" t="n">
        <v>40000</v>
      </c>
      <c r="AF35" s="13" t="n">
        <v>600</v>
      </c>
      <c r="AG35" s="13" t="n">
        <v>0</v>
      </c>
      <c r="AH35" s="6" t="n">
        <v>14</v>
      </c>
      <c r="AI35" s="13" t="n">
        <v>0</v>
      </c>
      <c r="AJ35" s="13" t="n">
        <v>0</v>
      </c>
      <c r="AK35" s="13" t="n">
        <v>45</v>
      </c>
      <c r="AL35" s="11" t="n">
        <v>0</v>
      </c>
      <c r="AM35" s="11" t="n">
        <v>0.07000000000000001</v>
      </c>
      <c r="AN35" s="13" t="n">
        <v>10</v>
      </c>
      <c r="AO35" s="11" t="n">
        <v>0.03</v>
      </c>
      <c r="AP35" s="11" t="n">
        <v>1</v>
      </c>
      <c r="AQ35" s="6" t="n">
        <v>3</v>
      </c>
      <c r="AR35" s="11" t="n">
        <v>0.0575</v>
      </c>
      <c r="AS35" s="13" t="n">
        <v>900000</v>
      </c>
      <c r="AT35" s="13" t="n">
        <v>0</v>
      </c>
      <c r="AU35" s="11" t="n">
        <v>0.15</v>
      </c>
      <c r="AV35" s="6" t="n">
        <v>1</v>
      </c>
      <c r="AW35" s="6" t="n">
        <v>1</v>
      </c>
      <c r="AX35" s="6" t="n">
        <v>1</v>
      </c>
      <c r="AY35" s="6" t="n">
        <v>150</v>
      </c>
      <c r="AZ35" s="6" t="inlineStr">
        <is>
          <t>Y</t>
        </is>
      </c>
      <c r="BA35" s="6" t="inlineStr">
        <is>
          <t>Y</t>
        </is>
      </c>
      <c r="BB35" s="6" t="n">
        <v>15000</v>
      </c>
      <c r="BC35" s="6" t="n">
        <v>3000</v>
      </c>
      <c r="BD35" s="6" t="n">
        <v>0</v>
      </c>
      <c r="BE35" s="6" t="inlineStr">
        <is>
          <t>Y</t>
        </is>
      </c>
      <c r="BF35" s="6" t="n">
        <v>0</v>
      </c>
      <c r="BG35" s="6" t="n">
        <v>0</v>
      </c>
      <c r="BH35" s="6" t="inlineStr">
        <is>
          <t>N</t>
        </is>
      </c>
      <c r="BI35" s="2" t="inlineStr">
        <is>
          <t>Hard corner, 20k+ VPD, highway/arterial; going-home side of traffic</t>
        </is>
      </c>
      <c r="BJ35" s="2" t="inlineStr">
        <is>
          <t>Placeholder values</t>
        </is>
      </c>
    </row>
    <row r="36">
      <c r="A36" s="4" t="inlineStr">
        <is>
          <t>QSR / drive-thru pad</t>
        </is>
      </c>
      <c r="B36" s="9" t="inlineStr">
        <is>
          <t>Daily-Needs Retail</t>
        </is>
      </c>
      <c r="C36" s="6" t="inlineStr">
        <is>
          <t>Income</t>
        </is>
      </c>
      <c r="D36" s="6" t="inlineStr">
        <is>
          <t>bldg SF</t>
        </is>
      </c>
      <c r="E36" s="6" t="inlineStr">
        <is>
          <t>N</t>
        </is>
      </c>
      <c r="F36" s="6" t="inlineStr">
        <is>
          <t>COM</t>
        </is>
      </c>
      <c r="G36" s="33" t="n">
        <v>0</v>
      </c>
      <c r="H36" s="34" t="n">
        <v>18.182</v>
      </c>
      <c r="I36" s="33" t="n">
        <v>0</v>
      </c>
      <c r="J36" s="6" t="n">
        <v>0</v>
      </c>
      <c r="K36" s="6" t="inlineStr">
        <is>
          <t>N</t>
        </is>
      </c>
      <c r="L36" s="33" t="n">
        <v>0</v>
      </c>
      <c r="M36" s="33" t="n">
        <v>1.2</v>
      </c>
      <c r="N36" s="11" t="n">
        <v>0.08</v>
      </c>
      <c r="O36" s="34" t="n">
        <v>0</v>
      </c>
      <c r="P36" s="6" t="n">
        <v>3</v>
      </c>
      <c r="Q36" s="11" t="n">
        <v>0</v>
      </c>
      <c r="R36" s="33" t="n">
        <v>0</v>
      </c>
      <c r="S36" s="33" t="n">
        <v>0.5</v>
      </c>
      <c r="T36" s="6" t="inlineStr">
        <is>
          <t>N</t>
        </is>
      </c>
      <c r="U36" s="6" t="inlineStr">
        <is>
          <t>Y</t>
        </is>
      </c>
      <c r="V36" s="34" t="n">
        <v>0.0001</v>
      </c>
      <c r="W36" s="34" t="n">
        <v>0.0001</v>
      </c>
      <c r="X36" s="34" t="n">
        <v>0.0001</v>
      </c>
      <c r="Y36" s="34" t="n">
        <v>0.1</v>
      </c>
      <c r="Z36" s="6" t="inlineStr">
        <is>
          <t>Y</t>
        </is>
      </c>
      <c r="AA36" s="11" t="n">
        <v>1</v>
      </c>
      <c r="AB36" s="6" t="inlineStr">
        <is>
          <t>Y</t>
        </is>
      </c>
      <c r="AC36" s="34" t="n">
        <v>0.006</v>
      </c>
      <c r="AD36" s="34" t="n">
        <v>6</v>
      </c>
      <c r="AE36" s="13" t="n">
        <v>40000</v>
      </c>
      <c r="AF36" s="13" t="n">
        <v>450</v>
      </c>
      <c r="AG36" s="13" t="n">
        <v>0</v>
      </c>
      <c r="AH36" s="6" t="n">
        <v>14</v>
      </c>
      <c r="AI36" s="13" t="n">
        <v>0</v>
      </c>
      <c r="AJ36" s="13" t="n">
        <v>0</v>
      </c>
      <c r="AK36" s="13" t="n">
        <v>55</v>
      </c>
      <c r="AL36" s="11" t="n">
        <v>0</v>
      </c>
      <c r="AM36" s="11" t="n">
        <v>0.07000000000000001</v>
      </c>
      <c r="AN36" s="13" t="n">
        <v>10</v>
      </c>
      <c r="AO36" s="11" t="n">
        <v>0.03</v>
      </c>
      <c r="AP36" s="11" t="n">
        <v>1</v>
      </c>
      <c r="AQ36" s="6" t="n">
        <v>3</v>
      </c>
      <c r="AR36" s="11" t="n">
        <v>0.055</v>
      </c>
      <c r="AS36" s="13" t="n">
        <v>900000</v>
      </c>
      <c r="AT36" s="13" t="n">
        <v>0</v>
      </c>
      <c r="AU36" s="11" t="n">
        <v>0.15</v>
      </c>
      <c r="AV36" s="6" t="n">
        <v>1</v>
      </c>
      <c r="AW36" s="6" t="n">
        <v>1</v>
      </c>
      <c r="AX36" s="6" t="n">
        <v>1</v>
      </c>
      <c r="AY36" s="6" t="n">
        <v>150</v>
      </c>
      <c r="AZ36" s="6" t="inlineStr">
        <is>
          <t>Y</t>
        </is>
      </c>
      <c r="BA36" s="6" t="inlineStr">
        <is>
          <t>Y</t>
        </is>
      </c>
      <c r="BB36" s="6" t="n">
        <v>15000</v>
      </c>
      <c r="BC36" s="6" t="n">
        <v>5000</v>
      </c>
      <c r="BD36" s="6" t="n">
        <v>0</v>
      </c>
      <c r="BE36" s="6" t="inlineStr">
        <is>
          <t>N</t>
        </is>
      </c>
      <c r="BF36" s="6" t="n">
        <v>0</v>
      </c>
      <c r="BG36" s="6" t="n">
        <v>0</v>
      </c>
      <c r="BH36" s="6" t="inlineStr">
        <is>
          <t>N</t>
        </is>
      </c>
      <c r="BI36" s="2" t="inlineStr">
        <is>
          <t>20k+ VPD; ingress both directions; stacking room for drive-thru</t>
        </is>
      </c>
      <c r="BJ36" s="2" t="inlineStr">
        <is>
          <t>Placeholder values</t>
        </is>
      </c>
    </row>
    <row r="37">
      <c r="A37" s="4" t="inlineStr">
        <is>
          <t>Sit-down restaurant pad</t>
        </is>
      </c>
      <c r="B37" s="9" t="inlineStr">
        <is>
          <t>Daily-Needs Retail</t>
        </is>
      </c>
      <c r="C37" s="6" t="inlineStr">
        <is>
          <t>Income</t>
        </is>
      </c>
      <c r="D37" s="6" t="inlineStr">
        <is>
          <t>bldg SF</t>
        </is>
      </c>
      <c r="E37" s="6" t="inlineStr">
        <is>
          <t>N</t>
        </is>
      </c>
      <c r="F37" s="6" t="inlineStr">
        <is>
          <t>COM</t>
        </is>
      </c>
      <c r="G37" s="33" t="n">
        <v>0</v>
      </c>
      <c r="H37" s="34" t="n">
        <v>8.333</v>
      </c>
      <c r="I37" s="33" t="n">
        <v>0</v>
      </c>
      <c r="J37" s="6" t="n">
        <v>0</v>
      </c>
      <c r="K37" s="6" t="inlineStr">
        <is>
          <t>N</t>
        </is>
      </c>
      <c r="L37" s="33" t="n">
        <v>0</v>
      </c>
      <c r="M37" s="33" t="n">
        <v>1.5</v>
      </c>
      <c r="N37" s="11" t="n">
        <v>0.08</v>
      </c>
      <c r="O37" s="34" t="n">
        <v>0</v>
      </c>
      <c r="P37" s="6" t="n">
        <v>3</v>
      </c>
      <c r="Q37" s="11" t="n">
        <v>0</v>
      </c>
      <c r="R37" s="33" t="n">
        <v>0</v>
      </c>
      <c r="S37" s="33" t="n">
        <v>0.5</v>
      </c>
      <c r="T37" s="6" t="inlineStr">
        <is>
          <t>N</t>
        </is>
      </c>
      <c r="U37" s="6" t="inlineStr">
        <is>
          <t>Y</t>
        </is>
      </c>
      <c r="V37" s="34" t="n">
        <v>0.0001</v>
      </c>
      <c r="W37" s="34" t="n">
        <v>0.0001</v>
      </c>
      <c r="X37" s="34" t="n">
        <v>0.0001</v>
      </c>
      <c r="Y37" s="34" t="n">
        <v>0.1</v>
      </c>
      <c r="Z37" s="6" t="inlineStr">
        <is>
          <t>Y</t>
        </is>
      </c>
      <c r="AA37" s="11" t="n">
        <v>1</v>
      </c>
      <c r="AB37" s="6" t="inlineStr">
        <is>
          <t>Y</t>
        </is>
      </c>
      <c r="AC37" s="34" t="n">
        <v>0.006</v>
      </c>
      <c r="AD37" s="34" t="n">
        <v>7</v>
      </c>
      <c r="AE37" s="13" t="n">
        <v>40000</v>
      </c>
      <c r="AF37" s="13" t="n">
        <v>400</v>
      </c>
      <c r="AG37" s="13" t="n">
        <v>0</v>
      </c>
      <c r="AH37" s="6" t="n">
        <v>14</v>
      </c>
      <c r="AI37" s="13" t="n">
        <v>0</v>
      </c>
      <c r="AJ37" s="13" t="n">
        <v>0</v>
      </c>
      <c r="AK37" s="13" t="n">
        <v>40</v>
      </c>
      <c r="AL37" s="11" t="n">
        <v>0</v>
      </c>
      <c r="AM37" s="11" t="n">
        <v>0.07000000000000001</v>
      </c>
      <c r="AN37" s="13" t="n">
        <v>10</v>
      </c>
      <c r="AO37" s="11" t="n">
        <v>0.03</v>
      </c>
      <c r="AP37" s="11" t="n">
        <v>1</v>
      </c>
      <c r="AQ37" s="6" t="n">
        <v>4</v>
      </c>
      <c r="AR37" s="11" t="n">
        <v>0.065</v>
      </c>
      <c r="AS37" s="13" t="n">
        <v>600000</v>
      </c>
      <c r="AT37" s="13" t="n">
        <v>0</v>
      </c>
      <c r="AU37" s="11" t="n">
        <v>0.15</v>
      </c>
      <c r="AV37" s="6" t="n">
        <v>1</v>
      </c>
      <c r="AW37" s="6" t="n">
        <v>1</v>
      </c>
      <c r="AX37" s="6" t="n">
        <v>1</v>
      </c>
      <c r="AY37" s="6" t="n">
        <v>150</v>
      </c>
      <c r="AZ37" s="6" t="inlineStr">
        <is>
          <t>Y</t>
        </is>
      </c>
      <c r="BA37" s="6" t="inlineStr">
        <is>
          <t>Y</t>
        </is>
      </c>
      <c r="BB37" s="6" t="n">
        <v>15000</v>
      </c>
      <c r="BC37" s="6" t="n">
        <v>6000</v>
      </c>
      <c r="BD37" s="6" t="n">
        <v>0</v>
      </c>
      <c r="BE37" s="6" t="inlineStr">
        <is>
          <t>N</t>
        </is>
      </c>
      <c r="BF37" s="6" t="n">
        <v>0</v>
      </c>
      <c r="BG37" s="6" t="n">
        <v>0</v>
      </c>
      <c r="BH37" s="6" t="inlineStr">
        <is>
          <t>N</t>
        </is>
      </c>
      <c r="BI37" s="2" t="inlineStr">
        <is>
          <t>15k+ VPD; retail node; visibility both directions</t>
        </is>
      </c>
      <c r="BJ37" s="2" t="inlineStr">
        <is>
          <t>Placeholder values</t>
        </is>
      </c>
    </row>
    <row r="38">
      <c r="A38" s="4" t="inlineStr">
        <is>
          <t>Express car wash</t>
        </is>
      </c>
      <c r="B38" s="9" t="inlineStr">
        <is>
          <t>Daily-Needs Retail</t>
        </is>
      </c>
      <c r="C38" s="6" t="inlineStr">
        <is>
          <t>Income</t>
        </is>
      </c>
      <c r="D38" s="6" t="inlineStr">
        <is>
          <t>bldg SF</t>
        </is>
      </c>
      <c r="E38" s="6" t="inlineStr">
        <is>
          <t>N</t>
        </is>
      </c>
      <c r="F38" s="6" t="inlineStr">
        <is>
          <t>COM</t>
        </is>
      </c>
      <c r="G38" s="33" t="n">
        <v>0</v>
      </c>
      <c r="H38" s="34" t="n">
        <v>10</v>
      </c>
      <c r="I38" s="33" t="n">
        <v>0</v>
      </c>
      <c r="J38" s="6" t="n">
        <v>0</v>
      </c>
      <c r="K38" s="6" t="inlineStr">
        <is>
          <t>N</t>
        </is>
      </c>
      <c r="L38" s="33" t="n">
        <v>0</v>
      </c>
      <c r="M38" s="33" t="n">
        <v>1.5</v>
      </c>
      <c r="N38" s="11" t="n">
        <v>0.08</v>
      </c>
      <c r="O38" s="34" t="n">
        <v>0</v>
      </c>
      <c r="P38" s="6" t="n">
        <v>3</v>
      </c>
      <c r="Q38" s="11" t="n">
        <v>0</v>
      </c>
      <c r="R38" s="33" t="n">
        <v>0</v>
      </c>
      <c r="S38" s="33" t="n">
        <v>0.5</v>
      </c>
      <c r="T38" s="6" t="inlineStr">
        <is>
          <t>N</t>
        </is>
      </c>
      <c r="U38" s="6" t="inlineStr">
        <is>
          <t>Y</t>
        </is>
      </c>
      <c r="V38" s="34" t="n">
        <v>0.0001</v>
      </c>
      <c r="W38" s="34" t="n">
        <v>0.0001</v>
      </c>
      <c r="X38" s="34" t="n">
        <v>0.0001</v>
      </c>
      <c r="Y38" s="34" t="n">
        <v>0.5</v>
      </c>
      <c r="Z38" s="6" t="inlineStr">
        <is>
          <t>Y</t>
        </is>
      </c>
      <c r="AA38" s="11" t="n">
        <v>1</v>
      </c>
      <c r="AB38" s="6" t="inlineStr">
        <is>
          <t>Y</t>
        </is>
      </c>
      <c r="AC38" s="34" t="n">
        <v>0.006</v>
      </c>
      <c r="AD38" s="34" t="n">
        <v>6</v>
      </c>
      <c r="AE38" s="13" t="n">
        <v>40000</v>
      </c>
      <c r="AF38" s="13" t="n">
        <v>700</v>
      </c>
      <c r="AG38" s="13" t="n">
        <v>0</v>
      </c>
      <c r="AH38" s="6" t="n">
        <v>14</v>
      </c>
      <c r="AI38" s="13" t="n">
        <v>0</v>
      </c>
      <c r="AJ38" s="13" t="n">
        <v>0</v>
      </c>
      <c r="AK38" s="13" t="n">
        <v>60</v>
      </c>
      <c r="AL38" s="11" t="n">
        <v>0</v>
      </c>
      <c r="AM38" s="11" t="n">
        <v>0.07000000000000001</v>
      </c>
      <c r="AN38" s="13" t="n">
        <v>10</v>
      </c>
      <c r="AO38" s="11" t="n">
        <v>0.03</v>
      </c>
      <c r="AP38" s="11" t="n">
        <v>1</v>
      </c>
      <c r="AQ38" s="6" t="n">
        <v>3</v>
      </c>
      <c r="AR38" s="11" t="n">
        <v>0.065</v>
      </c>
      <c r="AS38" s="13" t="n">
        <v>700000</v>
      </c>
      <c r="AT38" s="13" t="n">
        <v>0</v>
      </c>
      <c r="AU38" s="11" t="n">
        <v>0.15</v>
      </c>
      <c r="AV38" s="6" t="n">
        <v>1</v>
      </c>
      <c r="AW38" s="6" t="n">
        <v>1</v>
      </c>
      <c r="AX38" s="6" t="n">
        <v>1</v>
      </c>
      <c r="AY38" s="6" t="n">
        <v>150</v>
      </c>
      <c r="AZ38" s="6" t="inlineStr">
        <is>
          <t>Y</t>
        </is>
      </c>
      <c r="BA38" s="6" t="inlineStr">
        <is>
          <t>Y</t>
        </is>
      </c>
      <c r="BB38" s="6" t="n">
        <v>20000</v>
      </c>
      <c r="BC38" s="6" t="n">
        <v>8000</v>
      </c>
      <c r="BD38" s="6" t="n">
        <v>0</v>
      </c>
      <c r="BE38" s="6" t="inlineStr">
        <is>
          <t>N</t>
        </is>
      </c>
      <c r="BF38" s="6" t="n">
        <v>0</v>
      </c>
      <c r="BG38" s="6" t="n">
        <v>0</v>
      </c>
      <c r="BH38" s="6" t="inlineStr">
        <is>
          <t>N</t>
        </is>
      </c>
      <c r="BI38" s="2" t="inlineStr">
        <is>
          <t>20k+ VPD; rooftops; stacking room; no express wash within 2 mi</t>
        </is>
      </c>
      <c r="BJ38" s="2" t="inlineStr">
        <is>
          <t>Placeholder values</t>
        </is>
      </c>
    </row>
    <row r="39">
      <c r="A39" s="4" t="inlineStr">
        <is>
          <t>Dollar store pad</t>
        </is>
      </c>
      <c r="B39" s="9" t="inlineStr">
        <is>
          <t>Daily-Needs Retail</t>
        </is>
      </c>
      <c r="C39" s="6" t="inlineStr">
        <is>
          <t>Income</t>
        </is>
      </c>
      <c r="D39" s="6" t="inlineStr">
        <is>
          <t>bldg SF</t>
        </is>
      </c>
      <c r="E39" s="6" t="inlineStr">
        <is>
          <t>N</t>
        </is>
      </c>
      <c r="F39" s="6" t="inlineStr">
        <is>
          <t>COM</t>
        </is>
      </c>
      <c r="G39" s="33" t="n">
        <v>0</v>
      </c>
      <c r="H39" s="34" t="n">
        <v>6.25</v>
      </c>
      <c r="I39" s="33" t="n">
        <v>0</v>
      </c>
      <c r="J39" s="6" t="n">
        <v>0</v>
      </c>
      <c r="K39" s="6" t="inlineStr">
        <is>
          <t>N</t>
        </is>
      </c>
      <c r="L39" s="33" t="n">
        <v>0</v>
      </c>
      <c r="M39" s="33" t="n">
        <v>1.5</v>
      </c>
      <c r="N39" s="11" t="n">
        <v>0.08</v>
      </c>
      <c r="O39" s="34" t="n">
        <v>0</v>
      </c>
      <c r="P39" s="6" t="n">
        <v>3</v>
      </c>
      <c r="Q39" s="11" t="n">
        <v>0</v>
      </c>
      <c r="R39" s="33" t="n">
        <v>0</v>
      </c>
      <c r="S39" s="33" t="n">
        <v>0.5</v>
      </c>
      <c r="T39" s="6" t="inlineStr">
        <is>
          <t>N</t>
        </is>
      </c>
      <c r="U39" s="6" t="inlineStr">
        <is>
          <t>Y</t>
        </is>
      </c>
      <c r="V39" s="34" t="n">
        <v>0.0001</v>
      </c>
      <c r="W39" s="34" t="n">
        <v>0.0001</v>
      </c>
      <c r="X39" s="34" t="n">
        <v>0.0001</v>
      </c>
      <c r="Y39" s="34" t="n">
        <v>0.1</v>
      </c>
      <c r="Z39" s="6" t="inlineStr">
        <is>
          <t>Y</t>
        </is>
      </c>
      <c r="AA39" s="11" t="n">
        <v>1</v>
      </c>
      <c r="AB39" s="6" t="inlineStr">
        <is>
          <t>Y</t>
        </is>
      </c>
      <c r="AC39" s="34" t="n">
        <v>0.006</v>
      </c>
      <c r="AD39" s="34" t="n">
        <v>3</v>
      </c>
      <c r="AE39" s="13" t="n">
        <v>40000</v>
      </c>
      <c r="AF39" s="13" t="n">
        <v>140</v>
      </c>
      <c r="AG39" s="13" t="n">
        <v>0</v>
      </c>
      <c r="AH39" s="6" t="n">
        <v>14</v>
      </c>
      <c r="AI39" s="13" t="n">
        <v>0</v>
      </c>
      <c r="AJ39" s="13" t="n">
        <v>0</v>
      </c>
      <c r="AK39" s="35" t="n">
        <v>12.5</v>
      </c>
      <c r="AL39" s="11" t="n">
        <v>0</v>
      </c>
      <c r="AM39" s="11" t="n">
        <v>0.07000000000000001</v>
      </c>
      <c r="AN39" s="13" t="n">
        <v>3</v>
      </c>
      <c r="AO39" s="11" t="n">
        <v>0.03</v>
      </c>
      <c r="AP39" s="11" t="n">
        <v>1</v>
      </c>
      <c r="AQ39" s="6" t="n">
        <v>3</v>
      </c>
      <c r="AR39" s="11" t="n">
        <v>0.07000000000000001</v>
      </c>
      <c r="AS39" s="13" t="n">
        <v>150000</v>
      </c>
      <c r="AT39" s="13" t="n">
        <v>0</v>
      </c>
      <c r="AU39" s="11" t="n">
        <v>0.15</v>
      </c>
      <c r="AV39" s="6" t="n">
        <v>1</v>
      </c>
      <c r="AW39" s="6" t="n">
        <v>1</v>
      </c>
      <c r="AX39" s="6" t="n">
        <v>1</v>
      </c>
      <c r="AY39" s="6" t="n">
        <v>150</v>
      </c>
      <c r="AZ39" s="6" t="inlineStr">
        <is>
          <t>Y</t>
        </is>
      </c>
      <c r="BA39" s="6" t="inlineStr">
        <is>
          <t>Y</t>
        </is>
      </c>
      <c r="BB39" s="6" t="n">
        <v>4000</v>
      </c>
      <c r="BC39" s="6" t="n">
        <v>1500</v>
      </c>
      <c r="BD39" s="6" t="n">
        <v>0</v>
      </c>
      <c r="BE39" s="6" t="inlineStr">
        <is>
          <t>N</t>
        </is>
      </c>
      <c r="BF39" s="6" t="n">
        <v>0</v>
      </c>
      <c r="BG39" s="6" t="n">
        <v>0</v>
      </c>
      <c r="BH39" s="6" t="inlineStr">
        <is>
          <t>N</t>
        </is>
      </c>
      <c r="BI39" s="2" t="inlineStr">
        <is>
          <t>Rural trade area with 1,500+ households; 5+ mi from competing dollar store</t>
        </is>
      </c>
      <c r="BJ39" s="2" t="inlineStr">
        <is>
          <t>Placeholder values</t>
        </is>
      </c>
    </row>
    <row r="40">
      <c r="A40" s="4" t="inlineStr">
        <is>
          <t>Neighborhood strip center</t>
        </is>
      </c>
      <c r="B40" s="9" t="inlineStr">
        <is>
          <t>Daily-Needs Retail</t>
        </is>
      </c>
      <c r="C40" s="6" t="inlineStr">
        <is>
          <t>Income</t>
        </is>
      </c>
      <c r="D40" s="6" t="inlineStr">
        <is>
          <t>bldg SF</t>
        </is>
      </c>
      <c r="E40" s="6" t="inlineStr">
        <is>
          <t>N</t>
        </is>
      </c>
      <c r="F40" s="6" t="inlineStr">
        <is>
          <t>COM</t>
        </is>
      </c>
      <c r="G40" s="33" t="n">
        <v>0</v>
      </c>
      <c r="H40" s="34" t="n">
        <v>4.545</v>
      </c>
      <c r="I40" s="33" t="n">
        <v>0</v>
      </c>
      <c r="J40" s="6" t="n">
        <v>0</v>
      </c>
      <c r="K40" s="6" t="inlineStr">
        <is>
          <t>N</t>
        </is>
      </c>
      <c r="L40" s="33" t="n">
        <v>0</v>
      </c>
      <c r="M40" s="33" t="n">
        <v>4</v>
      </c>
      <c r="N40" s="11" t="n">
        <v>0.08</v>
      </c>
      <c r="O40" s="34" t="n">
        <v>8</v>
      </c>
      <c r="P40" s="6" t="n">
        <v>3</v>
      </c>
      <c r="Q40" s="11" t="n">
        <v>0.25</v>
      </c>
      <c r="R40" s="33" t="n">
        <v>2000</v>
      </c>
      <c r="S40" s="33" t="n">
        <v>0.5</v>
      </c>
      <c r="T40" s="6" t="inlineStr">
        <is>
          <t>N</t>
        </is>
      </c>
      <c r="U40" s="6" t="inlineStr">
        <is>
          <t>Y</t>
        </is>
      </c>
      <c r="V40" s="34" t="n">
        <v>0.0001</v>
      </c>
      <c r="W40" s="34" t="n">
        <v>0.0001</v>
      </c>
      <c r="X40" s="34" t="n">
        <v>0.0001</v>
      </c>
      <c r="Y40" s="34" t="n">
        <v>0.1</v>
      </c>
      <c r="Z40" s="6" t="inlineStr">
        <is>
          <t>Y</t>
        </is>
      </c>
      <c r="AA40" s="11" t="n">
        <v>1</v>
      </c>
      <c r="AB40" s="6" t="inlineStr">
        <is>
          <t>Y</t>
        </is>
      </c>
      <c r="AC40" s="34" t="n">
        <v>0.006</v>
      </c>
      <c r="AD40" s="34" t="n">
        <v>3.5</v>
      </c>
      <c r="AE40" s="13" t="n">
        <v>40000</v>
      </c>
      <c r="AF40" s="13" t="n">
        <v>200</v>
      </c>
      <c r="AG40" s="13" t="n">
        <v>35</v>
      </c>
      <c r="AH40" s="6" t="n">
        <v>14</v>
      </c>
      <c r="AI40" s="13" t="n">
        <v>0</v>
      </c>
      <c r="AJ40" s="13" t="n">
        <v>0</v>
      </c>
      <c r="AK40" s="13" t="n">
        <v>26</v>
      </c>
      <c r="AL40" s="11" t="n">
        <v>0</v>
      </c>
      <c r="AM40" s="11" t="n">
        <v>0.07000000000000001</v>
      </c>
      <c r="AN40" s="13" t="n">
        <v>8</v>
      </c>
      <c r="AO40" s="11" t="n">
        <v>0.03</v>
      </c>
      <c r="AP40" s="11" t="n">
        <v>0.9</v>
      </c>
      <c r="AQ40" s="6" t="n">
        <v>18</v>
      </c>
      <c r="AR40" s="11" t="n">
        <v>0.0725</v>
      </c>
      <c r="AS40" s="13" t="n">
        <v>550000</v>
      </c>
      <c r="AT40" s="13" t="n">
        <v>0</v>
      </c>
      <c r="AU40" s="11" t="n">
        <v>0.15</v>
      </c>
      <c r="AV40" s="6" t="n">
        <v>1</v>
      </c>
      <c r="AW40" s="6" t="n">
        <v>1</v>
      </c>
      <c r="AX40" s="6" t="n">
        <v>1</v>
      </c>
      <c r="AY40" s="6" t="n">
        <v>150</v>
      </c>
      <c r="AZ40" s="6" t="inlineStr">
        <is>
          <t>N</t>
        </is>
      </c>
      <c r="BA40" s="6" t="inlineStr">
        <is>
          <t>Y</t>
        </is>
      </c>
      <c r="BB40" s="6" t="n">
        <v>10000</v>
      </c>
      <c r="BC40" s="6" t="n">
        <v>6000</v>
      </c>
      <c r="BD40" s="6" t="n">
        <v>0</v>
      </c>
      <c r="BE40" s="6" t="inlineStr">
        <is>
          <t>N</t>
        </is>
      </c>
      <c r="BF40" s="6" t="n">
        <v>0</v>
      </c>
      <c r="BG40" s="6" t="n">
        <v>0</v>
      </c>
      <c r="BH40" s="6" t="inlineStr">
        <is>
          <t>N</t>
        </is>
      </c>
      <c r="BI40" s="2" t="inlineStr">
        <is>
          <t>Rooftop growth; arterial frontage; near schools</t>
        </is>
      </c>
      <c r="BJ40" s="2" t="inlineStr">
        <is>
          <t>Placeholder values</t>
        </is>
      </c>
    </row>
    <row r="41">
      <c r="A41" s="4" t="inlineStr">
        <is>
          <t>Salon suites</t>
        </is>
      </c>
      <c r="B41" s="9" t="inlineStr">
        <is>
          <t>Daily-Needs Retail</t>
        </is>
      </c>
      <c r="C41" s="6" t="inlineStr">
        <is>
          <t>Income</t>
        </is>
      </c>
      <c r="D41" s="6" t="inlineStr">
        <is>
          <t>bldg SF</t>
        </is>
      </c>
      <c r="E41" s="6" t="inlineStr">
        <is>
          <t>N</t>
        </is>
      </c>
      <c r="F41" s="6" t="inlineStr">
        <is>
          <t>COM</t>
        </is>
      </c>
      <c r="G41" s="33" t="n">
        <v>0</v>
      </c>
      <c r="H41" s="34" t="n">
        <v>4</v>
      </c>
      <c r="I41" s="33" t="n">
        <v>0</v>
      </c>
      <c r="J41" s="6" t="n">
        <v>0</v>
      </c>
      <c r="K41" s="6" t="inlineStr">
        <is>
          <t>N</t>
        </is>
      </c>
      <c r="L41" s="33" t="n">
        <v>0</v>
      </c>
      <c r="M41" s="33" t="n">
        <v>1.5</v>
      </c>
      <c r="N41" s="11" t="n">
        <v>0.08</v>
      </c>
      <c r="O41" s="34" t="n">
        <v>0</v>
      </c>
      <c r="P41" s="6" t="n">
        <v>3</v>
      </c>
      <c r="Q41" s="11" t="n">
        <v>0</v>
      </c>
      <c r="R41" s="33" t="n">
        <v>0</v>
      </c>
      <c r="S41" s="33" t="n">
        <v>0.5</v>
      </c>
      <c r="T41" s="6" t="inlineStr">
        <is>
          <t>N</t>
        </is>
      </c>
      <c r="U41" s="6" t="inlineStr">
        <is>
          <t>Y</t>
        </is>
      </c>
      <c r="V41" s="34" t="n">
        <v>0.0001</v>
      </c>
      <c r="W41" s="34" t="n">
        <v>0.0001</v>
      </c>
      <c r="X41" s="34" t="n">
        <v>0.0001</v>
      </c>
      <c r="Y41" s="34" t="n">
        <v>0.1</v>
      </c>
      <c r="Z41" s="6" t="inlineStr">
        <is>
          <t>Y</t>
        </is>
      </c>
      <c r="AA41" s="11" t="n">
        <v>1</v>
      </c>
      <c r="AB41" s="6" t="inlineStr">
        <is>
          <t>Y</t>
        </is>
      </c>
      <c r="AC41" s="34" t="n">
        <v>0.006</v>
      </c>
      <c r="AD41" s="34" t="n">
        <v>3</v>
      </c>
      <c r="AE41" s="13" t="n">
        <v>40000</v>
      </c>
      <c r="AF41" s="13" t="n">
        <v>230</v>
      </c>
      <c r="AG41" s="13" t="n">
        <v>10</v>
      </c>
      <c r="AH41" s="6" t="n">
        <v>14</v>
      </c>
      <c r="AI41" s="13" t="n">
        <v>0</v>
      </c>
      <c r="AJ41" s="13" t="n">
        <v>0</v>
      </c>
      <c r="AK41" s="13" t="n">
        <v>40</v>
      </c>
      <c r="AL41" s="11" t="n">
        <v>0</v>
      </c>
      <c r="AM41" s="11" t="n">
        <v>0.1</v>
      </c>
      <c r="AN41" s="13" t="n">
        <v>12</v>
      </c>
      <c r="AO41" s="11" t="n">
        <v>0.08</v>
      </c>
      <c r="AP41" s="11" t="n">
        <v>0</v>
      </c>
      <c r="AQ41" s="6" t="n">
        <v>12</v>
      </c>
      <c r="AR41" s="11" t="n">
        <v>0.075</v>
      </c>
      <c r="AS41" s="13" t="n">
        <v>400000</v>
      </c>
      <c r="AT41" s="13" t="n">
        <v>0</v>
      </c>
      <c r="AU41" s="11" t="n">
        <v>0.15</v>
      </c>
      <c r="AV41" s="6" t="n">
        <v>1</v>
      </c>
      <c r="AW41" s="6" t="n">
        <v>1</v>
      </c>
      <c r="AX41" s="6" t="n">
        <v>1</v>
      </c>
      <c r="AY41" s="6" t="n">
        <v>150</v>
      </c>
      <c r="AZ41" s="6" t="inlineStr">
        <is>
          <t>N</t>
        </is>
      </c>
      <c r="BA41" s="6" t="inlineStr">
        <is>
          <t>Y</t>
        </is>
      </c>
      <c r="BB41" s="6" t="n">
        <v>0</v>
      </c>
      <c r="BC41" s="6" t="n">
        <v>8000</v>
      </c>
      <c r="BD41" s="6" t="n">
        <v>0</v>
      </c>
      <c r="BE41" s="6" t="inlineStr">
        <is>
          <t>N</t>
        </is>
      </c>
      <c r="BF41" s="6" t="n">
        <v>0</v>
      </c>
      <c r="BG41" s="6" t="n">
        <v>0</v>
      </c>
      <c r="BH41" s="6" t="inlineStr">
        <is>
          <t>N</t>
        </is>
      </c>
      <c r="BI41" s="2" t="inlineStr">
        <is>
          <t>Affluent rooftops; retail corridor</t>
        </is>
      </c>
      <c r="BJ41" s="2" t="inlineStr">
        <is>
          <t>Placeholder values</t>
        </is>
      </c>
    </row>
    <row r="42">
      <c r="A42" s="4" t="inlineStr">
        <is>
          <t>Auto service / tire / oil pad</t>
        </is>
      </c>
      <c r="B42" s="9" t="inlineStr">
        <is>
          <t>Daily-Needs Retail</t>
        </is>
      </c>
      <c r="C42" s="6" t="inlineStr">
        <is>
          <t>Income</t>
        </is>
      </c>
      <c r="D42" s="6" t="inlineStr">
        <is>
          <t>bldg SF</t>
        </is>
      </c>
      <c r="E42" s="6" t="inlineStr">
        <is>
          <t>N</t>
        </is>
      </c>
      <c r="F42" s="6" t="inlineStr">
        <is>
          <t>COM</t>
        </is>
      </c>
      <c r="G42" s="33" t="n">
        <v>0</v>
      </c>
      <c r="H42" s="34" t="n">
        <v>6.667</v>
      </c>
      <c r="I42" s="33" t="n">
        <v>0</v>
      </c>
      <c r="J42" s="6" t="n">
        <v>0</v>
      </c>
      <c r="K42" s="6" t="inlineStr">
        <is>
          <t>N</t>
        </is>
      </c>
      <c r="L42" s="33" t="n">
        <v>0</v>
      </c>
      <c r="M42" s="33" t="n">
        <v>1.5</v>
      </c>
      <c r="N42" s="11" t="n">
        <v>0.08</v>
      </c>
      <c r="O42" s="34" t="n">
        <v>0</v>
      </c>
      <c r="P42" s="6" t="n">
        <v>3</v>
      </c>
      <c r="Q42" s="11" t="n">
        <v>0</v>
      </c>
      <c r="R42" s="33" t="n">
        <v>0</v>
      </c>
      <c r="S42" s="33" t="n">
        <v>0.5</v>
      </c>
      <c r="T42" s="6" t="inlineStr">
        <is>
          <t>N</t>
        </is>
      </c>
      <c r="U42" s="6" t="inlineStr">
        <is>
          <t>Y</t>
        </is>
      </c>
      <c r="V42" s="34" t="n">
        <v>0.0001</v>
      </c>
      <c r="W42" s="34" t="n">
        <v>0.0001</v>
      </c>
      <c r="X42" s="34" t="n">
        <v>0.0001</v>
      </c>
      <c r="Y42" s="34" t="n">
        <v>0.1</v>
      </c>
      <c r="Z42" s="6" t="inlineStr">
        <is>
          <t>Y</t>
        </is>
      </c>
      <c r="AA42" s="11" t="n">
        <v>1</v>
      </c>
      <c r="AB42" s="6" t="inlineStr">
        <is>
          <t>Y</t>
        </is>
      </c>
      <c r="AC42" s="34" t="n">
        <v>0.006</v>
      </c>
      <c r="AD42" s="34" t="n">
        <v>5</v>
      </c>
      <c r="AE42" s="13" t="n">
        <v>40000</v>
      </c>
      <c r="AF42" s="13" t="n">
        <v>280</v>
      </c>
      <c r="AG42" s="13" t="n">
        <v>0</v>
      </c>
      <c r="AH42" s="6" t="n">
        <v>14</v>
      </c>
      <c r="AI42" s="13" t="n">
        <v>0</v>
      </c>
      <c r="AJ42" s="13" t="n">
        <v>0</v>
      </c>
      <c r="AK42" s="13" t="n">
        <v>32</v>
      </c>
      <c r="AL42" s="11" t="n">
        <v>0</v>
      </c>
      <c r="AM42" s="11" t="n">
        <v>0.07000000000000001</v>
      </c>
      <c r="AN42" s="13" t="n">
        <v>8</v>
      </c>
      <c r="AO42" s="11" t="n">
        <v>0.03</v>
      </c>
      <c r="AP42" s="11" t="n">
        <v>1</v>
      </c>
      <c r="AQ42" s="6" t="n">
        <v>3</v>
      </c>
      <c r="AR42" s="11" t="n">
        <v>0.065</v>
      </c>
      <c r="AS42" s="13" t="n">
        <v>600000</v>
      </c>
      <c r="AT42" s="13" t="n">
        <v>0</v>
      </c>
      <c r="AU42" s="11" t="n">
        <v>0.15</v>
      </c>
      <c r="AV42" s="6" t="n">
        <v>1</v>
      </c>
      <c r="AW42" s="6" t="n">
        <v>1</v>
      </c>
      <c r="AX42" s="6" t="n">
        <v>1</v>
      </c>
      <c r="AY42" s="6" t="n">
        <v>150</v>
      </c>
      <c r="AZ42" s="6" t="inlineStr">
        <is>
          <t>Y</t>
        </is>
      </c>
      <c r="BA42" s="6" t="inlineStr">
        <is>
          <t>Y</t>
        </is>
      </c>
      <c r="BB42" s="6" t="n">
        <v>10000</v>
      </c>
      <c r="BC42" s="6" t="n">
        <v>5000</v>
      </c>
      <c r="BD42" s="6" t="n">
        <v>0</v>
      </c>
      <c r="BE42" s="6" t="inlineStr">
        <is>
          <t>N</t>
        </is>
      </c>
      <c r="BF42" s="6" t="n">
        <v>0</v>
      </c>
      <c r="BG42" s="6" t="n">
        <v>0</v>
      </c>
      <c r="BH42" s="6" t="inlineStr">
        <is>
          <t>N</t>
        </is>
      </c>
      <c r="BI42" s="2" t="inlineStr">
        <is>
          <t>15k+ VPD; commercial zoning; visibility</t>
        </is>
      </c>
      <c r="BJ42" s="2" t="inlineStr">
        <is>
          <t>Placeholder values</t>
        </is>
      </c>
    </row>
    <row r="43">
      <c r="A43" s="4" t="inlineStr">
        <is>
          <t>Laundromat</t>
        </is>
      </c>
      <c r="B43" s="9" t="inlineStr">
        <is>
          <t>Daily-Needs Retail</t>
        </is>
      </c>
      <c r="C43" s="6" t="inlineStr">
        <is>
          <t>Operator Pad</t>
        </is>
      </c>
      <c r="D43" s="6" t="inlineStr">
        <is>
          <t>acre</t>
        </is>
      </c>
      <c r="E43" s="6" t="inlineStr">
        <is>
          <t>N</t>
        </is>
      </c>
      <c r="F43" s="6" t="inlineStr">
        <is>
          <t>COM</t>
        </is>
      </c>
      <c r="G43" s="33" t="n">
        <v>0</v>
      </c>
      <c r="H43" s="34" t="n">
        <v>43560</v>
      </c>
      <c r="I43" s="33" t="n">
        <v>0</v>
      </c>
      <c r="J43" s="6" t="n">
        <v>0</v>
      </c>
      <c r="K43" s="6" t="inlineStr">
        <is>
          <t>N</t>
        </is>
      </c>
      <c r="L43" s="33" t="n">
        <v>0</v>
      </c>
      <c r="M43" s="33" t="n">
        <v>1</v>
      </c>
      <c r="N43" s="11" t="n">
        <v>0.05</v>
      </c>
      <c r="O43" s="34" t="n">
        <v>0</v>
      </c>
      <c r="P43" s="6" t="n">
        <v>3</v>
      </c>
      <c r="Q43" s="11" t="n">
        <v>0</v>
      </c>
      <c r="R43" s="33" t="n">
        <v>0</v>
      </c>
      <c r="S43" s="33" t="n">
        <v>0</v>
      </c>
      <c r="T43" s="6" t="inlineStr">
        <is>
          <t>N</t>
        </is>
      </c>
      <c r="U43" s="6" t="inlineStr">
        <is>
          <t>N</t>
        </is>
      </c>
      <c r="V43" s="34" t="n">
        <v>0</v>
      </c>
      <c r="W43" s="34" t="n">
        <v>0</v>
      </c>
      <c r="X43" s="34" t="n">
        <v>0</v>
      </c>
      <c r="Y43" s="34" t="n">
        <v>0</v>
      </c>
      <c r="Z43" s="6" t="inlineStr">
        <is>
          <t>Y</t>
        </is>
      </c>
      <c r="AA43" s="11" t="n">
        <v>1</v>
      </c>
      <c r="AB43" s="6" t="inlineStr">
        <is>
          <t>Y</t>
        </is>
      </c>
      <c r="AC43" s="34" t="n">
        <v>0</v>
      </c>
      <c r="AD43" s="34" t="n">
        <v>0</v>
      </c>
      <c r="AE43" s="13" t="n">
        <v>40000</v>
      </c>
      <c r="AF43" s="13" t="n">
        <v>0</v>
      </c>
      <c r="AG43" s="13" t="n">
        <v>0</v>
      </c>
      <c r="AH43" s="6" t="n">
        <v>12</v>
      </c>
      <c r="AI43" s="13" t="n">
        <v>0</v>
      </c>
      <c r="AJ43" s="13" t="n">
        <v>0</v>
      </c>
      <c r="AK43" s="13" t="n">
        <v>0</v>
      </c>
      <c r="AL43" s="11" t="n">
        <v>0</v>
      </c>
      <c r="AM43" s="11" t="n">
        <v>0</v>
      </c>
      <c r="AN43" s="13" t="n">
        <v>0</v>
      </c>
      <c r="AO43" s="11" t="n">
        <v>0</v>
      </c>
      <c r="AP43" s="11" t="n">
        <v>0</v>
      </c>
      <c r="AQ43" s="6" t="n">
        <v>0</v>
      </c>
      <c r="AR43" s="11" t="n">
        <v>0.065</v>
      </c>
      <c r="AS43" s="13" t="n">
        <v>300000</v>
      </c>
      <c r="AT43" s="13" t="n">
        <v>21000</v>
      </c>
      <c r="AU43" s="11" t="n">
        <v>0.2</v>
      </c>
      <c r="AV43" s="6" t="n">
        <v>1</v>
      </c>
      <c r="AW43" s="6" t="n">
        <v>0</v>
      </c>
      <c r="AX43" s="6" t="n">
        <v>1</v>
      </c>
      <c r="AY43" s="6" t="n">
        <v>100</v>
      </c>
      <c r="AZ43" s="6" t="inlineStr">
        <is>
          <t>N</t>
        </is>
      </c>
      <c r="BA43" s="6" t="inlineStr">
        <is>
          <t>Y</t>
        </is>
      </c>
      <c r="BB43" s="6" t="n">
        <v>0</v>
      </c>
      <c r="BC43" s="6" t="n">
        <v>4000</v>
      </c>
      <c r="BD43" s="6" t="n">
        <v>0</v>
      </c>
      <c r="BE43" s="6" t="inlineStr">
        <is>
          <t>N</t>
        </is>
      </c>
      <c r="BF43" s="6" t="n">
        <v>0</v>
      </c>
      <c r="BG43" s="6" t="n">
        <v>0</v>
      </c>
      <c r="BH43" s="6" t="inlineStr">
        <is>
          <t>N</t>
        </is>
      </c>
      <c r="BI43" s="2" t="inlineStr">
        <is>
          <t>Renter-heavy households within 2 mi; retail strip frontage</t>
        </is>
      </c>
      <c r="BJ43" s="2" t="inlineStr">
        <is>
          <t>Landova delivers a pad-ready site; operator builds and runs the business</t>
        </is>
      </c>
    </row>
    <row r="44">
      <c r="A44" s="4" t="inlineStr">
        <is>
          <t>Pet boarding / grooming / daycare</t>
        </is>
      </c>
      <c r="B44" s="9" t="inlineStr">
        <is>
          <t>Daily-Needs Retail</t>
        </is>
      </c>
      <c r="C44" s="6" t="inlineStr">
        <is>
          <t>Operator Pad</t>
        </is>
      </c>
      <c r="D44" s="6" t="inlineStr">
        <is>
          <t>acre</t>
        </is>
      </c>
      <c r="E44" s="6" t="inlineStr">
        <is>
          <t>N</t>
        </is>
      </c>
      <c r="F44" s="6" t="inlineStr">
        <is>
          <t>COM</t>
        </is>
      </c>
      <c r="G44" s="33" t="n">
        <v>0</v>
      </c>
      <c r="H44" s="34" t="n">
        <v>43560</v>
      </c>
      <c r="I44" s="33" t="n">
        <v>0</v>
      </c>
      <c r="J44" s="6" t="n">
        <v>0</v>
      </c>
      <c r="K44" s="6" t="inlineStr">
        <is>
          <t>N</t>
        </is>
      </c>
      <c r="L44" s="33" t="n">
        <v>0</v>
      </c>
      <c r="M44" s="33" t="n">
        <v>3</v>
      </c>
      <c r="N44" s="11" t="n">
        <v>0.05</v>
      </c>
      <c r="O44" s="34" t="n">
        <v>0</v>
      </c>
      <c r="P44" s="6" t="n">
        <v>3</v>
      </c>
      <c r="Q44" s="11" t="n">
        <v>0</v>
      </c>
      <c r="R44" s="33" t="n">
        <v>0</v>
      </c>
      <c r="S44" s="33" t="n">
        <v>0</v>
      </c>
      <c r="T44" s="6" t="inlineStr">
        <is>
          <t>N</t>
        </is>
      </c>
      <c r="U44" s="6" t="inlineStr">
        <is>
          <t>N</t>
        </is>
      </c>
      <c r="V44" s="34" t="n">
        <v>0</v>
      </c>
      <c r="W44" s="34" t="n">
        <v>0</v>
      </c>
      <c r="X44" s="34" t="n">
        <v>0</v>
      </c>
      <c r="Y44" s="34" t="n">
        <v>0</v>
      </c>
      <c r="Z44" s="6" t="inlineStr">
        <is>
          <t>Y</t>
        </is>
      </c>
      <c r="AA44" s="11" t="n">
        <v>1</v>
      </c>
      <c r="AB44" s="6" t="inlineStr">
        <is>
          <t>Y</t>
        </is>
      </c>
      <c r="AC44" s="34" t="n">
        <v>0</v>
      </c>
      <c r="AD44" s="34" t="n">
        <v>0</v>
      </c>
      <c r="AE44" s="13" t="n">
        <v>40000</v>
      </c>
      <c r="AF44" s="13" t="n">
        <v>0</v>
      </c>
      <c r="AG44" s="13" t="n">
        <v>0</v>
      </c>
      <c r="AH44" s="6" t="n">
        <v>12</v>
      </c>
      <c r="AI44" s="13" t="n">
        <v>0</v>
      </c>
      <c r="AJ44" s="13" t="n">
        <v>0</v>
      </c>
      <c r="AK44" s="13" t="n">
        <v>0</v>
      </c>
      <c r="AL44" s="11" t="n">
        <v>0</v>
      </c>
      <c r="AM44" s="11" t="n">
        <v>0</v>
      </c>
      <c r="AN44" s="13" t="n">
        <v>0</v>
      </c>
      <c r="AO44" s="11" t="n">
        <v>0</v>
      </c>
      <c r="AP44" s="11" t="n">
        <v>0</v>
      </c>
      <c r="AQ44" s="6" t="n">
        <v>0</v>
      </c>
      <c r="AR44" s="11" t="n">
        <v>0.065</v>
      </c>
      <c r="AS44" s="13" t="n">
        <v>200000</v>
      </c>
      <c r="AT44" s="13" t="n">
        <v>14000</v>
      </c>
      <c r="AU44" s="11" t="n">
        <v>0.2</v>
      </c>
      <c r="AV44" s="6" t="n">
        <v>1</v>
      </c>
      <c r="AW44" s="6" t="n">
        <v>0</v>
      </c>
      <c r="AX44" s="6" t="n">
        <v>1</v>
      </c>
      <c r="AY44" s="6" t="n">
        <v>100</v>
      </c>
      <c r="AZ44" s="6" t="inlineStr">
        <is>
          <t>N</t>
        </is>
      </c>
      <c r="BA44" s="6" t="inlineStr">
        <is>
          <t>Y</t>
        </is>
      </c>
      <c r="BB44" s="6" t="n">
        <v>0</v>
      </c>
      <c r="BC44" s="6" t="n">
        <v>4000</v>
      </c>
      <c r="BD44" s="6" t="n">
        <v>0</v>
      </c>
      <c r="BE44" s="6" t="inlineStr">
        <is>
          <t>N</t>
        </is>
      </c>
      <c r="BF44" s="6" t="n">
        <v>0</v>
      </c>
      <c r="BG44" s="6" t="n">
        <v>0</v>
      </c>
      <c r="BH44" s="6" t="inlineStr">
        <is>
          <t>N</t>
        </is>
      </c>
      <c r="BI44" s="2" t="inlineStr">
        <is>
          <t>Affluent households; noise buffer from homes</t>
        </is>
      </c>
      <c r="BJ44" s="2" t="inlineStr">
        <is>
          <t>Landova delivers a pad-ready site; operator builds and runs the business</t>
        </is>
      </c>
    </row>
    <row r="45">
      <c r="A45" s="4" t="inlineStr">
        <is>
          <t>Childcare / early-learning center</t>
        </is>
      </c>
      <c r="B45" s="9" t="inlineStr">
        <is>
          <t>Kids &amp; Recreation</t>
        </is>
      </c>
      <c r="C45" s="6" t="inlineStr">
        <is>
          <t>Operator Pad</t>
        </is>
      </c>
      <c r="D45" s="6" t="inlineStr">
        <is>
          <t>acre</t>
        </is>
      </c>
      <c r="E45" s="6" t="inlineStr">
        <is>
          <t>N</t>
        </is>
      </c>
      <c r="F45" s="6" t="inlineStr">
        <is>
          <t>INST</t>
        </is>
      </c>
      <c r="G45" s="33" t="n">
        <v>0</v>
      </c>
      <c r="H45" s="34" t="n">
        <v>43560</v>
      </c>
      <c r="I45" s="33" t="n">
        <v>0</v>
      </c>
      <c r="J45" s="6" t="n">
        <v>0</v>
      </c>
      <c r="K45" s="6" t="inlineStr">
        <is>
          <t>N</t>
        </is>
      </c>
      <c r="L45" s="33" t="n">
        <v>0</v>
      </c>
      <c r="M45" s="33" t="n">
        <v>2</v>
      </c>
      <c r="N45" s="11" t="n">
        <v>0.05</v>
      </c>
      <c r="O45" s="34" t="n">
        <v>0</v>
      </c>
      <c r="P45" s="6" t="n">
        <v>3</v>
      </c>
      <c r="Q45" s="11" t="n">
        <v>0</v>
      </c>
      <c r="R45" s="33" t="n">
        <v>0</v>
      </c>
      <c r="S45" s="33" t="n">
        <v>0</v>
      </c>
      <c r="T45" s="6" t="inlineStr">
        <is>
          <t>N</t>
        </is>
      </c>
      <c r="U45" s="6" t="inlineStr">
        <is>
          <t>N</t>
        </is>
      </c>
      <c r="V45" s="34" t="n">
        <v>0</v>
      </c>
      <c r="W45" s="34" t="n">
        <v>0</v>
      </c>
      <c r="X45" s="34" t="n">
        <v>0</v>
      </c>
      <c r="Y45" s="34" t="n">
        <v>0</v>
      </c>
      <c r="Z45" s="6" t="inlineStr">
        <is>
          <t>Y</t>
        </is>
      </c>
      <c r="AA45" s="11" t="n">
        <v>1</v>
      </c>
      <c r="AB45" s="6" t="inlineStr">
        <is>
          <t>Y</t>
        </is>
      </c>
      <c r="AC45" s="34" t="n">
        <v>0</v>
      </c>
      <c r="AD45" s="34" t="n">
        <v>0</v>
      </c>
      <c r="AE45" s="13" t="n">
        <v>40000</v>
      </c>
      <c r="AF45" s="13" t="n">
        <v>0</v>
      </c>
      <c r="AG45" s="13" t="n">
        <v>0</v>
      </c>
      <c r="AH45" s="6" t="n">
        <v>12</v>
      </c>
      <c r="AI45" s="13" t="n">
        <v>0</v>
      </c>
      <c r="AJ45" s="13" t="n">
        <v>0</v>
      </c>
      <c r="AK45" s="13" t="n">
        <v>0</v>
      </c>
      <c r="AL45" s="11" t="n">
        <v>0</v>
      </c>
      <c r="AM45" s="11" t="n">
        <v>0</v>
      </c>
      <c r="AN45" s="13" t="n">
        <v>0</v>
      </c>
      <c r="AO45" s="11" t="n">
        <v>0</v>
      </c>
      <c r="AP45" s="11" t="n">
        <v>0</v>
      </c>
      <c r="AQ45" s="6" t="n">
        <v>0</v>
      </c>
      <c r="AR45" s="11" t="n">
        <v>0.0625</v>
      </c>
      <c r="AS45" s="13" t="n">
        <v>350000</v>
      </c>
      <c r="AT45" s="13" t="n">
        <v>24500</v>
      </c>
      <c r="AU45" s="11" t="n">
        <v>0.2</v>
      </c>
      <c r="AV45" s="6" t="n">
        <v>1</v>
      </c>
      <c r="AW45" s="6" t="n">
        <v>0</v>
      </c>
      <c r="AX45" s="6" t="n">
        <v>1</v>
      </c>
      <c r="AY45" s="6" t="n">
        <v>100</v>
      </c>
      <c r="AZ45" s="6" t="inlineStr">
        <is>
          <t>N</t>
        </is>
      </c>
      <c r="BA45" s="6" t="inlineStr">
        <is>
          <t>Y</t>
        </is>
      </c>
      <c r="BB45" s="6" t="n">
        <v>0</v>
      </c>
      <c r="BC45" s="6" t="n">
        <v>5000</v>
      </c>
      <c r="BD45" s="6" t="n">
        <v>0</v>
      </c>
      <c r="BE45" s="6" t="inlineStr">
        <is>
          <t>N</t>
        </is>
      </c>
      <c r="BF45" s="6" t="n">
        <v>0</v>
      </c>
      <c r="BG45" s="6" t="n">
        <v>0</v>
      </c>
      <c r="BH45" s="6" t="inlineStr">
        <is>
          <t>N</t>
        </is>
      </c>
      <c r="BI45" s="2" t="inlineStr">
        <is>
          <t>Young-family rooftops; commute-side of arterial; state licensing site rules</t>
        </is>
      </c>
      <c r="BJ45" s="2" t="inlineStr">
        <is>
          <t>Landova delivers a pad-ready site; operator builds and runs the business</t>
        </is>
      </c>
    </row>
    <row r="46">
      <c r="A46" s="4" t="inlineStr">
        <is>
          <t>Charter / private school</t>
        </is>
      </c>
      <c r="B46" s="9" t="inlineStr">
        <is>
          <t>Kids &amp; Recreation</t>
        </is>
      </c>
      <c r="C46" s="6" t="inlineStr">
        <is>
          <t>Operator Pad</t>
        </is>
      </c>
      <c r="D46" s="6" t="inlineStr">
        <is>
          <t>acre</t>
        </is>
      </c>
      <c r="E46" s="6" t="inlineStr">
        <is>
          <t>N</t>
        </is>
      </c>
      <c r="F46" s="6" t="inlineStr">
        <is>
          <t>INST</t>
        </is>
      </c>
      <c r="G46" s="33" t="n">
        <v>0</v>
      </c>
      <c r="H46" s="34" t="n">
        <v>43560</v>
      </c>
      <c r="I46" s="33" t="n">
        <v>0</v>
      </c>
      <c r="J46" s="6" t="n">
        <v>0</v>
      </c>
      <c r="K46" s="6" t="inlineStr">
        <is>
          <t>N</t>
        </is>
      </c>
      <c r="L46" s="33" t="n">
        <v>8</v>
      </c>
      <c r="M46" s="33" t="n">
        <v>10</v>
      </c>
      <c r="N46" s="11" t="n">
        <v>0.05</v>
      </c>
      <c r="O46" s="34" t="n">
        <v>0</v>
      </c>
      <c r="P46" s="6" t="n">
        <v>3</v>
      </c>
      <c r="Q46" s="11" t="n">
        <v>0</v>
      </c>
      <c r="R46" s="33" t="n">
        <v>0</v>
      </c>
      <c r="S46" s="33" t="n">
        <v>0</v>
      </c>
      <c r="T46" s="6" t="inlineStr">
        <is>
          <t>N</t>
        </is>
      </c>
      <c r="U46" s="6" t="inlineStr">
        <is>
          <t>N</t>
        </is>
      </c>
      <c r="V46" s="34" t="n">
        <v>0</v>
      </c>
      <c r="W46" s="34" t="n">
        <v>0</v>
      </c>
      <c r="X46" s="34" t="n">
        <v>0</v>
      </c>
      <c r="Y46" s="34" t="n">
        <v>0</v>
      </c>
      <c r="Z46" s="6" t="inlineStr">
        <is>
          <t>Y</t>
        </is>
      </c>
      <c r="AA46" s="11" t="n">
        <v>1</v>
      </c>
      <c r="AB46" s="6" t="inlineStr">
        <is>
          <t>Y</t>
        </is>
      </c>
      <c r="AC46" s="34" t="n">
        <v>0</v>
      </c>
      <c r="AD46" s="34" t="n">
        <v>0</v>
      </c>
      <c r="AE46" s="13" t="n">
        <v>40000</v>
      </c>
      <c r="AF46" s="13" t="n">
        <v>0</v>
      </c>
      <c r="AG46" s="13" t="n">
        <v>0</v>
      </c>
      <c r="AH46" s="6" t="n">
        <v>12</v>
      </c>
      <c r="AI46" s="13" t="n">
        <v>0</v>
      </c>
      <c r="AJ46" s="13" t="n">
        <v>0</v>
      </c>
      <c r="AK46" s="13" t="n">
        <v>0</v>
      </c>
      <c r="AL46" s="11" t="n">
        <v>0</v>
      </c>
      <c r="AM46" s="11" t="n">
        <v>0</v>
      </c>
      <c r="AN46" s="13" t="n">
        <v>0</v>
      </c>
      <c r="AO46" s="11" t="n">
        <v>0</v>
      </c>
      <c r="AP46" s="11" t="n">
        <v>0</v>
      </c>
      <c r="AQ46" s="6" t="n">
        <v>0</v>
      </c>
      <c r="AR46" s="11" t="n">
        <v>0.07000000000000001</v>
      </c>
      <c r="AS46" s="13" t="n">
        <v>150000</v>
      </c>
      <c r="AT46" s="13" t="n">
        <v>10500</v>
      </c>
      <c r="AU46" s="11" t="n">
        <v>0.2</v>
      </c>
      <c r="AV46" s="6" t="n">
        <v>1</v>
      </c>
      <c r="AW46" s="6" t="n">
        <v>0</v>
      </c>
      <c r="AX46" s="6" t="n">
        <v>1</v>
      </c>
      <c r="AY46" s="6" t="n">
        <v>100</v>
      </c>
      <c r="AZ46" s="6" t="inlineStr">
        <is>
          <t>N</t>
        </is>
      </c>
      <c r="BA46" s="6" t="inlineStr">
        <is>
          <t>Y</t>
        </is>
      </c>
      <c r="BB46" s="6" t="n">
        <v>0</v>
      </c>
      <c r="BC46" s="6" t="n">
        <v>8000</v>
      </c>
      <c r="BD46" s="6" t="n">
        <v>0</v>
      </c>
      <c r="BE46" s="6" t="inlineStr">
        <is>
          <t>N</t>
        </is>
      </c>
      <c r="BF46" s="6" t="n">
        <v>0</v>
      </c>
      <c r="BG46" s="6" t="n">
        <v>0</v>
      </c>
      <c r="BH46" s="6" t="inlineStr">
        <is>
          <t>N</t>
        </is>
      </c>
      <c r="BI46" s="2" t="inlineStr">
        <is>
          <t>Population growth; school-age share; collector road access</t>
        </is>
      </c>
      <c r="BJ46" s="2" t="inlineStr">
        <is>
          <t>Landova delivers a pad-ready site; operator builds and runs the business</t>
        </is>
      </c>
    </row>
    <row r="47">
      <c r="A47" s="4" t="inlineStr">
        <is>
          <t>Church / house of worship</t>
        </is>
      </c>
      <c r="B47" s="9" t="inlineStr">
        <is>
          <t>Kids &amp; Recreation</t>
        </is>
      </c>
      <c r="C47" s="6" t="inlineStr">
        <is>
          <t>Operator Pad</t>
        </is>
      </c>
      <c r="D47" s="6" t="inlineStr">
        <is>
          <t>acre</t>
        </is>
      </c>
      <c r="E47" s="6" t="inlineStr">
        <is>
          <t>N</t>
        </is>
      </c>
      <c r="F47" s="6" t="inlineStr">
        <is>
          <t>INST</t>
        </is>
      </c>
      <c r="G47" s="33" t="n">
        <v>0</v>
      </c>
      <c r="H47" s="34" t="n">
        <v>43560</v>
      </c>
      <c r="I47" s="33" t="n">
        <v>0</v>
      </c>
      <c r="J47" s="6" t="n">
        <v>0</v>
      </c>
      <c r="K47" s="6" t="inlineStr">
        <is>
          <t>N</t>
        </is>
      </c>
      <c r="L47" s="33" t="n">
        <v>3</v>
      </c>
      <c r="M47" s="33" t="n">
        <v>10</v>
      </c>
      <c r="N47" s="11" t="n">
        <v>0.05</v>
      </c>
      <c r="O47" s="34" t="n">
        <v>0</v>
      </c>
      <c r="P47" s="6" t="n">
        <v>3</v>
      </c>
      <c r="Q47" s="11" t="n">
        <v>0</v>
      </c>
      <c r="R47" s="33" t="n">
        <v>0</v>
      </c>
      <c r="S47" s="33" t="n">
        <v>0</v>
      </c>
      <c r="T47" s="6" t="inlineStr">
        <is>
          <t>N</t>
        </is>
      </c>
      <c r="U47" s="6" t="inlineStr">
        <is>
          <t>N</t>
        </is>
      </c>
      <c r="V47" s="34" t="n">
        <v>0</v>
      </c>
      <c r="W47" s="34" t="n">
        <v>0</v>
      </c>
      <c r="X47" s="34" t="n">
        <v>0</v>
      </c>
      <c r="Y47" s="34" t="n">
        <v>0</v>
      </c>
      <c r="Z47" s="6" t="inlineStr">
        <is>
          <t>Y</t>
        </is>
      </c>
      <c r="AA47" s="11" t="n">
        <v>0.6</v>
      </c>
      <c r="AB47" s="6" t="inlineStr">
        <is>
          <t>Y</t>
        </is>
      </c>
      <c r="AC47" s="34" t="n">
        <v>0</v>
      </c>
      <c r="AD47" s="34" t="n">
        <v>0</v>
      </c>
      <c r="AE47" s="13" t="n">
        <v>40000</v>
      </c>
      <c r="AF47" s="13" t="n">
        <v>0</v>
      </c>
      <c r="AG47" s="13" t="n">
        <v>0</v>
      </c>
      <c r="AH47" s="6" t="n">
        <v>12</v>
      </c>
      <c r="AI47" s="13" t="n">
        <v>0</v>
      </c>
      <c r="AJ47" s="13" t="n">
        <v>0</v>
      </c>
      <c r="AK47" s="13" t="n">
        <v>0</v>
      </c>
      <c r="AL47" s="11" t="n">
        <v>0</v>
      </c>
      <c r="AM47" s="11" t="n">
        <v>0</v>
      </c>
      <c r="AN47" s="13" t="n">
        <v>0</v>
      </c>
      <c r="AO47" s="11" t="n">
        <v>0</v>
      </c>
      <c r="AP47" s="11" t="n">
        <v>0</v>
      </c>
      <c r="AQ47" s="6" t="n">
        <v>0</v>
      </c>
      <c r="AR47" s="11" t="n">
        <v>0.07000000000000001</v>
      </c>
      <c r="AS47" s="13" t="n">
        <v>60000</v>
      </c>
      <c r="AT47" s="13" t="n">
        <v>0</v>
      </c>
      <c r="AU47" s="11" t="n">
        <v>0.2</v>
      </c>
      <c r="AV47" s="6" t="n">
        <v>1</v>
      </c>
      <c r="AW47" s="6" t="n">
        <v>0</v>
      </c>
      <c r="AX47" s="6" t="n">
        <v>0</v>
      </c>
      <c r="AY47" s="6" t="n">
        <v>100</v>
      </c>
      <c r="AZ47" s="6" t="inlineStr">
        <is>
          <t>N</t>
        </is>
      </c>
      <c r="BA47" s="6" t="inlineStr">
        <is>
          <t>Y</t>
        </is>
      </c>
      <c r="BB47" s="6" t="n">
        <v>0</v>
      </c>
      <c r="BC47" s="6" t="n">
        <v>4000</v>
      </c>
      <c r="BD47" s="6" t="n">
        <v>0</v>
      </c>
      <c r="BE47" s="6" t="inlineStr">
        <is>
          <t>N</t>
        </is>
      </c>
      <c r="BF47" s="6" t="n">
        <v>0</v>
      </c>
      <c r="BG47" s="6" t="n">
        <v>0</v>
      </c>
      <c r="BH47" s="6" t="inlineStr">
        <is>
          <t>N</t>
        </is>
      </c>
      <c r="BI47" s="2" t="inlineStr">
        <is>
          <t>Growing household base; collector road; parking</t>
        </is>
      </c>
      <c r="BJ47" s="2" t="inlineStr">
        <is>
          <t>Landova delivers a pad-ready site; operator builds and runs the business</t>
        </is>
      </c>
    </row>
    <row r="48">
      <c r="A48" s="4" t="inlineStr">
        <is>
          <t>Youth sports complex</t>
        </is>
      </c>
      <c r="B48" s="9" t="inlineStr">
        <is>
          <t>Kids &amp; Recreation</t>
        </is>
      </c>
      <c r="C48" s="6" t="inlineStr">
        <is>
          <t>Operator Pad</t>
        </is>
      </c>
      <c r="D48" s="6" t="inlineStr">
        <is>
          <t>acre</t>
        </is>
      </c>
      <c r="E48" s="6" t="inlineStr">
        <is>
          <t>N</t>
        </is>
      </c>
      <c r="F48" s="6" t="inlineStr">
        <is>
          <t>AG</t>
        </is>
      </c>
      <c r="G48" s="33" t="n">
        <v>0</v>
      </c>
      <c r="H48" s="34" t="n">
        <v>43560</v>
      </c>
      <c r="I48" s="33" t="n">
        <v>0</v>
      </c>
      <c r="J48" s="6" t="n">
        <v>0</v>
      </c>
      <c r="K48" s="6" t="inlineStr">
        <is>
          <t>N</t>
        </is>
      </c>
      <c r="L48" s="33" t="n">
        <v>20</v>
      </c>
      <c r="M48" s="33" t="n">
        <v>30</v>
      </c>
      <c r="N48" s="11" t="n">
        <v>0.05</v>
      </c>
      <c r="O48" s="34" t="n">
        <v>0</v>
      </c>
      <c r="P48" s="6" t="n">
        <v>3</v>
      </c>
      <c r="Q48" s="11" t="n">
        <v>0</v>
      </c>
      <c r="R48" s="33" t="n">
        <v>0</v>
      </c>
      <c r="S48" s="33" t="n">
        <v>0</v>
      </c>
      <c r="T48" s="6" t="inlineStr">
        <is>
          <t>N</t>
        </is>
      </c>
      <c r="U48" s="6" t="inlineStr">
        <is>
          <t>N</t>
        </is>
      </c>
      <c r="V48" s="34" t="n">
        <v>0</v>
      </c>
      <c r="W48" s="34" t="n">
        <v>0</v>
      </c>
      <c r="X48" s="34" t="n">
        <v>0</v>
      </c>
      <c r="Y48" s="34" t="n">
        <v>0</v>
      </c>
      <c r="Z48" s="6" t="inlineStr">
        <is>
          <t>Y</t>
        </is>
      </c>
      <c r="AA48" s="11" t="n">
        <v>1</v>
      </c>
      <c r="AB48" s="6" t="inlineStr">
        <is>
          <t>Y</t>
        </is>
      </c>
      <c r="AC48" s="34" t="n">
        <v>0</v>
      </c>
      <c r="AD48" s="34" t="n">
        <v>0</v>
      </c>
      <c r="AE48" s="13" t="n">
        <v>40000</v>
      </c>
      <c r="AF48" s="13" t="n">
        <v>0</v>
      </c>
      <c r="AG48" s="13" t="n">
        <v>0</v>
      </c>
      <c r="AH48" s="6" t="n">
        <v>12</v>
      </c>
      <c r="AI48" s="13" t="n">
        <v>0</v>
      </c>
      <c r="AJ48" s="13" t="n">
        <v>0</v>
      </c>
      <c r="AK48" s="13" t="n">
        <v>0</v>
      </c>
      <c r="AL48" s="11" t="n">
        <v>0</v>
      </c>
      <c r="AM48" s="11" t="n">
        <v>0</v>
      </c>
      <c r="AN48" s="13" t="n">
        <v>0</v>
      </c>
      <c r="AO48" s="11" t="n">
        <v>0</v>
      </c>
      <c r="AP48" s="11" t="n">
        <v>0</v>
      </c>
      <c r="AQ48" s="6" t="n">
        <v>0</v>
      </c>
      <c r="AR48" s="11" t="n">
        <v>0.07000000000000001</v>
      </c>
      <c r="AS48" s="13" t="n">
        <v>60000</v>
      </c>
      <c r="AT48" s="13" t="n">
        <v>4200</v>
      </c>
      <c r="AU48" s="11" t="n">
        <v>0.2</v>
      </c>
      <c r="AV48" s="6" t="n">
        <v>1</v>
      </c>
      <c r="AW48" s="6" t="n">
        <v>0</v>
      </c>
      <c r="AX48" s="6" t="n">
        <v>1</v>
      </c>
      <c r="AY48" s="6" t="n">
        <v>100</v>
      </c>
      <c r="AZ48" s="6" t="inlineStr">
        <is>
          <t>N</t>
        </is>
      </c>
      <c r="BA48" s="6" t="inlineStr">
        <is>
          <t>Y</t>
        </is>
      </c>
      <c r="BB48" s="6" t="n">
        <v>0</v>
      </c>
      <c r="BC48" s="6" t="n">
        <v>5000</v>
      </c>
      <c r="BD48" s="6" t="n">
        <v>0</v>
      </c>
      <c r="BE48" s="6" t="inlineStr">
        <is>
          <t>N</t>
        </is>
      </c>
      <c r="BF48" s="6" t="n">
        <v>0</v>
      </c>
      <c r="BG48" s="6" t="n">
        <v>0</v>
      </c>
      <c r="BH48" s="6" t="inlineStr">
        <is>
          <t>N</t>
        </is>
      </c>
      <c r="BI48" s="2" t="inlineStr">
        <is>
          <t>Flat land; 50k+ population in 15 min; highway access</t>
        </is>
      </c>
      <c r="BJ48" s="2" t="inlineStr">
        <is>
          <t>Landova delivers a pad-ready site; operator builds and runs the business</t>
        </is>
      </c>
    </row>
    <row r="49">
      <c r="A49" s="4" t="inlineStr">
        <is>
          <t>Gym / fitness center</t>
        </is>
      </c>
      <c r="B49" s="9" t="inlineStr">
        <is>
          <t>Kids &amp; Recreation</t>
        </is>
      </c>
      <c r="C49" s="6" t="inlineStr">
        <is>
          <t>Income</t>
        </is>
      </c>
      <c r="D49" s="6" t="inlineStr">
        <is>
          <t>bldg SF</t>
        </is>
      </c>
      <c r="E49" s="6" t="inlineStr">
        <is>
          <t>N</t>
        </is>
      </c>
      <c r="F49" s="6" t="inlineStr">
        <is>
          <t>COM</t>
        </is>
      </c>
      <c r="G49" s="33" t="n">
        <v>0</v>
      </c>
      <c r="H49" s="34" t="n">
        <v>4</v>
      </c>
      <c r="I49" s="33" t="n">
        <v>0</v>
      </c>
      <c r="J49" s="6" t="n">
        <v>0</v>
      </c>
      <c r="K49" s="6" t="inlineStr">
        <is>
          <t>N</t>
        </is>
      </c>
      <c r="L49" s="33" t="n">
        <v>0</v>
      </c>
      <c r="M49" s="33" t="n">
        <v>3</v>
      </c>
      <c r="N49" s="11" t="n">
        <v>0.08</v>
      </c>
      <c r="O49" s="34" t="n">
        <v>0</v>
      </c>
      <c r="P49" s="6" t="n">
        <v>3</v>
      </c>
      <c r="Q49" s="11" t="n">
        <v>0</v>
      </c>
      <c r="R49" s="33" t="n">
        <v>0</v>
      </c>
      <c r="S49" s="33" t="n">
        <v>0.5</v>
      </c>
      <c r="T49" s="6" t="inlineStr">
        <is>
          <t>N</t>
        </is>
      </c>
      <c r="U49" s="6" t="inlineStr">
        <is>
          <t>Y</t>
        </is>
      </c>
      <c r="V49" s="34" t="n">
        <v>0.0001</v>
      </c>
      <c r="W49" s="34" t="n">
        <v>0.0001</v>
      </c>
      <c r="X49" s="34" t="n">
        <v>0.0001</v>
      </c>
      <c r="Y49" s="34" t="n">
        <v>0.1</v>
      </c>
      <c r="Z49" s="6" t="inlineStr">
        <is>
          <t>Y</t>
        </is>
      </c>
      <c r="AA49" s="11" t="n">
        <v>1</v>
      </c>
      <c r="AB49" s="6" t="inlineStr">
        <is>
          <t>Y</t>
        </is>
      </c>
      <c r="AC49" s="34" t="n">
        <v>0.006</v>
      </c>
      <c r="AD49" s="34" t="n">
        <v>4</v>
      </c>
      <c r="AE49" s="13" t="n">
        <v>40000</v>
      </c>
      <c r="AF49" s="13" t="n">
        <v>180</v>
      </c>
      <c r="AG49" s="13" t="n">
        <v>30</v>
      </c>
      <c r="AH49" s="6" t="n">
        <v>14</v>
      </c>
      <c r="AI49" s="13" t="n">
        <v>0</v>
      </c>
      <c r="AJ49" s="13" t="n">
        <v>0</v>
      </c>
      <c r="AK49" s="13" t="n">
        <v>18</v>
      </c>
      <c r="AL49" s="11" t="n">
        <v>0</v>
      </c>
      <c r="AM49" s="11" t="n">
        <v>0.07000000000000001</v>
      </c>
      <c r="AN49" s="13" t="n">
        <v>7</v>
      </c>
      <c r="AO49" s="11" t="n">
        <v>0.03</v>
      </c>
      <c r="AP49" s="11" t="n">
        <v>1</v>
      </c>
      <c r="AQ49" s="6" t="n">
        <v>9</v>
      </c>
      <c r="AR49" s="11" t="n">
        <v>0.0725</v>
      </c>
      <c r="AS49" s="13" t="n">
        <v>400000</v>
      </c>
      <c r="AT49" s="13" t="n">
        <v>0</v>
      </c>
      <c r="AU49" s="11" t="n">
        <v>0.15</v>
      </c>
      <c r="AV49" s="6" t="n">
        <v>1</v>
      </c>
      <c r="AW49" s="6" t="n">
        <v>1</v>
      </c>
      <c r="AX49" s="6" t="n">
        <v>1</v>
      </c>
      <c r="AY49" s="6" t="n">
        <v>150</v>
      </c>
      <c r="AZ49" s="6" t="inlineStr">
        <is>
          <t>N</t>
        </is>
      </c>
      <c r="BA49" s="6" t="inlineStr">
        <is>
          <t>Y</t>
        </is>
      </c>
      <c r="BB49" s="6" t="n">
        <v>0</v>
      </c>
      <c r="BC49" s="6" t="n">
        <v>8000</v>
      </c>
      <c r="BD49" s="6" t="n">
        <v>0</v>
      </c>
      <c r="BE49" s="6" t="inlineStr">
        <is>
          <t>N</t>
        </is>
      </c>
      <c r="BF49" s="6" t="n">
        <v>0</v>
      </c>
      <c r="BG49" s="6" t="n">
        <v>0</v>
      </c>
      <c r="BH49" s="6" t="inlineStr">
        <is>
          <t>N</t>
        </is>
      </c>
      <c r="BI49" s="2" t="inlineStr">
        <is>
          <t>Rooftops; retail corridor; parking</t>
        </is>
      </c>
      <c r="BJ49" s="2" t="inlineStr">
        <is>
          <t>Placeholder values</t>
        </is>
      </c>
    </row>
    <row r="50">
      <c r="A50" s="4" t="inlineStr">
        <is>
          <t>Event venue / wedding barn</t>
        </is>
      </c>
      <c r="B50" s="9" t="inlineStr">
        <is>
          <t>Kids &amp; Recreation</t>
        </is>
      </c>
      <c r="C50" s="6" t="inlineStr">
        <is>
          <t>Operator Pad</t>
        </is>
      </c>
      <c r="D50" s="6" t="inlineStr">
        <is>
          <t>acre</t>
        </is>
      </c>
      <c r="E50" s="6" t="inlineStr">
        <is>
          <t>N</t>
        </is>
      </c>
      <c r="F50" s="6" t="inlineStr">
        <is>
          <t>AG</t>
        </is>
      </c>
      <c r="G50" s="33" t="n">
        <v>0</v>
      </c>
      <c r="H50" s="34" t="n">
        <v>43560</v>
      </c>
      <c r="I50" s="33" t="n">
        <v>0</v>
      </c>
      <c r="J50" s="6" t="n">
        <v>0</v>
      </c>
      <c r="K50" s="6" t="inlineStr">
        <is>
          <t>N</t>
        </is>
      </c>
      <c r="L50" s="33" t="n">
        <v>5</v>
      </c>
      <c r="M50" s="33" t="n">
        <v>15</v>
      </c>
      <c r="N50" s="11" t="n">
        <v>0.05</v>
      </c>
      <c r="O50" s="34" t="n">
        <v>0</v>
      </c>
      <c r="P50" s="6" t="n">
        <v>3</v>
      </c>
      <c r="Q50" s="11" t="n">
        <v>0</v>
      </c>
      <c r="R50" s="33" t="n">
        <v>0</v>
      </c>
      <c r="S50" s="33" t="n">
        <v>0</v>
      </c>
      <c r="T50" s="6" t="inlineStr">
        <is>
          <t>N</t>
        </is>
      </c>
      <c r="U50" s="6" t="inlineStr">
        <is>
          <t>N</t>
        </is>
      </c>
      <c r="V50" s="34" t="n">
        <v>0</v>
      </c>
      <c r="W50" s="34" t="n">
        <v>0</v>
      </c>
      <c r="X50" s="34" t="n">
        <v>0</v>
      </c>
      <c r="Y50" s="34" t="n">
        <v>0</v>
      </c>
      <c r="Z50" s="6" t="inlineStr">
        <is>
          <t>Y</t>
        </is>
      </c>
      <c r="AA50" s="11" t="n">
        <v>0.3</v>
      </c>
      <c r="AB50" s="6" t="inlineStr">
        <is>
          <t>Y</t>
        </is>
      </c>
      <c r="AC50" s="34" t="n">
        <v>0</v>
      </c>
      <c r="AD50" s="34" t="n">
        <v>0</v>
      </c>
      <c r="AE50" s="13" t="n">
        <v>40000</v>
      </c>
      <c r="AF50" s="13" t="n">
        <v>0</v>
      </c>
      <c r="AG50" s="13" t="n">
        <v>0</v>
      </c>
      <c r="AH50" s="6" t="n">
        <v>12</v>
      </c>
      <c r="AI50" s="13" t="n">
        <v>0</v>
      </c>
      <c r="AJ50" s="13" t="n">
        <v>0</v>
      </c>
      <c r="AK50" s="13" t="n">
        <v>0</v>
      </c>
      <c r="AL50" s="11" t="n">
        <v>0</v>
      </c>
      <c r="AM50" s="11" t="n">
        <v>0</v>
      </c>
      <c r="AN50" s="13" t="n">
        <v>0</v>
      </c>
      <c r="AO50" s="11" t="n">
        <v>0</v>
      </c>
      <c r="AP50" s="11" t="n">
        <v>0</v>
      </c>
      <c r="AQ50" s="6" t="n">
        <v>0</v>
      </c>
      <c r="AR50" s="11" t="n">
        <v>0.075</v>
      </c>
      <c r="AS50" s="13" t="n">
        <v>50000</v>
      </c>
      <c r="AT50" s="13" t="n">
        <v>3500</v>
      </c>
      <c r="AU50" s="11" t="n">
        <v>0.2</v>
      </c>
      <c r="AV50" s="6" t="n">
        <v>1</v>
      </c>
      <c r="AW50" s="6" t="n">
        <v>0</v>
      </c>
      <c r="AX50" s="6" t="n">
        <v>1</v>
      </c>
      <c r="AY50" s="6" t="n">
        <v>100</v>
      </c>
      <c r="AZ50" s="6" t="inlineStr">
        <is>
          <t>N</t>
        </is>
      </c>
      <c r="BA50" s="6" t="inlineStr">
        <is>
          <t>Y</t>
        </is>
      </c>
      <c r="BB50" s="6" t="n">
        <v>0</v>
      </c>
      <c r="BC50" s="6" t="n">
        <v>0</v>
      </c>
      <c r="BD50" s="6" t="n">
        <v>0</v>
      </c>
      <c r="BE50" s="6" t="inlineStr">
        <is>
          <t>N</t>
        </is>
      </c>
      <c r="BF50" s="6" t="n">
        <v>0</v>
      </c>
      <c r="BG50" s="6" t="n">
        <v>0</v>
      </c>
      <c r="BH50" s="6" t="inlineStr">
        <is>
          <t>N</t>
        </is>
      </c>
      <c r="BI50" s="2" t="inlineStr">
        <is>
          <t>Scenic land (trees, water, views); &lt; 45 min from metro; jurisdiction allows events</t>
        </is>
      </c>
      <c r="BJ50" s="2" t="inlineStr">
        <is>
          <t>Landova delivers a pad-ready site; operator builds and runs the business</t>
        </is>
      </c>
    </row>
    <row r="51">
      <c r="A51" s="4" t="inlineStr">
        <is>
          <t>Small-bay flex industrial</t>
        </is>
      </c>
      <c r="B51" s="9" t="inlineStr">
        <is>
          <t>Business &amp; Trades</t>
        </is>
      </c>
      <c r="C51" s="6" t="inlineStr">
        <is>
          <t>Income</t>
        </is>
      </c>
      <c r="D51" s="6" t="inlineStr">
        <is>
          <t>bldg SF</t>
        </is>
      </c>
      <c r="E51" s="6" t="inlineStr">
        <is>
          <t>N</t>
        </is>
      </c>
      <c r="F51" s="6" t="inlineStr">
        <is>
          <t>IND</t>
        </is>
      </c>
      <c r="G51" s="33" t="n">
        <v>0</v>
      </c>
      <c r="H51" s="34" t="n">
        <v>3.333</v>
      </c>
      <c r="I51" s="33" t="n">
        <v>0</v>
      </c>
      <c r="J51" s="6" t="n">
        <v>0</v>
      </c>
      <c r="K51" s="6" t="inlineStr">
        <is>
          <t>N</t>
        </is>
      </c>
      <c r="L51" s="33" t="n">
        <v>0</v>
      </c>
      <c r="M51" s="33" t="n">
        <v>10</v>
      </c>
      <c r="N51" s="11" t="n">
        <v>0.08</v>
      </c>
      <c r="O51" s="34" t="n">
        <v>0</v>
      </c>
      <c r="P51" s="6" t="n">
        <v>3</v>
      </c>
      <c r="Q51" s="11" t="n">
        <v>0</v>
      </c>
      <c r="R51" s="33" t="n">
        <v>3000</v>
      </c>
      <c r="S51" s="33" t="n">
        <v>0.5</v>
      </c>
      <c r="T51" s="6" t="inlineStr">
        <is>
          <t>N</t>
        </is>
      </c>
      <c r="U51" s="6" t="inlineStr">
        <is>
          <t>Y</t>
        </is>
      </c>
      <c r="V51" s="34" t="n">
        <v>0.0001</v>
      </c>
      <c r="W51" s="34" t="n">
        <v>0.0001</v>
      </c>
      <c r="X51" s="34" t="n">
        <v>0.0001</v>
      </c>
      <c r="Y51" s="34" t="n">
        <v>0.05</v>
      </c>
      <c r="Z51" s="6" t="inlineStr">
        <is>
          <t>Y</t>
        </is>
      </c>
      <c r="AA51" s="11" t="n">
        <v>1</v>
      </c>
      <c r="AB51" s="6" t="inlineStr">
        <is>
          <t>Y</t>
        </is>
      </c>
      <c r="AC51" s="34" t="n">
        <v>0.006</v>
      </c>
      <c r="AD51" s="34" t="n">
        <v>1.4</v>
      </c>
      <c r="AE51" s="13" t="n">
        <v>40000</v>
      </c>
      <c r="AF51" s="13" t="n">
        <v>115</v>
      </c>
      <c r="AG51" s="13" t="n">
        <v>8</v>
      </c>
      <c r="AH51" s="6" t="n">
        <v>14</v>
      </c>
      <c r="AI51" s="13" t="n">
        <v>0</v>
      </c>
      <c r="AJ51" s="13" t="n">
        <v>0</v>
      </c>
      <c r="AK51" s="13" t="n">
        <v>15</v>
      </c>
      <c r="AL51" s="11" t="n">
        <v>0</v>
      </c>
      <c r="AM51" s="11" t="n">
        <v>0.07000000000000001</v>
      </c>
      <c r="AN51" s="35" t="n">
        <v>3.5</v>
      </c>
      <c r="AO51" s="11" t="n">
        <v>0.03</v>
      </c>
      <c r="AP51" s="11" t="n">
        <v>0.95</v>
      </c>
      <c r="AQ51" s="6" t="n">
        <v>12</v>
      </c>
      <c r="AR51" s="11" t="n">
        <v>0.07000000000000001</v>
      </c>
      <c r="AS51" s="13" t="n">
        <v>175000</v>
      </c>
      <c r="AT51" s="13" t="n">
        <v>0</v>
      </c>
      <c r="AU51" s="11" t="n">
        <v>0.15</v>
      </c>
      <c r="AV51" s="6" t="n">
        <v>1</v>
      </c>
      <c r="AW51" s="6" t="n">
        <v>1</v>
      </c>
      <c r="AX51" s="6" t="n">
        <v>1</v>
      </c>
      <c r="AY51" s="6" t="n">
        <v>150</v>
      </c>
      <c r="AZ51" s="6" t="inlineStr">
        <is>
          <t>N</t>
        </is>
      </c>
      <c r="BA51" s="6" t="inlineStr">
        <is>
          <t>Y</t>
        </is>
      </c>
      <c r="BB51" s="6" t="n">
        <v>0</v>
      </c>
      <c r="BC51" s="6" t="n">
        <v>0</v>
      </c>
      <c r="BD51" s="6" t="n">
        <v>5</v>
      </c>
      <c r="BE51" s="6" t="inlineStr">
        <is>
          <t>N</t>
        </is>
      </c>
      <c r="BF51" s="6" t="n">
        <v>0</v>
      </c>
      <c r="BG51" s="6" t="n">
        <v>0</v>
      </c>
      <c r="BH51" s="6" t="inlineStr">
        <is>
          <t>N</t>
        </is>
      </c>
      <c r="BI51" s="2" t="inlineStr">
        <is>
          <t>Arterial/highway access; trades &amp; small-business demand; light industrial or unzoned county</t>
        </is>
      </c>
      <c r="BJ51" s="2" t="inlineStr">
        <is>
          <t>Placeholder values</t>
        </is>
      </c>
    </row>
    <row r="52">
      <c r="A52" s="4" t="inlineStr">
        <is>
          <t>Office / showroom / warehouse</t>
        </is>
      </c>
      <c r="B52" s="9" t="inlineStr">
        <is>
          <t>Business &amp; Trades</t>
        </is>
      </c>
      <c r="C52" s="6" t="inlineStr">
        <is>
          <t>Income</t>
        </is>
      </c>
      <c r="D52" s="6" t="inlineStr">
        <is>
          <t>bldg SF</t>
        </is>
      </c>
      <c r="E52" s="6" t="inlineStr">
        <is>
          <t>N</t>
        </is>
      </c>
      <c r="F52" s="6" t="inlineStr">
        <is>
          <t>IND</t>
        </is>
      </c>
      <c r="G52" s="33" t="n">
        <v>0</v>
      </c>
      <c r="H52" s="34" t="n">
        <v>3.125</v>
      </c>
      <c r="I52" s="33" t="n">
        <v>0</v>
      </c>
      <c r="J52" s="6" t="n">
        <v>0</v>
      </c>
      <c r="K52" s="6" t="inlineStr">
        <is>
          <t>N</t>
        </is>
      </c>
      <c r="L52" s="33" t="n">
        <v>0</v>
      </c>
      <c r="M52" s="33" t="n">
        <v>10</v>
      </c>
      <c r="N52" s="11" t="n">
        <v>0.08</v>
      </c>
      <c r="O52" s="34" t="n">
        <v>0</v>
      </c>
      <c r="P52" s="6" t="n">
        <v>3</v>
      </c>
      <c r="Q52" s="11" t="n">
        <v>0</v>
      </c>
      <c r="R52" s="33" t="n">
        <v>3000</v>
      </c>
      <c r="S52" s="33" t="n">
        <v>0.5</v>
      </c>
      <c r="T52" s="6" t="inlineStr">
        <is>
          <t>N</t>
        </is>
      </c>
      <c r="U52" s="6" t="inlineStr">
        <is>
          <t>Y</t>
        </is>
      </c>
      <c r="V52" s="34" t="n">
        <v>0.0001</v>
      </c>
      <c r="W52" s="34" t="n">
        <v>0.0001</v>
      </c>
      <c r="X52" s="34" t="n">
        <v>0.0001</v>
      </c>
      <c r="Y52" s="34" t="n">
        <v>0.05</v>
      </c>
      <c r="Z52" s="6" t="inlineStr">
        <is>
          <t>Y</t>
        </is>
      </c>
      <c r="AA52" s="11" t="n">
        <v>1</v>
      </c>
      <c r="AB52" s="6" t="inlineStr">
        <is>
          <t>Y</t>
        </is>
      </c>
      <c r="AC52" s="34" t="n">
        <v>0.006</v>
      </c>
      <c r="AD52" s="34" t="n">
        <v>1.4</v>
      </c>
      <c r="AE52" s="13" t="n">
        <v>40000</v>
      </c>
      <c r="AF52" s="13" t="n">
        <v>125</v>
      </c>
      <c r="AG52" s="13" t="n">
        <v>10</v>
      </c>
      <c r="AH52" s="6" t="n">
        <v>14</v>
      </c>
      <c r="AI52" s="13" t="n">
        <v>0</v>
      </c>
      <c r="AJ52" s="13" t="n">
        <v>0</v>
      </c>
      <c r="AK52" s="13" t="n">
        <v>14</v>
      </c>
      <c r="AL52" s="11" t="n">
        <v>0</v>
      </c>
      <c r="AM52" s="11" t="n">
        <v>0.07000000000000001</v>
      </c>
      <c r="AN52" s="35" t="n">
        <v>3.5</v>
      </c>
      <c r="AO52" s="11" t="n">
        <v>0.03</v>
      </c>
      <c r="AP52" s="11" t="n">
        <v>0.95</v>
      </c>
      <c r="AQ52" s="6" t="n">
        <v>12</v>
      </c>
      <c r="AR52" s="11" t="n">
        <v>0.07000000000000001</v>
      </c>
      <c r="AS52" s="13" t="n">
        <v>175000</v>
      </c>
      <c r="AT52" s="13" t="n">
        <v>0</v>
      </c>
      <c r="AU52" s="11" t="n">
        <v>0.15</v>
      </c>
      <c r="AV52" s="6" t="n">
        <v>1</v>
      </c>
      <c r="AW52" s="6" t="n">
        <v>1</v>
      </c>
      <c r="AX52" s="6" t="n">
        <v>1</v>
      </c>
      <c r="AY52" s="6" t="n">
        <v>150</v>
      </c>
      <c r="AZ52" s="6" t="inlineStr">
        <is>
          <t>N</t>
        </is>
      </c>
      <c r="BA52" s="6" t="inlineStr">
        <is>
          <t>Y</t>
        </is>
      </c>
      <c r="BB52" s="6" t="n">
        <v>0</v>
      </c>
      <c r="BC52" s="6" t="n">
        <v>0</v>
      </c>
      <c r="BD52" s="6" t="n">
        <v>3</v>
      </c>
      <c r="BE52" s="6" t="inlineStr">
        <is>
          <t>N</t>
        </is>
      </c>
      <c r="BF52" s="6" t="n">
        <v>0</v>
      </c>
      <c r="BG52" s="6" t="n">
        <v>0</v>
      </c>
      <c r="BH52" s="6" t="inlineStr">
        <is>
          <t>N</t>
        </is>
      </c>
      <c r="BI52" s="2" t="inlineStr">
        <is>
          <t>Highway visibility; light industrial zoning</t>
        </is>
      </c>
      <c r="BJ52" s="2" t="inlineStr">
        <is>
          <t>Placeholder values</t>
        </is>
      </c>
    </row>
    <row r="53">
      <c r="A53" s="4" t="inlineStr">
        <is>
          <t>Supplier build-to-suit near major plants</t>
        </is>
      </c>
      <c r="B53" s="9" t="inlineStr">
        <is>
          <t>Business &amp; Trades</t>
        </is>
      </c>
      <c r="C53" s="6" t="inlineStr">
        <is>
          <t>Income</t>
        </is>
      </c>
      <c r="D53" s="6" t="inlineStr">
        <is>
          <t>bldg SF</t>
        </is>
      </c>
      <c r="E53" s="6" t="inlineStr">
        <is>
          <t>N</t>
        </is>
      </c>
      <c r="F53" s="6" t="inlineStr">
        <is>
          <t>IND</t>
        </is>
      </c>
      <c r="G53" s="33" t="n">
        <v>0</v>
      </c>
      <c r="H53" s="34" t="n">
        <v>2.5</v>
      </c>
      <c r="I53" s="33" t="n">
        <v>0</v>
      </c>
      <c r="J53" s="6" t="n">
        <v>0</v>
      </c>
      <c r="K53" s="6" t="inlineStr">
        <is>
          <t>N</t>
        </is>
      </c>
      <c r="L53" s="33" t="n">
        <v>10</v>
      </c>
      <c r="M53" s="33" t="n">
        <v>20</v>
      </c>
      <c r="N53" s="11" t="n">
        <v>0.08</v>
      </c>
      <c r="O53" s="34" t="n">
        <v>0</v>
      </c>
      <c r="P53" s="6" t="n">
        <v>3</v>
      </c>
      <c r="Q53" s="11" t="n">
        <v>0</v>
      </c>
      <c r="R53" s="33" t="n">
        <v>0</v>
      </c>
      <c r="S53" s="33" t="n">
        <v>0.5</v>
      </c>
      <c r="T53" s="6" t="inlineStr">
        <is>
          <t>N</t>
        </is>
      </c>
      <c r="U53" s="6" t="inlineStr">
        <is>
          <t>Y</t>
        </is>
      </c>
      <c r="V53" s="34" t="n">
        <v>0.0001</v>
      </c>
      <c r="W53" s="34" t="n">
        <v>0.0001</v>
      </c>
      <c r="X53" s="34" t="n">
        <v>0.0001</v>
      </c>
      <c r="Y53" s="34" t="n">
        <v>0.05</v>
      </c>
      <c r="Z53" s="6" t="inlineStr">
        <is>
          <t>Y</t>
        </is>
      </c>
      <c r="AA53" s="11" t="n">
        <v>1</v>
      </c>
      <c r="AB53" s="6" t="inlineStr">
        <is>
          <t>Y</t>
        </is>
      </c>
      <c r="AC53" s="34" t="n">
        <v>0.006</v>
      </c>
      <c r="AD53" s="34" t="n">
        <v>1.2</v>
      </c>
      <c r="AE53" s="13" t="n">
        <v>40000</v>
      </c>
      <c r="AF53" s="13" t="n">
        <v>140</v>
      </c>
      <c r="AG53" s="13" t="n">
        <v>0</v>
      </c>
      <c r="AH53" s="6" t="n">
        <v>14</v>
      </c>
      <c r="AI53" s="13" t="n">
        <v>0</v>
      </c>
      <c r="AJ53" s="13" t="n">
        <v>0</v>
      </c>
      <c r="AK53" s="13" t="n">
        <v>12</v>
      </c>
      <c r="AL53" s="11" t="n">
        <v>0</v>
      </c>
      <c r="AM53" s="11" t="n">
        <v>0.07000000000000001</v>
      </c>
      <c r="AN53" s="13" t="n">
        <v>3</v>
      </c>
      <c r="AO53" s="11" t="n">
        <v>0.03</v>
      </c>
      <c r="AP53" s="11" t="n">
        <v>1</v>
      </c>
      <c r="AQ53" s="6" t="n">
        <v>3</v>
      </c>
      <c r="AR53" s="11" t="n">
        <v>0.065</v>
      </c>
      <c r="AS53" s="13" t="n">
        <v>150000</v>
      </c>
      <c r="AT53" s="13" t="n">
        <v>0</v>
      </c>
      <c r="AU53" s="11" t="n">
        <v>0.15</v>
      </c>
      <c r="AV53" s="6" t="n">
        <v>1</v>
      </c>
      <c r="AW53" s="6" t="n">
        <v>1</v>
      </c>
      <c r="AX53" s="6" t="n">
        <v>1</v>
      </c>
      <c r="AY53" s="6" t="n">
        <v>150</v>
      </c>
      <c r="AZ53" s="6" t="inlineStr">
        <is>
          <t>N</t>
        </is>
      </c>
      <c r="BA53" s="6" t="inlineStr">
        <is>
          <t>Y</t>
        </is>
      </c>
      <c r="BB53" s="6" t="n">
        <v>0</v>
      </c>
      <c r="BC53" s="6" t="n">
        <v>0</v>
      </c>
      <c r="BD53" s="6" t="n">
        <v>10</v>
      </c>
      <c r="BE53" s="6" t="inlineStr">
        <is>
          <t>N</t>
        </is>
      </c>
      <c r="BF53" s="6" t="n">
        <v>0</v>
      </c>
      <c r="BG53" s="6" t="n">
        <v>10</v>
      </c>
      <c r="BH53" s="6" t="inlineStr">
        <is>
          <t>N</t>
        </is>
      </c>
      <c r="BI53" s="2" t="inlineStr">
        <is>
          <t>Within 10 mi of anchor plant; truck route; heavy power</t>
        </is>
      </c>
      <c r="BJ53" s="2" t="inlineStr">
        <is>
          <t>Placeholder values</t>
        </is>
      </c>
    </row>
    <row r="54">
      <c r="A54" s="4" t="inlineStr">
        <is>
          <t>Last-mile delivery station</t>
        </is>
      </c>
      <c r="B54" s="9" t="inlineStr">
        <is>
          <t>Business &amp; Trades</t>
        </is>
      </c>
      <c r="C54" s="6" t="inlineStr">
        <is>
          <t>Income</t>
        </is>
      </c>
      <c r="D54" s="6" t="inlineStr">
        <is>
          <t>bldg SF</t>
        </is>
      </c>
      <c r="E54" s="6" t="inlineStr">
        <is>
          <t>N</t>
        </is>
      </c>
      <c r="F54" s="6" t="inlineStr">
        <is>
          <t>IND</t>
        </is>
      </c>
      <c r="G54" s="33" t="n">
        <v>0</v>
      </c>
      <c r="H54" s="34" t="n">
        <v>4</v>
      </c>
      <c r="I54" s="33" t="n">
        <v>0</v>
      </c>
      <c r="J54" s="6" t="n">
        <v>0</v>
      </c>
      <c r="K54" s="6" t="inlineStr">
        <is>
          <t>N</t>
        </is>
      </c>
      <c r="L54" s="33" t="n">
        <v>15</v>
      </c>
      <c r="M54" s="33" t="n">
        <v>25</v>
      </c>
      <c r="N54" s="11" t="n">
        <v>0.08</v>
      </c>
      <c r="O54" s="34" t="n">
        <v>0</v>
      </c>
      <c r="P54" s="6" t="n">
        <v>3</v>
      </c>
      <c r="Q54" s="11" t="n">
        <v>0</v>
      </c>
      <c r="R54" s="33" t="n">
        <v>0</v>
      </c>
      <c r="S54" s="33" t="n">
        <v>0.5</v>
      </c>
      <c r="T54" s="6" t="inlineStr">
        <is>
          <t>N</t>
        </is>
      </c>
      <c r="U54" s="6" t="inlineStr">
        <is>
          <t>Y</t>
        </is>
      </c>
      <c r="V54" s="34" t="n">
        <v>0.0001</v>
      </c>
      <c r="W54" s="34" t="n">
        <v>0.0001</v>
      </c>
      <c r="X54" s="34" t="n">
        <v>0.0001</v>
      </c>
      <c r="Y54" s="34" t="n">
        <v>0.05</v>
      </c>
      <c r="Z54" s="6" t="inlineStr">
        <is>
          <t>Y</t>
        </is>
      </c>
      <c r="AA54" s="11" t="n">
        <v>1</v>
      </c>
      <c r="AB54" s="6" t="inlineStr">
        <is>
          <t>Y</t>
        </is>
      </c>
      <c r="AC54" s="34" t="n">
        <v>0.006</v>
      </c>
      <c r="AD54" s="34" t="n">
        <v>3</v>
      </c>
      <c r="AE54" s="13" t="n">
        <v>40000</v>
      </c>
      <c r="AF54" s="13" t="n">
        <v>160</v>
      </c>
      <c r="AG54" s="13" t="n">
        <v>5</v>
      </c>
      <c r="AH54" s="6" t="n">
        <v>14</v>
      </c>
      <c r="AI54" s="13" t="n">
        <v>0</v>
      </c>
      <c r="AJ54" s="13" t="n">
        <v>0</v>
      </c>
      <c r="AK54" s="13" t="n">
        <v>16</v>
      </c>
      <c r="AL54" s="11" t="n">
        <v>0</v>
      </c>
      <c r="AM54" s="11" t="n">
        <v>0.07000000000000001</v>
      </c>
      <c r="AN54" s="13" t="n">
        <v>3</v>
      </c>
      <c r="AO54" s="11" t="n">
        <v>0.03</v>
      </c>
      <c r="AP54" s="11" t="n">
        <v>1</v>
      </c>
      <c r="AQ54" s="6" t="n">
        <v>6</v>
      </c>
      <c r="AR54" s="11" t="n">
        <v>0.06</v>
      </c>
      <c r="AS54" s="13" t="n">
        <v>250000</v>
      </c>
      <c r="AT54" s="13" t="n">
        <v>0</v>
      </c>
      <c r="AU54" s="11" t="n">
        <v>0.15</v>
      </c>
      <c r="AV54" s="6" t="n">
        <v>1</v>
      </c>
      <c r="AW54" s="6" t="n">
        <v>1</v>
      </c>
      <c r="AX54" s="6" t="n">
        <v>1</v>
      </c>
      <c r="AY54" s="6" t="n">
        <v>150</v>
      </c>
      <c r="AZ54" s="6" t="inlineStr">
        <is>
          <t>N</t>
        </is>
      </c>
      <c r="BA54" s="6" t="inlineStr">
        <is>
          <t>Y</t>
        </is>
      </c>
      <c r="BB54" s="6" t="n">
        <v>0</v>
      </c>
      <c r="BC54" s="6" t="n">
        <v>15000</v>
      </c>
      <c r="BD54" s="6" t="n">
        <v>3</v>
      </c>
      <c r="BE54" s="6" t="inlineStr">
        <is>
          <t>N</t>
        </is>
      </c>
      <c r="BF54" s="6" t="n">
        <v>0</v>
      </c>
      <c r="BG54" s="6" t="n">
        <v>0</v>
      </c>
      <c r="BH54" s="6" t="inlineStr">
        <is>
          <t>N</t>
        </is>
      </c>
      <c r="BI54" s="2" t="inlineStr">
        <is>
          <t>Within 15 min of dense rooftops; highway interchange</t>
        </is>
      </c>
      <c r="BJ54" s="2" t="inlineStr">
        <is>
          <t>Placeholder values</t>
        </is>
      </c>
    </row>
    <row r="55">
      <c r="A55" s="4" t="inlineStr">
        <is>
          <t>Bulk distribution</t>
        </is>
      </c>
      <c r="B55" s="9" t="inlineStr">
        <is>
          <t>Business &amp; Trades</t>
        </is>
      </c>
      <c r="C55" s="6" t="inlineStr">
        <is>
          <t>Income</t>
        </is>
      </c>
      <c r="D55" s="6" t="inlineStr">
        <is>
          <t>bldg SF</t>
        </is>
      </c>
      <c r="E55" s="6" t="inlineStr">
        <is>
          <t>N</t>
        </is>
      </c>
      <c r="F55" s="6" t="inlineStr">
        <is>
          <t>IND</t>
        </is>
      </c>
      <c r="G55" s="33" t="n">
        <v>0</v>
      </c>
      <c r="H55" s="34" t="n">
        <v>2.222</v>
      </c>
      <c r="I55" s="33" t="n">
        <v>0</v>
      </c>
      <c r="J55" s="6" t="n">
        <v>0</v>
      </c>
      <c r="K55" s="6" t="inlineStr">
        <is>
          <t>N</t>
        </is>
      </c>
      <c r="L55" s="33" t="n">
        <v>30</v>
      </c>
      <c r="M55" s="33" t="n">
        <v>0</v>
      </c>
      <c r="N55" s="11" t="n">
        <v>0.08</v>
      </c>
      <c r="O55" s="34" t="n">
        <v>0</v>
      </c>
      <c r="P55" s="6" t="n">
        <v>3</v>
      </c>
      <c r="Q55" s="11" t="n">
        <v>0</v>
      </c>
      <c r="R55" s="33" t="n">
        <v>0</v>
      </c>
      <c r="S55" s="33" t="n">
        <v>0</v>
      </c>
      <c r="T55" s="6" t="inlineStr">
        <is>
          <t>N</t>
        </is>
      </c>
      <c r="U55" s="6" t="inlineStr">
        <is>
          <t>Y</t>
        </is>
      </c>
      <c r="V55" s="34" t="n">
        <v>0.0001</v>
      </c>
      <c r="W55" s="34" t="n">
        <v>0.0001</v>
      </c>
      <c r="X55" s="34" t="n">
        <v>0.0001</v>
      </c>
      <c r="Y55" s="34" t="n">
        <v>0.05</v>
      </c>
      <c r="Z55" s="6" t="inlineStr">
        <is>
          <t>Y</t>
        </is>
      </c>
      <c r="AA55" s="11" t="n">
        <v>1</v>
      </c>
      <c r="AB55" s="6" t="inlineStr">
        <is>
          <t>Y</t>
        </is>
      </c>
      <c r="AC55" s="34" t="n">
        <v>0.006</v>
      </c>
      <c r="AD55" s="34" t="n">
        <v>0.9</v>
      </c>
      <c r="AE55" s="13" t="n">
        <v>100000</v>
      </c>
      <c r="AF55" s="13" t="n">
        <v>75</v>
      </c>
      <c r="AG55" s="13" t="n">
        <v>4</v>
      </c>
      <c r="AH55" s="6" t="n">
        <v>14</v>
      </c>
      <c r="AI55" s="13" t="n">
        <v>0</v>
      </c>
      <c r="AJ55" s="13" t="n">
        <v>0</v>
      </c>
      <c r="AK55" s="35" t="n">
        <v>6.5</v>
      </c>
      <c r="AL55" s="11" t="n">
        <v>0</v>
      </c>
      <c r="AM55" s="11" t="n">
        <v>0.07000000000000001</v>
      </c>
      <c r="AN55" s="13" t="n">
        <v>2</v>
      </c>
      <c r="AO55" s="11" t="n">
        <v>0.03</v>
      </c>
      <c r="AP55" s="11" t="n">
        <v>1</v>
      </c>
      <c r="AQ55" s="6" t="n">
        <v>12</v>
      </c>
      <c r="AR55" s="11" t="n">
        <v>0.0575</v>
      </c>
      <c r="AS55" s="13" t="n">
        <v>120000</v>
      </c>
      <c r="AT55" s="13" t="n">
        <v>0</v>
      </c>
      <c r="AU55" s="11" t="n">
        <v>0.15</v>
      </c>
      <c r="AV55" s="6" t="n">
        <v>1</v>
      </c>
      <c r="AW55" s="6" t="n">
        <v>1</v>
      </c>
      <c r="AX55" s="6" t="n">
        <v>1</v>
      </c>
      <c r="AY55" s="6" t="n">
        <v>600</v>
      </c>
      <c r="AZ55" s="6" t="inlineStr">
        <is>
          <t>N</t>
        </is>
      </c>
      <c r="BA55" s="6" t="inlineStr">
        <is>
          <t>Y</t>
        </is>
      </c>
      <c r="BB55" s="6" t="n">
        <v>0</v>
      </c>
      <c r="BC55" s="6" t="n">
        <v>0</v>
      </c>
      <c r="BD55" s="6" t="n">
        <v>2</v>
      </c>
      <c r="BE55" s="6" t="inlineStr">
        <is>
          <t>N</t>
        </is>
      </c>
      <c r="BF55" s="6" t="n">
        <v>0</v>
      </c>
      <c r="BG55" s="6" t="n">
        <v>0</v>
      </c>
      <c r="BH55" s="6" t="inlineStr">
        <is>
          <t>N</t>
        </is>
      </c>
      <c r="BI55" s="2" t="inlineStr">
        <is>
          <t>Interstate interchange within 2 mi; 50+ acres; flat; heavy power</t>
        </is>
      </c>
      <c r="BJ55" s="2" t="inlineStr">
        <is>
          <t>Placeholder values</t>
        </is>
      </c>
    </row>
    <row r="56">
      <c r="A56" s="4" t="inlineStr">
        <is>
          <t>Cold storage</t>
        </is>
      </c>
      <c r="B56" s="9" t="inlineStr">
        <is>
          <t>Business &amp; Trades</t>
        </is>
      </c>
      <c r="C56" s="6" t="inlineStr">
        <is>
          <t>Income</t>
        </is>
      </c>
      <c r="D56" s="6" t="inlineStr">
        <is>
          <t>bldg SF</t>
        </is>
      </c>
      <c r="E56" s="6" t="inlineStr">
        <is>
          <t>N</t>
        </is>
      </c>
      <c r="F56" s="6" t="inlineStr">
        <is>
          <t>IND</t>
        </is>
      </c>
      <c r="G56" s="33" t="n">
        <v>0</v>
      </c>
      <c r="H56" s="34" t="n">
        <v>2.5</v>
      </c>
      <c r="I56" s="33" t="n">
        <v>0</v>
      </c>
      <c r="J56" s="6" t="n">
        <v>0</v>
      </c>
      <c r="K56" s="6" t="inlineStr">
        <is>
          <t>N</t>
        </is>
      </c>
      <c r="L56" s="33" t="n">
        <v>10</v>
      </c>
      <c r="M56" s="33" t="n">
        <v>20</v>
      </c>
      <c r="N56" s="11" t="n">
        <v>0.08</v>
      </c>
      <c r="O56" s="34" t="n">
        <v>0</v>
      </c>
      <c r="P56" s="6" t="n">
        <v>3</v>
      </c>
      <c r="Q56" s="11" t="n">
        <v>0</v>
      </c>
      <c r="R56" s="33" t="n">
        <v>0</v>
      </c>
      <c r="S56" s="33" t="n">
        <v>0.5</v>
      </c>
      <c r="T56" s="6" t="inlineStr">
        <is>
          <t>N</t>
        </is>
      </c>
      <c r="U56" s="6" t="inlineStr">
        <is>
          <t>Y</t>
        </is>
      </c>
      <c r="V56" s="34" t="n">
        <v>0.0001</v>
      </c>
      <c r="W56" s="34" t="n">
        <v>0.0001</v>
      </c>
      <c r="X56" s="34" t="n">
        <v>0.0001</v>
      </c>
      <c r="Y56" s="34" t="n">
        <v>0.05</v>
      </c>
      <c r="Z56" s="6" t="inlineStr">
        <is>
          <t>Y</t>
        </is>
      </c>
      <c r="AA56" s="11" t="n">
        <v>1</v>
      </c>
      <c r="AB56" s="6" t="inlineStr">
        <is>
          <t>Y</t>
        </is>
      </c>
      <c r="AC56" s="34" t="n">
        <v>0.006</v>
      </c>
      <c r="AD56" s="34" t="n">
        <v>1</v>
      </c>
      <c r="AE56" s="13" t="n">
        <v>40000</v>
      </c>
      <c r="AF56" s="13" t="n">
        <v>260</v>
      </c>
      <c r="AG56" s="13" t="n">
        <v>5</v>
      </c>
      <c r="AH56" s="6" t="n">
        <v>14</v>
      </c>
      <c r="AI56" s="13" t="n">
        <v>0</v>
      </c>
      <c r="AJ56" s="13" t="n">
        <v>0</v>
      </c>
      <c r="AK56" s="13" t="n">
        <v>14</v>
      </c>
      <c r="AL56" s="11" t="n">
        <v>0</v>
      </c>
      <c r="AM56" s="11" t="n">
        <v>0.07000000000000001</v>
      </c>
      <c r="AN56" s="13" t="n">
        <v>3</v>
      </c>
      <c r="AO56" s="11" t="n">
        <v>0.03</v>
      </c>
      <c r="AP56" s="11" t="n">
        <v>1</v>
      </c>
      <c r="AQ56" s="6" t="n">
        <v>12</v>
      </c>
      <c r="AR56" s="11" t="n">
        <v>0.06</v>
      </c>
      <c r="AS56" s="13" t="n">
        <v>150000</v>
      </c>
      <c r="AT56" s="13" t="n">
        <v>0</v>
      </c>
      <c r="AU56" s="11" t="n">
        <v>0.15</v>
      </c>
      <c r="AV56" s="6" t="n">
        <v>1</v>
      </c>
      <c r="AW56" s="6" t="n">
        <v>1</v>
      </c>
      <c r="AX56" s="6" t="n">
        <v>1</v>
      </c>
      <c r="AY56" s="6" t="n">
        <v>150</v>
      </c>
      <c r="AZ56" s="6" t="inlineStr">
        <is>
          <t>N</t>
        </is>
      </c>
      <c r="BA56" s="6" t="inlineStr">
        <is>
          <t>Y</t>
        </is>
      </c>
      <c r="BB56" s="6" t="n">
        <v>0</v>
      </c>
      <c r="BC56" s="6" t="n">
        <v>0</v>
      </c>
      <c r="BD56" s="6" t="n">
        <v>3</v>
      </c>
      <c r="BE56" s="6" t="inlineStr">
        <is>
          <t>N</t>
        </is>
      </c>
      <c r="BF56" s="6" t="n">
        <v>0</v>
      </c>
      <c r="BG56" s="6" t="n">
        <v>0</v>
      </c>
      <c r="BH56" s="6" t="inlineStr">
        <is>
          <t>N</t>
        </is>
      </c>
      <c r="BI56" s="2" t="inlineStr">
        <is>
          <t>Food distribution corridor; heavy power; interstate access</t>
        </is>
      </c>
      <c r="BJ56" s="2" t="inlineStr">
        <is>
          <t>Placeholder values</t>
        </is>
      </c>
    </row>
    <row r="57">
      <c r="A57" s="4" t="inlineStr">
        <is>
          <t>Industrial outdoor storage (IOS)</t>
        </is>
      </c>
      <c r="B57" s="9" t="inlineStr">
        <is>
          <t>Business &amp; Trades</t>
        </is>
      </c>
      <c r="C57" s="6" t="inlineStr">
        <is>
          <t>Income</t>
        </is>
      </c>
      <c r="D57" s="6" t="inlineStr">
        <is>
          <t>acre</t>
        </is>
      </c>
      <c r="E57" s="6" t="inlineStr">
        <is>
          <t>N</t>
        </is>
      </c>
      <c r="F57" s="6" t="inlineStr">
        <is>
          <t>IND</t>
        </is>
      </c>
      <c r="G57" s="33" t="n">
        <v>0</v>
      </c>
      <c r="H57" s="34" t="n">
        <v>43560</v>
      </c>
      <c r="I57" s="33" t="n">
        <v>0</v>
      </c>
      <c r="J57" s="6" t="n">
        <v>0</v>
      </c>
      <c r="K57" s="6" t="inlineStr">
        <is>
          <t>N</t>
        </is>
      </c>
      <c r="L57" s="33" t="n">
        <v>0</v>
      </c>
      <c r="M57" s="33" t="n">
        <v>8</v>
      </c>
      <c r="N57" s="11" t="n">
        <v>0.05</v>
      </c>
      <c r="O57" s="34" t="n">
        <v>0</v>
      </c>
      <c r="P57" s="6" t="n">
        <v>3</v>
      </c>
      <c r="Q57" s="11" t="n">
        <v>0</v>
      </c>
      <c r="R57" s="33" t="n">
        <v>0</v>
      </c>
      <c r="S57" s="33" t="n">
        <v>0.5</v>
      </c>
      <c r="T57" s="6" t="inlineStr">
        <is>
          <t>N</t>
        </is>
      </c>
      <c r="U57" s="6" t="inlineStr">
        <is>
          <t>N</t>
        </is>
      </c>
      <c r="V57" s="34" t="n">
        <v>0</v>
      </c>
      <c r="W57" s="34" t="n">
        <v>0</v>
      </c>
      <c r="X57" s="34" t="n">
        <v>0</v>
      </c>
      <c r="Y57" s="34" t="n">
        <v>0</v>
      </c>
      <c r="Z57" s="6" t="inlineStr">
        <is>
          <t>Y</t>
        </is>
      </c>
      <c r="AA57" s="11" t="n">
        <v>1</v>
      </c>
      <c r="AB57" s="6" t="inlineStr">
        <is>
          <t>Y</t>
        </is>
      </c>
      <c r="AC57" s="34" t="n">
        <v>0</v>
      </c>
      <c r="AD57" s="34" t="n">
        <v>0</v>
      </c>
      <c r="AE57" s="13" t="n">
        <v>25000</v>
      </c>
      <c r="AF57" s="13" t="n">
        <v>120000</v>
      </c>
      <c r="AG57" s="13" t="n">
        <v>0</v>
      </c>
      <c r="AH57" s="6" t="n">
        <v>8</v>
      </c>
      <c r="AI57" s="13" t="n">
        <v>0</v>
      </c>
      <c r="AJ57" s="13" t="n">
        <v>0</v>
      </c>
      <c r="AK57" s="13" t="n">
        <v>18000</v>
      </c>
      <c r="AL57" s="11" t="n">
        <v>0</v>
      </c>
      <c r="AM57" s="11" t="n">
        <v>0.05</v>
      </c>
      <c r="AN57" s="13" t="n">
        <v>2000</v>
      </c>
      <c r="AO57" s="11" t="n">
        <v>0.03</v>
      </c>
      <c r="AP57" s="11" t="n">
        <v>0.8</v>
      </c>
      <c r="AQ57" s="6" t="n">
        <v>6</v>
      </c>
      <c r="AR57" s="11" t="n">
        <v>0.0675</v>
      </c>
      <c r="AS57" s="13" t="n">
        <v>150000</v>
      </c>
      <c r="AT57" s="13" t="n">
        <v>0</v>
      </c>
      <c r="AU57" s="11" t="n">
        <v>0.15</v>
      </c>
      <c r="AV57" s="6" t="n">
        <v>1</v>
      </c>
      <c r="AW57" s="6" t="n">
        <v>1</v>
      </c>
      <c r="AX57" s="6" t="n">
        <v>1</v>
      </c>
      <c r="AY57" s="6" t="n">
        <v>100</v>
      </c>
      <c r="AZ57" s="6" t="inlineStr">
        <is>
          <t>N</t>
        </is>
      </c>
      <c r="BA57" s="6" t="inlineStr">
        <is>
          <t>Y</t>
        </is>
      </c>
      <c r="BB57" s="6" t="n">
        <v>0</v>
      </c>
      <c r="BC57" s="6" t="n">
        <v>0</v>
      </c>
      <c r="BD57" s="6" t="n">
        <v>5</v>
      </c>
      <c r="BE57" s="6" t="inlineStr">
        <is>
          <t>N</t>
        </is>
      </c>
      <c r="BF57" s="6" t="n">
        <v>0</v>
      </c>
      <c r="BG57" s="6" t="n">
        <v>0</v>
      </c>
      <c r="BH57" s="6" t="inlineStr">
        <is>
          <t>N</t>
        </is>
      </c>
      <c r="BI57" s="2" t="inlineStr">
        <is>
          <t>Zoning allowing outdoor storage; truck route; near highway</t>
        </is>
      </c>
      <c r="BJ57" s="2" t="inlineStr">
        <is>
          <t>Vertical = gravel/millings, fence, lighting, small office per acre</t>
        </is>
      </c>
    </row>
    <row r="58">
      <c r="A58" s="4" t="inlineStr">
        <is>
          <t>Equipment rental yard</t>
        </is>
      </c>
      <c r="B58" s="9" t="inlineStr">
        <is>
          <t>Business &amp; Trades</t>
        </is>
      </c>
      <c r="C58" s="6" t="inlineStr">
        <is>
          <t>Income</t>
        </is>
      </c>
      <c r="D58" s="6" t="inlineStr">
        <is>
          <t>acre</t>
        </is>
      </c>
      <c r="E58" s="6" t="inlineStr">
        <is>
          <t>N</t>
        </is>
      </c>
      <c r="F58" s="6" t="inlineStr">
        <is>
          <t>IND</t>
        </is>
      </c>
      <c r="G58" s="33" t="n">
        <v>0</v>
      </c>
      <c r="H58" s="34" t="n">
        <v>43560</v>
      </c>
      <c r="I58" s="33" t="n">
        <v>0</v>
      </c>
      <c r="J58" s="6" t="n">
        <v>0</v>
      </c>
      <c r="K58" s="6" t="inlineStr">
        <is>
          <t>N</t>
        </is>
      </c>
      <c r="L58" s="33" t="n">
        <v>0</v>
      </c>
      <c r="M58" s="33" t="n">
        <v>8</v>
      </c>
      <c r="N58" s="11" t="n">
        <v>0.05</v>
      </c>
      <c r="O58" s="34" t="n">
        <v>0</v>
      </c>
      <c r="P58" s="6" t="n">
        <v>3</v>
      </c>
      <c r="Q58" s="11" t="n">
        <v>0</v>
      </c>
      <c r="R58" s="33" t="n">
        <v>0</v>
      </c>
      <c r="S58" s="33" t="n">
        <v>0.5</v>
      </c>
      <c r="T58" s="6" t="inlineStr">
        <is>
          <t>N</t>
        </is>
      </c>
      <c r="U58" s="6" t="inlineStr">
        <is>
          <t>N</t>
        </is>
      </c>
      <c r="V58" s="34" t="n">
        <v>0</v>
      </c>
      <c r="W58" s="34" t="n">
        <v>0</v>
      </c>
      <c r="X58" s="34" t="n">
        <v>0</v>
      </c>
      <c r="Y58" s="34" t="n">
        <v>0</v>
      </c>
      <c r="Z58" s="6" t="inlineStr">
        <is>
          <t>Y</t>
        </is>
      </c>
      <c r="AA58" s="11" t="n">
        <v>1</v>
      </c>
      <c r="AB58" s="6" t="inlineStr">
        <is>
          <t>Y</t>
        </is>
      </c>
      <c r="AC58" s="34" t="n">
        <v>0</v>
      </c>
      <c r="AD58" s="34" t="n">
        <v>0</v>
      </c>
      <c r="AE58" s="13" t="n">
        <v>25000</v>
      </c>
      <c r="AF58" s="13" t="n">
        <v>150000</v>
      </c>
      <c r="AG58" s="13" t="n">
        <v>0</v>
      </c>
      <c r="AH58" s="6" t="n">
        <v>10</v>
      </c>
      <c r="AI58" s="13" t="n">
        <v>0</v>
      </c>
      <c r="AJ58" s="13" t="n">
        <v>0</v>
      </c>
      <c r="AK58" s="13" t="n">
        <v>22000</v>
      </c>
      <c r="AL58" s="11" t="n">
        <v>0</v>
      </c>
      <c r="AM58" s="11" t="n">
        <v>0.05</v>
      </c>
      <c r="AN58" s="13" t="n">
        <v>2000</v>
      </c>
      <c r="AO58" s="11" t="n">
        <v>0.03</v>
      </c>
      <c r="AP58" s="11" t="n">
        <v>1</v>
      </c>
      <c r="AQ58" s="6" t="n">
        <v>6</v>
      </c>
      <c r="AR58" s="11" t="n">
        <v>0.07000000000000001</v>
      </c>
      <c r="AS58" s="13" t="n">
        <v>175000</v>
      </c>
      <c r="AT58" s="13" t="n">
        <v>0</v>
      </c>
      <c r="AU58" s="11" t="n">
        <v>0.15</v>
      </c>
      <c r="AV58" s="6" t="n">
        <v>1</v>
      </c>
      <c r="AW58" s="6" t="n">
        <v>1</v>
      </c>
      <c r="AX58" s="6" t="n">
        <v>1</v>
      </c>
      <c r="AY58" s="6" t="n">
        <v>100</v>
      </c>
      <c r="AZ58" s="6" t="inlineStr">
        <is>
          <t>N</t>
        </is>
      </c>
      <c r="BA58" s="6" t="inlineStr">
        <is>
          <t>Y</t>
        </is>
      </c>
      <c r="BB58" s="6" t="n">
        <v>8000</v>
      </c>
      <c r="BC58" s="6" t="n">
        <v>0</v>
      </c>
      <c r="BD58" s="6" t="n">
        <v>0</v>
      </c>
      <c r="BE58" s="6" t="inlineStr">
        <is>
          <t>N</t>
        </is>
      </c>
      <c r="BF58" s="6" t="n">
        <v>0</v>
      </c>
      <c r="BG58" s="6" t="n">
        <v>0</v>
      </c>
      <c r="BH58" s="6" t="inlineStr">
        <is>
          <t>N</t>
        </is>
      </c>
      <c r="BI58" s="2" t="inlineStr">
        <is>
          <t>Arterial frontage; construction activity; commercial/industrial zoning</t>
        </is>
      </c>
      <c r="BJ58" s="2" t="inlineStr">
        <is>
          <t>Placeholder values</t>
        </is>
      </c>
    </row>
    <row r="59">
      <c r="A59" s="4" t="inlineStr">
        <is>
          <t>Truck parking / terminal</t>
        </is>
      </c>
      <c r="B59" s="9" t="inlineStr">
        <is>
          <t>Business &amp; Trades</t>
        </is>
      </c>
      <c r="C59" s="6" t="inlineStr">
        <is>
          <t>Income</t>
        </is>
      </c>
      <c r="D59" s="6" t="inlineStr">
        <is>
          <t>stall</t>
        </is>
      </c>
      <c r="E59" s="6" t="inlineStr">
        <is>
          <t>Y</t>
        </is>
      </c>
      <c r="F59" s="6" t="inlineStr">
        <is>
          <t>IND</t>
        </is>
      </c>
      <c r="G59" s="33" t="n">
        <v>0</v>
      </c>
      <c r="H59" s="34" t="n">
        <v>1400</v>
      </c>
      <c r="I59" s="33" t="n">
        <v>0</v>
      </c>
      <c r="J59" s="6" t="n">
        <v>0</v>
      </c>
      <c r="K59" s="6" t="inlineStr">
        <is>
          <t>N</t>
        </is>
      </c>
      <c r="L59" s="33" t="n">
        <v>0</v>
      </c>
      <c r="M59" s="33" t="n">
        <v>5</v>
      </c>
      <c r="N59" s="11" t="n">
        <v>0.05</v>
      </c>
      <c r="O59" s="34" t="n">
        <v>0</v>
      </c>
      <c r="P59" s="6" t="n">
        <v>3</v>
      </c>
      <c r="Q59" s="11" t="n">
        <v>0</v>
      </c>
      <c r="R59" s="33" t="n">
        <v>10</v>
      </c>
      <c r="S59" s="33" t="n">
        <v>0</v>
      </c>
      <c r="T59" s="6" t="inlineStr">
        <is>
          <t>N</t>
        </is>
      </c>
      <c r="U59" s="6" t="inlineStr">
        <is>
          <t>N</t>
        </is>
      </c>
      <c r="V59" s="34" t="n">
        <v>0</v>
      </c>
      <c r="W59" s="34" t="n">
        <v>0</v>
      </c>
      <c r="X59" s="34" t="n">
        <v>0</v>
      </c>
      <c r="Y59" s="34" t="n">
        <v>0</v>
      </c>
      <c r="Z59" s="6" t="inlineStr">
        <is>
          <t>Y</t>
        </is>
      </c>
      <c r="AA59" s="11" t="n">
        <v>1</v>
      </c>
      <c r="AB59" s="6" t="inlineStr">
        <is>
          <t>Y</t>
        </is>
      </c>
      <c r="AC59" s="34" t="n">
        <v>0</v>
      </c>
      <c r="AD59" s="34" t="n">
        <v>0</v>
      </c>
      <c r="AE59" s="13" t="n">
        <v>25000</v>
      </c>
      <c r="AF59" s="13" t="n">
        <v>7500</v>
      </c>
      <c r="AG59" s="13" t="n">
        <v>0</v>
      </c>
      <c r="AH59" s="6" t="n">
        <v>8</v>
      </c>
      <c r="AI59" s="13" t="n">
        <v>0</v>
      </c>
      <c r="AJ59" s="13" t="n">
        <v>0</v>
      </c>
      <c r="AK59" s="13" t="n">
        <v>2700</v>
      </c>
      <c r="AL59" s="11" t="n">
        <v>0</v>
      </c>
      <c r="AM59" s="11" t="n">
        <v>0.15</v>
      </c>
      <c r="AN59" s="13" t="n">
        <v>300</v>
      </c>
      <c r="AO59" s="11" t="n">
        <v>0.08</v>
      </c>
      <c r="AP59" s="11" t="n">
        <v>0</v>
      </c>
      <c r="AQ59" s="6" t="n">
        <v>12</v>
      </c>
      <c r="AR59" s="11" t="n">
        <v>0.08</v>
      </c>
      <c r="AS59" s="13" t="n">
        <v>150000</v>
      </c>
      <c r="AT59" s="13" t="n">
        <v>0</v>
      </c>
      <c r="AU59" s="11" t="n">
        <v>0.15</v>
      </c>
      <c r="AV59" s="6" t="n">
        <v>1</v>
      </c>
      <c r="AW59" s="6" t="n">
        <v>1</v>
      </c>
      <c r="AX59" s="6" t="n">
        <v>1</v>
      </c>
      <c r="AY59" s="6" t="n">
        <v>150</v>
      </c>
      <c r="AZ59" s="6" t="inlineStr">
        <is>
          <t>N</t>
        </is>
      </c>
      <c r="BA59" s="6" t="inlineStr">
        <is>
          <t>Y</t>
        </is>
      </c>
      <c r="BB59" s="6" t="n">
        <v>0</v>
      </c>
      <c r="BC59" s="6" t="n">
        <v>0</v>
      </c>
      <c r="BD59" s="6" t="n">
        <v>2</v>
      </c>
      <c r="BE59" s="6" t="inlineStr">
        <is>
          <t>N</t>
        </is>
      </c>
      <c r="BF59" s="6" t="n">
        <v>0</v>
      </c>
      <c r="BG59" s="6" t="n">
        <v>0</v>
      </c>
      <c r="BH59" s="6" t="inlineStr">
        <is>
          <t>N</t>
        </is>
      </c>
      <c r="BI59" s="2" t="inlineStr">
        <is>
          <t>Within 2 mi of interstate; truck-friendly access; jurisdiction allows</t>
        </is>
      </c>
      <c r="BJ59" s="2" t="inlineStr">
        <is>
          <t>Placeholder values</t>
        </is>
      </c>
    </row>
    <row r="60">
      <c r="A60" s="4" t="inlineStr">
        <is>
          <t>Boat &amp; RV storage</t>
        </is>
      </c>
      <c r="B60" s="9" t="inlineStr">
        <is>
          <t>Storage</t>
        </is>
      </c>
      <c r="C60" s="6" t="inlineStr">
        <is>
          <t>Income</t>
        </is>
      </c>
      <c r="D60" s="6" t="inlineStr">
        <is>
          <t>stall</t>
        </is>
      </c>
      <c r="E60" s="6" t="inlineStr">
        <is>
          <t>Y</t>
        </is>
      </c>
      <c r="F60" s="6" t="inlineStr">
        <is>
          <t>IND</t>
        </is>
      </c>
      <c r="G60" s="33" t="n">
        <v>0</v>
      </c>
      <c r="H60" s="34" t="n">
        <v>700</v>
      </c>
      <c r="I60" s="33" t="n">
        <v>0</v>
      </c>
      <c r="J60" s="6" t="n">
        <v>0</v>
      </c>
      <c r="K60" s="6" t="inlineStr">
        <is>
          <t>N</t>
        </is>
      </c>
      <c r="L60" s="33" t="n">
        <v>0</v>
      </c>
      <c r="M60" s="33" t="n">
        <v>6</v>
      </c>
      <c r="N60" s="11" t="n">
        <v>0.05</v>
      </c>
      <c r="O60" s="34" t="n">
        <v>0.03</v>
      </c>
      <c r="P60" s="6" t="n">
        <v>10</v>
      </c>
      <c r="Q60" s="11" t="n">
        <v>0.25</v>
      </c>
      <c r="R60" s="33" t="n">
        <v>10</v>
      </c>
      <c r="S60" s="33" t="n">
        <v>0</v>
      </c>
      <c r="T60" s="6" t="inlineStr">
        <is>
          <t>N</t>
        </is>
      </c>
      <c r="U60" s="6" t="inlineStr">
        <is>
          <t>N</t>
        </is>
      </c>
      <c r="V60" s="34" t="n">
        <v>0</v>
      </c>
      <c r="W60" s="34" t="n">
        <v>0</v>
      </c>
      <c r="X60" s="34" t="n">
        <v>0</v>
      </c>
      <c r="Y60" s="34" t="n">
        <v>0</v>
      </c>
      <c r="Z60" s="6" t="inlineStr">
        <is>
          <t>Y</t>
        </is>
      </c>
      <c r="AA60" s="11" t="n">
        <v>1</v>
      </c>
      <c r="AB60" s="6" t="inlineStr">
        <is>
          <t>Y</t>
        </is>
      </c>
      <c r="AC60" s="34" t="n">
        <v>0</v>
      </c>
      <c r="AD60" s="34" t="n">
        <v>0</v>
      </c>
      <c r="AE60" s="13" t="n">
        <v>25000</v>
      </c>
      <c r="AF60" s="13" t="n">
        <v>4500</v>
      </c>
      <c r="AG60" s="13" t="n">
        <v>0</v>
      </c>
      <c r="AH60" s="6" t="n">
        <v>8</v>
      </c>
      <c r="AI60" s="13" t="n">
        <v>0</v>
      </c>
      <c r="AJ60" s="13" t="n">
        <v>0</v>
      </c>
      <c r="AK60" s="13" t="n">
        <v>1500</v>
      </c>
      <c r="AL60" s="11" t="n">
        <v>0</v>
      </c>
      <c r="AM60" s="11" t="n">
        <v>0.12</v>
      </c>
      <c r="AN60" s="13" t="n">
        <v>150</v>
      </c>
      <c r="AO60" s="11" t="n">
        <v>0.08</v>
      </c>
      <c r="AP60" s="11" t="n">
        <v>0</v>
      </c>
      <c r="AQ60" s="6" t="n">
        <v>24</v>
      </c>
      <c r="AR60" s="11" t="n">
        <v>0.0725</v>
      </c>
      <c r="AS60" s="13" t="n">
        <v>120000</v>
      </c>
      <c r="AT60" s="13" t="n">
        <v>0</v>
      </c>
      <c r="AU60" s="11" t="n">
        <v>0.15</v>
      </c>
      <c r="AV60" s="6" t="n">
        <v>1</v>
      </c>
      <c r="AW60" s="6" t="n">
        <v>1</v>
      </c>
      <c r="AX60" s="6" t="n">
        <v>1</v>
      </c>
      <c r="AY60" s="6" t="n">
        <v>100</v>
      </c>
      <c r="AZ60" s="6" t="inlineStr">
        <is>
          <t>N</t>
        </is>
      </c>
      <c r="BA60" s="6" t="inlineStr">
        <is>
          <t>Y</t>
        </is>
      </c>
      <c r="BB60" s="6" t="n">
        <v>0</v>
      </c>
      <c r="BC60" s="6" t="n">
        <v>2000</v>
      </c>
      <c r="BD60" s="6" t="n">
        <v>0</v>
      </c>
      <c r="BE60" s="6" t="inlineStr">
        <is>
          <t>N</t>
        </is>
      </c>
      <c r="BF60" s="6" t="n">
        <v>0</v>
      </c>
      <c r="BG60" s="6" t="n">
        <v>0</v>
      </c>
      <c r="BH60" s="6" t="inlineStr">
        <is>
          <t>N</t>
        </is>
      </c>
      <c r="BI60" s="2" t="inlineStr">
        <is>
          <t>Within 15 min of lakes / HOA neighborhoods banning RV parking</t>
        </is>
      </c>
      <c r="BJ60" s="2" t="inlineStr">
        <is>
          <t>Placeholder values</t>
        </is>
      </c>
    </row>
    <row r="61">
      <c r="A61" s="4" t="inlineStr">
        <is>
          <t>Self-storage</t>
        </is>
      </c>
      <c r="B61" s="9" t="inlineStr">
        <is>
          <t>Storage</t>
        </is>
      </c>
      <c r="C61" s="6" t="inlineStr">
        <is>
          <t>Income</t>
        </is>
      </c>
      <c r="D61" s="6" t="inlineStr">
        <is>
          <t>bldg SF</t>
        </is>
      </c>
      <c r="E61" s="6" t="inlineStr">
        <is>
          <t>N</t>
        </is>
      </c>
      <c r="F61" s="6" t="inlineStr">
        <is>
          <t>IND</t>
        </is>
      </c>
      <c r="G61" s="33" t="n">
        <v>0</v>
      </c>
      <c r="H61" s="34" t="n">
        <v>2.857</v>
      </c>
      <c r="I61" s="33" t="n">
        <v>0</v>
      </c>
      <c r="J61" s="6" t="n">
        <v>0</v>
      </c>
      <c r="K61" s="6" t="inlineStr">
        <is>
          <t>N</t>
        </is>
      </c>
      <c r="L61" s="33" t="n">
        <v>0</v>
      </c>
      <c r="M61" s="33" t="n">
        <v>6</v>
      </c>
      <c r="N61" s="11" t="n">
        <v>0.08</v>
      </c>
      <c r="O61" s="34" t="n">
        <v>18</v>
      </c>
      <c r="P61" s="6" t="n">
        <v>3</v>
      </c>
      <c r="Q61" s="11" t="n">
        <v>0.35</v>
      </c>
      <c r="R61" s="33" t="n">
        <v>2500</v>
      </c>
      <c r="S61" s="33" t="n">
        <v>0.5</v>
      </c>
      <c r="T61" s="6" t="inlineStr">
        <is>
          <t>N</t>
        </is>
      </c>
      <c r="U61" s="6" t="inlineStr">
        <is>
          <t>Y</t>
        </is>
      </c>
      <c r="V61" s="34" t="n">
        <v>0.0001</v>
      </c>
      <c r="W61" s="34" t="n">
        <v>0.0001</v>
      </c>
      <c r="X61" s="34" t="n">
        <v>0.0001</v>
      </c>
      <c r="Y61" s="34" t="n">
        <v>0.01</v>
      </c>
      <c r="Z61" s="6" t="inlineStr">
        <is>
          <t>Y</t>
        </is>
      </c>
      <c r="AA61" s="11" t="n">
        <v>1</v>
      </c>
      <c r="AB61" s="6" t="inlineStr">
        <is>
          <t>Y</t>
        </is>
      </c>
      <c r="AC61" s="34" t="n">
        <v>0.006</v>
      </c>
      <c r="AD61" s="34" t="n">
        <v>1.2</v>
      </c>
      <c r="AE61" s="13" t="n">
        <v>40000</v>
      </c>
      <c r="AF61" s="13" t="n">
        <v>55</v>
      </c>
      <c r="AG61" s="13" t="n">
        <v>0</v>
      </c>
      <c r="AH61" s="6" t="n">
        <v>14</v>
      </c>
      <c r="AI61" s="13" t="n">
        <v>0</v>
      </c>
      <c r="AJ61" s="13" t="n">
        <v>0</v>
      </c>
      <c r="AK61" s="13" t="n">
        <v>14</v>
      </c>
      <c r="AL61" s="11" t="n">
        <v>0</v>
      </c>
      <c r="AM61" s="11" t="n">
        <v>0.1</v>
      </c>
      <c r="AN61" s="35" t="n">
        <v>4.5</v>
      </c>
      <c r="AO61" s="11" t="n">
        <v>0.06</v>
      </c>
      <c r="AP61" s="11" t="n">
        <v>0</v>
      </c>
      <c r="AQ61" s="6" t="n">
        <v>30</v>
      </c>
      <c r="AR61" s="11" t="n">
        <v>0.0625</v>
      </c>
      <c r="AS61" s="13" t="n">
        <v>200000</v>
      </c>
      <c r="AT61" s="13" t="n">
        <v>0</v>
      </c>
      <c r="AU61" s="11" t="n">
        <v>0.15</v>
      </c>
      <c r="AV61" s="6" t="n">
        <v>1</v>
      </c>
      <c r="AW61" s="6" t="n">
        <v>1</v>
      </c>
      <c r="AX61" s="6" t="n">
        <v>1</v>
      </c>
      <c r="AY61" s="6" t="n">
        <v>150</v>
      </c>
      <c r="AZ61" s="6" t="inlineStr">
        <is>
          <t>N</t>
        </is>
      </c>
      <c r="BA61" s="6" t="inlineStr">
        <is>
          <t>Y</t>
        </is>
      </c>
      <c r="BB61" s="6" t="n">
        <v>0</v>
      </c>
      <c r="BC61" s="6" t="n">
        <v>5000</v>
      </c>
      <c r="BD61" s="6" t="n">
        <v>0</v>
      </c>
      <c r="BE61" s="6" t="inlineStr">
        <is>
          <t>N</t>
        </is>
      </c>
      <c r="BF61" s="6" t="n">
        <v>0</v>
      </c>
      <c r="BG61" s="6" t="n">
        <v>0</v>
      </c>
      <c r="BH61" s="6" t="inlineStr">
        <is>
          <t>N</t>
        </is>
      </c>
      <c r="BI61" s="2" t="inlineStr">
        <is>
          <t>Supply &lt; 7 SF per capita within 3 mi; rooftop growth; visibility</t>
        </is>
      </c>
      <c r="BJ61" s="2" t="inlineStr">
        <is>
          <t>Placeholder values</t>
        </is>
      </c>
    </row>
    <row r="62">
      <c r="A62" s="4" t="inlineStr">
        <is>
          <t>Extended-stay hotel</t>
        </is>
      </c>
      <c r="B62" s="9" t="inlineStr">
        <is>
          <t>Hospitality</t>
        </is>
      </c>
      <c r="C62" s="6" t="inlineStr">
        <is>
          <t>Operator Pad</t>
        </is>
      </c>
      <c r="D62" s="6" t="inlineStr">
        <is>
          <t>acre</t>
        </is>
      </c>
      <c r="E62" s="6" t="inlineStr">
        <is>
          <t>N</t>
        </is>
      </c>
      <c r="F62" s="6" t="inlineStr">
        <is>
          <t>LODG</t>
        </is>
      </c>
      <c r="G62" s="33" t="n">
        <v>0</v>
      </c>
      <c r="H62" s="34" t="n">
        <v>43560</v>
      </c>
      <c r="I62" s="33" t="n">
        <v>0</v>
      </c>
      <c r="J62" s="6" t="n">
        <v>0</v>
      </c>
      <c r="K62" s="6" t="inlineStr">
        <is>
          <t>N</t>
        </is>
      </c>
      <c r="L62" s="33" t="n">
        <v>0</v>
      </c>
      <c r="M62" s="33" t="n">
        <v>3</v>
      </c>
      <c r="N62" s="11" t="n">
        <v>0.05</v>
      </c>
      <c r="O62" s="34" t="n">
        <v>0</v>
      </c>
      <c r="P62" s="6" t="n">
        <v>3</v>
      </c>
      <c r="Q62" s="11" t="n">
        <v>0</v>
      </c>
      <c r="R62" s="33" t="n">
        <v>0</v>
      </c>
      <c r="S62" s="33" t="n">
        <v>0</v>
      </c>
      <c r="T62" s="6" t="inlineStr">
        <is>
          <t>Y</t>
        </is>
      </c>
      <c r="U62" s="6" t="inlineStr">
        <is>
          <t>N</t>
        </is>
      </c>
      <c r="V62" s="34" t="n">
        <v>0</v>
      </c>
      <c r="W62" s="34" t="n">
        <v>0</v>
      </c>
      <c r="X62" s="34" t="n">
        <v>0</v>
      </c>
      <c r="Y62" s="34" t="n">
        <v>0</v>
      </c>
      <c r="Z62" s="6" t="inlineStr">
        <is>
          <t>Y</t>
        </is>
      </c>
      <c r="AA62" s="11" t="n">
        <v>1</v>
      </c>
      <c r="AB62" s="6" t="inlineStr">
        <is>
          <t>Y</t>
        </is>
      </c>
      <c r="AC62" s="34" t="n">
        <v>0</v>
      </c>
      <c r="AD62" s="34" t="n">
        <v>0</v>
      </c>
      <c r="AE62" s="13" t="n">
        <v>40000</v>
      </c>
      <c r="AF62" s="13" t="n">
        <v>0</v>
      </c>
      <c r="AG62" s="13" t="n">
        <v>0</v>
      </c>
      <c r="AH62" s="6" t="n">
        <v>12</v>
      </c>
      <c r="AI62" s="13" t="n">
        <v>0</v>
      </c>
      <c r="AJ62" s="13" t="n">
        <v>0</v>
      </c>
      <c r="AK62" s="13" t="n">
        <v>0</v>
      </c>
      <c r="AL62" s="11" t="n">
        <v>0</v>
      </c>
      <c r="AM62" s="11" t="n">
        <v>0</v>
      </c>
      <c r="AN62" s="13" t="n">
        <v>0</v>
      </c>
      <c r="AO62" s="11" t="n">
        <v>0</v>
      </c>
      <c r="AP62" s="11" t="n">
        <v>0</v>
      </c>
      <c r="AQ62" s="6" t="n">
        <v>0</v>
      </c>
      <c r="AR62" s="11" t="n">
        <v>0.0625</v>
      </c>
      <c r="AS62" s="13" t="n">
        <v>450000</v>
      </c>
      <c r="AT62" s="13" t="n">
        <v>31500</v>
      </c>
      <c r="AU62" s="11" t="n">
        <v>0.2</v>
      </c>
      <c r="AV62" s="6" t="n">
        <v>1</v>
      </c>
      <c r="AW62" s="6" t="n">
        <v>0</v>
      </c>
      <c r="AX62" s="6" t="n">
        <v>1</v>
      </c>
      <c r="AY62" s="6" t="n">
        <v>100</v>
      </c>
      <c r="AZ62" s="6" t="inlineStr">
        <is>
          <t>N</t>
        </is>
      </c>
      <c r="BA62" s="6" t="inlineStr">
        <is>
          <t>Y</t>
        </is>
      </c>
      <c r="BB62" s="6" t="n">
        <v>0</v>
      </c>
      <c r="BC62" s="6" t="n">
        <v>5000</v>
      </c>
      <c r="BD62" s="6" t="n">
        <v>2</v>
      </c>
      <c r="BE62" s="6" t="inlineStr">
        <is>
          <t>N</t>
        </is>
      </c>
      <c r="BF62" s="6" t="n">
        <v>0</v>
      </c>
      <c r="BG62" s="6" t="n">
        <v>0</v>
      </c>
      <c r="BH62" s="6" t="inlineStr">
        <is>
          <t>N</t>
        </is>
      </c>
      <c r="BI62" s="2" t="inlineStr">
        <is>
          <t>Near employers/hospitals; highway interchange; flag territory open</t>
        </is>
      </c>
      <c r="BJ62" s="2" t="inlineStr">
        <is>
          <t>Landova delivers a pad-ready site; operator builds and runs the business</t>
        </is>
      </c>
    </row>
    <row r="63">
      <c r="A63" s="4" t="inlineStr">
        <is>
          <t>Private water / wastewater (package plant) site</t>
        </is>
      </c>
      <c r="B63" s="9" t="inlineStr">
        <is>
          <t>Infrastructure</t>
        </is>
      </c>
      <c r="C63" s="6" t="inlineStr">
        <is>
          <t>Land Play</t>
        </is>
      </c>
      <c r="D63" s="6" t="inlineStr">
        <is>
          <t>acre</t>
        </is>
      </c>
      <c r="E63" s="6" t="inlineStr">
        <is>
          <t>N</t>
        </is>
      </c>
      <c r="F63" s="6" t="inlineStr">
        <is>
          <t>UTIL</t>
        </is>
      </c>
      <c r="G63" s="33" t="n">
        <v>0</v>
      </c>
      <c r="H63" s="34" t="n">
        <v>43560</v>
      </c>
      <c r="I63" s="33" t="n">
        <v>0</v>
      </c>
      <c r="J63" s="6" t="n">
        <v>0</v>
      </c>
      <c r="K63" s="6" t="inlineStr">
        <is>
          <t>N</t>
        </is>
      </c>
      <c r="L63" s="33" t="n">
        <v>0</v>
      </c>
      <c r="M63" s="33" t="n">
        <v>5</v>
      </c>
      <c r="N63" s="11" t="n">
        <v>0.05</v>
      </c>
      <c r="O63" s="34" t="n">
        <v>0</v>
      </c>
      <c r="P63" s="6" t="n">
        <v>3</v>
      </c>
      <c r="Q63" s="11" t="n">
        <v>0</v>
      </c>
      <c r="R63" s="33" t="n">
        <v>0</v>
      </c>
      <c r="S63" s="33" t="n">
        <v>0</v>
      </c>
      <c r="T63" s="6" t="inlineStr">
        <is>
          <t>N</t>
        </is>
      </c>
      <c r="U63" s="6" t="inlineStr">
        <is>
          <t>N</t>
        </is>
      </c>
      <c r="V63" s="34" t="n">
        <v>0</v>
      </c>
      <c r="W63" s="34" t="n">
        <v>0</v>
      </c>
      <c r="X63" s="34" t="n">
        <v>0</v>
      </c>
      <c r="Y63" s="34" t="n">
        <v>0</v>
      </c>
      <c r="Z63" s="6" t="inlineStr">
        <is>
          <t>N</t>
        </is>
      </c>
      <c r="AA63" s="11" t="n">
        <v>1</v>
      </c>
      <c r="AB63" s="6" t="inlineStr">
        <is>
          <t>Y</t>
        </is>
      </c>
      <c r="AC63" s="34" t="n">
        <v>0</v>
      </c>
      <c r="AD63" s="34" t="n">
        <v>0</v>
      </c>
      <c r="AE63" s="13" t="n">
        <v>150000</v>
      </c>
      <c r="AF63" s="13" t="n">
        <v>0</v>
      </c>
      <c r="AG63" s="13" t="n">
        <v>0</v>
      </c>
      <c r="AH63" s="6" t="n">
        <v>18</v>
      </c>
      <c r="AI63" s="13" t="n">
        <v>0</v>
      </c>
      <c r="AJ63" s="13" t="n">
        <v>0</v>
      </c>
      <c r="AK63" s="13" t="n">
        <v>0</v>
      </c>
      <c r="AL63" s="11" t="n">
        <v>0</v>
      </c>
      <c r="AM63" s="11" t="n">
        <v>0</v>
      </c>
      <c r="AN63" s="13" t="n">
        <v>0</v>
      </c>
      <c r="AO63" s="11" t="n">
        <v>0</v>
      </c>
      <c r="AP63" s="11" t="n">
        <v>0</v>
      </c>
      <c r="AQ63" s="6" t="n">
        <v>0</v>
      </c>
      <c r="AR63" s="11" t="n">
        <v>0.07000000000000001</v>
      </c>
      <c r="AS63" s="13" t="n">
        <v>60000</v>
      </c>
      <c r="AT63" s="13" t="n">
        <v>0</v>
      </c>
      <c r="AU63" s="11" t="n">
        <v>0.25</v>
      </c>
      <c r="AV63" s="6" t="n">
        <v>1</v>
      </c>
      <c r="AW63" s="6" t="n">
        <v>0</v>
      </c>
      <c r="AX63" s="6" t="n">
        <v>0</v>
      </c>
      <c r="AY63" s="6" t="n">
        <v>100</v>
      </c>
      <c r="AZ63" s="6" t="inlineStr">
        <is>
          <t>N</t>
        </is>
      </c>
      <c r="BA63" s="6" t="inlineStr">
        <is>
          <t>Y</t>
        </is>
      </c>
      <c r="BB63" s="6" t="n">
        <v>0</v>
      </c>
      <c r="BC63" s="6" t="n">
        <v>0</v>
      </c>
      <c r="BD63" s="6" t="n">
        <v>0</v>
      </c>
      <c r="BE63" s="6" t="inlineStr">
        <is>
          <t>N</t>
        </is>
      </c>
      <c r="BF63" s="6" t="n">
        <v>0</v>
      </c>
      <c r="BG63" s="6" t="n">
        <v>0</v>
      </c>
      <c r="BH63" s="6" t="inlineStr">
        <is>
          <t>N</t>
        </is>
      </c>
      <c r="BI63" s="2" t="inlineStr">
        <is>
          <t>Adjacent to growth with no city sewer; permittable discharge route</t>
        </is>
      </c>
      <c r="BJ63" s="2" t="inlineStr">
        <is>
          <t>Value ties to connections served; treat $/ac as placeholder</t>
        </is>
      </c>
    </row>
    <row r="64">
      <c r="A64" s="4" t="inlineStr">
        <is>
          <t>Battery storage / solar land lease</t>
        </is>
      </c>
      <c r="B64" s="9" t="inlineStr">
        <is>
          <t>Infrastructure</t>
        </is>
      </c>
      <c r="C64" s="6" t="inlineStr">
        <is>
          <t>Land Play</t>
        </is>
      </c>
      <c r="D64" s="6" t="inlineStr">
        <is>
          <t>acre</t>
        </is>
      </c>
      <c r="E64" s="6" t="inlineStr">
        <is>
          <t>N</t>
        </is>
      </c>
      <c r="F64" s="6" t="inlineStr">
        <is>
          <t>UTIL</t>
        </is>
      </c>
      <c r="G64" s="33" t="n">
        <v>0</v>
      </c>
      <c r="H64" s="34" t="n">
        <v>43560</v>
      </c>
      <c r="I64" s="33" t="n">
        <v>0</v>
      </c>
      <c r="J64" s="6" t="n">
        <v>0</v>
      </c>
      <c r="K64" s="6" t="inlineStr">
        <is>
          <t>N</t>
        </is>
      </c>
      <c r="L64" s="33" t="n">
        <v>20</v>
      </c>
      <c r="M64" s="33" t="n">
        <v>0</v>
      </c>
      <c r="N64" s="11" t="n">
        <v>0.05</v>
      </c>
      <c r="O64" s="34" t="n">
        <v>0</v>
      </c>
      <c r="P64" s="6" t="n">
        <v>3</v>
      </c>
      <c r="Q64" s="11" t="n">
        <v>0</v>
      </c>
      <c r="R64" s="33" t="n">
        <v>0</v>
      </c>
      <c r="S64" s="33" t="n">
        <v>0</v>
      </c>
      <c r="T64" s="6" t="inlineStr">
        <is>
          <t>N</t>
        </is>
      </c>
      <c r="U64" s="6" t="inlineStr">
        <is>
          <t>N</t>
        </is>
      </c>
      <c r="V64" s="34" t="n">
        <v>0</v>
      </c>
      <c r="W64" s="34" t="n">
        <v>0</v>
      </c>
      <c r="X64" s="34" t="n">
        <v>0</v>
      </c>
      <c r="Y64" s="34" t="n">
        <v>0</v>
      </c>
      <c r="Z64" s="6" t="inlineStr">
        <is>
          <t>N</t>
        </is>
      </c>
      <c r="AA64" s="11" t="n">
        <v>1</v>
      </c>
      <c r="AB64" s="6" t="inlineStr">
        <is>
          <t>Y</t>
        </is>
      </c>
      <c r="AC64" s="34" t="n">
        <v>0</v>
      </c>
      <c r="AD64" s="34" t="n">
        <v>0</v>
      </c>
      <c r="AE64" s="13" t="n">
        <v>50000</v>
      </c>
      <c r="AF64" s="13" t="n">
        <v>0</v>
      </c>
      <c r="AG64" s="13" t="n">
        <v>0</v>
      </c>
      <c r="AH64" s="6" t="n">
        <v>18</v>
      </c>
      <c r="AI64" s="13" t="n">
        <v>0</v>
      </c>
      <c r="AJ64" s="13" t="n">
        <v>0</v>
      </c>
      <c r="AK64" s="13" t="n">
        <v>0</v>
      </c>
      <c r="AL64" s="11" t="n">
        <v>0</v>
      </c>
      <c r="AM64" s="11" t="n">
        <v>0</v>
      </c>
      <c r="AN64" s="13" t="n">
        <v>0</v>
      </c>
      <c r="AO64" s="11" t="n">
        <v>0</v>
      </c>
      <c r="AP64" s="11" t="n">
        <v>0</v>
      </c>
      <c r="AQ64" s="6" t="n">
        <v>0</v>
      </c>
      <c r="AR64" s="11" t="n">
        <v>0.08</v>
      </c>
      <c r="AS64" s="13" t="n">
        <v>0</v>
      </c>
      <c r="AT64" s="13" t="n">
        <v>1000</v>
      </c>
      <c r="AU64" s="11" t="n">
        <v>0.25</v>
      </c>
      <c r="AV64" s="6" t="n">
        <v>0</v>
      </c>
      <c r="AW64" s="6" t="n">
        <v>0</v>
      </c>
      <c r="AX64" s="6" t="n">
        <v>1</v>
      </c>
      <c r="AY64" s="6" t="n">
        <v>100</v>
      </c>
      <c r="AZ64" s="6" t="inlineStr">
        <is>
          <t>N</t>
        </is>
      </c>
      <c r="BA64" s="6" t="inlineStr">
        <is>
          <t>N</t>
        </is>
      </c>
      <c r="BB64" s="6" t="n">
        <v>0</v>
      </c>
      <c r="BC64" s="6" t="n">
        <v>0</v>
      </c>
      <c r="BD64" s="6" t="n">
        <v>0</v>
      </c>
      <c r="BE64" s="6" t="inlineStr">
        <is>
          <t>N</t>
        </is>
      </c>
      <c r="BF64" s="6" t="n">
        <v>2</v>
      </c>
      <c r="BG64" s="6" t="n">
        <v>0</v>
      </c>
      <c r="BH64" s="6" t="inlineStr">
        <is>
          <t>N</t>
        </is>
      </c>
      <c r="BI64" s="2" t="inlineStr">
        <is>
          <t>Within 2 mi of substation with interconnection capacity; flat; not in floodway</t>
        </is>
      </c>
      <c r="BJ64" s="2" t="inlineStr">
        <is>
          <t>Placeholder values</t>
        </is>
      </c>
    </row>
    <row r="65">
      <c r="A65" s="4" t="inlineStr">
        <is>
          <t>Powered land for data centers</t>
        </is>
      </c>
      <c r="B65" s="9" t="inlineStr">
        <is>
          <t>Infrastructure</t>
        </is>
      </c>
      <c r="C65" s="6" t="inlineStr">
        <is>
          <t>Land Play</t>
        </is>
      </c>
      <c r="D65" s="6" t="inlineStr">
        <is>
          <t>acre</t>
        </is>
      </c>
      <c r="E65" s="6" t="inlineStr">
        <is>
          <t>N</t>
        </is>
      </c>
      <c r="F65" s="6" t="inlineStr">
        <is>
          <t>UTIL</t>
        </is>
      </c>
      <c r="G65" s="33" t="n">
        <v>0</v>
      </c>
      <c r="H65" s="34" t="n">
        <v>43560</v>
      </c>
      <c r="I65" s="33" t="n">
        <v>0</v>
      </c>
      <c r="J65" s="6" t="n">
        <v>0</v>
      </c>
      <c r="K65" s="6" t="inlineStr">
        <is>
          <t>N</t>
        </is>
      </c>
      <c r="L65" s="33" t="n">
        <v>50</v>
      </c>
      <c r="M65" s="33" t="n">
        <v>0</v>
      </c>
      <c r="N65" s="11" t="n">
        <v>0.05</v>
      </c>
      <c r="O65" s="34" t="n">
        <v>0</v>
      </c>
      <c r="P65" s="6" t="n">
        <v>3</v>
      </c>
      <c r="Q65" s="11" t="n">
        <v>0</v>
      </c>
      <c r="R65" s="33" t="n">
        <v>0</v>
      </c>
      <c r="S65" s="33" t="n">
        <v>0</v>
      </c>
      <c r="T65" s="6" t="inlineStr">
        <is>
          <t>N</t>
        </is>
      </c>
      <c r="U65" s="6" t="inlineStr">
        <is>
          <t>N</t>
        </is>
      </c>
      <c r="V65" s="34" t="n">
        <v>0</v>
      </c>
      <c r="W65" s="34" t="n">
        <v>0</v>
      </c>
      <c r="X65" s="34" t="n">
        <v>0</v>
      </c>
      <c r="Y65" s="34" t="n">
        <v>0</v>
      </c>
      <c r="Z65" s="6" t="inlineStr">
        <is>
          <t>N</t>
        </is>
      </c>
      <c r="AA65" s="11" t="n">
        <v>1</v>
      </c>
      <c r="AB65" s="6" t="inlineStr">
        <is>
          <t>Y</t>
        </is>
      </c>
      <c r="AC65" s="34" t="n">
        <v>0</v>
      </c>
      <c r="AD65" s="34" t="n">
        <v>0</v>
      </c>
      <c r="AE65" s="13" t="n">
        <v>500000</v>
      </c>
      <c r="AF65" s="13" t="n">
        <v>0</v>
      </c>
      <c r="AG65" s="13" t="n">
        <v>0</v>
      </c>
      <c r="AH65" s="6" t="n">
        <v>24</v>
      </c>
      <c r="AI65" s="13" t="n">
        <v>0</v>
      </c>
      <c r="AJ65" s="13" t="n">
        <v>0</v>
      </c>
      <c r="AK65" s="13" t="n">
        <v>0</v>
      </c>
      <c r="AL65" s="11" t="n">
        <v>0</v>
      </c>
      <c r="AM65" s="11" t="n">
        <v>0</v>
      </c>
      <c r="AN65" s="13" t="n">
        <v>0</v>
      </c>
      <c r="AO65" s="11" t="n">
        <v>0</v>
      </c>
      <c r="AP65" s="11" t="n">
        <v>0</v>
      </c>
      <c r="AQ65" s="6" t="n">
        <v>0</v>
      </c>
      <c r="AR65" s="11" t="n">
        <v>0.07000000000000001</v>
      </c>
      <c r="AS65" s="13" t="n">
        <v>200000</v>
      </c>
      <c r="AT65" s="13" t="n">
        <v>0</v>
      </c>
      <c r="AU65" s="11" t="n">
        <v>0.25</v>
      </c>
      <c r="AV65" s="6" t="n">
        <v>1</v>
      </c>
      <c r="AW65" s="6" t="n">
        <v>0</v>
      </c>
      <c r="AX65" s="6" t="n">
        <v>0</v>
      </c>
      <c r="AY65" s="6" t="n">
        <v>100</v>
      </c>
      <c r="AZ65" s="6" t="inlineStr">
        <is>
          <t>N</t>
        </is>
      </c>
      <c r="BA65" s="6" t="inlineStr">
        <is>
          <t>Y</t>
        </is>
      </c>
      <c r="BB65" s="6" t="n">
        <v>0</v>
      </c>
      <c r="BC65" s="6" t="n">
        <v>0</v>
      </c>
      <c r="BD65" s="6" t="n">
        <v>0</v>
      </c>
      <c r="BE65" s="6" t="inlineStr">
        <is>
          <t>N</t>
        </is>
      </c>
      <c r="BF65" s="6" t="n">
        <v>1</v>
      </c>
      <c r="BG65" s="6" t="n">
        <v>0</v>
      </c>
      <c r="BH65" s="6" t="inlineStr">
        <is>
          <t>N</t>
        </is>
      </c>
      <c r="BI65" s="2" t="inlineStr">
        <is>
          <t>Transmission line / substation with available MW; fiber; water; 50+ ac</t>
        </is>
      </c>
      <c r="BJ65" s="2" t="inlineStr">
        <is>
          <t>Entitlement = power/utility studies and agreements; the power commitment is the value</t>
        </is>
      </c>
    </row>
    <row r="66">
      <c r="A66" s="4" t="inlineStr">
        <is>
          <t>Cell tower ground lease</t>
        </is>
      </c>
      <c r="B66" s="9" t="inlineStr">
        <is>
          <t>Infrastructure</t>
        </is>
      </c>
      <c r="C66" s="6" t="inlineStr">
        <is>
          <t>Land Play</t>
        </is>
      </c>
      <c r="D66" s="6" t="inlineStr">
        <is>
          <t>acre</t>
        </is>
      </c>
      <c r="E66" s="6" t="inlineStr">
        <is>
          <t>N</t>
        </is>
      </c>
      <c r="F66" s="6" t="inlineStr">
        <is>
          <t>UTIL</t>
        </is>
      </c>
      <c r="G66" s="33" t="n">
        <v>0</v>
      </c>
      <c r="H66" s="34" t="n">
        <v>43560</v>
      </c>
      <c r="I66" s="33" t="n">
        <v>0</v>
      </c>
      <c r="J66" s="6" t="n">
        <v>0</v>
      </c>
      <c r="K66" s="6" t="inlineStr">
        <is>
          <t>N</t>
        </is>
      </c>
      <c r="L66" s="33" t="n">
        <v>0</v>
      </c>
      <c r="M66" s="33" t="n">
        <v>0.25</v>
      </c>
      <c r="N66" s="11" t="n">
        <v>0.05</v>
      </c>
      <c r="O66" s="34" t="n">
        <v>0</v>
      </c>
      <c r="P66" s="6" t="n">
        <v>3</v>
      </c>
      <c r="Q66" s="11" t="n">
        <v>0</v>
      </c>
      <c r="R66" s="33" t="n">
        <v>0</v>
      </c>
      <c r="S66" s="33" t="n">
        <v>0</v>
      </c>
      <c r="T66" s="6" t="inlineStr">
        <is>
          <t>N</t>
        </is>
      </c>
      <c r="U66" s="6" t="inlineStr">
        <is>
          <t>N</t>
        </is>
      </c>
      <c r="V66" s="34" t="n">
        <v>0</v>
      </c>
      <c r="W66" s="34" t="n">
        <v>0</v>
      </c>
      <c r="X66" s="34" t="n">
        <v>0</v>
      </c>
      <c r="Y66" s="34" t="n">
        <v>0</v>
      </c>
      <c r="Z66" s="6" t="inlineStr">
        <is>
          <t>N</t>
        </is>
      </c>
      <c r="AA66" s="11" t="n">
        <v>1</v>
      </c>
      <c r="AB66" s="6" t="inlineStr">
        <is>
          <t>Y</t>
        </is>
      </c>
      <c r="AC66" s="34" t="n">
        <v>0</v>
      </c>
      <c r="AD66" s="34" t="n">
        <v>0</v>
      </c>
      <c r="AE66" s="13" t="n">
        <v>0</v>
      </c>
      <c r="AF66" s="13" t="n">
        <v>0</v>
      </c>
      <c r="AG66" s="13" t="n">
        <v>0</v>
      </c>
      <c r="AH66" s="6" t="n">
        <v>12</v>
      </c>
      <c r="AI66" s="13" t="n">
        <v>0</v>
      </c>
      <c r="AJ66" s="13" t="n">
        <v>0</v>
      </c>
      <c r="AK66" s="13" t="n">
        <v>0</v>
      </c>
      <c r="AL66" s="11" t="n">
        <v>0</v>
      </c>
      <c r="AM66" s="11" t="n">
        <v>0</v>
      </c>
      <c r="AN66" s="13" t="n">
        <v>0</v>
      </c>
      <c r="AO66" s="11" t="n">
        <v>0</v>
      </c>
      <c r="AP66" s="11" t="n">
        <v>0</v>
      </c>
      <c r="AQ66" s="6" t="n">
        <v>0</v>
      </c>
      <c r="AR66" s="11" t="n">
        <v>0.065</v>
      </c>
      <c r="AS66" s="13" t="n">
        <v>0</v>
      </c>
      <c r="AT66" s="13" t="n">
        <v>6000</v>
      </c>
      <c r="AU66" s="11" t="n">
        <v>0.25</v>
      </c>
      <c r="AV66" s="6" t="n">
        <v>0</v>
      </c>
      <c r="AW66" s="6" t="n">
        <v>0</v>
      </c>
      <c r="AX66" s="6" t="n">
        <v>1</v>
      </c>
      <c r="AY66" s="6" t="n">
        <v>100</v>
      </c>
      <c r="AZ66" s="6" t="inlineStr">
        <is>
          <t>N</t>
        </is>
      </c>
      <c r="BA66" s="6" t="inlineStr">
        <is>
          <t>N</t>
        </is>
      </c>
      <c r="BB66" s="6" t="n">
        <v>0</v>
      </c>
      <c r="BC66" s="6" t="n">
        <v>0</v>
      </c>
      <c r="BD66" s="6" t="n">
        <v>0</v>
      </c>
      <c r="BE66" s="6" t="inlineStr">
        <is>
          <t>N</t>
        </is>
      </c>
      <c r="BF66" s="6" t="n">
        <v>0</v>
      </c>
      <c r="BG66" s="6" t="n">
        <v>0</v>
      </c>
      <c r="BH66" s="6" t="inlineStr">
        <is>
          <t>N</t>
        </is>
      </c>
      <c r="BI66" s="2" t="inlineStr">
        <is>
          <t>Carrier coverage gap; jurisdiction allows towers; height/FAA clearance</t>
        </is>
      </c>
      <c r="BJ66" s="2" t="inlineStr">
        <is>
          <t>Stackable with other uses on the same parcel; carrier pays entitlement. Rent per acre = $1,500/yr on 0.25 ac</t>
        </is>
      </c>
    </row>
  </sheetData>
  <dataValidations count="12">
    <dataValidation sqref="C5:C106" showDropDown="0" showInputMessage="0" showErrorMessage="0" allowBlank="1" type="list">
      <formula1>=Lookups!$E$5:$E$8</formula1>
    </dataValidation>
    <dataValidation sqref="F5:F106" showDropDown="0" showInputMessage="0" showErrorMessage="0" allowBlank="1" type="list">
      <formula1>=Lookups!$R$5:$R$16</formula1>
    </dataValidation>
    <dataValidation sqref="E5:E106" showDropDown="0" showInputMessage="0" showErrorMessage="0" allowBlank="1" type="list">
      <formula1>=Lookups!$C$5:$C$6</formula1>
    </dataValidation>
    <dataValidation sqref="K5:K106" showDropDown="0" showInputMessage="0" showErrorMessage="0" allowBlank="1" type="list">
      <formula1>=Lookups!$C$5:$C$6</formula1>
    </dataValidation>
    <dataValidation sqref="T5:T106" showDropDown="0" showInputMessage="0" showErrorMessage="0" allowBlank="1" type="list">
      <formula1>=Lookups!$C$5:$C$6</formula1>
    </dataValidation>
    <dataValidation sqref="U5:U106" showDropDown="0" showInputMessage="0" showErrorMessage="0" allowBlank="1" type="list">
      <formula1>=Lookups!$C$5:$C$6</formula1>
    </dataValidation>
    <dataValidation sqref="Z5:Z106" showDropDown="0" showInputMessage="0" showErrorMessage="0" allowBlank="1" type="list">
      <formula1>=Lookups!$C$5:$C$6</formula1>
    </dataValidation>
    <dataValidation sqref="AB5:AB106" showDropDown="0" showInputMessage="0" showErrorMessage="0" allowBlank="1" type="list">
      <formula1>=Lookups!$C$5:$C$6</formula1>
    </dataValidation>
    <dataValidation sqref="AZ5:AZ106" showDropDown="0" showInputMessage="0" showErrorMessage="0" allowBlank="1" type="list">
      <formula1>=Lookups!$C$5:$C$6</formula1>
    </dataValidation>
    <dataValidation sqref="BA5:BA106" showDropDown="0" showInputMessage="0" showErrorMessage="0" allowBlank="1" type="list">
      <formula1>=Lookups!$C$5:$C$6</formula1>
    </dataValidation>
    <dataValidation sqref="BE5:BE106" showDropDown="0" showInputMessage="0" showErrorMessage="0" allowBlank="1" type="list">
      <formula1>=Lookups!$C$5:$C$6</formula1>
    </dataValidation>
    <dataValidation sqref="BH5:BH106" showDropDown="0" showInputMessage="0" showErrorMessage="0" allowBlank="1" type="list">
      <formula1>=Lookups!$C$5:$C$6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Use Effective - the inputs the engine actually uses for this parcel and org</t>
        </is>
      </c>
    </row>
    <row r="2">
      <c r="A2" s="2" t="inlineStr">
        <is>
          <t>Cost-type fields: Org &gt; Market &gt; Default x index. Revenue-type fields: Market (City &gt; County &gt; State) &gt; Org &gt; Default x index. Do not edit.</t>
        </is>
      </c>
    </row>
    <row r="4" ht="75" customHeight="1">
      <c r="A4" s="8" t="inlineStr">
        <is>
          <t>Use</t>
        </is>
      </c>
      <c r="B4" s="8" t="inlineStr">
        <is>
          <t>Vertical cost per unit</t>
        </is>
      </c>
      <c r="C4" s="8" t="inlineStr">
        <is>
          <t>Entitlement &amp; zoning $ (fixed, reference basis)</t>
        </is>
      </c>
      <c r="D4" s="8" t="inlineStr">
        <is>
          <t>TI + leasing commissions per unit</t>
        </is>
      </c>
      <c r="E4" s="8" t="inlineStr">
        <is>
          <t>Opex per unit per year, excl. tax</t>
        </is>
      </c>
      <c r="F4" s="8" t="inlineStr">
        <is>
          <t>Development months</t>
        </is>
      </c>
      <c r="G4" s="8" t="inlineStr">
        <is>
          <t>Required margin (first 12 months)</t>
        </is>
      </c>
      <c r="H4" s="8" t="inlineStr">
        <is>
          <t>Lot sale price per unit (For-Sale)</t>
        </is>
      </c>
      <c r="I4" s="8" t="inlineStr">
        <is>
          <t>Finished sale price per unit (For-Sale)</t>
        </is>
      </c>
      <c r="J4" s="8" t="inlineStr">
        <is>
          <t>Land / pad sale price per acre (For-Sale: per gross lot acre, added to lot price)</t>
        </is>
      </c>
      <c r="K4" s="8" t="inlineStr">
        <is>
          <t>Rent per unit per year (Income)</t>
        </is>
      </c>
      <c r="L4" s="8" t="inlineStr">
        <is>
          <t>Ground / land lease rent per acre per year</t>
        </is>
      </c>
      <c r="M4" s="8" t="inlineStr">
        <is>
          <t>Exit / lease cap rate (reference basis)</t>
        </is>
      </c>
      <c r="N4" s="8" t="inlineStr">
        <is>
          <t>Stabilized vacancy (or 1 - occupancy for nightly uses)</t>
        </is>
      </c>
      <c r="O4" s="8" t="inlineStr">
        <is>
          <t>Absorption: units sold (For-Sale) or leased (Income) per month; 0 = use lease-up months</t>
        </is>
      </c>
      <c r="P4" s="8" t="inlineStr">
        <is>
          <t>Exit 1 sell-out pace: lots (For-Sale) or acres (other) per month; 0 = single sale</t>
        </is>
      </c>
      <c r="Q4" s="8" t="inlineStr">
        <is>
          <t>Source: vert</t>
        </is>
      </c>
      <c r="R4" s="8" t="inlineStr">
        <is>
          <t>Source: entitle</t>
        </is>
      </c>
      <c r="S4" s="8" t="inlineStr">
        <is>
          <t>Source: tilc</t>
        </is>
      </c>
      <c r="T4" s="8" t="inlineStr">
        <is>
          <t>Source: opex</t>
        </is>
      </c>
      <c r="U4" s="8" t="inlineStr">
        <is>
          <t>Source: devmo</t>
        </is>
      </c>
      <c r="V4" s="8" t="inlineStr">
        <is>
          <t>Source: margin</t>
        </is>
      </c>
      <c r="W4" s="8" t="inlineStr">
        <is>
          <t>Source: lotprice</t>
        </is>
      </c>
      <c r="X4" s="8" t="inlineStr">
        <is>
          <t>Source: saleprice</t>
        </is>
      </c>
      <c r="Y4" s="8" t="inlineStr">
        <is>
          <t>Source: landac</t>
        </is>
      </c>
      <c r="Z4" s="8" t="inlineStr">
        <is>
          <t>Source: rent</t>
        </is>
      </c>
      <c r="AA4" s="8" t="inlineStr">
        <is>
          <t>Source: groundrent</t>
        </is>
      </c>
      <c r="AB4" s="8" t="inlineStr">
        <is>
          <t>Source: cap</t>
        </is>
      </c>
      <c r="AC4" s="8" t="inlineStr">
        <is>
          <t>Source: vac</t>
        </is>
      </c>
      <c r="AD4" s="8" t="inlineStr">
        <is>
          <t>Source: absorb</t>
        </is>
      </c>
      <c r="AE4" s="8" t="inlineStr">
        <is>
          <t>Source: lotabs</t>
        </is>
      </c>
      <c r="AF4" s="8" t="inlineStr">
        <is>
          <t>Fields from data (not default)</t>
        </is>
      </c>
    </row>
    <row r="5">
      <c r="A5" s="4">
        <f>Use_Library!$A$5</f>
        <v/>
      </c>
      <c r="B5" s="20">
        <f>IFERROR((INDEX(Org_Overrides!$D$5:$D$304,MATCH(Org_Profile!$C$4&amp;"|"&amp;$A5&amp;"|vert",Org_Overrides!$H$5:$H$304,0))*Location!$C$9),IFERROR(INDEX(Market_Data!$D$5:$D$304,MATCH(Location!$C$4&amp;"|"&amp;$A5&amp;"|vert",Market_Data!$K$5:$K$304,0)),IFERROR(INDEX(Market_Data!$D$5:$D$304,MATCH(Location!$C$5&amp;"|"&amp;$A5&amp;"|vert",Market_Data!$K$5:$K$304,0)),IFERROR(INDEX(Market_Data!$D$5:$D$304,MATCH(Location!$C$6&amp;"|"&amp;$A5&amp;"|vert",Market_Data!$K$5:$K$304,0)),(Use_Library!$AF$5*Location!$C$9)))))</f>
        <v/>
      </c>
      <c r="C5" s="20">
        <f>IFERROR((INDEX(Org_Overrides!$D$5:$D$304,MATCH(Org_Profile!$C$4&amp;"|"&amp;$A5&amp;"|entitle",Org_Overrides!$H$5:$H$304,0))*Location!$C$9),IFERROR(INDEX(Market_Data!$D$5:$D$304,MATCH(Location!$C$4&amp;"|"&amp;$A5&amp;"|entitle",Market_Data!$K$5:$K$304,0)),IFERROR(INDEX(Market_Data!$D$5:$D$304,MATCH(Location!$C$5&amp;"|"&amp;$A5&amp;"|entitle",Market_Data!$K$5:$K$304,0)),IFERROR(INDEX(Market_Data!$D$5:$D$304,MATCH(Location!$C$6&amp;"|"&amp;$A5&amp;"|entitle",Market_Data!$K$5:$K$304,0)),(Use_Library!$AE$5*Location!$C$9)))))</f>
        <v/>
      </c>
      <c r="D5" s="20">
        <f>IFERROR((INDEX(Org_Overrides!$D$5:$D$304,MATCH(Org_Profile!$C$4&amp;"|"&amp;$A5&amp;"|tilc",Org_Overrides!$H$5:$H$304,0))*Location!$C$9),IFERROR(INDEX(Market_Data!$D$5:$D$304,MATCH(Location!$C$4&amp;"|"&amp;$A5&amp;"|tilc",Market_Data!$K$5:$K$304,0)),IFERROR(INDEX(Market_Data!$D$5:$D$304,MATCH(Location!$C$5&amp;"|"&amp;$A5&amp;"|tilc",Market_Data!$K$5:$K$304,0)),IFERROR(INDEX(Market_Data!$D$5:$D$304,MATCH(Location!$C$6&amp;"|"&amp;$A5&amp;"|tilc",Market_Data!$K$5:$K$304,0)),(Use_Library!$AG$5*Location!$C$9)))))</f>
        <v/>
      </c>
      <c r="E5" s="20">
        <f>IFERROR((INDEX(Org_Overrides!$D$5:$D$304,MATCH(Org_Profile!$C$4&amp;"|"&amp;$A5&amp;"|opex",Org_Overrides!$H$5:$H$304,0))*Location!$C$13),IFERROR(INDEX(Market_Data!$D$5:$D$304,MATCH(Location!$C$4&amp;"|"&amp;$A5&amp;"|opex",Market_Data!$K$5:$K$304,0)),IFERROR(INDEX(Market_Data!$D$5:$D$304,MATCH(Location!$C$5&amp;"|"&amp;$A5&amp;"|opex",Market_Data!$K$5:$K$304,0)),IFERROR(INDEX(Market_Data!$D$5:$D$304,MATCH(Location!$C$6&amp;"|"&amp;$A5&amp;"|opex",Market_Data!$K$5:$K$304,0)),(Use_Library!$AN$5*Location!$C$13)))))</f>
        <v/>
      </c>
      <c r="F5" s="9">
        <f>IFERROR(INDEX(Org_Overrides!$D$5:$D$304,MATCH(Org_Profile!$C$4&amp;"|"&amp;$A5&amp;"|devmo",Org_Overrides!$H$5:$H$304,0)),IFERROR(INDEX(Market_Data!$D$5:$D$304,MATCH(Location!$C$4&amp;"|"&amp;$A5&amp;"|devmo",Market_Data!$K$5:$K$304,0)),IFERROR(INDEX(Market_Data!$D$5:$D$304,MATCH(Location!$C$5&amp;"|"&amp;$A5&amp;"|devmo",Market_Data!$K$5:$K$304,0)),IFERROR(INDEX(Market_Data!$D$5:$D$304,MATCH(Location!$C$6&amp;"|"&amp;$A5&amp;"|devmo",Market_Data!$K$5:$K$304,0)),Use_Library!$AH$5))))</f>
        <v/>
      </c>
      <c r="G5" s="23">
        <f>IFERROR(INDEX(Org_Overrides!$D$5:$D$304,MATCH(Org_Profile!$C$4&amp;"|"&amp;$A5&amp;"|margin",Org_Overrides!$H$5:$H$304,0)),IF(INDEX(Org_Profile!$C$9:$C$12,MATCH(Use_Library!$C$5,Org_Profile!$B$9:$B$12,0))&lt;&gt;"",INDEX(Org_Profile!$C$9:$C$12,MATCH(Use_Library!$C$5,Org_Profile!$B$9:$B$12,0)),Use_Library!$AU$5))</f>
        <v/>
      </c>
      <c r="H5" s="20">
        <f>IFERROR(INDEX(Market_Data!$D$5:$D$304,MATCH(Location!$C$4&amp;"|"&amp;$A5&amp;"|lotprice",Market_Data!$K$5:$K$304,0)),IFERROR(INDEX(Market_Data!$D$5:$D$304,MATCH(Location!$C$5&amp;"|"&amp;$A5&amp;"|lotprice",Market_Data!$K$5:$K$304,0)),IFERROR(INDEX(Market_Data!$D$5:$D$304,MATCH(Location!$C$6&amp;"|"&amp;$A5&amp;"|lotprice",Market_Data!$K$5:$K$304,0)),IFERROR((INDEX(Org_Overrides!$D$5:$D$304,MATCH(Org_Profile!$C$4&amp;"|"&amp;$A5&amp;"|lotprice",Org_Overrides!$H$5:$H$304,0))*Location!$C$10),(Use_Library!$AI$5*Location!$C$10)))))</f>
        <v/>
      </c>
      <c r="I5" s="20">
        <f>IFERROR(INDEX(Market_Data!$D$5:$D$304,MATCH(Location!$C$4&amp;"|"&amp;$A5&amp;"|saleprice",Market_Data!$K$5:$K$304,0)),IFERROR(INDEX(Market_Data!$D$5:$D$304,MATCH(Location!$C$5&amp;"|"&amp;$A5&amp;"|saleprice",Market_Data!$K$5:$K$304,0)),IFERROR(INDEX(Market_Data!$D$5:$D$304,MATCH(Location!$C$6&amp;"|"&amp;$A5&amp;"|saleprice",Market_Data!$K$5:$K$304,0)),IFERROR((INDEX(Org_Overrides!$D$5:$D$304,MATCH(Org_Profile!$C$4&amp;"|"&amp;$A5&amp;"|saleprice",Org_Overrides!$H$5:$H$304,0))*Location!$C$10),(Use_Library!$AJ$5*Location!$C$10)))))</f>
        <v/>
      </c>
      <c r="J5" s="20">
        <f>IFERROR(INDEX(Market_Data!$D$5:$D$304,MATCH(Location!$C$4&amp;"|"&amp;$A5&amp;"|landac",Market_Data!$K$5:$K$304,0)),IFERROR(INDEX(Market_Data!$D$5:$D$304,MATCH(Location!$C$5&amp;"|"&amp;$A5&amp;"|landac",Market_Data!$K$5:$K$304,0)),IFERROR(INDEX(Market_Data!$D$5:$D$304,MATCH(Location!$C$6&amp;"|"&amp;$A5&amp;"|landac",Market_Data!$K$5:$K$304,0)),IFERROR((INDEX(Org_Overrides!$D$5:$D$304,MATCH(Org_Profile!$C$4&amp;"|"&amp;$A5&amp;"|landac",Org_Overrides!$H$5:$H$304,0))*Location!$C$10),(Use_Library!$AS$5*Location!$C$10)))))</f>
        <v/>
      </c>
      <c r="K5" s="20">
        <f>IFERROR(INDEX(Market_Data!$D$5:$D$304,MATCH(Location!$C$4&amp;"|"&amp;$A5&amp;"|rent",Market_Data!$K$5:$K$304,0)),IFERROR(INDEX(Market_Data!$D$5:$D$304,MATCH(Location!$C$5&amp;"|"&amp;$A5&amp;"|rent",Market_Data!$K$5:$K$304,0)),IFERROR(INDEX(Market_Data!$D$5:$D$304,MATCH(Location!$C$6&amp;"|"&amp;$A5&amp;"|rent",Market_Data!$K$5:$K$304,0)),IFERROR((INDEX(Org_Overrides!$D$5:$D$304,MATCH(Org_Profile!$C$4&amp;"|"&amp;$A5&amp;"|rent",Org_Overrides!$H$5:$H$304,0))*Location!$C$11),(Use_Library!$AK$5*Location!$C$11)))))</f>
        <v/>
      </c>
      <c r="L5" s="20">
        <f>IFERROR(INDEX(Market_Data!$D$5:$D$304,MATCH(Location!$C$4&amp;"|"&amp;$A5&amp;"|groundrent",Market_Data!$K$5:$K$304,0)),IFERROR(INDEX(Market_Data!$D$5:$D$304,MATCH(Location!$C$5&amp;"|"&amp;$A5&amp;"|groundrent",Market_Data!$K$5:$K$304,0)),IFERROR(INDEX(Market_Data!$D$5:$D$304,MATCH(Location!$C$6&amp;"|"&amp;$A5&amp;"|groundrent",Market_Data!$K$5:$K$304,0)),IFERROR((INDEX(Org_Overrides!$D$5:$D$304,MATCH(Org_Profile!$C$4&amp;"|"&amp;$A5&amp;"|groundrent",Org_Overrides!$H$5:$H$304,0))*Location!$C$11),(Use_Library!$AT$5*Location!$C$11)))))</f>
        <v/>
      </c>
      <c r="M5" s="23">
        <f>IFERROR(INDEX(Market_Data!$D$5:$D$304,MATCH(Location!$C$4&amp;"|"&amp;$A5&amp;"|cap",Market_Data!$K$5:$K$304,0)),IFERROR(INDEX(Market_Data!$D$5:$D$304,MATCH(Location!$C$5&amp;"|"&amp;$A5&amp;"|cap",Market_Data!$K$5:$K$304,0)),IFERROR(INDEX(Market_Data!$D$5:$D$304,MATCH(Location!$C$6&amp;"|"&amp;$A5&amp;"|cap",Market_Data!$K$5:$K$304,0)),IFERROR((INDEX(Org_Overrides!$D$5:$D$304,MATCH(Org_Profile!$C$4&amp;"|"&amp;$A5&amp;"|cap",Org_Overrides!$H$5:$H$304,0))+Location!$C$12),(Use_Library!$AR$5+Location!$C$12)))))</f>
        <v/>
      </c>
      <c r="N5" s="23">
        <f>IFERROR(INDEX(Market_Data!$D$5:$D$304,MATCH(Location!$C$4&amp;"|"&amp;$A5&amp;"|vac",Market_Data!$K$5:$K$304,0)),IFERROR(INDEX(Market_Data!$D$5:$D$304,MATCH(Location!$C$5&amp;"|"&amp;$A5&amp;"|vac",Market_Data!$K$5:$K$304,0)),IFERROR(INDEX(Market_Data!$D$5:$D$304,MATCH(Location!$C$6&amp;"|"&amp;$A5&amp;"|vac",Market_Data!$K$5:$K$304,0)),IFERROR(INDEX(Org_Overrides!$D$5:$D$304,MATCH(Org_Profile!$C$4&amp;"|"&amp;$A5&amp;"|vac",Org_Overrides!$H$5:$H$304,0)),Use_Library!$AM$5))))</f>
        <v/>
      </c>
      <c r="O5" s="24">
        <f>IFERROR(INDEX(Market_Data!$D$5:$D$304,MATCH(Location!$C$4&amp;"|"&amp;$A5&amp;"|absorb",Market_Data!$K$5:$K$304,0)),IFERROR(INDEX(Market_Data!$D$5:$D$304,MATCH(Location!$C$5&amp;"|"&amp;$A5&amp;"|absorb",Market_Data!$K$5:$K$304,0)),IFERROR(INDEX(Market_Data!$D$5:$D$304,MATCH(Location!$C$6&amp;"|"&amp;$A5&amp;"|absorb",Market_Data!$K$5:$K$304,0)),IFERROR(INDEX(Org_Overrides!$D$5:$D$304,MATCH(Org_Profile!$C$4&amp;"|"&amp;$A5&amp;"|absorb",Org_Overrides!$H$5:$H$304,0)),Use_Library!$R$5))))</f>
        <v/>
      </c>
      <c r="P5" s="24">
        <f>IFERROR(INDEX(Market_Data!$D$5:$D$304,MATCH(Location!$C$4&amp;"|"&amp;$A5&amp;"|lotabs",Market_Data!$K$5:$K$304,0)),IFERROR(INDEX(Market_Data!$D$5:$D$304,MATCH(Location!$C$5&amp;"|"&amp;$A5&amp;"|lotabs",Market_Data!$K$5:$K$304,0)),IFERROR(INDEX(Market_Data!$D$5:$D$304,MATCH(Location!$C$6&amp;"|"&amp;$A5&amp;"|lotabs",Market_Data!$K$5:$K$304,0)),IFERROR(INDEX(Org_Overrides!$D$5:$D$304,MATCH(Org_Profile!$C$4&amp;"|"&amp;$A5&amp;"|lotabs",Org_Overrides!$H$5:$H$304,0)),Use_Library!$S$5))))</f>
        <v/>
      </c>
      <c r="Q5" s="2">
        <f>IF(ISNUMBER(MATCH(Org_Profile!$C$4&amp;"|"&amp;$A5&amp;"|vert",Org_Overrides!$H$5:$H$304,0)),"Org",IF(ISNUMBER(MATCH(Location!$C$4&amp;"|"&amp;$A5&amp;"|vert",Market_Data!$K$5:$K$304,0)),"Market-City",IF(ISNUMBER(MATCH(Location!$C$5&amp;"|"&amp;$A5&amp;"|vert",Market_Data!$K$5:$K$304,0)),"Market-County",IF(ISNUMBER(MATCH(Location!$C$6&amp;"|"&amp;$A5&amp;"|vert",Market_Data!$K$5:$K$304,0)),"Market-State","Default x index"))))</f>
        <v/>
      </c>
      <c r="R5" s="2">
        <f>IF(ISNUMBER(MATCH(Org_Profile!$C$4&amp;"|"&amp;$A5&amp;"|entitle",Org_Overrides!$H$5:$H$304,0)),"Org",IF(ISNUMBER(MATCH(Location!$C$4&amp;"|"&amp;$A5&amp;"|entitle",Market_Data!$K$5:$K$304,0)),"Market-City",IF(ISNUMBER(MATCH(Location!$C$5&amp;"|"&amp;$A5&amp;"|entitle",Market_Data!$K$5:$K$304,0)),"Market-County",IF(ISNUMBER(MATCH(Location!$C$6&amp;"|"&amp;$A5&amp;"|entitle",Market_Data!$K$5:$K$304,0)),"Market-State","Default x index"))))</f>
        <v/>
      </c>
      <c r="S5" s="2">
        <f>IF(ISNUMBER(MATCH(Org_Profile!$C$4&amp;"|"&amp;$A5&amp;"|tilc",Org_Overrides!$H$5:$H$304,0)),"Org",IF(ISNUMBER(MATCH(Location!$C$4&amp;"|"&amp;$A5&amp;"|tilc",Market_Data!$K$5:$K$304,0)),"Market-City",IF(ISNUMBER(MATCH(Location!$C$5&amp;"|"&amp;$A5&amp;"|tilc",Market_Data!$K$5:$K$304,0)),"Market-County",IF(ISNUMBER(MATCH(Location!$C$6&amp;"|"&amp;$A5&amp;"|tilc",Market_Data!$K$5:$K$304,0)),"Market-State","Default x index"))))</f>
        <v/>
      </c>
      <c r="T5" s="2">
        <f>IF(ISNUMBER(MATCH(Org_Profile!$C$4&amp;"|"&amp;$A5&amp;"|opex",Org_Overrides!$H$5:$H$304,0)),"Org",IF(ISNUMBER(MATCH(Location!$C$4&amp;"|"&amp;$A5&amp;"|opex",Market_Data!$K$5:$K$304,0)),"Market-City",IF(ISNUMBER(MATCH(Location!$C$5&amp;"|"&amp;$A5&amp;"|opex",Market_Data!$K$5:$K$304,0)),"Market-County",IF(ISNUMBER(MATCH(Location!$C$6&amp;"|"&amp;$A5&amp;"|opex",Market_Data!$K$5:$K$304,0)),"Market-State","Default x index"))))</f>
        <v/>
      </c>
      <c r="U5" s="2">
        <f>IF(ISNUMBER(MATCH(Org_Profile!$C$4&amp;"|"&amp;$A5&amp;"|devmo",Org_Overrides!$H$5:$H$304,0)),"Org",IF(ISNUMBER(MATCH(Location!$C$4&amp;"|"&amp;$A5&amp;"|devmo",Market_Data!$K$5:$K$304,0)),"Market-City",IF(ISNUMBER(MATCH(Location!$C$5&amp;"|"&amp;$A5&amp;"|devmo",Market_Data!$K$5:$K$304,0)),"Market-County",IF(ISNUMBER(MATCH(Location!$C$6&amp;"|"&amp;$A5&amp;"|devmo",Market_Data!$K$5:$K$304,0)),"Market-State","Default"))))</f>
        <v/>
      </c>
      <c r="V5" s="2">
        <f>IF(ISNUMBER(MATCH(Org_Profile!$C$4&amp;"|"&amp;$A5&amp;"|margin",Org_Overrides!$H$5:$H$304,0)),"Org",IF(INDEX(Org_Profile!$C$9:$C$12,MATCH(Use_Library!$C$5,Org_Profile!$B$9:$B$12,0))&lt;&gt;"","Org engine margin","Default"))</f>
        <v/>
      </c>
      <c r="W5" s="2">
        <f>IF(ISNUMBER(MATCH(Location!$C$4&amp;"|"&amp;$A5&amp;"|lotprice",Market_Data!$K$5:$K$304,0)),"Market-City",IF(ISNUMBER(MATCH(Location!$C$5&amp;"|"&amp;$A5&amp;"|lotprice",Market_Data!$K$5:$K$304,0)),"Market-County",IF(ISNUMBER(MATCH(Location!$C$6&amp;"|"&amp;$A5&amp;"|lotprice",Market_Data!$K$5:$K$304,0)),"Market-State",IF(ISNUMBER(MATCH(Org_Profile!$C$4&amp;"|"&amp;$A5&amp;"|lotprice",Org_Overrides!$H$5:$H$304,0)),"Org","Default x index"))))</f>
        <v/>
      </c>
      <c r="X5" s="2">
        <f>IF(ISNUMBER(MATCH(Location!$C$4&amp;"|"&amp;$A5&amp;"|saleprice",Market_Data!$K$5:$K$304,0)),"Market-City",IF(ISNUMBER(MATCH(Location!$C$5&amp;"|"&amp;$A5&amp;"|saleprice",Market_Data!$K$5:$K$304,0)),"Market-County",IF(ISNUMBER(MATCH(Location!$C$6&amp;"|"&amp;$A5&amp;"|saleprice",Market_Data!$K$5:$K$304,0)),"Market-State",IF(ISNUMBER(MATCH(Org_Profile!$C$4&amp;"|"&amp;$A5&amp;"|saleprice",Org_Overrides!$H$5:$H$304,0)),"Org","Default x index"))))</f>
        <v/>
      </c>
      <c r="Y5" s="2">
        <f>IF(ISNUMBER(MATCH(Location!$C$4&amp;"|"&amp;$A5&amp;"|landac",Market_Data!$K$5:$K$304,0)),"Market-City",IF(ISNUMBER(MATCH(Location!$C$5&amp;"|"&amp;$A5&amp;"|landac",Market_Data!$K$5:$K$304,0)),"Market-County",IF(ISNUMBER(MATCH(Location!$C$6&amp;"|"&amp;$A5&amp;"|landac",Market_Data!$K$5:$K$304,0)),"Market-State",IF(ISNUMBER(MATCH(Org_Profile!$C$4&amp;"|"&amp;$A5&amp;"|landac",Org_Overrides!$H$5:$H$304,0)),"Org","Default x index"))))</f>
        <v/>
      </c>
      <c r="Z5" s="2">
        <f>IF(ISNUMBER(MATCH(Location!$C$4&amp;"|"&amp;$A5&amp;"|rent",Market_Data!$K$5:$K$304,0)),"Market-City",IF(ISNUMBER(MATCH(Location!$C$5&amp;"|"&amp;$A5&amp;"|rent",Market_Data!$K$5:$K$304,0)),"Market-County",IF(ISNUMBER(MATCH(Location!$C$6&amp;"|"&amp;$A5&amp;"|rent",Market_Data!$K$5:$K$304,0)),"Market-State",IF(ISNUMBER(MATCH(Org_Profile!$C$4&amp;"|"&amp;$A5&amp;"|rent",Org_Overrides!$H$5:$H$304,0)),"Org","Default x index"))))</f>
        <v/>
      </c>
      <c r="AA5" s="2">
        <f>IF(ISNUMBER(MATCH(Location!$C$4&amp;"|"&amp;$A5&amp;"|groundrent",Market_Data!$K$5:$K$304,0)),"Market-City",IF(ISNUMBER(MATCH(Location!$C$5&amp;"|"&amp;$A5&amp;"|groundrent",Market_Data!$K$5:$K$304,0)),"Market-County",IF(ISNUMBER(MATCH(Location!$C$6&amp;"|"&amp;$A5&amp;"|groundrent",Market_Data!$K$5:$K$304,0)),"Market-State",IF(ISNUMBER(MATCH(Org_Profile!$C$4&amp;"|"&amp;$A5&amp;"|groundrent",Org_Overrides!$H$5:$H$304,0)),"Org","Default x index"))))</f>
        <v/>
      </c>
      <c r="AB5" s="2">
        <f>IF(ISNUMBER(MATCH(Location!$C$4&amp;"|"&amp;$A5&amp;"|cap",Market_Data!$K$5:$K$304,0)),"Market-City",IF(ISNUMBER(MATCH(Location!$C$5&amp;"|"&amp;$A5&amp;"|cap",Market_Data!$K$5:$K$304,0)),"Market-County",IF(ISNUMBER(MATCH(Location!$C$6&amp;"|"&amp;$A5&amp;"|cap",Market_Data!$K$5:$K$304,0)),"Market-State",IF(ISNUMBER(MATCH(Org_Profile!$C$4&amp;"|"&amp;$A5&amp;"|cap",Org_Overrides!$H$5:$H$304,0)),"Org","Default x index"))))</f>
        <v/>
      </c>
      <c r="AC5" s="2">
        <f>IF(ISNUMBER(MATCH(Location!$C$4&amp;"|"&amp;$A5&amp;"|vac",Market_Data!$K$5:$K$304,0)),"Market-City",IF(ISNUMBER(MATCH(Location!$C$5&amp;"|"&amp;$A5&amp;"|vac",Market_Data!$K$5:$K$304,0)),"Market-County",IF(ISNUMBER(MATCH(Location!$C$6&amp;"|"&amp;$A5&amp;"|vac",Market_Data!$K$5:$K$304,0)),"Market-State",IF(ISNUMBER(MATCH(Org_Profile!$C$4&amp;"|"&amp;$A5&amp;"|vac",Org_Overrides!$H$5:$H$304,0)),"Org","Default"))))</f>
        <v/>
      </c>
      <c r="AD5" s="2">
        <f>IF(ISNUMBER(MATCH(Location!$C$4&amp;"|"&amp;$A5&amp;"|absorb",Market_Data!$K$5:$K$304,0)),"Market-City",IF(ISNUMBER(MATCH(Location!$C$5&amp;"|"&amp;$A5&amp;"|absorb",Market_Data!$K$5:$K$304,0)),"Market-County",IF(ISNUMBER(MATCH(Location!$C$6&amp;"|"&amp;$A5&amp;"|absorb",Market_Data!$K$5:$K$304,0)),"Market-State",IF(ISNUMBER(MATCH(Org_Profile!$C$4&amp;"|"&amp;$A5&amp;"|absorb",Org_Overrides!$H$5:$H$304,0)),"Org","Default"))))</f>
        <v/>
      </c>
      <c r="AE5" s="2">
        <f>IF(ISNUMBER(MATCH(Location!$C$4&amp;"|"&amp;$A5&amp;"|lotabs",Market_Data!$K$5:$K$304,0)),"Market-City",IF(ISNUMBER(MATCH(Location!$C$5&amp;"|"&amp;$A5&amp;"|lotabs",Market_Data!$K$5:$K$304,0)),"Market-County",IF(ISNUMBER(MATCH(Location!$C$6&amp;"|"&amp;$A5&amp;"|lotabs",Market_Data!$K$5:$K$304,0)),"Market-State",IF(ISNUMBER(MATCH(Org_Profile!$C$4&amp;"|"&amp;$A5&amp;"|lotabs",Org_Overrides!$H$5:$H$304,0)),"Org","Default"))))</f>
        <v/>
      </c>
      <c r="AF5" s="15">
        <f>15-COUNTIF(Q5:AE5,"Default*")</f>
        <v/>
      </c>
    </row>
    <row r="6">
      <c r="A6" s="4">
        <f>Use_Library!$A$6</f>
        <v/>
      </c>
      <c r="B6" s="20">
        <f>IFERROR((INDEX(Org_Overrides!$D$5:$D$304,MATCH(Org_Profile!$C$4&amp;"|"&amp;$A6&amp;"|vert",Org_Overrides!$H$5:$H$304,0))*Location!$C$9),IFERROR(INDEX(Market_Data!$D$5:$D$304,MATCH(Location!$C$4&amp;"|"&amp;$A6&amp;"|vert",Market_Data!$K$5:$K$304,0)),IFERROR(INDEX(Market_Data!$D$5:$D$304,MATCH(Location!$C$5&amp;"|"&amp;$A6&amp;"|vert",Market_Data!$K$5:$K$304,0)),IFERROR(INDEX(Market_Data!$D$5:$D$304,MATCH(Location!$C$6&amp;"|"&amp;$A6&amp;"|vert",Market_Data!$K$5:$K$304,0)),(Use_Library!$AF$6*Location!$C$9)))))</f>
        <v/>
      </c>
      <c r="C6" s="20">
        <f>IFERROR((INDEX(Org_Overrides!$D$5:$D$304,MATCH(Org_Profile!$C$4&amp;"|"&amp;$A6&amp;"|entitle",Org_Overrides!$H$5:$H$304,0))*Location!$C$9),IFERROR(INDEX(Market_Data!$D$5:$D$304,MATCH(Location!$C$4&amp;"|"&amp;$A6&amp;"|entitle",Market_Data!$K$5:$K$304,0)),IFERROR(INDEX(Market_Data!$D$5:$D$304,MATCH(Location!$C$5&amp;"|"&amp;$A6&amp;"|entitle",Market_Data!$K$5:$K$304,0)),IFERROR(INDEX(Market_Data!$D$5:$D$304,MATCH(Location!$C$6&amp;"|"&amp;$A6&amp;"|entitle",Market_Data!$K$5:$K$304,0)),(Use_Library!$AE$6*Location!$C$9)))))</f>
        <v/>
      </c>
      <c r="D6" s="20">
        <f>IFERROR((INDEX(Org_Overrides!$D$5:$D$304,MATCH(Org_Profile!$C$4&amp;"|"&amp;$A6&amp;"|tilc",Org_Overrides!$H$5:$H$304,0))*Location!$C$9),IFERROR(INDEX(Market_Data!$D$5:$D$304,MATCH(Location!$C$4&amp;"|"&amp;$A6&amp;"|tilc",Market_Data!$K$5:$K$304,0)),IFERROR(INDEX(Market_Data!$D$5:$D$304,MATCH(Location!$C$5&amp;"|"&amp;$A6&amp;"|tilc",Market_Data!$K$5:$K$304,0)),IFERROR(INDEX(Market_Data!$D$5:$D$304,MATCH(Location!$C$6&amp;"|"&amp;$A6&amp;"|tilc",Market_Data!$K$5:$K$304,0)),(Use_Library!$AG$6*Location!$C$9)))))</f>
        <v/>
      </c>
      <c r="E6" s="20">
        <f>IFERROR((INDEX(Org_Overrides!$D$5:$D$304,MATCH(Org_Profile!$C$4&amp;"|"&amp;$A6&amp;"|opex",Org_Overrides!$H$5:$H$304,0))*Location!$C$13),IFERROR(INDEX(Market_Data!$D$5:$D$304,MATCH(Location!$C$4&amp;"|"&amp;$A6&amp;"|opex",Market_Data!$K$5:$K$304,0)),IFERROR(INDEX(Market_Data!$D$5:$D$304,MATCH(Location!$C$5&amp;"|"&amp;$A6&amp;"|opex",Market_Data!$K$5:$K$304,0)),IFERROR(INDEX(Market_Data!$D$5:$D$304,MATCH(Location!$C$6&amp;"|"&amp;$A6&amp;"|opex",Market_Data!$K$5:$K$304,0)),(Use_Library!$AN$6*Location!$C$13)))))</f>
        <v/>
      </c>
      <c r="F6" s="9">
        <f>IFERROR(INDEX(Org_Overrides!$D$5:$D$304,MATCH(Org_Profile!$C$4&amp;"|"&amp;$A6&amp;"|devmo",Org_Overrides!$H$5:$H$304,0)),IFERROR(INDEX(Market_Data!$D$5:$D$304,MATCH(Location!$C$4&amp;"|"&amp;$A6&amp;"|devmo",Market_Data!$K$5:$K$304,0)),IFERROR(INDEX(Market_Data!$D$5:$D$304,MATCH(Location!$C$5&amp;"|"&amp;$A6&amp;"|devmo",Market_Data!$K$5:$K$304,0)),IFERROR(INDEX(Market_Data!$D$5:$D$304,MATCH(Location!$C$6&amp;"|"&amp;$A6&amp;"|devmo",Market_Data!$K$5:$K$304,0)),Use_Library!$AH$6))))</f>
        <v/>
      </c>
      <c r="G6" s="23">
        <f>IFERROR(INDEX(Org_Overrides!$D$5:$D$304,MATCH(Org_Profile!$C$4&amp;"|"&amp;$A6&amp;"|margin",Org_Overrides!$H$5:$H$304,0)),IF(INDEX(Org_Profile!$C$9:$C$12,MATCH(Use_Library!$C$6,Org_Profile!$B$9:$B$12,0))&lt;&gt;"",INDEX(Org_Profile!$C$9:$C$12,MATCH(Use_Library!$C$6,Org_Profile!$B$9:$B$12,0)),Use_Library!$AU$6))</f>
        <v/>
      </c>
      <c r="H6" s="20">
        <f>IFERROR(INDEX(Market_Data!$D$5:$D$304,MATCH(Location!$C$4&amp;"|"&amp;$A6&amp;"|lotprice",Market_Data!$K$5:$K$304,0)),IFERROR(INDEX(Market_Data!$D$5:$D$304,MATCH(Location!$C$5&amp;"|"&amp;$A6&amp;"|lotprice",Market_Data!$K$5:$K$304,0)),IFERROR(INDEX(Market_Data!$D$5:$D$304,MATCH(Location!$C$6&amp;"|"&amp;$A6&amp;"|lotprice",Market_Data!$K$5:$K$304,0)),IFERROR((INDEX(Org_Overrides!$D$5:$D$304,MATCH(Org_Profile!$C$4&amp;"|"&amp;$A6&amp;"|lotprice",Org_Overrides!$H$5:$H$304,0))*Location!$C$10),(Use_Library!$AI$6*Location!$C$10)))))</f>
        <v/>
      </c>
      <c r="I6" s="20">
        <f>IFERROR(INDEX(Market_Data!$D$5:$D$304,MATCH(Location!$C$4&amp;"|"&amp;$A6&amp;"|saleprice",Market_Data!$K$5:$K$304,0)),IFERROR(INDEX(Market_Data!$D$5:$D$304,MATCH(Location!$C$5&amp;"|"&amp;$A6&amp;"|saleprice",Market_Data!$K$5:$K$304,0)),IFERROR(INDEX(Market_Data!$D$5:$D$304,MATCH(Location!$C$6&amp;"|"&amp;$A6&amp;"|saleprice",Market_Data!$K$5:$K$304,0)),IFERROR((INDEX(Org_Overrides!$D$5:$D$304,MATCH(Org_Profile!$C$4&amp;"|"&amp;$A6&amp;"|saleprice",Org_Overrides!$H$5:$H$304,0))*Location!$C$10),(Use_Library!$AJ$6*Location!$C$10)))))</f>
        <v/>
      </c>
      <c r="J6" s="20">
        <f>IFERROR(INDEX(Market_Data!$D$5:$D$304,MATCH(Location!$C$4&amp;"|"&amp;$A6&amp;"|landac",Market_Data!$K$5:$K$304,0)),IFERROR(INDEX(Market_Data!$D$5:$D$304,MATCH(Location!$C$5&amp;"|"&amp;$A6&amp;"|landac",Market_Data!$K$5:$K$304,0)),IFERROR(INDEX(Market_Data!$D$5:$D$304,MATCH(Location!$C$6&amp;"|"&amp;$A6&amp;"|landac",Market_Data!$K$5:$K$304,0)),IFERROR((INDEX(Org_Overrides!$D$5:$D$304,MATCH(Org_Profile!$C$4&amp;"|"&amp;$A6&amp;"|landac",Org_Overrides!$H$5:$H$304,0))*Location!$C$10),(Use_Library!$AS$6*Location!$C$10)))))</f>
        <v/>
      </c>
      <c r="K6" s="20">
        <f>IFERROR(INDEX(Market_Data!$D$5:$D$304,MATCH(Location!$C$4&amp;"|"&amp;$A6&amp;"|rent",Market_Data!$K$5:$K$304,0)),IFERROR(INDEX(Market_Data!$D$5:$D$304,MATCH(Location!$C$5&amp;"|"&amp;$A6&amp;"|rent",Market_Data!$K$5:$K$304,0)),IFERROR(INDEX(Market_Data!$D$5:$D$304,MATCH(Location!$C$6&amp;"|"&amp;$A6&amp;"|rent",Market_Data!$K$5:$K$304,0)),IFERROR((INDEX(Org_Overrides!$D$5:$D$304,MATCH(Org_Profile!$C$4&amp;"|"&amp;$A6&amp;"|rent",Org_Overrides!$H$5:$H$304,0))*Location!$C$11),(Use_Library!$AK$6*Location!$C$11)))))</f>
        <v/>
      </c>
      <c r="L6" s="20">
        <f>IFERROR(INDEX(Market_Data!$D$5:$D$304,MATCH(Location!$C$4&amp;"|"&amp;$A6&amp;"|groundrent",Market_Data!$K$5:$K$304,0)),IFERROR(INDEX(Market_Data!$D$5:$D$304,MATCH(Location!$C$5&amp;"|"&amp;$A6&amp;"|groundrent",Market_Data!$K$5:$K$304,0)),IFERROR(INDEX(Market_Data!$D$5:$D$304,MATCH(Location!$C$6&amp;"|"&amp;$A6&amp;"|groundrent",Market_Data!$K$5:$K$304,0)),IFERROR((INDEX(Org_Overrides!$D$5:$D$304,MATCH(Org_Profile!$C$4&amp;"|"&amp;$A6&amp;"|groundrent",Org_Overrides!$H$5:$H$304,0))*Location!$C$11),(Use_Library!$AT$6*Location!$C$11)))))</f>
        <v/>
      </c>
      <c r="M6" s="23">
        <f>IFERROR(INDEX(Market_Data!$D$5:$D$304,MATCH(Location!$C$4&amp;"|"&amp;$A6&amp;"|cap",Market_Data!$K$5:$K$304,0)),IFERROR(INDEX(Market_Data!$D$5:$D$304,MATCH(Location!$C$5&amp;"|"&amp;$A6&amp;"|cap",Market_Data!$K$5:$K$304,0)),IFERROR(INDEX(Market_Data!$D$5:$D$304,MATCH(Location!$C$6&amp;"|"&amp;$A6&amp;"|cap",Market_Data!$K$5:$K$304,0)),IFERROR((INDEX(Org_Overrides!$D$5:$D$304,MATCH(Org_Profile!$C$4&amp;"|"&amp;$A6&amp;"|cap",Org_Overrides!$H$5:$H$304,0))+Location!$C$12),(Use_Library!$AR$6+Location!$C$12)))))</f>
        <v/>
      </c>
      <c r="N6" s="23">
        <f>IFERROR(INDEX(Market_Data!$D$5:$D$304,MATCH(Location!$C$4&amp;"|"&amp;$A6&amp;"|vac",Market_Data!$K$5:$K$304,0)),IFERROR(INDEX(Market_Data!$D$5:$D$304,MATCH(Location!$C$5&amp;"|"&amp;$A6&amp;"|vac",Market_Data!$K$5:$K$304,0)),IFERROR(INDEX(Market_Data!$D$5:$D$304,MATCH(Location!$C$6&amp;"|"&amp;$A6&amp;"|vac",Market_Data!$K$5:$K$304,0)),IFERROR(INDEX(Org_Overrides!$D$5:$D$304,MATCH(Org_Profile!$C$4&amp;"|"&amp;$A6&amp;"|vac",Org_Overrides!$H$5:$H$304,0)),Use_Library!$AM$6))))</f>
        <v/>
      </c>
      <c r="O6" s="24">
        <f>IFERROR(INDEX(Market_Data!$D$5:$D$304,MATCH(Location!$C$4&amp;"|"&amp;$A6&amp;"|absorb",Market_Data!$K$5:$K$304,0)),IFERROR(INDEX(Market_Data!$D$5:$D$304,MATCH(Location!$C$5&amp;"|"&amp;$A6&amp;"|absorb",Market_Data!$K$5:$K$304,0)),IFERROR(INDEX(Market_Data!$D$5:$D$304,MATCH(Location!$C$6&amp;"|"&amp;$A6&amp;"|absorb",Market_Data!$K$5:$K$304,0)),IFERROR(INDEX(Org_Overrides!$D$5:$D$304,MATCH(Org_Profile!$C$4&amp;"|"&amp;$A6&amp;"|absorb",Org_Overrides!$H$5:$H$304,0)),Use_Library!$R$6))))</f>
        <v/>
      </c>
      <c r="P6" s="24">
        <f>IFERROR(INDEX(Market_Data!$D$5:$D$304,MATCH(Location!$C$4&amp;"|"&amp;$A6&amp;"|lotabs",Market_Data!$K$5:$K$304,0)),IFERROR(INDEX(Market_Data!$D$5:$D$304,MATCH(Location!$C$5&amp;"|"&amp;$A6&amp;"|lotabs",Market_Data!$K$5:$K$304,0)),IFERROR(INDEX(Market_Data!$D$5:$D$304,MATCH(Location!$C$6&amp;"|"&amp;$A6&amp;"|lotabs",Market_Data!$K$5:$K$304,0)),IFERROR(INDEX(Org_Overrides!$D$5:$D$304,MATCH(Org_Profile!$C$4&amp;"|"&amp;$A6&amp;"|lotabs",Org_Overrides!$H$5:$H$304,0)),Use_Library!$S$6))))</f>
        <v/>
      </c>
      <c r="Q6" s="2">
        <f>IF(ISNUMBER(MATCH(Org_Profile!$C$4&amp;"|"&amp;$A6&amp;"|vert",Org_Overrides!$H$5:$H$304,0)),"Org",IF(ISNUMBER(MATCH(Location!$C$4&amp;"|"&amp;$A6&amp;"|vert",Market_Data!$K$5:$K$304,0)),"Market-City",IF(ISNUMBER(MATCH(Location!$C$5&amp;"|"&amp;$A6&amp;"|vert",Market_Data!$K$5:$K$304,0)),"Market-County",IF(ISNUMBER(MATCH(Location!$C$6&amp;"|"&amp;$A6&amp;"|vert",Market_Data!$K$5:$K$304,0)),"Market-State","Default x index"))))</f>
        <v/>
      </c>
      <c r="R6" s="2">
        <f>IF(ISNUMBER(MATCH(Org_Profile!$C$4&amp;"|"&amp;$A6&amp;"|entitle",Org_Overrides!$H$5:$H$304,0)),"Org",IF(ISNUMBER(MATCH(Location!$C$4&amp;"|"&amp;$A6&amp;"|entitle",Market_Data!$K$5:$K$304,0)),"Market-City",IF(ISNUMBER(MATCH(Location!$C$5&amp;"|"&amp;$A6&amp;"|entitle",Market_Data!$K$5:$K$304,0)),"Market-County",IF(ISNUMBER(MATCH(Location!$C$6&amp;"|"&amp;$A6&amp;"|entitle",Market_Data!$K$5:$K$304,0)),"Market-State","Default x index"))))</f>
        <v/>
      </c>
      <c r="S6" s="2">
        <f>IF(ISNUMBER(MATCH(Org_Profile!$C$4&amp;"|"&amp;$A6&amp;"|tilc",Org_Overrides!$H$5:$H$304,0)),"Org",IF(ISNUMBER(MATCH(Location!$C$4&amp;"|"&amp;$A6&amp;"|tilc",Market_Data!$K$5:$K$304,0)),"Market-City",IF(ISNUMBER(MATCH(Location!$C$5&amp;"|"&amp;$A6&amp;"|tilc",Market_Data!$K$5:$K$304,0)),"Market-County",IF(ISNUMBER(MATCH(Location!$C$6&amp;"|"&amp;$A6&amp;"|tilc",Market_Data!$K$5:$K$304,0)),"Market-State","Default x index"))))</f>
        <v/>
      </c>
      <c r="T6" s="2">
        <f>IF(ISNUMBER(MATCH(Org_Profile!$C$4&amp;"|"&amp;$A6&amp;"|opex",Org_Overrides!$H$5:$H$304,0)),"Org",IF(ISNUMBER(MATCH(Location!$C$4&amp;"|"&amp;$A6&amp;"|opex",Market_Data!$K$5:$K$304,0)),"Market-City",IF(ISNUMBER(MATCH(Location!$C$5&amp;"|"&amp;$A6&amp;"|opex",Market_Data!$K$5:$K$304,0)),"Market-County",IF(ISNUMBER(MATCH(Location!$C$6&amp;"|"&amp;$A6&amp;"|opex",Market_Data!$K$5:$K$304,0)),"Market-State","Default x index"))))</f>
        <v/>
      </c>
      <c r="U6" s="2">
        <f>IF(ISNUMBER(MATCH(Org_Profile!$C$4&amp;"|"&amp;$A6&amp;"|devmo",Org_Overrides!$H$5:$H$304,0)),"Org",IF(ISNUMBER(MATCH(Location!$C$4&amp;"|"&amp;$A6&amp;"|devmo",Market_Data!$K$5:$K$304,0)),"Market-City",IF(ISNUMBER(MATCH(Location!$C$5&amp;"|"&amp;$A6&amp;"|devmo",Market_Data!$K$5:$K$304,0)),"Market-County",IF(ISNUMBER(MATCH(Location!$C$6&amp;"|"&amp;$A6&amp;"|devmo",Market_Data!$K$5:$K$304,0)),"Market-State","Default"))))</f>
        <v/>
      </c>
      <c r="V6" s="2">
        <f>IF(ISNUMBER(MATCH(Org_Profile!$C$4&amp;"|"&amp;$A6&amp;"|margin",Org_Overrides!$H$5:$H$304,0)),"Org",IF(INDEX(Org_Profile!$C$9:$C$12,MATCH(Use_Library!$C$6,Org_Profile!$B$9:$B$12,0))&lt;&gt;"","Org engine margin","Default"))</f>
        <v/>
      </c>
      <c r="W6" s="2">
        <f>IF(ISNUMBER(MATCH(Location!$C$4&amp;"|"&amp;$A6&amp;"|lotprice",Market_Data!$K$5:$K$304,0)),"Market-City",IF(ISNUMBER(MATCH(Location!$C$5&amp;"|"&amp;$A6&amp;"|lotprice",Market_Data!$K$5:$K$304,0)),"Market-County",IF(ISNUMBER(MATCH(Location!$C$6&amp;"|"&amp;$A6&amp;"|lotprice",Market_Data!$K$5:$K$304,0)),"Market-State",IF(ISNUMBER(MATCH(Org_Profile!$C$4&amp;"|"&amp;$A6&amp;"|lotprice",Org_Overrides!$H$5:$H$304,0)),"Org","Default x index"))))</f>
        <v/>
      </c>
      <c r="X6" s="2">
        <f>IF(ISNUMBER(MATCH(Location!$C$4&amp;"|"&amp;$A6&amp;"|saleprice",Market_Data!$K$5:$K$304,0)),"Market-City",IF(ISNUMBER(MATCH(Location!$C$5&amp;"|"&amp;$A6&amp;"|saleprice",Market_Data!$K$5:$K$304,0)),"Market-County",IF(ISNUMBER(MATCH(Location!$C$6&amp;"|"&amp;$A6&amp;"|saleprice",Market_Data!$K$5:$K$304,0)),"Market-State",IF(ISNUMBER(MATCH(Org_Profile!$C$4&amp;"|"&amp;$A6&amp;"|saleprice",Org_Overrides!$H$5:$H$304,0)),"Org","Default x index"))))</f>
        <v/>
      </c>
      <c r="Y6" s="2">
        <f>IF(ISNUMBER(MATCH(Location!$C$4&amp;"|"&amp;$A6&amp;"|landac",Market_Data!$K$5:$K$304,0)),"Market-City",IF(ISNUMBER(MATCH(Location!$C$5&amp;"|"&amp;$A6&amp;"|landac",Market_Data!$K$5:$K$304,0)),"Market-County",IF(ISNUMBER(MATCH(Location!$C$6&amp;"|"&amp;$A6&amp;"|landac",Market_Data!$K$5:$K$304,0)),"Market-State",IF(ISNUMBER(MATCH(Org_Profile!$C$4&amp;"|"&amp;$A6&amp;"|landac",Org_Overrides!$H$5:$H$304,0)),"Org","Default x index"))))</f>
        <v/>
      </c>
      <c r="Z6" s="2">
        <f>IF(ISNUMBER(MATCH(Location!$C$4&amp;"|"&amp;$A6&amp;"|rent",Market_Data!$K$5:$K$304,0)),"Market-City",IF(ISNUMBER(MATCH(Location!$C$5&amp;"|"&amp;$A6&amp;"|rent",Market_Data!$K$5:$K$304,0)),"Market-County",IF(ISNUMBER(MATCH(Location!$C$6&amp;"|"&amp;$A6&amp;"|rent",Market_Data!$K$5:$K$304,0)),"Market-State",IF(ISNUMBER(MATCH(Org_Profile!$C$4&amp;"|"&amp;$A6&amp;"|rent",Org_Overrides!$H$5:$H$304,0)),"Org","Default x index"))))</f>
        <v/>
      </c>
      <c r="AA6" s="2">
        <f>IF(ISNUMBER(MATCH(Location!$C$4&amp;"|"&amp;$A6&amp;"|groundrent",Market_Data!$K$5:$K$304,0)),"Market-City",IF(ISNUMBER(MATCH(Location!$C$5&amp;"|"&amp;$A6&amp;"|groundrent",Market_Data!$K$5:$K$304,0)),"Market-County",IF(ISNUMBER(MATCH(Location!$C$6&amp;"|"&amp;$A6&amp;"|groundrent",Market_Data!$K$5:$K$304,0)),"Market-State",IF(ISNUMBER(MATCH(Org_Profile!$C$4&amp;"|"&amp;$A6&amp;"|groundrent",Org_Overrides!$H$5:$H$304,0)),"Org","Default x index"))))</f>
        <v/>
      </c>
      <c r="AB6" s="2">
        <f>IF(ISNUMBER(MATCH(Location!$C$4&amp;"|"&amp;$A6&amp;"|cap",Market_Data!$K$5:$K$304,0)),"Market-City",IF(ISNUMBER(MATCH(Location!$C$5&amp;"|"&amp;$A6&amp;"|cap",Market_Data!$K$5:$K$304,0)),"Market-County",IF(ISNUMBER(MATCH(Location!$C$6&amp;"|"&amp;$A6&amp;"|cap",Market_Data!$K$5:$K$304,0)),"Market-State",IF(ISNUMBER(MATCH(Org_Profile!$C$4&amp;"|"&amp;$A6&amp;"|cap",Org_Overrides!$H$5:$H$304,0)),"Org","Default x index"))))</f>
        <v/>
      </c>
      <c r="AC6" s="2">
        <f>IF(ISNUMBER(MATCH(Location!$C$4&amp;"|"&amp;$A6&amp;"|vac",Market_Data!$K$5:$K$304,0)),"Market-City",IF(ISNUMBER(MATCH(Location!$C$5&amp;"|"&amp;$A6&amp;"|vac",Market_Data!$K$5:$K$304,0)),"Market-County",IF(ISNUMBER(MATCH(Location!$C$6&amp;"|"&amp;$A6&amp;"|vac",Market_Data!$K$5:$K$304,0)),"Market-State",IF(ISNUMBER(MATCH(Org_Profile!$C$4&amp;"|"&amp;$A6&amp;"|vac",Org_Overrides!$H$5:$H$304,0)),"Org","Default"))))</f>
        <v/>
      </c>
      <c r="AD6" s="2">
        <f>IF(ISNUMBER(MATCH(Location!$C$4&amp;"|"&amp;$A6&amp;"|absorb",Market_Data!$K$5:$K$304,0)),"Market-City",IF(ISNUMBER(MATCH(Location!$C$5&amp;"|"&amp;$A6&amp;"|absorb",Market_Data!$K$5:$K$304,0)),"Market-County",IF(ISNUMBER(MATCH(Location!$C$6&amp;"|"&amp;$A6&amp;"|absorb",Market_Data!$K$5:$K$304,0)),"Market-State",IF(ISNUMBER(MATCH(Org_Profile!$C$4&amp;"|"&amp;$A6&amp;"|absorb",Org_Overrides!$H$5:$H$304,0)),"Org","Default"))))</f>
        <v/>
      </c>
      <c r="AE6" s="2">
        <f>IF(ISNUMBER(MATCH(Location!$C$4&amp;"|"&amp;$A6&amp;"|lotabs",Market_Data!$K$5:$K$304,0)),"Market-City",IF(ISNUMBER(MATCH(Location!$C$5&amp;"|"&amp;$A6&amp;"|lotabs",Market_Data!$K$5:$K$304,0)),"Market-County",IF(ISNUMBER(MATCH(Location!$C$6&amp;"|"&amp;$A6&amp;"|lotabs",Market_Data!$K$5:$K$304,0)),"Market-State",IF(ISNUMBER(MATCH(Org_Profile!$C$4&amp;"|"&amp;$A6&amp;"|lotabs",Org_Overrides!$H$5:$H$304,0)),"Org","Default"))))</f>
        <v/>
      </c>
      <c r="AF6" s="15">
        <f>15-COUNTIF(Q6:AE6,"Default*")</f>
        <v/>
      </c>
    </row>
    <row r="7">
      <c r="A7" s="4">
        <f>Use_Library!$A$7</f>
        <v/>
      </c>
      <c r="B7" s="20">
        <f>IFERROR((INDEX(Org_Overrides!$D$5:$D$304,MATCH(Org_Profile!$C$4&amp;"|"&amp;$A7&amp;"|vert",Org_Overrides!$H$5:$H$304,0))*Location!$C$9),IFERROR(INDEX(Market_Data!$D$5:$D$304,MATCH(Location!$C$4&amp;"|"&amp;$A7&amp;"|vert",Market_Data!$K$5:$K$304,0)),IFERROR(INDEX(Market_Data!$D$5:$D$304,MATCH(Location!$C$5&amp;"|"&amp;$A7&amp;"|vert",Market_Data!$K$5:$K$304,0)),IFERROR(INDEX(Market_Data!$D$5:$D$304,MATCH(Location!$C$6&amp;"|"&amp;$A7&amp;"|vert",Market_Data!$K$5:$K$304,0)),(Use_Library!$AF$7*Location!$C$9)))))</f>
        <v/>
      </c>
      <c r="C7" s="20">
        <f>IFERROR((INDEX(Org_Overrides!$D$5:$D$304,MATCH(Org_Profile!$C$4&amp;"|"&amp;$A7&amp;"|entitle",Org_Overrides!$H$5:$H$304,0))*Location!$C$9),IFERROR(INDEX(Market_Data!$D$5:$D$304,MATCH(Location!$C$4&amp;"|"&amp;$A7&amp;"|entitle",Market_Data!$K$5:$K$304,0)),IFERROR(INDEX(Market_Data!$D$5:$D$304,MATCH(Location!$C$5&amp;"|"&amp;$A7&amp;"|entitle",Market_Data!$K$5:$K$304,0)),IFERROR(INDEX(Market_Data!$D$5:$D$304,MATCH(Location!$C$6&amp;"|"&amp;$A7&amp;"|entitle",Market_Data!$K$5:$K$304,0)),(Use_Library!$AE$7*Location!$C$9)))))</f>
        <v/>
      </c>
      <c r="D7" s="20">
        <f>IFERROR((INDEX(Org_Overrides!$D$5:$D$304,MATCH(Org_Profile!$C$4&amp;"|"&amp;$A7&amp;"|tilc",Org_Overrides!$H$5:$H$304,0))*Location!$C$9),IFERROR(INDEX(Market_Data!$D$5:$D$304,MATCH(Location!$C$4&amp;"|"&amp;$A7&amp;"|tilc",Market_Data!$K$5:$K$304,0)),IFERROR(INDEX(Market_Data!$D$5:$D$304,MATCH(Location!$C$5&amp;"|"&amp;$A7&amp;"|tilc",Market_Data!$K$5:$K$304,0)),IFERROR(INDEX(Market_Data!$D$5:$D$304,MATCH(Location!$C$6&amp;"|"&amp;$A7&amp;"|tilc",Market_Data!$K$5:$K$304,0)),(Use_Library!$AG$7*Location!$C$9)))))</f>
        <v/>
      </c>
      <c r="E7" s="20">
        <f>IFERROR((INDEX(Org_Overrides!$D$5:$D$304,MATCH(Org_Profile!$C$4&amp;"|"&amp;$A7&amp;"|opex",Org_Overrides!$H$5:$H$304,0))*Location!$C$13),IFERROR(INDEX(Market_Data!$D$5:$D$304,MATCH(Location!$C$4&amp;"|"&amp;$A7&amp;"|opex",Market_Data!$K$5:$K$304,0)),IFERROR(INDEX(Market_Data!$D$5:$D$304,MATCH(Location!$C$5&amp;"|"&amp;$A7&amp;"|opex",Market_Data!$K$5:$K$304,0)),IFERROR(INDEX(Market_Data!$D$5:$D$304,MATCH(Location!$C$6&amp;"|"&amp;$A7&amp;"|opex",Market_Data!$K$5:$K$304,0)),(Use_Library!$AN$7*Location!$C$13)))))</f>
        <v/>
      </c>
      <c r="F7" s="9">
        <f>IFERROR(INDEX(Org_Overrides!$D$5:$D$304,MATCH(Org_Profile!$C$4&amp;"|"&amp;$A7&amp;"|devmo",Org_Overrides!$H$5:$H$304,0)),IFERROR(INDEX(Market_Data!$D$5:$D$304,MATCH(Location!$C$4&amp;"|"&amp;$A7&amp;"|devmo",Market_Data!$K$5:$K$304,0)),IFERROR(INDEX(Market_Data!$D$5:$D$304,MATCH(Location!$C$5&amp;"|"&amp;$A7&amp;"|devmo",Market_Data!$K$5:$K$304,0)),IFERROR(INDEX(Market_Data!$D$5:$D$304,MATCH(Location!$C$6&amp;"|"&amp;$A7&amp;"|devmo",Market_Data!$K$5:$K$304,0)),Use_Library!$AH$7))))</f>
        <v/>
      </c>
      <c r="G7" s="23">
        <f>IFERROR(INDEX(Org_Overrides!$D$5:$D$304,MATCH(Org_Profile!$C$4&amp;"|"&amp;$A7&amp;"|margin",Org_Overrides!$H$5:$H$304,0)),IF(INDEX(Org_Profile!$C$9:$C$12,MATCH(Use_Library!$C$7,Org_Profile!$B$9:$B$12,0))&lt;&gt;"",INDEX(Org_Profile!$C$9:$C$12,MATCH(Use_Library!$C$7,Org_Profile!$B$9:$B$12,0)),Use_Library!$AU$7))</f>
        <v/>
      </c>
      <c r="H7" s="20">
        <f>IFERROR(INDEX(Market_Data!$D$5:$D$304,MATCH(Location!$C$4&amp;"|"&amp;$A7&amp;"|lotprice",Market_Data!$K$5:$K$304,0)),IFERROR(INDEX(Market_Data!$D$5:$D$304,MATCH(Location!$C$5&amp;"|"&amp;$A7&amp;"|lotprice",Market_Data!$K$5:$K$304,0)),IFERROR(INDEX(Market_Data!$D$5:$D$304,MATCH(Location!$C$6&amp;"|"&amp;$A7&amp;"|lotprice",Market_Data!$K$5:$K$304,0)),IFERROR((INDEX(Org_Overrides!$D$5:$D$304,MATCH(Org_Profile!$C$4&amp;"|"&amp;$A7&amp;"|lotprice",Org_Overrides!$H$5:$H$304,0))*Location!$C$10),(Use_Library!$AI$7*Location!$C$10)))))</f>
        <v/>
      </c>
      <c r="I7" s="20">
        <f>IFERROR(INDEX(Market_Data!$D$5:$D$304,MATCH(Location!$C$4&amp;"|"&amp;$A7&amp;"|saleprice",Market_Data!$K$5:$K$304,0)),IFERROR(INDEX(Market_Data!$D$5:$D$304,MATCH(Location!$C$5&amp;"|"&amp;$A7&amp;"|saleprice",Market_Data!$K$5:$K$304,0)),IFERROR(INDEX(Market_Data!$D$5:$D$304,MATCH(Location!$C$6&amp;"|"&amp;$A7&amp;"|saleprice",Market_Data!$K$5:$K$304,0)),IFERROR((INDEX(Org_Overrides!$D$5:$D$304,MATCH(Org_Profile!$C$4&amp;"|"&amp;$A7&amp;"|saleprice",Org_Overrides!$H$5:$H$304,0))*Location!$C$10),(Use_Library!$AJ$7*Location!$C$10)))))</f>
        <v/>
      </c>
      <c r="J7" s="20">
        <f>IFERROR(INDEX(Market_Data!$D$5:$D$304,MATCH(Location!$C$4&amp;"|"&amp;$A7&amp;"|landac",Market_Data!$K$5:$K$304,0)),IFERROR(INDEX(Market_Data!$D$5:$D$304,MATCH(Location!$C$5&amp;"|"&amp;$A7&amp;"|landac",Market_Data!$K$5:$K$304,0)),IFERROR(INDEX(Market_Data!$D$5:$D$304,MATCH(Location!$C$6&amp;"|"&amp;$A7&amp;"|landac",Market_Data!$K$5:$K$304,0)),IFERROR((INDEX(Org_Overrides!$D$5:$D$304,MATCH(Org_Profile!$C$4&amp;"|"&amp;$A7&amp;"|landac",Org_Overrides!$H$5:$H$304,0))*Location!$C$10),(Use_Library!$AS$7*Location!$C$10)))))</f>
        <v/>
      </c>
      <c r="K7" s="20">
        <f>IFERROR(INDEX(Market_Data!$D$5:$D$304,MATCH(Location!$C$4&amp;"|"&amp;$A7&amp;"|rent",Market_Data!$K$5:$K$304,0)),IFERROR(INDEX(Market_Data!$D$5:$D$304,MATCH(Location!$C$5&amp;"|"&amp;$A7&amp;"|rent",Market_Data!$K$5:$K$304,0)),IFERROR(INDEX(Market_Data!$D$5:$D$304,MATCH(Location!$C$6&amp;"|"&amp;$A7&amp;"|rent",Market_Data!$K$5:$K$304,0)),IFERROR((INDEX(Org_Overrides!$D$5:$D$304,MATCH(Org_Profile!$C$4&amp;"|"&amp;$A7&amp;"|rent",Org_Overrides!$H$5:$H$304,0))*Location!$C$11),(Use_Library!$AK$7*Location!$C$11)))))</f>
        <v/>
      </c>
      <c r="L7" s="20">
        <f>IFERROR(INDEX(Market_Data!$D$5:$D$304,MATCH(Location!$C$4&amp;"|"&amp;$A7&amp;"|groundrent",Market_Data!$K$5:$K$304,0)),IFERROR(INDEX(Market_Data!$D$5:$D$304,MATCH(Location!$C$5&amp;"|"&amp;$A7&amp;"|groundrent",Market_Data!$K$5:$K$304,0)),IFERROR(INDEX(Market_Data!$D$5:$D$304,MATCH(Location!$C$6&amp;"|"&amp;$A7&amp;"|groundrent",Market_Data!$K$5:$K$304,0)),IFERROR((INDEX(Org_Overrides!$D$5:$D$304,MATCH(Org_Profile!$C$4&amp;"|"&amp;$A7&amp;"|groundrent",Org_Overrides!$H$5:$H$304,0))*Location!$C$11),(Use_Library!$AT$7*Location!$C$11)))))</f>
        <v/>
      </c>
      <c r="M7" s="23">
        <f>IFERROR(INDEX(Market_Data!$D$5:$D$304,MATCH(Location!$C$4&amp;"|"&amp;$A7&amp;"|cap",Market_Data!$K$5:$K$304,0)),IFERROR(INDEX(Market_Data!$D$5:$D$304,MATCH(Location!$C$5&amp;"|"&amp;$A7&amp;"|cap",Market_Data!$K$5:$K$304,0)),IFERROR(INDEX(Market_Data!$D$5:$D$304,MATCH(Location!$C$6&amp;"|"&amp;$A7&amp;"|cap",Market_Data!$K$5:$K$304,0)),IFERROR((INDEX(Org_Overrides!$D$5:$D$304,MATCH(Org_Profile!$C$4&amp;"|"&amp;$A7&amp;"|cap",Org_Overrides!$H$5:$H$304,0))+Location!$C$12),(Use_Library!$AR$7+Location!$C$12)))))</f>
        <v/>
      </c>
      <c r="N7" s="23">
        <f>IFERROR(INDEX(Market_Data!$D$5:$D$304,MATCH(Location!$C$4&amp;"|"&amp;$A7&amp;"|vac",Market_Data!$K$5:$K$304,0)),IFERROR(INDEX(Market_Data!$D$5:$D$304,MATCH(Location!$C$5&amp;"|"&amp;$A7&amp;"|vac",Market_Data!$K$5:$K$304,0)),IFERROR(INDEX(Market_Data!$D$5:$D$304,MATCH(Location!$C$6&amp;"|"&amp;$A7&amp;"|vac",Market_Data!$K$5:$K$304,0)),IFERROR(INDEX(Org_Overrides!$D$5:$D$304,MATCH(Org_Profile!$C$4&amp;"|"&amp;$A7&amp;"|vac",Org_Overrides!$H$5:$H$304,0)),Use_Library!$AM$7))))</f>
        <v/>
      </c>
      <c r="O7" s="24">
        <f>IFERROR(INDEX(Market_Data!$D$5:$D$304,MATCH(Location!$C$4&amp;"|"&amp;$A7&amp;"|absorb",Market_Data!$K$5:$K$304,0)),IFERROR(INDEX(Market_Data!$D$5:$D$304,MATCH(Location!$C$5&amp;"|"&amp;$A7&amp;"|absorb",Market_Data!$K$5:$K$304,0)),IFERROR(INDEX(Market_Data!$D$5:$D$304,MATCH(Location!$C$6&amp;"|"&amp;$A7&amp;"|absorb",Market_Data!$K$5:$K$304,0)),IFERROR(INDEX(Org_Overrides!$D$5:$D$304,MATCH(Org_Profile!$C$4&amp;"|"&amp;$A7&amp;"|absorb",Org_Overrides!$H$5:$H$304,0)),Use_Library!$R$7))))</f>
        <v/>
      </c>
      <c r="P7" s="24">
        <f>IFERROR(INDEX(Market_Data!$D$5:$D$304,MATCH(Location!$C$4&amp;"|"&amp;$A7&amp;"|lotabs",Market_Data!$K$5:$K$304,0)),IFERROR(INDEX(Market_Data!$D$5:$D$304,MATCH(Location!$C$5&amp;"|"&amp;$A7&amp;"|lotabs",Market_Data!$K$5:$K$304,0)),IFERROR(INDEX(Market_Data!$D$5:$D$304,MATCH(Location!$C$6&amp;"|"&amp;$A7&amp;"|lotabs",Market_Data!$K$5:$K$304,0)),IFERROR(INDEX(Org_Overrides!$D$5:$D$304,MATCH(Org_Profile!$C$4&amp;"|"&amp;$A7&amp;"|lotabs",Org_Overrides!$H$5:$H$304,0)),Use_Library!$S$7))))</f>
        <v/>
      </c>
      <c r="Q7" s="2">
        <f>IF(ISNUMBER(MATCH(Org_Profile!$C$4&amp;"|"&amp;$A7&amp;"|vert",Org_Overrides!$H$5:$H$304,0)),"Org",IF(ISNUMBER(MATCH(Location!$C$4&amp;"|"&amp;$A7&amp;"|vert",Market_Data!$K$5:$K$304,0)),"Market-City",IF(ISNUMBER(MATCH(Location!$C$5&amp;"|"&amp;$A7&amp;"|vert",Market_Data!$K$5:$K$304,0)),"Market-County",IF(ISNUMBER(MATCH(Location!$C$6&amp;"|"&amp;$A7&amp;"|vert",Market_Data!$K$5:$K$304,0)),"Market-State","Default x index"))))</f>
        <v/>
      </c>
      <c r="R7" s="2">
        <f>IF(ISNUMBER(MATCH(Org_Profile!$C$4&amp;"|"&amp;$A7&amp;"|entitle",Org_Overrides!$H$5:$H$304,0)),"Org",IF(ISNUMBER(MATCH(Location!$C$4&amp;"|"&amp;$A7&amp;"|entitle",Market_Data!$K$5:$K$304,0)),"Market-City",IF(ISNUMBER(MATCH(Location!$C$5&amp;"|"&amp;$A7&amp;"|entitle",Market_Data!$K$5:$K$304,0)),"Market-County",IF(ISNUMBER(MATCH(Location!$C$6&amp;"|"&amp;$A7&amp;"|entitle",Market_Data!$K$5:$K$304,0)),"Market-State","Default x index"))))</f>
        <v/>
      </c>
      <c r="S7" s="2">
        <f>IF(ISNUMBER(MATCH(Org_Profile!$C$4&amp;"|"&amp;$A7&amp;"|tilc",Org_Overrides!$H$5:$H$304,0)),"Org",IF(ISNUMBER(MATCH(Location!$C$4&amp;"|"&amp;$A7&amp;"|tilc",Market_Data!$K$5:$K$304,0)),"Market-City",IF(ISNUMBER(MATCH(Location!$C$5&amp;"|"&amp;$A7&amp;"|tilc",Market_Data!$K$5:$K$304,0)),"Market-County",IF(ISNUMBER(MATCH(Location!$C$6&amp;"|"&amp;$A7&amp;"|tilc",Market_Data!$K$5:$K$304,0)),"Market-State","Default x index"))))</f>
        <v/>
      </c>
      <c r="T7" s="2">
        <f>IF(ISNUMBER(MATCH(Org_Profile!$C$4&amp;"|"&amp;$A7&amp;"|opex",Org_Overrides!$H$5:$H$304,0)),"Org",IF(ISNUMBER(MATCH(Location!$C$4&amp;"|"&amp;$A7&amp;"|opex",Market_Data!$K$5:$K$304,0)),"Market-City",IF(ISNUMBER(MATCH(Location!$C$5&amp;"|"&amp;$A7&amp;"|opex",Market_Data!$K$5:$K$304,0)),"Market-County",IF(ISNUMBER(MATCH(Location!$C$6&amp;"|"&amp;$A7&amp;"|opex",Market_Data!$K$5:$K$304,0)),"Market-State","Default x index"))))</f>
        <v/>
      </c>
      <c r="U7" s="2">
        <f>IF(ISNUMBER(MATCH(Org_Profile!$C$4&amp;"|"&amp;$A7&amp;"|devmo",Org_Overrides!$H$5:$H$304,0)),"Org",IF(ISNUMBER(MATCH(Location!$C$4&amp;"|"&amp;$A7&amp;"|devmo",Market_Data!$K$5:$K$304,0)),"Market-City",IF(ISNUMBER(MATCH(Location!$C$5&amp;"|"&amp;$A7&amp;"|devmo",Market_Data!$K$5:$K$304,0)),"Market-County",IF(ISNUMBER(MATCH(Location!$C$6&amp;"|"&amp;$A7&amp;"|devmo",Market_Data!$K$5:$K$304,0)),"Market-State","Default"))))</f>
        <v/>
      </c>
      <c r="V7" s="2">
        <f>IF(ISNUMBER(MATCH(Org_Profile!$C$4&amp;"|"&amp;$A7&amp;"|margin",Org_Overrides!$H$5:$H$304,0)),"Org",IF(INDEX(Org_Profile!$C$9:$C$12,MATCH(Use_Library!$C$7,Org_Profile!$B$9:$B$12,0))&lt;&gt;"","Org engine margin","Default"))</f>
        <v/>
      </c>
      <c r="W7" s="2">
        <f>IF(ISNUMBER(MATCH(Location!$C$4&amp;"|"&amp;$A7&amp;"|lotprice",Market_Data!$K$5:$K$304,0)),"Market-City",IF(ISNUMBER(MATCH(Location!$C$5&amp;"|"&amp;$A7&amp;"|lotprice",Market_Data!$K$5:$K$304,0)),"Market-County",IF(ISNUMBER(MATCH(Location!$C$6&amp;"|"&amp;$A7&amp;"|lotprice",Market_Data!$K$5:$K$304,0)),"Market-State",IF(ISNUMBER(MATCH(Org_Profile!$C$4&amp;"|"&amp;$A7&amp;"|lotprice",Org_Overrides!$H$5:$H$304,0)),"Org","Default x index"))))</f>
        <v/>
      </c>
      <c r="X7" s="2">
        <f>IF(ISNUMBER(MATCH(Location!$C$4&amp;"|"&amp;$A7&amp;"|saleprice",Market_Data!$K$5:$K$304,0)),"Market-City",IF(ISNUMBER(MATCH(Location!$C$5&amp;"|"&amp;$A7&amp;"|saleprice",Market_Data!$K$5:$K$304,0)),"Market-County",IF(ISNUMBER(MATCH(Location!$C$6&amp;"|"&amp;$A7&amp;"|saleprice",Market_Data!$K$5:$K$304,0)),"Market-State",IF(ISNUMBER(MATCH(Org_Profile!$C$4&amp;"|"&amp;$A7&amp;"|saleprice",Org_Overrides!$H$5:$H$304,0)),"Org","Default x index"))))</f>
        <v/>
      </c>
      <c r="Y7" s="2">
        <f>IF(ISNUMBER(MATCH(Location!$C$4&amp;"|"&amp;$A7&amp;"|landac",Market_Data!$K$5:$K$304,0)),"Market-City",IF(ISNUMBER(MATCH(Location!$C$5&amp;"|"&amp;$A7&amp;"|landac",Market_Data!$K$5:$K$304,0)),"Market-County",IF(ISNUMBER(MATCH(Location!$C$6&amp;"|"&amp;$A7&amp;"|landac",Market_Data!$K$5:$K$304,0)),"Market-State",IF(ISNUMBER(MATCH(Org_Profile!$C$4&amp;"|"&amp;$A7&amp;"|landac",Org_Overrides!$H$5:$H$304,0)),"Org","Default x index"))))</f>
        <v/>
      </c>
      <c r="Z7" s="2">
        <f>IF(ISNUMBER(MATCH(Location!$C$4&amp;"|"&amp;$A7&amp;"|rent",Market_Data!$K$5:$K$304,0)),"Market-City",IF(ISNUMBER(MATCH(Location!$C$5&amp;"|"&amp;$A7&amp;"|rent",Market_Data!$K$5:$K$304,0)),"Market-County",IF(ISNUMBER(MATCH(Location!$C$6&amp;"|"&amp;$A7&amp;"|rent",Market_Data!$K$5:$K$304,0)),"Market-State",IF(ISNUMBER(MATCH(Org_Profile!$C$4&amp;"|"&amp;$A7&amp;"|rent",Org_Overrides!$H$5:$H$304,0)),"Org","Default x index"))))</f>
        <v/>
      </c>
      <c r="AA7" s="2">
        <f>IF(ISNUMBER(MATCH(Location!$C$4&amp;"|"&amp;$A7&amp;"|groundrent",Market_Data!$K$5:$K$304,0)),"Market-City",IF(ISNUMBER(MATCH(Location!$C$5&amp;"|"&amp;$A7&amp;"|groundrent",Market_Data!$K$5:$K$304,0)),"Market-County",IF(ISNUMBER(MATCH(Location!$C$6&amp;"|"&amp;$A7&amp;"|groundrent",Market_Data!$K$5:$K$304,0)),"Market-State",IF(ISNUMBER(MATCH(Org_Profile!$C$4&amp;"|"&amp;$A7&amp;"|groundrent",Org_Overrides!$H$5:$H$304,0)),"Org","Default x index"))))</f>
        <v/>
      </c>
      <c r="AB7" s="2">
        <f>IF(ISNUMBER(MATCH(Location!$C$4&amp;"|"&amp;$A7&amp;"|cap",Market_Data!$K$5:$K$304,0)),"Market-City",IF(ISNUMBER(MATCH(Location!$C$5&amp;"|"&amp;$A7&amp;"|cap",Market_Data!$K$5:$K$304,0)),"Market-County",IF(ISNUMBER(MATCH(Location!$C$6&amp;"|"&amp;$A7&amp;"|cap",Market_Data!$K$5:$K$304,0)),"Market-State",IF(ISNUMBER(MATCH(Org_Profile!$C$4&amp;"|"&amp;$A7&amp;"|cap",Org_Overrides!$H$5:$H$304,0)),"Org","Default x index"))))</f>
        <v/>
      </c>
      <c r="AC7" s="2">
        <f>IF(ISNUMBER(MATCH(Location!$C$4&amp;"|"&amp;$A7&amp;"|vac",Market_Data!$K$5:$K$304,0)),"Market-City",IF(ISNUMBER(MATCH(Location!$C$5&amp;"|"&amp;$A7&amp;"|vac",Market_Data!$K$5:$K$304,0)),"Market-County",IF(ISNUMBER(MATCH(Location!$C$6&amp;"|"&amp;$A7&amp;"|vac",Market_Data!$K$5:$K$304,0)),"Market-State",IF(ISNUMBER(MATCH(Org_Profile!$C$4&amp;"|"&amp;$A7&amp;"|vac",Org_Overrides!$H$5:$H$304,0)),"Org","Default"))))</f>
        <v/>
      </c>
      <c r="AD7" s="2">
        <f>IF(ISNUMBER(MATCH(Location!$C$4&amp;"|"&amp;$A7&amp;"|absorb",Market_Data!$K$5:$K$304,0)),"Market-City",IF(ISNUMBER(MATCH(Location!$C$5&amp;"|"&amp;$A7&amp;"|absorb",Market_Data!$K$5:$K$304,0)),"Market-County",IF(ISNUMBER(MATCH(Location!$C$6&amp;"|"&amp;$A7&amp;"|absorb",Market_Data!$K$5:$K$304,0)),"Market-State",IF(ISNUMBER(MATCH(Org_Profile!$C$4&amp;"|"&amp;$A7&amp;"|absorb",Org_Overrides!$H$5:$H$304,0)),"Org","Default"))))</f>
        <v/>
      </c>
      <c r="AE7" s="2">
        <f>IF(ISNUMBER(MATCH(Location!$C$4&amp;"|"&amp;$A7&amp;"|lotabs",Market_Data!$K$5:$K$304,0)),"Market-City",IF(ISNUMBER(MATCH(Location!$C$5&amp;"|"&amp;$A7&amp;"|lotabs",Market_Data!$K$5:$K$304,0)),"Market-County",IF(ISNUMBER(MATCH(Location!$C$6&amp;"|"&amp;$A7&amp;"|lotabs",Market_Data!$K$5:$K$304,0)),"Market-State",IF(ISNUMBER(MATCH(Org_Profile!$C$4&amp;"|"&amp;$A7&amp;"|lotabs",Org_Overrides!$H$5:$H$304,0)),"Org","Default"))))</f>
        <v/>
      </c>
      <c r="AF7" s="15">
        <f>15-COUNTIF(Q7:AE7,"Default*")</f>
        <v/>
      </c>
    </row>
    <row r="8">
      <c r="A8" s="4">
        <f>Use_Library!$A$8</f>
        <v/>
      </c>
      <c r="B8" s="20">
        <f>IFERROR((INDEX(Org_Overrides!$D$5:$D$304,MATCH(Org_Profile!$C$4&amp;"|"&amp;$A8&amp;"|vert",Org_Overrides!$H$5:$H$304,0))*Location!$C$9),IFERROR(INDEX(Market_Data!$D$5:$D$304,MATCH(Location!$C$4&amp;"|"&amp;$A8&amp;"|vert",Market_Data!$K$5:$K$304,0)),IFERROR(INDEX(Market_Data!$D$5:$D$304,MATCH(Location!$C$5&amp;"|"&amp;$A8&amp;"|vert",Market_Data!$K$5:$K$304,0)),IFERROR(INDEX(Market_Data!$D$5:$D$304,MATCH(Location!$C$6&amp;"|"&amp;$A8&amp;"|vert",Market_Data!$K$5:$K$304,0)),(Use_Library!$AF$8*Location!$C$9)))))</f>
        <v/>
      </c>
      <c r="C8" s="20">
        <f>IFERROR((INDEX(Org_Overrides!$D$5:$D$304,MATCH(Org_Profile!$C$4&amp;"|"&amp;$A8&amp;"|entitle",Org_Overrides!$H$5:$H$304,0))*Location!$C$9),IFERROR(INDEX(Market_Data!$D$5:$D$304,MATCH(Location!$C$4&amp;"|"&amp;$A8&amp;"|entitle",Market_Data!$K$5:$K$304,0)),IFERROR(INDEX(Market_Data!$D$5:$D$304,MATCH(Location!$C$5&amp;"|"&amp;$A8&amp;"|entitle",Market_Data!$K$5:$K$304,0)),IFERROR(INDEX(Market_Data!$D$5:$D$304,MATCH(Location!$C$6&amp;"|"&amp;$A8&amp;"|entitle",Market_Data!$K$5:$K$304,0)),(Use_Library!$AE$8*Location!$C$9)))))</f>
        <v/>
      </c>
      <c r="D8" s="20">
        <f>IFERROR((INDEX(Org_Overrides!$D$5:$D$304,MATCH(Org_Profile!$C$4&amp;"|"&amp;$A8&amp;"|tilc",Org_Overrides!$H$5:$H$304,0))*Location!$C$9),IFERROR(INDEX(Market_Data!$D$5:$D$304,MATCH(Location!$C$4&amp;"|"&amp;$A8&amp;"|tilc",Market_Data!$K$5:$K$304,0)),IFERROR(INDEX(Market_Data!$D$5:$D$304,MATCH(Location!$C$5&amp;"|"&amp;$A8&amp;"|tilc",Market_Data!$K$5:$K$304,0)),IFERROR(INDEX(Market_Data!$D$5:$D$304,MATCH(Location!$C$6&amp;"|"&amp;$A8&amp;"|tilc",Market_Data!$K$5:$K$304,0)),(Use_Library!$AG$8*Location!$C$9)))))</f>
        <v/>
      </c>
      <c r="E8" s="20">
        <f>IFERROR((INDEX(Org_Overrides!$D$5:$D$304,MATCH(Org_Profile!$C$4&amp;"|"&amp;$A8&amp;"|opex",Org_Overrides!$H$5:$H$304,0))*Location!$C$13),IFERROR(INDEX(Market_Data!$D$5:$D$304,MATCH(Location!$C$4&amp;"|"&amp;$A8&amp;"|opex",Market_Data!$K$5:$K$304,0)),IFERROR(INDEX(Market_Data!$D$5:$D$304,MATCH(Location!$C$5&amp;"|"&amp;$A8&amp;"|opex",Market_Data!$K$5:$K$304,0)),IFERROR(INDEX(Market_Data!$D$5:$D$304,MATCH(Location!$C$6&amp;"|"&amp;$A8&amp;"|opex",Market_Data!$K$5:$K$304,0)),(Use_Library!$AN$8*Location!$C$13)))))</f>
        <v/>
      </c>
      <c r="F8" s="9">
        <f>IFERROR(INDEX(Org_Overrides!$D$5:$D$304,MATCH(Org_Profile!$C$4&amp;"|"&amp;$A8&amp;"|devmo",Org_Overrides!$H$5:$H$304,0)),IFERROR(INDEX(Market_Data!$D$5:$D$304,MATCH(Location!$C$4&amp;"|"&amp;$A8&amp;"|devmo",Market_Data!$K$5:$K$304,0)),IFERROR(INDEX(Market_Data!$D$5:$D$304,MATCH(Location!$C$5&amp;"|"&amp;$A8&amp;"|devmo",Market_Data!$K$5:$K$304,0)),IFERROR(INDEX(Market_Data!$D$5:$D$304,MATCH(Location!$C$6&amp;"|"&amp;$A8&amp;"|devmo",Market_Data!$K$5:$K$304,0)),Use_Library!$AH$8))))</f>
        <v/>
      </c>
      <c r="G8" s="23">
        <f>IFERROR(INDEX(Org_Overrides!$D$5:$D$304,MATCH(Org_Profile!$C$4&amp;"|"&amp;$A8&amp;"|margin",Org_Overrides!$H$5:$H$304,0)),IF(INDEX(Org_Profile!$C$9:$C$12,MATCH(Use_Library!$C$8,Org_Profile!$B$9:$B$12,0))&lt;&gt;"",INDEX(Org_Profile!$C$9:$C$12,MATCH(Use_Library!$C$8,Org_Profile!$B$9:$B$12,0)),Use_Library!$AU$8))</f>
        <v/>
      </c>
      <c r="H8" s="20">
        <f>IFERROR(INDEX(Market_Data!$D$5:$D$304,MATCH(Location!$C$4&amp;"|"&amp;$A8&amp;"|lotprice",Market_Data!$K$5:$K$304,0)),IFERROR(INDEX(Market_Data!$D$5:$D$304,MATCH(Location!$C$5&amp;"|"&amp;$A8&amp;"|lotprice",Market_Data!$K$5:$K$304,0)),IFERROR(INDEX(Market_Data!$D$5:$D$304,MATCH(Location!$C$6&amp;"|"&amp;$A8&amp;"|lotprice",Market_Data!$K$5:$K$304,0)),IFERROR((INDEX(Org_Overrides!$D$5:$D$304,MATCH(Org_Profile!$C$4&amp;"|"&amp;$A8&amp;"|lotprice",Org_Overrides!$H$5:$H$304,0))*Location!$C$10),(Use_Library!$AI$8*Location!$C$10)))))</f>
        <v/>
      </c>
      <c r="I8" s="20">
        <f>IFERROR(INDEX(Market_Data!$D$5:$D$304,MATCH(Location!$C$4&amp;"|"&amp;$A8&amp;"|saleprice",Market_Data!$K$5:$K$304,0)),IFERROR(INDEX(Market_Data!$D$5:$D$304,MATCH(Location!$C$5&amp;"|"&amp;$A8&amp;"|saleprice",Market_Data!$K$5:$K$304,0)),IFERROR(INDEX(Market_Data!$D$5:$D$304,MATCH(Location!$C$6&amp;"|"&amp;$A8&amp;"|saleprice",Market_Data!$K$5:$K$304,0)),IFERROR((INDEX(Org_Overrides!$D$5:$D$304,MATCH(Org_Profile!$C$4&amp;"|"&amp;$A8&amp;"|saleprice",Org_Overrides!$H$5:$H$304,0))*Location!$C$10),(Use_Library!$AJ$8*Location!$C$10)))))</f>
        <v/>
      </c>
      <c r="J8" s="20">
        <f>IFERROR(INDEX(Market_Data!$D$5:$D$304,MATCH(Location!$C$4&amp;"|"&amp;$A8&amp;"|landac",Market_Data!$K$5:$K$304,0)),IFERROR(INDEX(Market_Data!$D$5:$D$304,MATCH(Location!$C$5&amp;"|"&amp;$A8&amp;"|landac",Market_Data!$K$5:$K$304,0)),IFERROR(INDEX(Market_Data!$D$5:$D$304,MATCH(Location!$C$6&amp;"|"&amp;$A8&amp;"|landac",Market_Data!$K$5:$K$304,0)),IFERROR((INDEX(Org_Overrides!$D$5:$D$304,MATCH(Org_Profile!$C$4&amp;"|"&amp;$A8&amp;"|landac",Org_Overrides!$H$5:$H$304,0))*Location!$C$10),(Use_Library!$AS$8*Location!$C$10)))))</f>
        <v/>
      </c>
      <c r="K8" s="20">
        <f>IFERROR(INDEX(Market_Data!$D$5:$D$304,MATCH(Location!$C$4&amp;"|"&amp;$A8&amp;"|rent",Market_Data!$K$5:$K$304,0)),IFERROR(INDEX(Market_Data!$D$5:$D$304,MATCH(Location!$C$5&amp;"|"&amp;$A8&amp;"|rent",Market_Data!$K$5:$K$304,0)),IFERROR(INDEX(Market_Data!$D$5:$D$304,MATCH(Location!$C$6&amp;"|"&amp;$A8&amp;"|rent",Market_Data!$K$5:$K$304,0)),IFERROR((INDEX(Org_Overrides!$D$5:$D$304,MATCH(Org_Profile!$C$4&amp;"|"&amp;$A8&amp;"|rent",Org_Overrides!$H$5:$H$304,0))*Location!$C$11),(Use_Library!$AK$8*Location!$C$11)))))</f>
        <v/>
      </c>
      <c r="L8" s="20">
        <f>IFERROR(INDEX(Market_Data!$D$5:$D$304,MATCH(Location!$C$4&amp;"|"&amp;$A8&amp;"|groundrent",Market_Data!$K$5:$K$304,0)),IFERROR(INDEX(Market_Data!$D$5:$D$304,MATCH(Location!$C$5&amp;"|"&amp;$A8&amp;"|groundrent",Market_Data!$K$5:$K$304,0)),IFERROR(INDEX(Market_Data!$D$5:$D$304,MATCH(Location!$C$6&amp;"|"&amp;$A8&amp;"|groundrent",Market_Data!$K$5:$K$304,0)),IFERROR((INDEX(Org_Overrides!$D$5:$D$304,MATCH(Org_Profile!$C$4&amp;"|"&amp;$A8&amp;"|groundrent",Org_Overrides!$H$5:$H$304,0))*Location!$C$11),(Use_Library!$AT$8*Location!$C$11)))))</f>
        <v/>
      </c>
      <c r="M8" s="23">
        <f>IFERROR(INDEX(Market_Data!$D$5:$D$304,MATCH(Location!$C$4&amp;"|"&amp;$A8&amp;"|cap",Market_Data!$K$5:$K$304,0)),IFERROR(INDEX(Market_Data!$D$5:$D$304,MATCH(Location!$C$5&amp;"|"&amp;$A8&amp;"|cap",Market_Data!$K$5:$K$304,0)),IFERROR(INDEX(Market_Data!$D$5:$D$304,MATCH(Location!$C$6&amp;"|"&amp;$A8&amp;"|cap",Market_Data!$K$5:$K$304,0)),IFERROR((INDEX(Org_Overrides!$D$5:$D$304,MATCH(Org_Profile!$C$4&amp;"|"&amp;$A8&amp;"|cap",Org_Overrides!$H$5:$H$304,0))+Location!$C$12),(Use_Library!$AR$8+Location!$C$12)))))</f>
        <v/>
      </c>
      <c r="N8" s="23">
        <f>IFERROR(INDEX(Market_Data!$D$5:$D$304,MATCH(Location!$C$4&amp;"|"&amp;$A8&amp;"|vac",Market_Data!$K$5:$K$304,0)),IFERROR(INDEX(Market_Data!$D$5:$D$304,MATCH(Location!$C$5&amp;"|"&amp;$A8&amp;"|vac",Market_Data!$K$5:$K$304,0)),IFERROR(INDEX(Market_Data!$D$5:$D$304,MATCH(Location!$C$6&amp;"|"&amp;$A8&amp;"|vac",Market_Data!$K$5:$K$304,0)),IFERROR(INDEX(Org_Overrides!$D$5:$D$304,MATCH(Org_Profile!$C$4&amp;"|"&amp;$A8&amp;"|vac",Org_Overrides!$H$5:$H$304,0)),Use_Library!$AM$8))))</f>
        <v/>
      </c>
      <c r="O8" s="24">
        <f>IFERROR(INDEX(Market_Data!$D$5:$D$304,MATCH(Location!$C$4&amp;"|"&amp;$A8&amp;"|absorb",Market_Data!$K$5:$K$304,0)),IFERROR(INDEX(Market_Data!$D$5:$D$304,MATCH(Location!$C$5&amp;"|"&amp;$A8&amp;"|absorb",Market_Data!$K$5:$K$304,0)),IFERROR(INDEX(Market_Data!$D$5:$D$304,MATCH(Location!$C$6&amp;"|"&amp;$A8&amp;"|absorb",Market_Data!$K$5:$K$304,0)),IFERROR(INDEX(Org_Overrides!$D$5:$D$304,MATCH(Org_Profile!$C$4&amp;"|"&amp;$A8&amp;"|absorb",Org_Overrides!$H$5:$H$304,0)),Use_Library!$R$8))))</f>
        <v/>
      </c>
      <c r="P8" s="24">
        <f>IFERROR(INDEX(Market_Data!$D$5:$D$304,MATCH(Location!$C$4&amp;"|"&amp;$A8&amp;"|lotabs",Market_Data!$K$5:$K$304,0)),IFERROR(INDEX(Market_Data!$D$5:$D$304,MATCH(Location!$C$5&amp;"|"&amp;$A8&amp;"|lotabs",Market_Data!$K$5:$K$304,0)),IFERROR(INDEX(Market_Data!$D$5:$D$304,MATCH(Location!$C$6&amp;"|"&amp;$A8&amp;"|lotabs",Market_Data!$K$5:$K$304,0)),IFERROR(INDEX(Org_Overrides!$D$5:$D$304,MATCH(Org_Profile!$C$4&amp;"|"&amp;$A8&amp;"|lotabs",Org_Overrides!$H$5:$H$304,0)),Use_Library!$S$8))))</f>
        <v/>
      </c>
      <c r="Q8" s="2">
        <f>IF(ISNUMBER(MATCH(Org_Profile!$C$4&amp;"|"&amp;$A8&amp;"|vert",Org_Overrides!$H$5:$H$304,0)),"Org",IF(ISNUMBER(MATCH(Location!$C$4&amp;"|"&amp;$A8&amp;"|vert",Market_Data!$K$5:$K$304,0)),"Market-City",IF(ISNUMBER(MATCH(Location!$C$5&amp;"|"&amp;$A8&amp;"|vert",Market_Data!$K$5:$K$304,0)),"Market-County",IF(ISNUMBER(MATCH(Location!$C$6&amp;"|"&amp;$A8&amp;"|vert",Market_Data!$K$5:$K$304,0)),"Market-State","Default x index"))))</f>
        <v/>
      </c>
      <c r="R8" s="2">
        <f>IF(ISNUMBER(MATCH(Org_Profile!$C$4&amp;"|"&amp;$A8&amp;"|entitle",Org_Overrides!$H$5:$H$304,0)),"Org",IF(ISNUMBER(MATCH(Location!$C$4&amp;"|"&amp;$A8&amp;"|entitle",Market_Data!$K$5:$K$304,0)),"Market-City",IF(ISNUMBER(MATCH(Location!$C$5&amp;"|"&amp;$A8&amp;"|entitle",Market_Data!$K$5:$K$304,0)),"Market-County",IF(ISNUMBER(MATCH(Location!$C$6&amp;"|"&amp;$A8&amp;"|entitle",Market_Data!$K$5:$K$304,0)),"Market-State","Default x index"))))</f>
        <v/>
      </c>
      <c r="S8" s="2">
        <f>IF(ISNUMBER(MATCH(Org_Profile!$C$4&amp;"|"&amp;$A8&amp;"|tilc",Org_Overrides!$H$5:$H$304,0)),"Org",IF(ISNUMBER(MATCH(Location!$C$4&amp;"|"&amp;$A8&amp;"|tilc",Market_Data!$K$5:$K$304,0)),"Market-City",IF(ISNUMBER(MATCH(Location!$C$5&amp;"|"&amp;$A8&amp;"|tilc",Market_Data!$K$5:$K$304,0)),"Market-County",IF(ISNUMBER(MATCH(Location!$C$6&amp;"|"&amp;$A8&amp;"|tilc",Market_Data!$K$5:$K$304,0)),"Market-State","Default x index"))))</f>
        <v/>
      </c>
      <c r="T8" s="2">
        <f>IF(ISNUMBER(MATCH(Org_Profile!$C$4&amp;"|"&amp;$A8&amp;"|opex",Org_Overrides!$H$5:$H$304,0)),"Org",IF(ISNUMBER(MATCH(Location!$C$4&amp;"|"&amp;$A8&amp;"|opex",Market_Data!$K$5:$K$304,0)),"Market-City",IF(ISNUMBER(MATCH(Location!$C$5&amp;"|"&amp;$A8&amp;"|opex",Market_Data!$K$5:$K$304,0)),"Market-County",IF(ISNUMBER(MATCH(Location!$C$6&amp;"|"&amp;$A8&amp;"|opex",Market_Data!$K$5:$K$304,0)),"Market-State","Default x index"))))</f>
        <v/>
      </c>
      <c r="U8" s="2">
        <f>IF(ISNUMBER(MATCH(Org_Profile!$C$4&amp;"|"&amp;$A8&amp;"|devmo",Org_Overrides!$H$5:$H$304,0)),"Org",IF(ISNUMBER(MATCH(Location!$C$4&amp;"|"&amp;$A8&amp;"|devmo",Market_Data!$K$5:$K$304,0)),"Market-City",IF(ISNUMBER(MATCH(Location!$C$5&amp;"|"&amp;$A8&amp;"|devmo",Market_Data!$K$5:$K$304,0)),"Market-County",IF(ISNUMBER(MATCH(Location!$C$6&amp;"|"&amp;$A8&amp;"|devmo",Market_Data!$K$5:$K$304,0)),"Market-State","Default"))))</f>
        <v/>
      </c>
      <c r="V8" s="2">
        <f>IF(ISNUMBER(MATCH(Org_Profile!$C$4&amp;"|"&amp;$A8&amp;"|margin",Org_Overrides!$H$5:$H$304,0)),"Org",IF(INDEX(Org_Profile!$C$9:$C$12,MATCH(Use_Library!$C$8,Org_Profile!$B$9:$B$12,0))&lt;&gt;"","Org engine margin","Default"))</f>
        <v/>
      </c>
      <c r="W8" s="2">
        <f>IF(ISNUMBER(MATCH(Location!$C$4&amp;"|"&amp;$A8&amp;"|lotprice",Market_Data!$K$5:$K$304,0)),"Market-City",IF(ISNUMBER(MATCH(Location!$C$5&amp;"|"&amp;$A8&amp;"|lotprice",Market_Data!$K$5:$K$304,0)),"Market-County",IF(ISNUMBER(MATCH(Location!$C$6&amp;"|"&amp;$A8&amp;"|lotprice",Market_Data!$K$5:$K$304,0)),"Market-State",IF(ISNUMBER(MATCH(Org_Profile!$C$4&amp;"|"&amp;$A8&amp;"|lotprice",Org_Overrides!$H$5:$H$304,0)),"Org","Default x index"))))</f>
        <v/>
      </c>
      <c r="X8" s="2">
        <f>IF(ISNUMBER(MATCH(Location!$C$4&amp;"|"&amp;$A8&amp;"|saleprice",Market_Data!$K$5:$K$304,0)),"Market-City",IF(ISNUMBER(MATCH(Location!$C$5&amp;"|"&amp;$A8&amp;"|saleprice",Market_Data!$K$5:$K$304,0)),"Market-County",IF(ISNUMBER(MATCH(Location!$C$6&amp;"|"&amp;$A8&amp;"|saleprice",Market_Data!$K$5:$K$304,0)),"Market-State",IF(ISNUMBER(MATCH(Org_Profile!$C$4&amp;"|"&amp;$A8&amp;"|saleprice",Org_Overrides!$H$5:$H$304,0)),"Org","Default x index"))))</f>
        <v/>
      </c>
      <c r="Y8" s="2">
        <f>IF(ISNUMBER(MATCH(Location!$C$4&amp;"|"&amp;$A8&amp;"|landac",Market_Data!$K$5:$K$304,0)),"Market-City",IF(ISNUMBER(MATCH(Location!$C$5&amp;"|"&amp;$A8&amp;"|landac",Market_Data!$K$5:$K$304,0)),"Market-County",IF(ISNUMBER(MATCH(Location!$C$6&amp;"|"&amp;$A8&amp;"|landac",Market_Data!$K$5:$K$304,0)),"Market-State",IF(ISNUMBER(MATCH(Org_Profile!$C$4&amp;"|"&amp;$A8&amp;"|landac",Org_Overrides!$H$5:$H$304,0)),"Org","Default x index"))))</f>
        <v/>
      </c>
      <c r="Z8" s="2">
        <f>IF(ISNUMBER(MATCH(Location!$C$4&amp;"|"&amp;$A8&amp;"|rent",Market_Data!$K$5:$K$304,0)),"Market-City",IF(ISNUMBER(MATCH(Location!$C$5&amp;"|"&amp;$A8&amp;"|rent",Market_Data!$K$5:$K$304,0)),"Market-County",IF(ISNUMBER(MATCH(Location!$C$6&amp;"|"&amp;$A8&amp;"|rent",Market_Data!$K$5:$K$304,0)),"Market-State",IF(ISNUMBER(MATCH(Org_Profile!$C$4&amp;"|"&amp;$A8&amp;"|rent",Org_Overrides!$H$5:$H$304,0)),"Org","Default x index"))))</f>
        <v/>
      </c>
      <c r="AA8" s="2">
        <f>IF(ISNUMBER(MATCH(Location!$C$4&amp;"|"&amp;$A8&amp;"|groundrent",Market_Data!$K$5:$K$304,0)),"Market-City",IF(ISNUMBER(MATCH(Location!$C$5&amp;"|"&amp;$A8&amp;"|groundrent",Market_Data!$K$5:$K$304,0)),"Market-County",IF(ISNUMBER(MATCH(Location!$C$6&amp;"|"&amp;$A8&amp;"|groundrent",Market_Data!$K$5:$K$304,0)),"Market-State",IF(ISNUMBER(MATCH(Org_Profile!$C$4&amp;"|"&amp;$A8&amp;"|groundrent",Org_Overrides!$H$5:$H$304,0)),"Org","Default x index"))))</f>
        <v/>
      </c>
      <c r="AB8" s="2">
        <f>IF(ISNUMBER(MATCH(Location!$C$4&amp;"|"&amp;$A8&amp;"|cap",Market_Data!$K$5:$K$304,0)),"Market-City",IF(ISNUMBER(MATCH(Location!$C$5&amp;"|"&amp;$A8&amp;"|cap",Market_Data!$K$5:$K$304,0)),"Market-County",IF(ISNUMBER(MATCH(Location!$C$6&amp;"|"&amp;$A8&amp;"|cap",Market_Data!$K$5:$K$304,0)),"Market-State",IF(ISNUMBER(MATCH(Org_Profile!$C$4&amp;"|"&amp;$A8&amp;"|cap",Org_Overrides!$H$5:$H$304,0)),"Org","Default x index"))))</f>
        <v/>
      </c>
      <c r="AC8" s="2">
        <f>IF(ISNUMBER(MATCH(Location!$C$4&amp;"|"&amp;$A8&amp;"|vac",Market_Data!$K$5:$K$304,0)),"Market-City",IF(ISNUMBER(MATCH(Location!$C$5&amp;"|"&amp;$A8&amp;"|vac",Market_Data!$K$5:$K$304,0)),"Market-County",IF(ISNUMBER(MATCH(Location!$C$6&amp;"|"&amp;$A8&amp;"|vac",Market_Data!$K$5:$K$304,0)),"Market-State",IF(ISNUMBER(MATCH(Org_Profile!$C$4&amp;"|"&amp;$A8&amp;"|vac",Org_Overrides!$H$5:$H$304,0)),"Org","Default"))))</f>
        <v/>
      </c>
      <c r="AD8" s="2">
        <f>IF(ISNUMBER(MATCH(Location!$C$4&amp;"|"&amp;$A8&amp;"|absorb",Market_Data!$K$5:$K$304,0)),"Market-City",IF(ISNUMBER(MATCH(Location!$C$5&amp;"|"&amp;$A8&amp;"|absorb",Market_Data!$K$5:$K$304,0)),"Market-County",IF(ISNUMBER(MATCH(Location!$C$6&amp;"|"&amp;$A8&amp;"|absorb",Market_Data!$K$5:$K$304,0)),"Market-State",IF(ISNUMBER(MATCH(Org_Profile!$C$4&amp;"|"&amp;$A8&amp;"|absorb",Org_Overrides!$H$5:$H$304,0)),"Org","Default"))))</f>
        <v/>
      </c>
      <c r="AE8" s="2">
        <f>IF(ISNUMBER(MATCH(Location!$C$4&amp;"|"&amp;$A8&amp;"|lotabs",Market_Data!$K$5:$K$304,0)),"Market-City",IF(ISNUMBER(MATCH(Location!$C$5&amp;"|"&amp;$A8&amp;"|lotabs",Market_Data!$K$5:$K$304,0)),"Market-County",IF(ISNUMBER(MATCH(Location!$C$6&amp;"|"&amp;$A8&amp;"|lotabs",Market_Data!$K$5:$K$304,0)),"Market-State",IF(ISNUMBER(MATCH(Org_Profile!$C$4&amp;"|"&amp;$A8&amp;"|lotabs",Org_Overrides!$H$5:$H$304,0)),"Org","Default"))))</f>
        <v/>
      </c>
      <c r="AF8" s="15">
        <f>15-COUNTIF(Q8:AE8,"Default*")</f>
        <v/>
      </c>
    </row>
    <row r="9">
      <c r="A9" s="4">
        <f>Use_Library!$A$9</f>
        <v/>
      </c>
      <c r="B9" s="20">
        <f>IFERROR((INDEX(Org_Overrides!$D$5:$D$304,MATCH(Org_Profile!$C$4&amp;"|"&amp;$A9&amp;"|vert",Org_Overrides!$H$5:$H$304,0))*Location!$C$9),IFERROR(INDEX(Market_Data!$D$5:$D$304,MATCH(Location!$C$4&amp;"|"&amp;$A9&amp;"|vert",Market_Data!$K$5:$K$304,0)),IFERROR(INDEX(Market_Data!$D$5:$D$304,MATCH(Location!$C$5&amp;"|"&amp;$A9&amp;"|vert",Market_Data!$K$5:$K$304,0)),IFERROR(INDEX(Market_Data!$D$5:$D$304,MATCH(Location!$C$6&amp;"|"&amp;$A9&amp;"|vert",Market_Data!$K$5:$K$304,0)),(Use_Library!$AF$9*Location!$C$9)))))</f>
        <v/>
      </c>
      <c r="C9" s="20">
        <f>IFERROR((INDEX(Org_Overrides!$D$5:$D$304,MATCH(Org_Profile!$C$4&amp;"|"&amp;$A9&amp;"|entitle",Org_Overrides!$H$5:$H$304,0))*Location!$C$9),IFERROR(INDEX(Market_Data!$D$5:$D$304,MATCH(Location!$C$4&amp;"|"&amp;$A9&amp;"|entitle",Market_Data!$K$5:$K$304,0)),IFERROR(INDEX(Market_Data!$D$5:$D$304,MATCH(Location!$C$5&amp;"|"&amp;$A9&amp;"|entitle",Market_Data!$K$5:$K$304,0)),IFERROR(INDEX(Market_Data!$D$5:$D$304,MATCH(Location!$C$6&amp;"|"&amp;$A9&amp;"|entitle",Market_Data!$K$5:$K$304,0)),(Use_Library!$AE$9*Location!$C$9)))))</f>
        <v/>
      </c>
      <c r="D9" s="20">
        <f>IFERROR((INDEX(Org_Overrides!$D$5:$D$304,MATCH(Org_Profile!$C$4&amp;"|"&amp;$A9&amp;"|tilc",Org_Overrides!$H$5:$H$304,0))*Location!$C$9),IFERROR(INDEX(Market_Data!$D$5:$D$304,MATCH(Location!$C$4&amp;"|"&amp;$A9&amp;"|tilc",Market_Data!$K$5:$K$304,0)),IFERROR(INDEX(Market_Data!$D$5:$D$304,MATCH(Location!$C$5&amp;"|"&amp;$A9&amp;"|tilc",Market_Data!$K$5:$K$304,0)),IFERROR(INDEX(Market_Data!$D$5:$D$304,MATCH(Location!$C$6&amp;"|"&amp;$A9&amp;"|tilc",Market_Data!$K$5:$K$304,0)),(Use_Library!$AG$9*Location!$C$9)))))</f>
        <v/>
      </c>
      <c r="E9" s="20">
        <f>IFERROR((INDEX(Org_Overrides!$D$5:$D$304,MATCH(Org_Profile!$C$4&amp;"|"&amp;$A9&amp;"|opex",Org_Overrides!$H$5:$H$304,0))*Location!$C$13),IFERROR(INDEX(Market_Data!$D$5:$D$304,MATCH(Location!$C$4&amp;"|"&amp;$A9&amp;"|opex",Market_Data!$K$5:$K$304,0)),IFERROR(INDEX(Market_Data!$D$5:$D$304,MATCH(Location!$C$5&amp;"|"&amp;$A9&amp;"|opex",Market_Data!$K$5:$K$304,0)),IFERROR(INDEX(Market_Data!$D$5:$D$304,MATCH(Location!$C$6&amp;"|"&amp;$A9&amp;"|opex",Market_Data!$K$5:$K$304,0)),(Use_Library!$AN$9*Location!$C$13)))))</f>
        <v/>
      </c>
      <c r="F9" s="9">
        <f>IFERROR(INDEX(Org_Overrides!$D$5:$D$304,MATCH(Org_Profile!$C$4&amp;"|"&amp;$A9&amp;"|devmo",Org_Overrides!$H$5:$H$304,0)),IFERROR(INDEX(Market_Data!$D$5:$D$304,MATCH(Location!$C$4&amp;"|"&amp;$A9&amp;"|devmo",Market_Data!$K$5:$K$304,0)),IFERROR(INDEX(Market_Data!$D$5:$D$304,MATCH(Location!$C$5&amp;"|"&amp;$A9&amp;"|devmo",Market_Data!$K$5:$K$304,0)),IFERROR(INDEX(Market_Data!$D$5:$D$304,MATCH(Location!$C$6&amp;"|"&amp;$A9&amp;"|devmo",Market_Data!$K$5:$K$304,0)),Use_Library!$AH$9))))</f>
        <v/>
      </c>
      <c r="G9" s="23">
        <f>IFERROR(INDEX(Org_Overrides!$D$5:$D$304,MATCH(Org_Profile!$C$4&amp;"|"&amp;$A9&amp;"|margin",Org_Overrides!$H$5:$H$304,0)),IF(INDEX(Org_Profile!$C$9:$C$12,MATCH(Use_Library!$C$9,Org_Profile!$B$9:$B$12,0))&lt;&gt;"",INDEX(Org_Profile!$C$9:$C$12,MATCH(Use_Library!$C$9,Org_Profile!$B$9:$B$12,0)),Use_Library!$AU$9))</f>
        <v/>
      </c>
      <c r="H9" s="20">
        <f>IFERROR(INDEX(Market_Data!$D$5:$D$304,MATCH(Location!$C$4&amp;"|"&amp;$A9&amp;"|lotprice",Market_Data!$K$5:$K$304,0)),IFERROR(INDEX(Market_Data!$D$5:$D$304,MATCH(Location!$C$5&amp;"|"&amp;$A9&amp;"|lotprice",Market_Data!$K$5:$K$304,0)),IFERROR(INDEX(Market_Data!$D$5:$D$304,MATCH(Location!$C$6&amp;"|"&amp;$A9&amp;"|lotprice",Market_Data!$K$5:$K$304,0)),IFERROR((INDEX(Org_Overrides!$D$5:$D$304,MATCH(Org_Profile!$C$4&amp;"|"&amp;$A9&amp;"|lotprice",Org_Overrides!$H$5:$H$304,0))*Location!$C$10),(Use_Library!$AI$9*Location!$C$10)))))</f>
        <v/>
      </c>
      <c r="I9" s="20">
        <f>IFERROR(INDEX(Market_Data!$D$5:$D$304,MATCH(Location!$C$4&amp;"|"&amp;$A9&amp;"|saleprice",Market_Data!$K$5:$K$304,0)),IFERROR(INDEX(Market_Data!$D$5:$D$304,MATCH(Location!$C$5&amp;"|"&amp;$A9&amp;"|saleprice",Market_Data!$K$5:$K$304,0)),IFERROR(INDEX(Market_Data!$D$5:$D$304,MATCH(Location!$C$6&amp;"|"&amp;$A9&amp;"|saleprice",Market_Data!$K$5:$K$304,0)),IFERROR((INDEX(Org_Overrides!$D$5:$D$304,MATCH(Org_Profile!$C$4&amp;"|"&amp;$A9&amp;"|saleprice",Org_Overrides!$H$5:$H$304,0))*Location!$C$10),(Use_Library!$AJ$9*Location!$C$10)))))</f>
        <v/>
      </c>
      <c r="J9" s="20">
        <f>IFERROR(INDEX(Market_Data!$D$5:$D$304,MATCH(Location!$C$4&amp;"|"&amp;$A9&amp;"|landac",Market_Data!$K$5:$K$304,0)),IFERROR(INDEX(Market_Data!$D$5:$D$304,MATCH(Location!$C$5&amp;"|"&amp;$A9&amp;"|landac",Market_Data!$K$5:$K$304,0)),IFERROR(INDEX(Market_Data!$D$5:$D$304,MATCH(Location!$C$6&amp;"|"&amp;$A9&amp;"|landac",Market_Data!$K$5:$K$304,0)),IFERROR((INDEX(Org_Overrides!$D$5:$D$304,MATCH(Org_Profile!$C$4&amp;"|"&amp;$A9&amp;"|landac",Org_Overrides!$H$5:$H$304,0))*Location!$C$10),(Use_Library!$AS$9*Location!$C$10)))))</f>
        <v/>
      </c>
      <c r="K9" s="20">
        <f>IFERROR(INDEX(Market_Data!$D$5:$D$304,MATCH(Location!$C$4&amp;"|"&amp;$A9&amp;"|rent",Market_Data!$K$5:$K$304,0)),IFERROR(INDEX(Market_Data!$D$5:$D$304,MATCH(Location!$C$5&amp;"|"&amp;$A9&amp;"|rent",Market_Data!$K$5:$K$304,0)),IFERROR(INDEX(Market_Data!$D$5:$D$304,MATCH(Location!$C$6&amp;"|"&amp;$A9&amp;"|rent",Market_Data!$K$5:$K$304,0)),IFERROR((INDEX(Org_Overrides!$D$5:$D$304,MATCH(Org_Profile!$C$4&amp;"|"&amp;$A9&amp;"|rent",Org_Overrides!$H$5:$H$304,0))*Location!$C$11),(Use_Library!$AK$9*Location!$C$11)))))</f>
        <v/>
      </c>
      <c r="L9" s="20">
        <f>IFERROR(INDEX(Market_Data!$D$5:$D$304,MATCH(Location!$C$4&amp;"|"&amp;$A9&amp;"|groundrent",Market_Data!$K$5:$K$304,0)),IFERROR(INDEX(Market_Data!$D$5:$D$304,MATCH(Location!$C$5&amp;"|"&amp;$A9&amp;"|groundrent",Market_Data!$K$5:$K$304,0)),IFERROR(INDEX(Market_Data!$D$5:$D$304,MATCH(Location!$C$6&amp;"|"&amp;$A9&amp;"|groundrent",Market_Data!$K$5:$K$304,0)),IFERROR((INDEX(Org_Overrides!$D$5:$D$304,MATCH(Org_Profile!$C$4&amp;"|"&amp;$A9&amp;"|groundrent",Org_Overrides!$H$5:$H$304,0))*Location!$C$11),(Use_Library!$AT$9*Location!$C$11)))))</f>
        <v/>
      </c>
      <c r="M9" s="23">
        <f>IFERROR(INDEX(Market_Data!$D$5:$D$304,MATCH(Location!$C$4&amp;"|"&amp;$A9&amp;"|cap",Market_Data!$K$5:$K$304,0)),IFERROR(INDEX(Market_Data!$D$5:$D$304,MATCH(Location!$C$5&amp;"|"&amp;$A9&amp;"|cap",Market_Data!$K$5:$K$304,0)),IFERROR(INDEX(Market_Data!$D$5:$D$304,MATCH(Location!$C$6&amp;"|"&amp;$A9&amp;"|cap",Market_Data!$K$5:$K$304,0)),IFERROR((INDEX(Org_Overrides!$D$5:$D$304,MATCH(Org_Profile!$C$4&amp;"|"&amp;$A9&amp;"|cap",Org_Overrides!$H$5:$H$304,0))+Location!$C$12),(Use_Library!$AR$9+Location!$C$12)))))</f>
        <v/>
      </c>
      <c r="N9" s="23">
        <f>IFERROR(INDEX(Market_Data!$D$5:$D$304,MATCH(Location!$C$4&amp;"|"&amp;$A9&amp;"|vac",Market_Data!$K$5:$K$304,0)),IFERROR(INDEX(Market_Data!$D$5:$D$304,MATCH(Location!$C$5&amp;"|"&amp;$A9&amp;"|vac",Market_Data!$K$5:$K$304,0)),IFERROR(INDEX(Market_Data!$D$5:$D$304,MATCH(Location!$C$6&amp;"|"&amp;$A9&amp;"|vac",Market_Data!$K$5:$K$304,0)),IFERROR(INDEX(Org_Overrides!$D$5:$D$304,MATCH(Org_Profile!$C$4&amp;"|"&amp;$A9&amp;"|vac",Org_Overrides!$H$5:$H$304,0)),Use_Library!$AM$9))))</f>
        <v/>
      </c>
      <c r="O9" s="24">
        <f>IFERROR(INDEX(Market_Data!$D$5:$D$304,MATCH(Location!$C$4&amp;"|"&amp;$A9&amp;"|absorb",Market_Data!$K$5:$K$304,0)),IFERROR(INDEX(Market_Data!$D$5:$D$304,MATCH(Location!$C$5&amp;"|"&amp;$A9&amp;"|absorb",Market_Data!$K$5:$K$304,0)),IFERROR(INDEX(Market_Data!$D$5:$D$304,MATCH(Location!$C$6&amp;"|"&amp;$A9&amp;"|absorb",Market_Data!$K$5:$K$304,0)),IFERROR(INDEX(Org_Overrides!$D$5:$D$304,MATCH(Org_Profile!$C$4&amp;"|"&amp;$A9&amp;"|absorb",Org_Overrides!$H$5:$H$304,0)),Use_Library!$R$9))))</f>
        <v/>
      </c>
      <c r="P9" s="24">
        <f>IFERROR(INDEX(Market_Data!$D$5:$D$304,MATCH(Location!$C$4&amp;"|"&amp;$A9&amp;"|lotabs",Market_Data!$K$5:$K$304,0)),IFERROR(INDEX(Market_Data!$D$5:$D$304,MATCH(Location!$C$5&amp;"|"&amp;$A9&amp;"|lotabs",Market_Data!$K$5:$K$304,0)),IFERROR(INDEX(Market_Data!$D$5:$D$304,MATCH(Location!$C$6&amp;"|"&amp;$A9&amp;"|lotabs",Market_Data!$K$5:$K$304,0)),IFERROR(INDEX(Org_Overrides!$D$5:$D$304,MATCH(Org_Profile!$C$4&amp;"|"&amp;$A9&amp;"|lotabs",Org_Overrides!$H$5:$H$304,0)),Use_Library!$S$9))))</f>
        <v/>
      </c>
      <c r="Q9" s="2">
        <f>IF(ISNUMBER(MATCH(Org_Profile!$C$4&amp;"|"&amp;$A9&amp;"|vert",Org_Overrides!$H$5:$H$304,0)),"Org",IF(ISNUMBER(MATCH(Location!$C$4&amp;"|"&amp;$A9&amp;"|vert",Market_Data!$K$5:$K$304,0)),"Market-City",IF(ISNUMBER(MATCH(Location!$C$5&amp;"|"&amp;$A9&amp;"|vert",Market_Data!$K$5:$K$304,0)),"Market-County",IF(ISNUMBER(MATCH(Location!$C$6&amp;"|"&amp;$A9&amp;"|vert",Market_Data!$K$5:$K$304,0)),"Market-State","Default x index"))))</f>
        <v/>
      </c>
      <c r="R9" s="2">
        <f>IF(ISNUMBER(MATCH(Org_Profile!$C$4&amp;"|"&amp;$A9&amp;"|entitle",Org_Overrides!$H$5:$H$304,0)),"Org",IF(ISNUMBER(MATCH(Location!$C$4&amp;"|"&amp;$A9&amp;"|entitle",Market_Data!$K$5:$K$304,0)),"Market-City",IF(ISNUMBER(MATCH(Location!$C$5&amp;"|"&amp;$A9&amp;"|entitle",Market_Data!$K$5:$K$304,0)),"Market-County",IF(ISNUMBER(MATCH(Location!$C$6&amp;"|"&amp;$A9&amp;"|entitle",Market_Data!$K$5:$K$304,0)),"Market-State","Default x index"))))</f>
        <v/>
      </c>
      <c r="S9" s="2">
        <f>IF(ISNUMBER(MATCH(Org_Profile!$C$4&amp;"|"&amp;$A9&amp;"|tilc",Org_Overrides!$H$5:$H$304,0)),"Org",IF(ISNUMBER(MATCH(Location!$C$4&amp;"|"&amp;$A9&amp;"|tilc",Market_Data!$K$5:$K$304,0)),"Market-City",IF(ISNUMBER(MATCH(Location!$C$5&amp;"|"&amp;$A9&amp;"|tilc",Market_Data!$K$5:$K$304,0)),"Market-County",IF(ISNUMBER(MATCH(Location!$C$6&amp;"|"&amp;$A9&amp;"|tilc",Market_Data!$K$5:$K$304,0)),"Market-State","Default x index"))))</f>
        <v/>
      </c>
      <c r="T9" s="2">
        <f>IF(ISNUMBER(MATCH(Org_Profile!$C$4&amp;"|"&amp;$A9&amp;"|opex",Org_Overrides!$H$5:$H$304,0)),"Org",IF(ISNUMBER(MATCH(Location!$C$4&amp;"|"&amp;$A9&amp;"|opex",Market_Data!$K$5:$K$304,0)),"Market-City",IF(ISNUMBER(MATCH(Location!$C$5&amp;"|"&amp;$A9&amp;"|opex",Market_Data!$K$5:$K$304,0)),"Market-County",IF(ISNUMBER(MATCH(Location!$C$6&amp;"|"&amp;$A9&amp;"|opex",Market_Data!$K$5:$K$304,0)),"Market-State","Default x index"))))</f>
        <v/>
      </c>
      <c r="U9" s="2">
        <f>IF(ISNUMBER(MATCH(Org_Profile!$C$4&amp;"|"&amp;$A9&amp;"|devmo",Org_Overrides!$H$5:$H$304,0)),"Org",IF(ISNUMBER(MATCH(Location!$C$4&amp;"|"&amp;$A9&amp;"|devmo",Market_Data!$K$5:$K$304,0)),"Market-City",IF(ISNUMBER(MATCH(Location!$C$5&amp;"|"&amp;$A9&amp;"|devmo",Market_Data!$K$5:$K$304,0)),"Market-County",IF(ISNUMBER(MATCH(Location!$C$6&amp;"|"&amp;$A9&amp;"|devmo",Market_Data!$K$5:$K$304,0)),"Market-State","Default"))))</f>
        <v/>
      </c>
      <c r="V9" s="2">
        <f>IF(ISNUMBER(MATCH(Org_Profile!$C$4&amp;"|"&amp;$A9&amp;"|margin",Org_Overrides!$H$5:$H$304,0)),"Org",IF(INDEX(Org_Profile!$C$9:$C$12,MATCH(Use_Library!$C$9,Org_Profile!$B$9:$B$12,0))&lt;&gt;"","Org engine margin","Default"))</f>
        <v/>
      </c>
      <c r="W9" s="2">
        <f>IF(ISNUMBER(MATCH(Location!$C$4&amp;"|"&amp;$A9&amp;"|lotprice",Market_Data!$K$5:$K$304,0)),"Market-City",IF(ISNUMBER(MATCH(Location!$C$5&amp;"|"&amp;$A9&amp;"|lotprice",Market_Data!$K$5:$K$304,0)),"Market-County",IF(ISNUMBER(MATCH(Location!$C$6&amp;"|"&amp;$A9&amp;"|lotprice",Market_Data!$K$5:$K$304,0)),"Market-State",IF(ISNUMBER(MATCH(Org_Profile!$C$4&amp;"|"&amp;$A9&amp;"|lotprice",Org_Overrides!$H$5:$H$304,0)),"Org","Default x index"))))</f>
        <v/>
      </c>
      <c r="X9" s="2">
        <f>IF(ISNUMBER(MATCH(Location!$C$4&amp;"|"&amp;$A9&amp;"|saleprice",Market_Data!$K$5:$K$304,0)),"Market-City",IF(ISNUMBER(MATCH(Location!$C$5&amp;"|"&amp;$A9&amp;"|saleprice",Market_Data!$K$5:$K$304,0)),"Market-County",IF(ISNUMBER(MATCH(Location!$C$6&amp;"|"&amp;$A9&amp;"|saleprice",Market_Data!$K$5:$K$304,0)),"Market-State",IF(ISNUMBER(MATCH(Org_Profile!$C$4&amp;"|"&amp;$A9&amp;"|saleprice",Org_Overrides!$H$5:$H$304,0)),"Org","Default x index"))))</f>
        <v/>
      </c>
      <c r="Y9" s="2">
        <f>IF(ISNUMBER(MATCH(Location!$C$4&amp;"|"&amp;$A9&amp;"|landac",Market_Data!$K$5:$K$304,0)),"Market-City",IF(ISNUMBER(MATCH(Location!$C$5&amp;"|"&amp;$A9&amp;"|landac",Market_Data!$K$5:$K$304,0)),"Market-County",IF(ISNUMBER(MATCH(Location!$C$6&amp;"|"&amp;$A9&amp;"|landac",Market_Data!$K$5:$K$304,0)),"Market-State",IF(ISNUMBER(MATCH(Org_Profile!$C$4&amp;"|"&amp;$A9&amp;"|landac",Org_Overrides!$H$5:$H$304,0)),"Org","Default x index"))))</f>
        <v/>
      </c>
      <c r="Z9" s="2">
        <f>IF(ISNUMBER(MATCH(Location!$C$4&amp;"|"&amp;$A9&amp;"|rent",Market_Data!$K$5:$K$304,0)),"Market-City",IF(ISNUMBER(MATCH(Location!$C$5&amp;"|"&amp;$A9&amp;"|rent",Market_Data!$K$5:$K$304,0)),"Market-County",IF(ISNUMBER(MATCH(Location!$C$6&amp;"|"&amp;$A9&amp;"|rent",Market_Data!$K$5:$K$304,0)),"Market-State",IF(ISNUMBER(MATCH(Org_Profile!$C$4&amp;"|"&amp;$A9&amp;"|rent",Org_Overrides!$H$5:$H$304,0)),"Org","Default x index"))))</f>
        <v/>
      </c>
      <c r="AA9" s="2">
        <f>IF(ISNUMBER(MATCH(Location!$C$4&amp;"|"&amp;$A9&amp;"|groundrent",Market_Data!$K$5:$K$304,0)),"Market-City",IF(ISNUMBER(MATCH(Location!$C$5&amp;"|"&amp;$A9&amp;"|groundrent",Market_Data!$K$5:$K$304,0)),"Market-County",IF(ISNUMBER(MATCH(Location!$C$6&amp;"|"&amp;$A9&amp;"|groundrent",Market_Data!$K$5:$K$304,0)),"Market-State",IF(ISNUMBER(MATCH(Org_Profile!$C$4&amp;"|"&amp;$A9&amp;"|groundrent",Org_Overrides!$H$5:$H$304,0)),"Org","Default x index"))))</f>
        <v/>
      </c>
      <c r="AB9" s="2">
        <f>IF(ISNUMBER(MATCH(Location!$C$4&amp;"|"&amp;$A9&amp;"|cap",Market_Data!$K$5:$K$304,0)),"Market-City",IF(ISNUMBER(MATCH(Location!$C$5&amp;"|"&amp;$A9&amp;"|cap",Market_Data!$K$5:$K$304,0)),"Market-County",IF(ISNUMBER(MATCH(Location!$C$6&amp;"|"&amp;$A9&amp;"|cap",Market_Data!$K$5:$K$304,0)),"Market-State",IF(ISNUMBER(MATCH(Org_Profile!$C$4&amp;"|"&amp;$A9&amp;"|cap",Org_Overrides!$H$5:$H$304,0)),"Org","Default x index"))))</f>
        <v/>
      </c>
      <c r="AC9" s="2">
        <f>IF(ISNUMBER(MATCH(Location!$C$4&amp;"|"&amp;$A9&amp;"|vac",Market_Data!$K$5:$K$304,0)),"Market-City",IF(ISNUMBER(MATCH(Location!$C$5&amp;"|"&amp;$A9&amp;"|vac",Market_Data!$K$5:$K$304,0)),"Market-County",IF(ISNUMBER(MATCH(Location!$C$6&amp;"|"&amp;$A9&amp;"|vac",Market_Data!$K$5:$K$304,0)),"Market-State",IF(ISNUMBER(MATCH(Org_Profile!$C$4&amp;"|"&amp;$A9&amp;"|vac",Org_Overrides!$H$5:$H$304,0)),"Org","Default"))))</f>
        <v/>
      </c>
      <c r="AD9" s="2">
        <f>IF(ISNUMBER(MATCH(Location!$C$4&amp;"|"&amp;$A9&amp;"|absorb",Market_Data!$K$5:$K$304,0)),"Market-City",IF(ISNUMBER(MATCH(Location!$C$5&amp;"|"&amp;$A9&amp;"|absorb",Market_Data!$K$5:$K$304,0)),"Market-County",IF(ISNUMBER(MATCH(Location!$C$6&amp;"|"&amp;$A9&amp;"|absorb",Market_Data!$K$5:$K$304,0)),"Market-State",IF(ISNUMBER(MATCH(Org_Profile!$C$4&amp;"|"&amp;$A9&amp;"|absorb",Org_Overrides!$H$5:$H$304,0)),"Org","Default"))))</f>
        <v/>
      </c>
      <c r="AE9" s="2">
        <f>IF(ISNUMBER(MATCH(Location!$C$4&amp;"|"&amp;$A9&amp;"|lotabs",Market_Data!$K$5:$K$304,0)),"Market-City",IF(ISNUMBER(MATCH(Location!$C$5&amp;"|"&amp;$A9&amp;"|lotabs",Market_Data!$K$5:$K$304,0)),"Market-County",IF(ISNUMBER(MATCH(Location!$C$6&amp;"|"&amp;$A9&amp;"|lotabs",Market_Data!$K$5:$K$304,0)),"Market-State",IF(ISNUMBER(MATCH(Org_Profile!$C$4&amp;"|"&amp;$A9&amp;"|lotabs",Org_Overrides!$H$5:$H$304,0)),"Org","Default"))))</f>
        <v/>
      </c>
      <c r="AF9" s="15">
        <f>15-COUNTIF(Q9:AE9,"Default*")</f>
        <v/>
      </c>
    </row>
    <row r="10">
      <c r="A10" s="4">
        <f>Use_Library!$A$10</f>
        <v/>
      </c>
      <c r="B10" s="20">
        <f>IFERROR((INDEX(Org_Overrides!$D$5:$D$304,MATCH(Org_Profile!$C$4&amp;"|"&amp;$A10&amp;"|vert",Org_Overrides!$H$5:$H$304,0))*Location!$C$9),IFERROR(INDEX(Market_Data!$D$5:$D$304,MATCH(Location!$C$4&amp;"|"&amp;$A10&amp;"|vert",Market_Data!$K$5:$K$304,0)),IFERROR(INDEX(Market_Data!$D$5:$D$304,MATCH(Location!$C$5&amp;"|"&amp;$A10&amp;"|vert",Market_Data!$K$5:$K$304,0)),IFERROR(INDEX(Market_Data!$D$5:$D$304,MATCH(Location!$C$6&amp;"|"&amp;$A10&amp;"|vert",Market_Data!$K$5:$K$304,0)),(Use_Library!$AF$10*Location!$C$9)))))</f>
        <v/>
      </c>
      <c r="C10" s="20">
        <f>IFERROR((INDEX(Org_Overrides!$D$5:$D$304,MATCH(Org_Profile!$C$4&amp;"|"&amp;$A10&amp;"|entitle",Org_Overrides!$H$5:$H$304,0))*Location!$C$9),IFERROR(INDEX(Market_Data!$D$5:$D$304,MATCH(Location!$C$4&amp;"|"&amp;$A10&amp;"|entitle",Market_Data!$K$5:$K$304,0)),IFERROR(INDEX(Market_Data!$D$5:$D$304,MATCH(Location!$C$5&amp;"|"&amp;$A10&amp;"|entitle",Market_Data!$K$5:$K$304,0)),IFERROR(INDEX(Market_Data!$D$5:$D$304,MATCH(Location!$C$6&amp;"|"&amp;$A10&amp;"|entitle",Market_Data!$K$5:$K$304,0)),(Use_Library!$AE$10*Location!$C$9)))))</f>
        <v/>
      </c>
      <c r="D10" s="20">
        <f>IFERROR((INDEX(Org_Overrides!$D$5:$D$304,MATCH(Org_Profile!$C$4&amp;"|"&amp;$A10&amp;"|tilc",Org_Overrides!$H$5:$H$304,0))*Location!$C$9),IFERROR(INDEX(Market_Data!$D$5:$D$304,MATCH(Location!$C$4&amp;"|"&amp;$A10&amp;"|tilc",Market_Data!$K$5:$K$304,0)),IFERROR(INDEX(Market_Data!$D$5:$D$304,MATCH(Location!$C$5&amp;"|"&amp;$A10&amp;"|tilc",Market_Data!$K$5:$K$304,0)),IFERROR(INDEX(Market_Data!$D$5:$D$304,MATCH(Location!$C$6&amp;"|"&amp;$A10&amp;"|tilc",Market_Data!$K$5:$K$304,0)),(Use_Library!$AG$10*Location!$C$9)))))</f>
        <v/>
      </c>
      <c r="E10" s="20">
        <f>IFERROR((INDEX(Org_Overrides!$D$5:$D$304,MATCH(Org_Profile!$C$4&amp;"|"&amp;$A10&amp;"|opex",Org_Overrides!$H$5:$H$304,0))*Location!$C$13),IFERROR(INDEX(Market_Data!$D$5:$D$304,MATCH(Location!$C$4&amp;"|"&amp;$A10&amp;"|opex",Market_Data!$K$5:$K$304,0)),IFERROR(INDEX(Market_Data!$D$5:$D$304,MATCH(Location!$C$5&amp;"|"&amp;$A10&amp;"|opex",Market_Data!$K$5:$K$304,0)),IFERROR(INDEX(Market_Data!$D$5:$D$304,MATCH(Location!$C$6&amp;"|"&amp;$A10&amp;"|opex",Market_Data!$K$5:$K$304,0)),(Use_Library!$AN$10*Location!$C$13)))))</f>
        <v/>
      </c>
      <c r="F10" s="9">
        <f>IFERROR(INDEX(Org_Overrides!$D$5:$D$304,MATCH(Org_Profile!$C$4&amp;"|"&amp;$A10&amp;"|devmo",Org_Overrides!$H$5:$H$304,0)),IFERROR(INDEX(Market_Data!$D$5:$D$304,MATCH(Location!$C$4&amp;"|"&amp;$A10&amp;"|devmo",Market_Data!$K$5:$K$304,0)),IFERROR(INDEX(Market_Data!$D$5:$D$304,MATCH(Location!$C$5&amp;"|"&amp;$A10&amp;"|devmo",Market_Data!$K$5:$K$304,0)),IFERROR(INDEX(Market_Data!$D$5:$D$304,MATCH(Location!$C$6&amp;"|"&amp;$A10&amp;"|devmo",Market_Data!$K$5:$K$304,0)),Use_Library!$AH$10))))</f>
        <v/>
      </c>
      <c r="G10" s="23">
        <f>IFERROR(INDEX(Org_Overrides!$D$5:$D$304,MATCH(Org_Profile!$C$4&amp;"|"&amp;$A10&amp;"|margin",Org_Overrides!$H$5:$H$304,0)),IF(INDEX(Org_Profile!$C$9:$C$12,MATCH(Use_Library!$C$10,Org_Profile!$B$9:$B$12,0))&lt;&gt;"",INDEX(Org_Profile!$C$9:$C$12,MATCH(Use_Library!$C$10,Org_Profile!$B$9:$B$12,0)),Use_Library!$AU$10))</f>
        <v/>
      </c>
      <c r="H10" s="20">
        <f>IFERROR(INDEX(Market_Data!$D$5:$D$304,MATCH(Location!$C$4&amp;"|"&amp;$A10&amp;"|lotprice",Market_Data!$K$5:$K$304,0)),IFERROR(INDEX(Market_Data!$D$5:$D$304,MATCH(Location!$C$5&amp;"|"&amp;$A10&amp;"|lotprice",Market_Data!$K$5:$K$304,0)),IFERROR(INDEX(Market_Data!$D$5:$D$304,MATCH(Location!$C$6&amp;"|"&amp;$A10&amp;"|lotprice",Market_Data!$K$5:$K$304,0)),IFERROR((INDEX(Org_Overrides!$D$5:$D$304,MATCH(Org_Profile!$C$4&amp;"|"&amp;$A10&amp;"|lotprice",Org_Overrides!$H$5:$H$304,0))*Location!$C$10),(Use_Library!$AI$10*Location!$C$10)))))</f>
        <v/>
      </c>
      <c r="I10" s="20">
        <f>IFERROR(INDEX(Market_Data!$D$5:$D$304,MATCH(Location!$C$4&amp;"|"&amp;$A10&amp;"|saleprice",Market_Data!$K$5:$K$304,0)),IFERROR(INDEX(Market_Data!$D$5:$D$304,MATCH(Location!$C$5&amp;"|"&amp;$A10&amp;"|saleprice",Market_Data!$K$5:$K$304,0)),IFERROR(INDEX(Market_Data!$D$5:$D$304,MATCH(Location!$C$6&amp;"|"&amp;$A10&amp;"|saleprice",Market_Data!$K$5:$K$304,0)),IFERROR((INDEX(Org_Overrides!$D$5:$D$304,MATCH(Org_Profile!$C$4&amp;"|"&amp;$A10&amp;"|saleprice",Org_Overrides!$H$5:$H$304,0))*Location!$C$10),(Use_Library!$AJ$10*Location!$C$10)))))</f>
        <v/>
      </c>
      <c r="J10" s="20">
        <f>IFERROR(INDEX(Market_Data!$D$5:$D$304,MATCH(Location!$C$4&amp;"|"&amp;$A10&amp;"|landac",Market_Data!$K$5:$K$304,0)),IFERROR(INDEX(Market_Data!$D$5:$D$304,MATCH(Location!$C$5&amp;"|"&amp;$A10&amp;"|landac",Market_Data!$K$5:$K$304,0)),IFERROR(INDEX(Market_Data!$D$5:$D$304,MATCH(Location!$C$6&amp;"|"&amp;$A10&amp;"|landac",Market_Data!$K$5:$K$304,0)),IFERROR((INDEX(Org_Overrides!$D$5:$D$304,MATCH(Org_Profile!$C$4&amp;"|"&amp;$A10&amp;"|landac",Org_Overrides!$H$5:$H$304,0))*Location!$C$10),(Use_Library!$AS$10*Location!$C$10)))))</f>
        <v/>
      </c>
      <c r="K10" s="20">
        <f>IFERROR(INDEX(Market_Data!$D$5:$D$304,MATCH(Location!$C$4&amp;"|"&amp;$A10&amp;"|rent",Market_Data!$K$5:$K$304,0)),IFERROR(INDEX(Market_Data!$D$5:$D$304,MATCH(Location!$C$5&amp;"|"&amp;$A10&amp;"|rent",Market_Data!$K$5:$K$304,0)),IFERROR(INDEX(Market_Data!$D$5:$D$304,MATCH(Location!$C$6&amp;"|"&amp;$A10&amp;"|rent",Market_Data!$K$5:$K$304,0)),IFERROR((INDEX(Org_Overrides!$D$5:$D$304,MATCH(Org_Profile!$C$4&amp;"|"&amp;$A10&amp;"|rent",Org_Overrides!$H$5:$H$304,0))*Location!$C$11),(Use_Library!$AK$10*Location!$C$11)))))</f>
        <v/>
      </c>
      <c r="L10" s="20">
        <f>IFERROR(INDEX(Market_Data!$D$5:$D$304,MATCH(Location!$C$4&amp;"|"&amp;$A10&amp;"|groundrent",Market_Data!$K$5:$K$304,0)),IFERROR(INDEX(Market_Data!$D$5:$D$304,MATCH(Location!$C$5&amp;"|"&amp;$A10&amp;"|groundrent",Market_Data!$K$5:$K$304,0)),IFERROR(INDEX(Market_Data!$D$5:$D$304,MATCH(Location!$C$6&amp;"|"&amp;$A10&amp;"|groundrent",Market_Data!$K$5:$K$304,0)),IFERROR((INDEX(Org_Overrides!$D$5:$D$304,MATCH(Org_Profile!$C$4&amp;"|"&amp;$A10&amp;"|groundrent",Org_Overrides!$H$5:$H$304,0))*Location!$C$11),(Use_Library!$AT$10*Location!$C$11)))))</f>
        <v/>
      </c>
      <c r="M10" s="23">
        <f>IFERROR(INDEX(Market_Data!$D$5:$D$304,MATCH(Location!$C$4&amp;"|"&amp;$A10&amp;"|cap",Market_Data!$K$5:$K$304,0)),IFERROR(INDEX(Market_Data!$D$5:$D$304,MATCH(Location!$C$5&amp;"|"&amp;$A10&amp;"|cap",Market_Data!$K$5:$K$304,0)),IFERROR(INDEX(Market_Data!$D$5:$D$304,MATCH(Location!$C$6&amp;"|"&amp;$A10&amp;"|cap",Market_Data!$K$5:$K$304,0)),IFERROR((INDEX(Org_Overrides!$D$5:$D$304,MATCH(Org_Profile!$C$4&amp;"|"&amp;$A10&amp;"|cap",Org_Overrides!$H$5:$H$304,0))+Location!$C$12),(Use_Library!$AR$10+Location!$C$12)))))</f>
        <v/>
      </c>
      <c r="N10" s="23">
        <f>IFERROR(INDEX(Market_Data!$D$5:$D$304,MATCH(Location!$C$4&amp;"|"&amp;$A10&amp;"|vac",Market_Data!$K$5:$K$304,0)),IFERROR(INDEX(Market_Data!$D$5:$D$304,MATCH(Location!$C$5&amp;"|"&amp;$A10&amp;"|vac",Market_Data!$K$5:$K$304,0)),IFERROR(INDEX(Market_Data!$D$5:$D$304,MATCH(Location!$C$6&amp;"|"&amp;$A10&amp;"|vac",Market_Data!$K$5:$K$304,0)),IFERROR(INDEX(Org_Overrides!$D$5:$D$304,MATCH(Org_Profile!$C$4&amp;"|"&amp;$A10&amp;"|vac",Org_Overrides!$H$5:$H$304,0)),Use_Library!$AM$10))))</f>
        <v/>
      </c>
      <c r="O10" s="24">
        <f>IFERROR(INDEX(Market_Data!$D$5:$D$304,MATCH(Location!$C$4&amp;"|"&amp;$A10&amp;"|absorb",Market_Data!$K$5:$K$304,0)),IFERROR(INDEX(Market_Data!$D$5:$D$304,MATCH(Location!$C$5&amp;"|"&amp;$A10&amp;"|absorb",Market_Data!$K$5:$K$304,0)),IFERROR(INDEX(Market_Data!$D$5:$D$304,MATCH(Location!$C$6&amp;"|"&amp;$A10&amp;"|absorb",Market_Data!$K$5:$K$304,0)),IFERROR(INDEX(Org_Overrides!$D$5:$D$304,MATCH(Org_Profile!$C$4&amp;"|"&amp;$A10&amp;"|absorb",Org_Overrides!$H$5:$H$304,0)),Use_Library!$R$10))))</f>
        <v/>
      </c>
      <c r="P10" s="24">
        <f>IFERROR(INDEX(Market_Data!$D$5:$D$304,MATCH(Location!$C$4&amp;"|"&amp;$A10&amp;"|lotabs",Market_Data!$K$5:$K$304,0)),IFERROR(INDEX(Market_Data!$D$5:$D$304,MATCH(Location!$C$5&amp;"|"&amp;$A10&amp;"|lotabs",Market_Data!$K$5:$K$304,0)),IFERROR(INDEX(Market_Data!$D$5:$D$304,MATCH(Location!$C$6&amp;"|"&amp;$A10&amp;"|lotabs",Market_Data!$K$5:$K$304,0)),IFERROR(INDEX(Org_Overrides!$D$5:$D$304,MATCH(Org_Profile!$C$4&amp;"|"&amp;$A10&amp;"|lotabs",Org_Overrides!$H$5:$H$304,0)),Use_Library!$S$10))))</f>
        <v/>
      </c>
      <c r="Q10" s="2">
        <f>IF(ISNUMBER(MATCH(Org_Profile!$C$4&amp;"|"&amp;$A10&amp;"|vert",Org_Overrides!$H$5:$H$304,0)),"Org",IF(ISNUMBER(MATCH(Location!$C$4&amp;"|"&amp;$A10&amp;"|vert",Market_Data!$K$5:$K$304,0)),"Market-City",IF(ISNUMBER(MATCH(Location!$C$5&amp;"|"&amp;$A10&amp;"|vert",Market_Data!$K$5:$K$304,0)),"Market-County",IF(ISNUMBER(MATCH(Location!$C$6&amp;"|"&amp;$A10&amp;"|vert",Market_Data!$K$5:$K$304,0)),"Market-State","Default x index"))))</f>
        <v/>
      </c>
      <c r="R10" s="2">
        <f>IF(ISNUMBER(MATCH(Org_Profile!$C$4&amp;"|"&amp;$A10&amp;"|entitle",Org_Overrides!$H$5:$H$304,0)),"Org",IF(ISNUMBER(MATCH(Location!$C$4&amp;"|"&amp;$A10&amp;"|entitle",Market_Data!$K$5:$K$304,0)),"Market-City",IF(ISNUMBER(MATCH(Location!$C$5&amp;"|"&amp;$A10&amp;"|entitle",Market_Data!$K$5:$K$304,0)),"Market-County",IF(ISNUMBER(MATCH(Location!$C$6&amp;"|"&amp;$A10&amp;"|entitle",Market_Data!$K$5:$K$304,0)),"Market-State","Default x index"))))</f>
        <v/>
      </c>
      <c r="S10" s="2">
        <f>IF(ISNUMBER(MATCH(Org_Profile!$C$4&amp;"|"&amp;$A10&amp;"|tilc",Org_Overrides!$H$5:$H$304,0)),"Org",IF(ISNUMBER(MATCH(Location!$C$4&amp;"|"&amp;$A10&amp;"|tilc",Market_Data!$K$5:$K$304,0)),"Market-City",IF(ISNUMBER(MATCH(Location!$C$5&amp;"|"&amp;$A10&amp;"|tilc",Market_Data!$K$5:$K$304,0)),"Market-County",IF(ISNUMBER(MATCH(Location!$C$6&amp;"|"&amp;$A10&amp;"|tilc",Market_Data!$K$5:$K$304,0)),"Market-State","Default x index"))))</f>
        <v/>
      </c>
      <c r="T10" s="2">
        <f>IF(ISNUMBER(MATCH(Org_Profile!$C$4&amp;"|"&amp;$A10&amp;"|opex",Org_Overrides!$H$5:$H$304,0)),"Org",IF(ISNUMBER(MATCH(Location!$C$4&amp;"|"&amp;$A10&amp;"|opex",Market_Data!$K$5:$K$304,0)),"Market-City",IF(ISNUMBER(MATCH(Location!$C$5&amp;"|"&amp;$A10&amp;"|opex",Market_Data!$K$5:$K$304,0)),"Market-County",IF(ISNUMBER(MATCH(Location!$C$6&amp;"|"&amp;$A10&amp;"|opex",Market_Data!$K$5:$K$304,0)),"Market-State","Default x index"))))</f>
        <v/>
      </c>
      <c r="U10" s="2">
        <f>IF(ISNUMBER(MATCH(Org_Profile!$C$4&amp;"|"&amp;$A10&amp;"|devmo",Org_Overrides!$H$5:$H$304,0)),"Org",IF(ISNUMBER(MATCH(Location!$C$4&amp;"|"&amp;$A10&amp;"|devmo",Market_Data!$K$5:$K$304,0)),"Market-City",IF(ISNUMBER(MATCH(Location!$C$5&amp;"|"&amp;$A10&amp;"|devmo",Market_Data!$K$5:$K$304,0)),"Market-County",IF(ISNUMBER(MATCH(Location!$C$6&amp;"|"&amp;$A10&amp;"|devmo",Market_Data!$K$5:$K$304,0)),"Market-State","Default"))))</f>
        <v/>
      </c>
      <c r="V10" s="2">
        <f>IF(ISNUMBER(MATCH(Org_Profile!$C$4&amp;"|"&amp;$A10&amp;"|margin",Org_Overrides!$H$5:$H$304,0)),"Org",IF(INDEX(Org_Profile!$C$9:$C$12,MATCH(Use_Library!$C$10,Org_Profile!$B$9:$B$12,0))&lt;&gt;"","Org engine margin","Default"))</f>
        <v/>
      </c>
      <c r="W10" s="2">
        <f>IF(ISNUMBER(MATCH(Location!$C$4&amp;"|"&amp;$A10&amp;"|lotprice",Market_Data!$K$5:$K$304,0)),"Market-City",IF(ISNUMBER(MATCH(Location!$C$5&amp;"|"&amp;$A10&amp;"|lotprice",Market_Data!$K$5:$K$304,0)),"Market-County",IF(ISNUMBER(MATCH(Location!$C$6&amp;"|"&amp;$A10&amp;"|lotprice",Market_Data!$K$5:$K$304,0)),"Market-State",IF(ISNUMBER(MATCH(Org_Profile!$C$4&amp;"|"&amp;$A10&amp;"|lotprice",Org_Overrides!$H$5:$H$304,0)),"Org","Default x index"))))</f>
        <v/>
      </c>
      <c r="X10" s="2">
        <f>IF(ISNUMBER(MATCH(Location!$C$4&amp;"|"&amp;$A10&amp;"|saleprice",Market_Data!$K$5:$K$304,0)),"Market-City",IF(ISNUMBER(MATCH(Location!$C$5&amp;"|"&amp;$A10&amp;"|saleprice",Market_Data!$K$5:$K$304,0)),"Market-County",IF(ISNUMBER(MATCH(Location!$C$6&amp;"|"&amp;$A10&amp;"|saleprice",Market_Data!$K$5:$K$304,0)),"Market-State",IF(ISNUMBER(MATCH(Org_Profile!$C$4&amp;"|"&amp;$A10&amp;"|saleprice",Org_Overrides!$H$5:$H$304,0)),"Org","Default x index"))))</f>
        <v/>
      </c>
      <c r="Y10" s="2">
        <f>IF(ISNUMBER(MATCH(Location!$C$4&amp;"|"&amp;$A10&amp;"|landac",Market_Data!$K$5:$K$304,0)),"Market-City",IF(ISNUMBER(MATCH(Location!$C$5&amp;"|"&amp;$A10&amp;"|landac",Market_Data!$K$5:$K$304,0)),"Market-County",IF(ISNUMBER(MATCH(Location!$C$6&amp;"|"&amp;$A10&amp;"|landac",Market_Data!$K$5:$K$304,0)),"Market-State",IF(ISNUMBER(MATCH(Org_Profile!$C$4&amp;"|"&amp;$A10&amp;"|landac",Org_Overrides!$H$5:$H$304,0)),"Org","Default x index"))))</f>
        <v/>
      </c>
      <c r="Z10" s="2">
        <f>IF(ISNUMBER(MATCH(Location!$C$4&amp;"|"&amp;$A10&amp;"|rent",Market_Data!$K$5:$K$304,0)),"Market-City",IF(ISNUMBER(MATCH(Location!$C$5&amp;"|"&amp;$A10&amp;"|rent",Market_Data!$K$5:$K$304,0)),"Market-County",IF(ISNUMBER(MATCH(Location!$C$6&amp;"|"&amp;$A10&amp;"|rent",Market_Data!$K$5:$K$304,0)),"Market-State",IF(ISNUMBER(MATCH(Org_Profile!$C$4&amp;"|"&amp;$A10&amp;"|rent",Org_Overrides!$H$5:$H$304,0)),"Org","Default x index"))))</f>
        <v/>
      </c>
      <c r="AA10" s="2">
        <f>IF(ISNUMBER(MATCH(Location!$C$4&amp;"|"&amp;$A10&amp;"|groundrent",Market_Data!$K$5:$K$304,0)),"Market-City",IF(ISNUMBER(MATCH(Location!$C$5&amp;"|"&amp;$A10&amp;"|groundrent",Market_Data!$K$5:$K$304,0)),"Market-County",IF(ISNUMBER(MATCH(Location!$C$6&amp;"|"&amp;$A10&amp;"|groundrent",Market_Data!$K$5:$K$304,0)),"Market-State",IF(ISNUMBER(MATCH(Org_Profile!$C$4&amp;"|"&amp;$A10&amp;"|groundrent",Org_Overrides!$H$5:$H$304,0)),"Org","Default x index"))))</f>
        <v/>
      </c>
      <c r="AB10" s="2">
        <f>IF(ISNUMBER(MATCH(Location!$C$4&amp;"|"&amp;$A10&amp;"|cap",Market_Data!$K$5:$K$304,0)),"Market-City",IF(ISNUMBER(MATCH(Location!$C$5&amp;"|"&amp;$A10&amp;"|cap",Market_Data!$K$5:$K$304,0)),"Market-County",IF(ISNUMBER(MATCH(Location!$C$6&amp;"|"&amp;$A10&amp;"|cap",Market_Data!$K$5:$K$304,0)),"Market-State",IF(ISNUMBER(MATCH(Org_Profile!$C$4&amp;"|"&amp;$A10&amp;"|cap",Org_Overrides!$H$5:$H$304,0)),"Org","Default x index"))))</f>
        <v/>
      </c>
      <c r="AC10" s="2">
        <f>IF(ISNUMBER(MATCH(Location!$C$4&amp;"|"&amp;$A10&amp;"|vac",Market_Data!$K$5:$K$304,0)),"Market-City",IF(ISNUMBER(MATCH(Location!$C$5&amp;"|"&amp;$A10&amp;"|vac",Market_Data!$K$5:$K$304,0)),"Market-County",IF(ISNUMBER(MATCH(Location!$C$6&amp;"|"&amp;$A10&amp;"|vac",Market_Data!$K$5:$K$304,0)),"Market-State",IF(ISNUMBER(MATCH(Org_Profile!$C$4&amp;"|"&amp;$A10&amp;"|vac",Org_Overrides!$H$5:$H$304,0)),"Org","Default"))))</f>
        <v/>
      </c>
      <c r="AD10" s="2">
        <f>IF(ISNUMBER(MATCH(Location!$C$4&amp;"|"&amp;$A10&amp;"|absorb",Market_Data!$K$5:$K$304,0)),"Market-City",IF(ISNUMBER(MATCH(Location!$C$5&amp;"|"&amp;$A10&amp;"|absorb",Market_Data!$K$5:$K$304,0)),"Market-County",IF(ISNUMBER(MATCH(Location!$C$6&amp;"|"&amp;$A10&amp;"|absorb",Market_Data!$K$5:$K$304,0)),"Market-State",IF(ISNUMBER(MATCH(Org_Profile!$C$4&amp;"|"&amp;$A10&amp;"|absorb",Org_Overrides!$H$5:$H$304,0)),"Org","Default"))))</f>
        <v/>
      </c>
      <c r="AE10" s="2">
        <f>IF(ISNUMBER(MATCH(Location!$C$4&amp;"|"&amp;$A10&amp;"|lotabs",Market_Data!$K$5:$K$304,0)),"Market-City",IF(ISNUMBER(MATCH(Location!$C$5&amp;"|"&amp;$A10&amp;"|lotabs",Market_Data!$K$5:$K$304,0)),"Market-County",IF(ISNUMBER(MATCH(Location!$C$6&amp;"|"&amp;$A10&amp;"|lotabs",Market_Data!$K$5:$K$304,0)),"Market-State",IF(ISNUMBER(MATCH(Org_Profile!$C$4&amp;"|"&amp;$A10&amp;"|lotabs",Org_Overrides!$H$5:$H$304,0)),"Org","Default"))))</f>
        <v/>
      </c>
      <c r="AF10" s="15">
        <f>15-COUNTIF(Q10:AE10,"Default*")</f>
        <v/>
      </c>
    </row>
    <row r="11">
      <c r="A11" s="4">
        <f>Use_Library!$A$11</f>
        <v/>
      </c>
      <c r="B11" s="20">
        <f>IFERROR((INDEX(Org_Overrides!$D$5:$D$304,MATCH(Org_Profile!$C$4&amp;"|"&amp;$A11&amp;"|vert",Org_Overrides!$H$5:$H$304,0))*Location!$C$9),IFERROR(INDEX(Market_Data!$D$5:$D$304,MATCH(Location!$C$4&amp;"|"&amp;$A11&amp;"|vert",Market_Data!$K$5:$K$304,0)),IFERROR(INDEX(Market_Data!$D$5:$D$304,MATCH(Location!$C$5&amp;"|"&amp;$A11&amp;"|vert",Market_Data!$K$5:$K$304,0)),IFERROR(INDEX(Market_Data!$D$5:$D$304,MATCH(Location!$C$6&amp;"|"&amp;$A11&amp;"|vert",Market_Data!$K$5:$K$304,0)),(Use_Library!$AF$11*Location!$C$9)))))</f>
        <v/>
      </c>
      <c r="C11" s="20">
        <f>IFERROR((INDEX(Org_Overrides!$D$5:$D$304,MATCH(Org_Profile!$C$4&amp;"|"&amp;$A11&amp;"|entitle",Org_Overrides!$H$5:$H$304,0))*Location!$C$9),IFERROR(INDEX(Market_Data!$D$5:$D$304,MATCH(Location!$C$4&amp;"|"&amp;$A11&amp;"|entitle",Market_Data!$K$5:$K$304,0)),IFERROR(INDEX(Market_Data!$D$5:$D$304,MATCH(Location!$C$5&amp;"|"&amp;$A11&amp;"|entitle",Market_Data!$K$5:$K$304,0)),IFERROR(INDEX(Market_Data!$D$5:$D$304,MATCH(Location!$C$6&amp;"|"&amp;$A11&amp;"|entitle",Market_Data!$K$5:$K$304,0)),(Use_Library!$AE$11*Location!$C$9)))))</f>
        <v/>
      </c>
      <c r="D11" s="20">
        <f>IFERROR((INDEX(Org_Overrides!$D$5:$D$304,MATCH(Org_Profile!$C$4&amp;"|"&amp;$A11&amp;"|tilc",Org_Overrides!$H$5:$H$304,0))*Location!$C$9),IFERROR(INDEX(Market_Data!$D$5:$D$304,MATCH(Location!$C$4&amp;"|"&amp;$A11&amp;"|tilc",Market_Data!$K$5:$K$304,0)),IFERROR(INDEX(Market_Data!$D$5:$D$304,MATCH(Location!$C$5&amp;"|"&amp;$A11&amp;"|tilc",Market_Data!$K$5:$K$304,0)),IFERROR(INDEX(Market_Data!$D$5:$D$304,MATCH(Location!$C$6&amp;"|"&amp;$A11&amp;"|tilc",Market_Data!$K$5:$K$304,0)),(Use_Library!$AG$11*Location!$C$9)))))</f>
        <v/>
      </c>
      <c r="E11" s="20">
        <f>IFERROR((INDEX(Org_Overrides!$D$5:$D$304,MATCH(Org_Profile!$C$4&amp;"|"&amp;$A11&amp;"|opex",Org_Overrides!$H$5:$H$304,0))*Location!$C$13),IFERROR(INDEX(Market_Data!$D$5:$D$304,MATCH(Location!$C$4&amp;"|"&amp;$A11&amp;"|opex",Market_Data!$K$5:$K$304,0)),IFERROR(INDEX(Market_Data!$D$5:$D$304,MATCH(Location!$C$5&amp;"|"&amp;$A11&amp;"|opex",Market_Data!$K$5:$K$304,0)),IFERROR(INDEX(Market_Data!$D$5:$D$304,MATCH(Location!$C$6&amp;"|"&amp;$A11&amp;"|opex",Market_Data!$K$5:$K$304,0)),(Use_Library!$AN$11*Location!$C$13)))))</f>
        <v/>
      </c>
      <c r="F11" s="9">
        <f>IFERROR(INDEX(Org_Overrides!$D$5:$D$304,MATCH(Org_Profile!$C$4&amp;"|"&amp;$A11&amp;"|devmo",Org_Overrides!$H$5:$H$304,0)),IFERROR(INDEX(Market_Data!$D$5:$D$304,MATCH(Location!$C$4&amp;"|"&amp;$A11&amp;"|devmo",Market_Data!$K$5:$K$304,0)),IFERROR(INDEX(Market_Data!$D$5:$D$304,MATCH(Location!$C$5&amp;"|"&amp;$A11&amp;"|devmo",Market_Data!$K$5:$K$304,0)),IFERROR(INDEX(Market_Data!$D$5:$D$304,MATCH(Location!$C$6&amp;"|"&amp;$A11&amp;"|devmo",Market_Data!$K$5:$K$304,0)),Use_Library!$AH$11))))</f>
        <v/>
      </c>
      <c r="G11" s="23">
        <f>IFERROR(INDEX(Org_Overrides!$D$5:$D$304,MATCH(Org_Profile!$C$4&amp;"|"&amp;$A11&amp;"|margin",Org_Overrides!$H$5:$H$304,0)),IF(INDEX(Org_Profile!$C$9:$C$12,MATCH(Use_Library!$C$11,Org_Profile!$B$9:$B$12,0))&lt;&gt;"",INDEX(Org_Profile!$C$9:$C$12,MATCH(Use_Library!$C$11,Org_Profile!$B$9:$B$12,0)),Use_Library!$AU$11))</f>
        <v/>
      </c>
      <c r="H11" s="20">
        <f>IFERROR(INDEX(Market_Data!$D$5:$D$304,MATCH(Location!$C$4&amp;"|"&amp;$A11&amp;"|lotprice",Market_Data!$K$5:$K$304,0)),IFERROR(INDEX(Market_Data!$D$5:$D$304,MATCH(Location!$C$5&amp;"|"&amp;$A11&amp;"|lotprice",Market_Data!$K$5:$K$304,0)),IFERROR(INDEX(Market_Data!$D$5:$D$304,MATCH(Location!$C$6&amp;"|"&amp;$A11&amp;"|lotprice",Market_Data!$K$5:$K$304,0)),IFERROR((INDEX(Org_Overrides!$D$5:$D$304,MATCH(Org_Profile!$C$4&amp;"|"&amp;$A11&amp;"|lotprice",Org_Overrides!$H$5:$H$304,0))*Location!$C$10),(Use_Library!$AI$11*Location!$C$10)))))</f>
        <v/>
      </c>
      <c r="I11" s="20">
        <f>IFERROR(INDEX(Market_Data!$D$5:$D$304,MATCH(Location!$C$4&amp;"|"&amp;$A11&amp;"|saleprice",Market_Data!$K$5:$K$304,0)),IFERROR(INDEX(Market_Data!$D$5:$D$304,MATCH(Location!$C$5&amp;"|"&amp;$A11&amp;"|saleprice",Market_Data!$K$5:$K$304,0)),IFERROR(INDEX(Market_Data!$D$5:$D$304,MATCH(Location!$C$6&amp;"|"&amp;$A11&amp;"|saleprice",Market_Data!$K$5:$K$304,0)),IFERROR((INDEX(Org_Overrides!$D$5:$D$304,MATCH(Org_Profile!$C$4&amp;"|"&amp;$A11&amp;"|saleprice",Org_Overrides!$H$5:$H$304,0))*Location!$C$10),(Use_Library!$AJ$11*Location!$C$10)))))</f>
        <v/>
      </c>
      <c r="J11" s="20">
        <f>IFERROR(INDEX(Market_Data!$D$5:$D$304,MATCH(Location!$C$4&amp;"|"&amp;$A11&amp;"|landac",Market_Data!$K$5:$K$304,0)),IFERROR(INDEX(Market_Data!$D$5:$D$304,MATCH(Location!$C$5&amp;"|"&amp;$A11&amp;"|landac",Market_Data!$K$5:$K$304,0)),IFERROR(INDEX(Market_Data!$D$5:$D$304,MATCH(Location!$C$6&amp;"|"&amp;$A11&amp;"|landac",Market_Data!$K$5:$K$304,0)),IFERROR((INDEX(Org_Overrides!$D$5:$D$304,MATCH(Org_Profile!$C$4&amp;"|"&amp;$A11&amp;"|landac",Org_Overrides!$H$5:$H$304,0))*Location!$C$10),(Use_Library!$AS$11*Location!$C$10)))))</f>
        <v/>
      </c>
      <c r="K11" s="20">
        <f>IFERROR(INDEX(Market_Data!$D$5:$D$304,MATCH(Location!$C$4&amp;"|"&amp;$A11&amp;"|rent",Market_Data!$K$5:$K$304,0)),IFERROR(INDEX(Market_Data!$D$5:$D$304,MATCH(Location!$C$5&amp;"|"&amp;$A11&amp;"|rent",Market_Data!$K$5:$K$304,0)),IFERROR(INDEX(Market_Data!$D$5:$D$304,MATCH(Location!$C$6&amp;"|"&amp;$A11&amp;"|rent",Market_Data!$K$5:$K$304,0)),IFERROR((INDEX(Org_Overrides!$D$5:$D$304,MATCH(Org_Profile!$C$4&amp;"|"&amp;$A11&amp;"|rent",Org_Overrides!$H$5:$H$304,0))*Location!$C$11),(Use_Library!$AK$11*Location!$C$11)))))</f>
        <v/>
      </c>
      <c r="L11" s="20">
        <f>IFERROR(INDEX(Market_Data!$D$5:$D$304,MATCH(Location!$C$4&amp;"|"&amp;$A11&amp;"|groundrent",Market_Data!$K$5:$K$304,0)),IFERROR(INDEX(Market_Data!$D$5:$D$304,MATCH(Location!$C$5&amp;"|"&amp;$A11&amp;"|groundrent",Market_Data!$K$5:$K$304,0)),IFERROR(INDEX(Market_Data!$D$5:$D$304,MATCH(Location!$C$6&amp;"|"&amp;$A11&amp;"|groundrent",Market_Data!$K$5:$K$304,0)),IFERROR((INDEX(Org_Overrides!$D$5:$D$304,MATCH(Org_Profile!$C$4&amp;"|"&amp;$A11&amp;"|groundrent",Org_Overrides!$H$5:$H$304,0))*Location!$C$11),(Use_Library!$AT$11*Location!$C$11)))))</f>
        <v/>
      </c>
      <c r="M11" s="23">
        <f>IFERROR(INDEX(Market_Data!$D$5:$D$304,MATCH(Location!$C$4&amp;"|"&amp;$A11&amp;"|cap",Market_Data!$K$5:$K$304,0)),IFERROR(INDEX(Market_Data!$D$5:$D$304,MATCH(Location!$C$5&amp;"|"&amp;$A11&amp;"|cap",Market_Data!$K$5:$K$304,0)),IFERROR(INDEX(Market_Data!$D$5:$D$304,MATCH(Location!$C$6&amp;"|"&amp;$A11&amp;"|cap",Market_Data!$K$5:$K$304,0)),IFERROR((INDEX(Org_Overrides!$D$5:$D$304,MATCH(Org_Profile!$C$4&amp;"|"&amp;$A11&amp;"|cap",Org_Overrides!$H$5:$H$304,0))+Location!$C$12),(Use_Library!$AR$11+Location!$C$12)))))</f>
        <v/>
      </c>
      <c r="N11" s="23">
        <f>IFERROR(INDEX(Market_Data!$D$5:$D$304,MATCH(Location!$C$4&amp;"|"&amp;$A11&amp;"|vac",Market_Data!$K$5:$K$304,0)),IFERROR(INDEX(Market_Data!$D$5:$D$304,MATCH(Location!$C$5&amp;"|"&amp;$A11&amp;"|vac",Market_Data!$K$5:$K$304,0)),IFERROR(INDEX(Market_Data!$D$5:$D$304,MATCH(Location!$C$6&amp;"|"&amp;$A11&amp;"|vac",Market_Data!$K$5:$K$304,0)),IFERROR(INDEX(Org_Overrides!$D$5:$D$304,MATCH(Org_Profile!$C$4&amp;"|"&amp;$A11&amp;"|vac",Org_Overrides!$H$5:$H$304,0)),Use_Library!$AM$11))))</f>
        <v/>
      </c>
      <c r="O11" s="24">
        <f>IFERROR(INDEX(Market_Data!$D$5:$D$304,MATCH(Location!$C$4&amp;"|"&amp;$A11&amp;"|absorb",Market_Data!$K$5:$K$304,0)),IFERROR(INDEX(Market_Data!$D$5:$D$304,MATCH(Location!$C$5&amp;"|"&amp;$A11&amp;"|absorb",Market_Data!$K$5:$K$304,0)),IFERROR(INDEX(Market_Data!$D$5:$D$304,MATCH(Location!$C$6&amp;"|"&amp;$A11&amp;"|absorb",Market_Data!$K$5:$K$304,0)),IFERROR(INDEX(Org_Overrides!$D$5:$D$304,MATCH(Org_Profile!$C$4&amp;"|"&amp;$A11&amp;"|absorb",Org_Overrides!$H$5:$H$304,0)),Use_Library!$R$11))))</f>
        <v/>
      </c>
      <c r="P11" s="24">
        <f>IFERROR(INDEX(Market_Data!$D$5:$D$304,MATCH(Location!$C$4&amp;"|"&amp;$A11&amp;"|lotabs",Market_Data!$K$5:$K$304,0)),IFERROR(INDEX(Market_Data!$D$5:$D$304,MATCH(Location!$C$5&amp;"|"&amp;$A11&amp;"|lotabs",Market_Data!$K$5:$K$304,0)),IFERROR(INDEX(Market_Data!$D$5:$D$304,MATCH(Location!$C$6&amp;"|"&amp;$A11&amp;"|lotabs",Market_Data!$K$5:$K$304,0)),IFERROR(INDEX(Org_Overrides!$D$5:$D$304,MATCH(Org_Profile!$C$4&amp;"|"&amp;$A11&amp;"|lotabs",Org_Overrides!$H$5:$H$304,0)),Use_Library!$S$11))))</f>
        <v/>
      </c>
      <c r="Q11" s="2">
        <f>IF(ISNUMBER(MATCH(Org_Profile!$C$4&amp;"|"&amp;$A11&amp;"|vert",Org_Overrides!$H$5:$H$304,0)),"Org",IF(ISNUMBER(MATCH(Location!$C$4&amp;"|"&amp;$A11&amp;"|vert",Market_Data!$K$5:$K$304,0)),"Market-City",IF(ISNUMBER(MATCH(Location!$C$5&amp;"|"&amp;$A11&amp;"|vert",Market_Data!$K$5:$K$304,0)),"Market-County",IF(ISNUMBER(MATCH(Location!$C$6&amp;"|"&amp;$A11&amp;"|vert",Market_Data!$K$5:$K$304,0)),"Market-State","Default x index"))))</f>
        <v/>
      </c>
      <c r="R11" s="2">
        <f>IF(ISNUMBER(MATCH(Org_Profile!$C$4&amp;"|"&amp;$A11&amp;"|entitle",Org_Overrides!$H$5:$H$304,0)),"Org",IF(ISNUMBER(MATCH(Location!$C$4&amp;"|"&amp;$A11&amp;"|entitle",Market_Data!$K$5:$K$304,0)),"Market-City",IF(ISNUMBER(MATCH(Location!$C$5&amp;"|"&amp;$A11&amp;"|entitle",Market_Data!$K$5:$K$304,0)),"Market-County",IF(ISNUMBER(MATCH(Location!$C$6&amp;"|"&amp;$A11&amp;"|entitle",Market_Data!$K$5:$K$304,0)),"Market-State","Default x index"))))</f>
        <v/>
      </c>
      <c r="S11" s="2">
        <f>IF(ISNUMBER(MATCH(Org_Profile!$C$4&amp;"|"&amp;$A11&amp;"|tilc",Org_Overrides!$H$5:$H$304,0)),"Org",IF(ISNUMBER(MATCH(Location!$C$4&amp;"|"&amp;$A11&amp;"|tilc",Market_Data!$K$5:$K$304,0)),"Market-City",IF(ISNUMBER(MATCH(Location!$C$5&amp;"|"&amp;$A11&amp;"|tilc",Market_Data!$K$5:$K$304,0)),"Market-County",IF(ISNUMBER(MATCH(Location!$C$6&amp;"|"&amp;$A11&amp;"|tilc",Market_Data!$K$5:$K$304,0)),"Market-State","Default x index"))))</f>
        <v/>
      </c>
      <c r="T11" s="2">
        <f>IF(ISNUMBER(MATCH(Org_Profile!$C$4&amp;"|"&amp;$A11&amp;"|opex",Org_Overrides!$H$5:$H$304,0)),"Org",IF(ISNUMBER(MATCH(Location!$C$4&amp;"|"&amp;$A11&amp;"|opex",Market_Data!$K$5:$K$304,0)),"Market-City",IF(ISNUMBER(MATCH(Location!$C$5&amp;"|"&amp;$A11&amp;"|opex",Market_Data!$K$5:$K$304,0)),"Market-County",IF(ISNUMBER(MATCH(Location!$C$6&amp;"|"&amp;$A11&amp;"|opex",Market_Data!$K$5:$K$304,0)),"Market-State","Default x index"))))</f>
        <v/>
      </c>
      <c r="U11" s="2">
        <f>IF(ISNUMBER(MATCH(Org_Profile!$C$4&amp;"|"&amp;$A11&amp;"|devmo",Org_Overrides!$H$5:$H$304,0)),"Org",IF(ISNUMBER(MATCH(Location!$C$4&amp;"|"&amp;$A11&amp;"|devmo",Market_Data!$K$5:$K$304,0)),"Market-City",IF(ISNUMBER(MATCH(Location!$C$5&amp;"|"&amp;$A11&amp;"|devmo",Market_Data!$K$5:$K$304,0)),"Market-County",IF(ISNUMBER(MATCH(Location!$C$6&amp;"|"&amp;$A11&amp;"|devmo",Market_Data!$K$5:$K$304,0)),"Market-State","Default"))))</f>
        <v/>
      </c>
      <c r="V11" s="2">
        <f>IF(ISNUMBER(MATCH(Org_Profile!$C$4&amp;"|"&amp;$A11&amp;"|margin",Org_Overrides!$H$5:$H$304,0)),"Org",IF(INDEX(Org_Profile!$C$9:$C$12,MATCH(Use_Library!$C$11,Org_Profile!$B$9:$B$12,0))&lt;&gt;"","Org engine margin","Default"))</f>
        <v/>
      </c>
      <c r="W11" s="2">
        <f>IF(ISNUMBER(MATCH(Location!$C$4&amp;"|"&amp;$A11&amp;"|lotprice",Market_Data!$K$5:$K$304,0)),"Market-City",IF(ISNUMBER(MATCH(Location!$C$5&amp;"|"&amp;$A11&amp;"|lotprice",Market_Data!$K$5:$K$304,0)),"Market-County",IF(ISNUMBER(MATCH(Location!$C$6&amp;"|"&amp;$A11&amp;"|lotprice",Market_Data!$K$5:$K$304,0)),"Market-State",IF(ISNUMBER(MATCH(Org_Profile!$C$4&amp;"|"&amp;$A11&amp;"|lotprice",Org_Overrides!$H$5:$H$304,0)),"Org","Default x index"))))</f>
        <v/>
      </c>
      <c r="X11" s="2">
        <f>IF(ISNUMBER(MATCH(Location!$C$4&amp;"|"&amp;$A11&amp;"|saleprice",Market_Data!$K$5:$K$304,0)),"Market-City",IF(ISNUMBER(MATCH(Location!$C$5&amp;"|"&amp;$A11&amp;"|saleprice",Market_Data!$K$5:$K$304,0)),"Market-County",IF(ISNUMBER(MATCH(Location!$C$6&amp;"|"&amp;$A11&amp;"|saleprice",Market_Data!$K$5:$K$304,0)),"Market-State",IF(ISNUMBER(MATCH(Org_Profile!$C$4&amp;"|"&amp;$A11&amp;"|saleprice",Org_Overrides!$H$5:$H$304,0)),"Org","Default x index"))))</f>
        <v/>
      </c>
      <c r="Y11" s="2">
        <f>IF(ISNUMBER(MATCH(Location!$C$4&amp;"|"&amp;$A11&amp;"|landac",Market_Data!$K$5:$K$304,0)),"Market-City",IF(ISNUMBER(MATCH(Location!$C$5&amp;"|"&amp;$A11&amp;"|landac",Market_Data!$K$5:$K$304,0)),"Market-County",IF(ISNUMBER(MATCH(Location!$C$6&amp;"|"&amp;$A11&amp;"|landac",Market_Data!$K$5:$K$304,0)),"Market-State",IF(ISNUMBER(MATCH(Org_Profile!$C$4&amp;"|"&amp;$A11&amp;"|landac",Org_Overrides!$H$5:$H$304,0)),"Org","Default x index"))))</f>
        <v/>
      </c>
      <c r="Z11" s="2">
        <f>IF(ISNUMBER(MATCH(Location!$C$4&amp;"|"&amp;$A11&amp;"|rent",Market_Data!$K$5:$K$304,0)),"Market-City",IF(ISNUMBER(MATCH(Location!$C$5&amp;"|"&amp;$A11&amp;"|rent",Market_Data!$K$5:$K$304,0)),"Market-County",IF(ISNUMBER(MATCH(Location!$C$6&amp;"|"&amp;$A11&amp;"|rent",Market_Data!$K$5:$K$304,0)),"Market-State",IF(ISNUMBER(MATCH(Org_Profile!$C$4&amp;"|"&amp;$A11&amp;"|rent",Org_Overrides!$H$5:$H$304,0)),"Org","Default x index"))))</f>
        <v/>
      </c>
      <c r="AA11" s="2">
        <f>IF(ISNUMBER(MATCH(Location!$C$4&amp;"|"&amp;$A11&amp;"|groundrent",Market_Data!$K$5:$K$304,0)),"Market-City",IF(ISNUMBER(MATCH(Location!$C$5&amp;"|"&amp;$A11&amp;"|groundrent",Market_Data!$K$5:$K$304,0)),"Market-County",IF(ISNUMBER(MATCH(Location!$C$6&amp;"|"&amp;$A11&amp;"|groundrent",Market_Data!$K$5:$K$304,0)),"Market-State",IF(ISNUMBER(MATCH(Org_Profile!$C$4&amp;"|"&amp;$A11&amp;"|groundrent",Org_Overrides!$H$5:$H$304,0)),"Org","Default x index"))))</f>
        <v/>
      </c>
      <c r="AB11" s="2">
        <f>IF(ISNUMBER(MATCH(Location!$C$4&amp;"|"&amp;$A11&amp;"|cap",Market_Data!$K$5:$K$304,0)),"Market-City",IF(ISNUMBER(MATCH(Location!$C$5&amp;"|"&amp;$A11&amp;"|cap",Market_Data!$K$5:$K$304,0)),"Market-County",IF(ISNUMBER(MATCH(Location!$C$6&amp;"|"&amp;$A11&amp;"|cap",Market_Data!$K$5:$K$304,0)),"Market-State",IF(ISNUMBER(MATCH(Org_Profile!$C$4&amp;"|"&amp;$A11&amp;"|cap",Org_Overrides!$H$5:$H$304,0)),"Org","Default x index"))))</f>
        <v/>
      </c>
      <c r="AC11" s="2">
        <f>IF(ISNUMBER(MATCH(Location!$C$4&amp;"|"&amp;$A11&amp;"|vac",Market_Data!$K$5:$K$304,0)),"Market-City",IF(ISNUMBER(MATCH(Location!$C$5&amp;"|"&amp;$A11&amp;"|vac",Market_Data!$K$5:$K$304,0)),"Market-County",IF(ISNUMBER(MATCH(Location!$C$6&amp;"|"&amp;$A11&amp;"|vac",Market_Data!$K$5:$K$304,0)),"Market-State",IF(ISNUMBER(MATCH(Org_Profile!$C$4&amp;"|"&amp;$A11&amp;"|vac",Org_Overrides!$H$5:$H$304,0)),"Org","Default"))))</f>
        <v/>
      </c>
      <c r="AD11" s="2">
        <f>IF(ISNUMBER(MATCH(Location!$C$4&amp;"|"&amp;$A11&amp;"|absorb",Market_Data!$K$5:$K$304,0)),"Market-City",IF(ISNUMBER(MATCH(Location!$C$5&amp;"|"&amp;$A11&amp;"|absorb",Market_Data!$K$5:$K$304,0)),"Market-County",IF(ISNUMBER(MATCH(Location!$C$6&amp;"|"&amp;$A11&amp;"|absorb",Market_Data!$K$5:$K$304,0)),"Market-State",IF(ISNUMBER(MATCH(Org_Profile!$C$4&amp;"|"&amp;$A11&amp;"|absorb",Org_Overrides!$H$5:$H$304,0)),"Org","Default"))))</f>
        <v/>
      </c>
      <c r="AE11" s="2">
        <f>IF(ISNUMBER(MATCH(Location!$C$4&amp;"|"&amp;$A11&amp;"|lotabs",Market_Data!$K$5:$K$304,0)),"Market-City",IF(ISNUMBER(MATCH(Location!$C$5&amp;"|"&amp;$A11&amp;"|lotabs",Market_Data!$K$5:$K$304,0)),"Market-County",IF(ISNUMBER(MATCH(Location!$C$6&amp;"|"&amp;$A11&amp;"|lotabs",Market_Data!$K$5:$K$304,0)),"Market-State",IF(ISNUMBER(MATCH(Org_Profile!$C$4&amp;"|"&amp;$A11&amp;"|lotabs",Org_Overrides!$H$5:$H$304,0)),"Org","Default"))))</f>
        <v/>
      </c>
      <c r="AF11" s="15">
        <f>15-COUNTIF(Q11:AE11,"Default*")</f>
        <v/>
      </c>
    </row>
    <row r="12">
      <c r="A12" s="4">
        <f>Use_Library!$A$12</f>
        <v/>
      </c>
      <c r="B12" s="20">
        <f>IFERROR((INDEX(Org_Overrides!$D$5:$D$304,MATCH(Org_Profile!$C$4&amp;"|"&amp;$A12&amp;"|vert",Org_Overrides!$H$5:$H$304,0))*Location!$C$9),IFERROR(INDEX(Market_Data!$D$5:$D$304,MATCH(Location!$C$4&amp;"|"&amp;$A12&amp;"|vert",Market_Data!$K$5:$K$304,0)),IFERROR(INDEX(Market_Data!$D$5:$D$304,MATCH(Location!$C$5&amp;"|"&amp;$A12&amp;"|vert",Market_Data!$K$5:$K$304,0)),IFERROR(INDEX(Market_Data!$D$5:$D$304,MATCH(Location!$C$6&amp;"|"&amp;$A12&amp;"|vert",Market_Data!$K$5:$K$304,0)),(Use_Library!$AF$12*Location!$C$9)))))</f>
        <v/>
      </c>
      <c r="C12" s="20">
        <f>IFERROR((INDEX(Org_Overrides!$D$5:$D$304,MATCH(Org_Profile!$C$4&amp;"|"&amp;$A12&amp;"|entitle",Org_Overrides!$H$5:$H$304,0))*Location!$C$9),IFERROR(INDEX(Market_Data!$D$5:$D$304,MATCH(Location!$C$4&amp;"|"&amp;$A12&amp;"|entitle",Market_Data!$K$5:$K$304,0)),IFERROR(INDEX(Market_Data!$D$5:$D$304,MATCH(Location!$C$5&amp;"|"&amp;$A12&amp;"|entitle",Market_Data!$K$5:$K$304,0)),IFERROR(INDEX(Market_Data!$D$5:$D$304,MATCH(Location!$C$6&amp;"|"&amp;$A12&amp;"|entitle",Market_Data!$K$5:$K$304,0)),(Use_Library!$AE$12*Location!$C$9)))))</f>
        <v/>
      </c>
      <c r="D12" s="20">
        <f>IFERROR((INDEX(Org_Overrides!$D$5:$D$304,MATCH(Org_Profile!$C$4&amp;"|"&amp;$A12&amp;"|tilc",Org_Overrides!$H$5:$H$304,0))*Location!$C$9),IFERROR(INDEX(Market_Data!$D$5:$D$304,MATCH(Location!$C$4&amp;"|"&amp;$A12&amp;"|tilc",Market_Data!$K$5:$K$304,0)),IFERROR(INDEX(Market_Data!$D$5:$D$304,MATCH(Location!$C$5&amp;"|"&amp;$A12&amp;"|tilc",Market_Data!$K$5:$K$304,0)),IFERROR(INDEX(Market_Data!$D$5:$D$304,MATCH(Location!$C$6&amp;"|"&amp;$A12&amp;"|tilc",Market_Data!$K$5:$K$304,0)),(Use_Library!$AG$12*Location!$C$9)))))</f>
        <v/>
      </c>
      <c r="E12" s="20">
        <f>IFERROR((INDEX(Org_Overrides!$D$5:$D$304,MATCH(Org_Profile!$C$4&amp;"|"&amp;$A12&amp;"|opex",Org_Overrides!$H$5:$H$304,0))*Location!$C$13),IFERROR(INDEX(Market_Data!$D$5:$D$304,MATCH(Location!$C$4&amp;"|"&amp;$A12&amp;"|opex",Market_Data!$K$5:$K$304,0)),IFERROR(INDEX(Market_Data!$D$5:$D$304,MATCH(Location!$C$5&amp;"|"&amp;$A12&amp;"|opex",Market_Data!$K$5:$K$304,0)),IFERROR(INDEX(Market_Data!$D$5:$D$304,MATCH(Location!$C$6&amp;"|"&amp;$A12&amp;"|opex",Market_Data!$K$5:$K$304,0)),(Use_Library!$AN$12*Location!$C$13)))))</f>
        <v/>
      </c>
      <c r="F12" s="9">
        <f>IFERROR(INDEX(Org_Overrides!$D$5:$D$304,MATCH(Org_Profile!$C$4&amp;"|"&amp;$A12&amp;"|devmo",Org_Overrides!$H$5:$H$304,0)),IFERROR(INDEX(Market_Data!$D$5:$D$304,MATCH(Location!$C$4&amp;"|"&amp;$A12&amp;"|devmo",Market_Data!$K$5:$K$304,0)),IFERROR(INDEX(Market_Data!$D$5:$D$304,MATCH(Location!$C$5&amp;"|"&amp;$A12&amp;"|devmo",Market_Data!$K$5:$K$304,0)),IFERROR(INDEX(Market_Data!$D$5:$D$304,MATCH(Location!$C$6&amp;"|"&amp;$A12&amp;"|devmo",Market_Data!$K$5:$K$304,0)),Use_Library!$AH$12))))</f>
        <v/>
      </c>
      <c r="G12" s="23">
        <f>IFERROR(INDEX(Org_Overrides!$D$5:$D$304,MATCH(Org_Profile!$C$4&amp;"|"&amp;$A12&amp;"|margin",Org_Overrides!$H$5:$H$304,0)),IF(INDEX(Org_Profile!$C$9:$C$12,MATCH(Use_Library!$C$12,Org_Profile!$B$9:$B$12,0))&lt;&gt;"",INDEX(Org_Profile!$C$9:$C$12,MATCH(Use_Library!$C$12,Org_Profile!$B$9:$B$12,0)),Use_Library!$AU$12))</f>
        <v/>
      </c>
      <c r="H12" s="20">
        <f>IFERROR(INDEX(Market_Data!$D$5:$D$304,MATCH(Location!$C$4&amp;"|"&amp;$A12&amp;"|lotprice",Market_Data!$K$5:$K$304,0)),IFERROR(INDEX(Market_Data!$D$5:$D$304,MATCH(Location!$C$5&amp;"|"&amp;$A12&amp;"|lotprice",Market_Data!$K$5:$K$304,0)),IFERROR(INDEX(Market_Data!$D$5:$D$304,MATCH(Location!$C$6&amp;"|"&amp;$A12&amp;"|lotprice",Market_Data!$K$5:$K$304,0)),IFERROR((INDEX(Org_Overrides!$D$5:$D$304,MATCH(Org_Profile!$C$4&amp;"|"&amp;$A12&amp;"|lotprice",Org_Overrides!$H$5:$H$304,0))*Location!$C$10),(Use_Library!$AI$12*Location!$C$10)))))</f>
        <v/>
      </c>
      <c r="I12" s="20">
        <f>IFERROR(INDEX(Market_Data!$D$5:$D$304,MATCH(Location!$C$4&amp;"|"&amp;$A12&amp;"|saleprice",Market_Data!$K$5:$K$304,0)),IFERROR(INDEX(Market_Data!$D$5:$D$304,MATCH(Location!$C$5&amp;"|"&amp;$A12&amp;"|saleprice",Market_Data!$K$5:$K$304,0)),IFERROR(INDEX(Market_Data!$D$5:$D$304,MATCH(Location!$C$6&amp;"|"&amp;$A12&amp;"|saleprice",Market_Data!$K$5:$K$304,0)),IFERROR((INDEX(Org_Overrides!$D$5:$D$304,MATCH(Org_Profile!$C$4&amp;"|"&amp;$A12&amp;"|saleprice",Org_Overrides!$H$5:$H$304,0))*Location!$C$10),(Use_Library!$AJ$12*Location!$C$10)))))</f>
        <v/>
      </c>
      <c r="J12" s="20">
        <f>IFERROR(INDEX(Market_Data!$D$5:$D$304,MATCH(Location!$C$4&amp;"|"&amp;$A12&amp;"|landac",Market_Data!$K$5:$K$304,0)),IFERROR(INDEX(Market_Data!$D$5:$D$304,MATCH(Location!$C$5&amp;"|"&amp;$A12&amp;"|landac",Market_Data!$K$5:$K$304,0)),IFERROR(INDEX(Market_Data!$D$5:$D$304,MATCH(Location!$C$6&amp;"|"&amp;$A12&amp;"|landac",Market_Data!$K$5:$K$304,0)),IFERROR((INDEX(Org_Overrides!$D$5:$D$304,MATCH(Org_Profile!$C$4&amp;"|"&amp;$A12&amp;"|landac",Org_Overrides!$H$5:$H$304,0))*Location!$C$10),(Use_Library!$AS$12*Location!$C$10)))))</f>
        <v/>
      </c>
      <c r="K12" s="20">
        <f>IFERROR(INDEX(Market_Data!$D$5:$D$304,MATCH(Location!$C$4&amp;"|"&amp;$A12&amp;"|rent",Market_Data!$K$5:$K$304,0)),IFERROR(INDEX(Market_Data!$D$5:$D$304,MATCH(Location!$C$5&amp;"|"&amp;$A12&amp;"|rent",Market_Data!$K$5:$K$304,0)),IFERROR(INDEX(Market_Data!$D$5:$D$304,MATCH(Location!$C$6&amp;"|"&amp;$A12&amp;"|rent",Market_Data!$K$5:$K$304,0)),IFERROR((INDEX(Org_Overrides!$D$5:$D$304,MATCH(Org_Profile!$C$4&amp;"|"&amp;$A12&amp;"|rent",Org_Overrides!$H$5:$H$304,0))*Location!$C$11),(Use_Library!$AK$12*Location!$C$11)))))</f>
        <v/>
      </c>
      <c r="L12" s="20">
        <f>IFERROR(INDEX(Market_Data!$D$5:$D$304,MATCH(Location!$C$4&amp;"|"&amp;$A12&amp;"|groundrent",Market_Data!$K$5:$K$304,0)),IFERROR(INDEX(Market_Data!$D$5:$D$304,MATCH(Location!$C$5&amp;"|"&amp;$A12&amp;"|groundrent",Market_Data!$K$5:$K$304,0)),IFERROR(INDEX(Market_Data!$D$5:$D$304,MATCH(Location!$C$6&amp;"|"&amp;$A12&amp;"|groundrent",Market_Data!$K$5:$K$304,0)),IFERROR((INDEX(Org_Overrides!$D$5:$D$304,MATCH(Org_Profile!$C$4&amp;"|"&amp;$A12&amp;"|groundrent",Org_Overrides!$H$5:$H$304,0))*Location!$C$11),(Use_Library!$AT$12*Location!$C$11)))))</f>
        <v/>
      </c>
      <c r="M12" s="23">
        <f>IFERROR(INDEX(Market_Data!$D$5:$D$304,MATCH(Location!$C$4&amp;"|"&amp;$A12&amp;"|cap",Market_Data!$K$5:$K$304,0)),IFERROR(INDEX(Market_Data!$D$5:$D$304,MATCH(Location!$C$5&amp;"|"&amp;$A12&amp;"|cap",Market_Data!$K$5:$K$304,0)),IFERROR(INDEX(Market_Data!$D$5:$D$304,MATCH(Location!$C$6&amp;"|"&amp;$A12&amp;"|cap",Market_Data!$K$5:$K$304,0)),IFERROR((INDEX(Org_Overrides!$D$5:$D$304,MATCH(Org_Profile!$C$4&amp;"|"&amp;$A12&amp;"|cap",Org_Overrides!$H$5:$H$304,0))+Location!$C$12),(Use_Library!$AR$12+Location!$C$12)))))</f>
        <v/>
      </c>
      <c r="N12" s="23">
        <f>IFERROR(INDEX(Market_Data!$D$5:$D$304,MATCH(Location!$C$4&amp;"|"&amp;$A12&amp;"|vac",Market_Data!$K$5:$K$304,0)),IFERROR(INDEX(Market_Data!$D$5:$D$304,MATCH(Location!$C$5&amp;"|"&amp;$A12&amp;"|vac",Market_Data!$K$5:$K$304,0)),IFERROR(INDEX(Market_Data!$D$5:$D$304,MATCH(Location!$C$6&amp;"|"&amp;$A12&amp;"|vac",Market_Data!$K$5:$K$304,0)),IFERROR(INDEX(Org_Overrides!$D$5:$D$304,MATCH(Org_Profile!$C$4&amp;"|"&amp;$A12&amp;"|vac",Org_Overrides!$H$5:$H$304,0)),Use_Library!$AM$12))))</f>
        <v/>
      </c>
      <c r="O12" s="24">
        <f>IFERROR(INDEX(Market_Data!$D$5:$D$304,MATCH(Location!$C$4&amp;"|"&amp;$A12&amp;"|absorb",Market_Data!$K$5:$K$304,0)),IFERROR(INDEX(Market_Data!$D$5:$D$304,MATCH(Location!$C$5&amp;"|"&amp;$A12&amp;"|absorb",Market_Data!$K$5:$K$304,0)),IFERROR(INDEX(Market_Data!$D$5:$D$304,MATCH(Location!$C$6&amp;"|"&amp;$A12&amp;"|absorb",Market_Data!$K$5:$K$304,0)),IFERROR(INDEX(Org_Overrides!$D$5:$D$304,MATCH(Org_Profile!$C$4&amp;"|"&amp;$A12&amp;"|absorb",Org_Overrides!$H$5:$H$304,0)),Use_Library!$R$12))))</f>
        <v/>
      </c>
      <c r="P12" s="24">
        <f>IFERROR(INDEX(Market_Data!$D$5:$D$304,MATCH(Location!$C$4&amp;"|"&amp;$A12&amp;"|lotabs",Market_Data!$K$5:$K$304,0)),IFERROR(INDEX(Market_Data!$D$5:$D$304,MATCH(Location!$C$5&amp;"|"&amp;$A12&amp;"|lotabs",Market_Data!$K$5:$K$304,0)),IFERROR(INDEX(Market_Data!$D$5:$D$304,MATCH(Location!$C$6&amp;"|"&amp;$A12&amp;"|lotabs",Market_Data!$K$5:$K$304,0)),IFERROR(INDEX(Org_Overrides!$D$5:$D$304,MATCH(Org_Profile!$C$4&amp;"|"&amp;$A12&amp;"|lotabs",Org_Overrides!$H$5:$H$304,0)),Use_Library!$S$12))))</f>
        <v/>
      </c>
      <c r="Q12" s="2">
        <f>IF(ISNUMBER(MATCH(Org_Profile!$C$4&amp;"|"&amp;$A12&amp;"|vert",Org_Overrides!$H$5:$H$304,0)),"Org",IF(ISNUMBER(MATCH(Location!$C$4&amp;"|"&amp;$A12&amp;"|vert",Market_Data!$K$5:$K$304,0)),"Market-City",IF(ISNUMBER(MATCH(Location!$C$5&amp;"|"&amp;$A12&amp;"|vert",Market_Data!$K$5:$K$304,0)),"Market-County",IF(ISNUMBER(MATCH(Location!$C$6&amp;"|"&amp;$A12&amp;"|vert",Market_Data!$K$5:$K$304,0)),"Market-State","Default x index"))))</f>
        <v/>
      </c>
      <c r="R12" s="2">
        <f>IF(ISNUMBER(MATCH(Org_Profile!$C$4&amp;"|"&amp;$A12&amp;"|entitle",Org_Overrides!$H$5:$H$304,0)),"Org",IF(ISNUMBER(MATCH(Location!$C$4&amp;"|"&amp;$A12&amp;"|entitle",Market_Data!$K$5:$K$304,0)),"Market-City",IF(ISNUMBER(MATCH(Location!$C$5&amp;"|"&amp;$A12&amp;"|entitle",Market_Data!$K$5:$K$304,0)),"Market-County",IF(ISNUMBER(MATCH(Location!$C$6&amp;"|"&amp;$A12&amp;"|entitle",Market_Data!$K$5:$K$304,0)),"Market-State","Default x index"))))</f>
        <v/>
      </c>
      <c r="S12" s="2">
        <f>IF(ISNUMBER(MATCH(Org_Profile!$C$4&amp;"|"&amp;$A12&amp;"|tilc",Org_Overrides!$H$5:$H$304,0)),"Org",IF(ISNUMBER(MATCH(Location!$C$4&amp;"|"&amp;$A12&amp;"|tilc",Market_Data!$K$5:$K$304,0)),"Market-City",IF(ISNUMBER(MATCH(Location!$C$5&amp;"|"&amp;$A12&amp;"|tilc",Market_Data!$K$5:$K$304,0)),"Market-County",IF(ISNUMBER(MATCH(Location!$C$6&amp;"|"&amp;$A12&amp;"|tilc",Market_Data!$K$5:$K$304,0)),"Market-State","Default x index"))))</f>
        <v/>
      </c>
      <c r="T12" s="2">
        <f>IF(ISNUMBER(MATCH(Org_Profile!$C$4&amp;"|"&amp;$A12&amp;"|opex",Org_Overrides!$H$5:$H$304,0)),"Org",IF(ISNUMBER(MATCH(Location!$C$4&amp;"|"&amp;$A12&amp;"|opex",Market_Data!$K$5:$K$304,0)),"Market-City",IF(ISNUMBER(MATCH(Location!$C$5&amp;"|"&amp;$A12&amp;"|opex",Market_Data!$K$5:$K$304,0)),"Market-County",IF(ISNUMBER(MATCH(Location!$C$6&amp;"|"&amp;$A12&amp;"|opex",Market_Data!$K$5:$K$304,0)),"Market-State","Default x index"))))</f>
        <v/>
      </c>
      <c r="U12" s="2">
        <f>IF(ISNUMBER(MATCH(Org_Profile!$C$4&amp;"|"&amp;$A12&amp;"|devmo",Org_Overrides!$H$5:$H$304,0)),"Org",IF(ISNUMBER(MATCH(Location!$C$4&amp;"|"&amp;$A12&amp;"|devmo",Market_Data!$K$5:$K$304,0)),"Market-City",IF(ISNUMBER(MATCH(Location!$C$5&amp;"|"&amp;$A12&amp;"|devmo",Market_Data!$K$5:$K$304,0)),"Market-County",IF(ISNUMBER(MATCH(Location!$C$6&amp;"|"&amp;$A12&amp;"|devmo",Market_Data!$K$5:$K$304,0)),"Market-State","Default"))))</f>
        <v/>
      </c>
      <c r="V12" s="2">
        <f>IF(ISNUMBER(MATCH(Org_Profile!$C$4&amp;"|"&amp;$A12&amp;"|margin",Org_Overrides!$H$5:$H$304,0)),"Org",IF(INDEX(Org_Profile!$C$9:$C$12,MATCH(Use_Library!$C$12,Org_Profile!$B$9:$B$12,0))&lt;&gt;"","Org engine margin","Default"))</f>
        <v/>
      </c>
      <c r="W12" s="2">
        <f>IF(ISNUMBER(MATCH(Location!$C$4&amp;"|"&amp;$A12&amp;"|lotprice",Market_Data!$K$5:$K$304,0)),"Market-City",IF(ISNUMBER(MATCH(Location!$C$5&amp;"|"&amp;$A12&amp;"|lotprice",Market_Data!$K$5:$K$304,0)),"Market-County",IF(ISNUMBER(MATCH(Location!$C$6&amp;"|"&amp;$A12&amp;"|lotprice",Market_Data!$K$5:$K$304,0)),"Market-State",IF(ISNUMBER(MATCH(Org_Profile!$C$4&amp;"|"&amp;$A12&amp;"|lotprice",Org_Overrides!$H$5:$H$304,0)),"Org","Default x index"))))</f>
        <v/>
      </c>
      <c r="X12" s="2">
        <f>IF(ISNUMBER(MATCH(Location!$C$4&amp;"|"&amp;$A12&amp;"|saleprice",Market_Data!$K$5:$K$304,0)),"Market-City",IF(ISNUMBER(MATCH(Location!$C$5&amp;"|"&amp;$A12&amp;"|saleprice",Market_Data!$K$5:$K$304,0)),"Market-County",IF(ISNUMBER(MATCH(Location!$C$6&amp;"|"&amp;$A12&amp;"|saleprice",Market_Data!$K$5:$K$304,0)),"Market-State",IF(ISNUMBER(MATCH(Org_Profile!$C$4&amp;"|"&amp;$A12&amp;"|saleprice",Org_Overrides!$H$5:$H$304,0)),"Org","Default x index"))))</f>
        <v/>
      </c>
      <c r="Y12" s="2">
        <f>IF(ISNUMBER(MATCH(Location!$C$4&amp;"|"&amp;$A12&amp;"|landac",Market_Data!$K$5:$K$304,0)),"Market-City",IF(ISNUMBER(MATCH(Location!$C$5&amp;"|"&amp;$A12&amp;"|landac",Market_Data!$K$5:$K$304,0)),"Market-County",IF(ISNUMBER(MATCH(Location!$C$6&amp;"|"&amp;$A12&amp;"|landac",Market_Data!$K$5:$K$304,0)),"Market-State",IF(ISNUMBER(MATCH(Org_Profile!$C$4&amp;"|"&amp;$A12&amp;"|landac",Org_Overrides!$H$5:$H$304,0)),"Org","Default x index"))))</f>
        <v/>
      </c>
      <c r="Z12" s="2">
        <f>IF(ISNUMBER(MATCH(Location!$C$4&amp;"|"&amp;$A12&amp;"|rent",Market_Data!$K$5:$K$304,0)),"Market-City",IF(ISNUMBER(MATCH(Location!$C$5&amp;"|"&amp;$A12&amp;"|rent",Market_Data!$K$5:$K$304,0)),"Market-County",IF(ISNUMBER(MATCH(Location!$C$6&amp;"|"&amp;$A12&amp;"|rent",Market_Data!$K$5:$K$304,0)),"Market-State",IF(ISNUMBER(MATCH(Org_Profile!$C$4&amp;"|"&amp;$A12&amp;"|rent",Org_Overrides!$H$5:$H$304,0)),"Org","Default x index"))))</f>
        <v/>
      </c>
      <c r="AA12" s="2">
        <f>IF(ISNUMBER(MATCH(Location!$C$4&amp;"|"&amp;$A12&amp;"|groundrent",Market_Data!$K$5:$K$304,0)),"Market-City",IF(ISNUMBER(MATCH(Location!$C$5&amp;"|"&amp;$A12&amp;"|groundrent",Market_Data!$K$5:$K$304,0)),"Market-County",IF(ISNUMBER(MATCH(Location!$C$6&amp;"|"&amp;$A12&amp;"|groundrent",Market_Data!$K$5:$K$304,0)),"Market-State",IF(ISNUMBER(MATCH(Org_Profile!$C$4&amp;"|"&amp;$A12&amp;"|groundrent",Org_Overrides!$H$5:$H$304,0)),"Org","Default x index"))))</f>
        <v/>
      </c>
      <c r="AB12" s="2">
        <f>IF(ISNUMBER(MATCH(Location!$C$4&amp;"|"&amp;$A12&amp;"|cap",Market_Data!$K$5:$K$304,0)),"Market-City",IF(ISNUMBER(MATCH(Location!$C$5&amp;"|"&amp;$A12&amp;"|cap",Market_Data!$K$5:$K$304,0)),"Market-County",IF(ISNUMBER(MATCH(Location!$C$6&amp;"|"&amp;$A12&amp;"|cap",Market_Data!$K$5:$K$304,0)),"Market-State",IF(ISNUMBER(MATCH(Org_Profile!$C$4&amp;"|"&amp;$A12&amp;"|cap",Org_Overrides!$H$5:$H$304,0)),"Org","Default x index"))))</f>
        <v/>
      </c>
      <c r="AC12" s="2">
        <f>IF(ISNUMBER(MATCH(Location!$C$4&amp;"|"&amp;$A12&amp;"|vac",Market_Data!$K$5:$K$304,0)),"Market-City",IF(ISNUMBER(MATCH(Location!$C$5&amp;"|"&amp;$A12&amp;"|vac",Market_Data!$K$5:$K$304,0)),"Market-County",IF(ISNUMBER(MATCH(Location!$C$6&amp;"|"&amp;$A12&amp;"|vac",Market_Data!$K$5:$K$304,0)),"Market-State",IF(ISNUMBER(MATCH(Org_Profile!$C$4&amp;"|"&amp;$A12&amp;"|vac",Org_Overrides!$H$5:$H$304,0)),"Org","Default"))))</f>
        <v/>
      </c>
      <c r="AD12" s="2">
        <f>IF(ISNUMBER(MATCH(Location!$C$4&amp;"|"&amp;$A12&amp;"|absorb",Market_Data!$K$5:$K$304,0)),"Market-City",IF(ISNUMBER(MATCH(Location!$C$5&amp;"|"&amp;$A12&amp;"|absorb",Market_Data!$K$5:$K$304,0)),"Market-County",IF(ISNUMBER(MATCH(Location!$C$6&amp;"|"&amp;$A12&amp;"|absorb",Market_Data!$K$5:$K$304,0)),"Market-State",IF(ISNUMBER(MATCH(Org_Profile!$C$4&amp;"|"&amp;$A12&amp;"|absorb",Org_Overrides!$H$5:$H$304,0)),"Org","Default"))))</f>
        <v/>
      </c>
      <c r="AE12" s="2">
        <f>IF(ISNUMBER(MATCH(Location!$C$4&amp;"|"&amp;$A12&amp;"|lotabs",Market_Data!$K$5:$K$304,0)),"Market-City",IF(ISNUMBER(MATCH(Location!$C$5&amp;"|"&amp;$A12&amp;"|lotabs",Market_Data!$K$5:$K$304,0)),"Market-County",IF(ISNUMBER(MATCH(Location!$C$6&amp;"|"&amp;$A12&amp;"|lotabs",Market_Data!$K$5:$K$304,0)),"Market-State",IF(ISNUMBER(MATCH(Org_Profile!$C$4&amp;"|"&amp;$A12&amp;"|lotabs",Org_Overrides!$H$5:$H$304,0)),"Org","Default"))))</f>
        <v/>
      </c>
      <c r="AF12" s="15">
        <f>15-COUNTIF(Q12:AE12,"Default*")</f>
        <v/>
      </c>
    </row>
    <row r="13">
      <c r="A13" s="4">
        <f>Use_Library!$A$13</f>
        <v/>
      </c>
      <c r="B13" s="20">
        <f>IFERROR((INDEX(Org_Overrides!$D$5:$D$304,MATCH(Org_Profile!$C$4&amp;"|"&amp;$A13&amp;"|vert",Org_Overrides!$H$5:$H$304,0))*Location!$C$9),IFERROR(INDEX(Market_Data!$D$5:$D$304,MATCH(Location!$C$4&amp;"|"&amp;$A13&amp;"|vert",Market_Data!$K$5:$K$304,0)),IFERROR(INDEX(Market_Data!$D$5:$D$304,MATCH(Location!$C$5&amp;"|"&amp;$A13&amp;"|vert",Market_Data!$K$5:$K$304,0)),IFERROR(INDEX(Market_Data!$D$5:$D$304,MATCH(Location!$C$6&amp;"|"&amp;$A13&amp;"|vert",Market_Data!$K$5:$K$304,0)),(Use_Library!$AF$13*Location!$C$9)))))</f>
        <v/>
      </c>
      <c r="C13" s="20">
        <f>IFERROR((INDEX(Org_Overrides!$D$5:$D$304,MATCH(Org_Profile!$C$4&amp;"|"&amp;$A13&amp;"|entitle",Org_Overrides!$H$5:$H$304,0))*Location!$C$9),IFERROR(INDEX(Market_Data!$D$5:$D$304,MATCH(Location!$C$4&amp;"|"&amp;$A13&amp;"|entitle",Market_Data!$K$5:$K$304,0)),IFERROR(INDEX(Market_Data!$D$5:$D$304,MATCH(Location!$C$5&amp;"|"&amp;$A13&amp;"|entitle",Market_Data!$K$5:$K$304,0)),IFERROR(INDEX(Market_Data!$D$5:$D$304,MATCH(Location!$C$6&amp;"|"&amp;$A13&amp;"|entitle",Market_Data!$K$5:$K$304,0)),(Use_Library!$AE$13*Location!$C$9)))))</f>
        <v/>
      </c>
      <c r="D13" s="20">
        <f>IFERROR((INDEX(Org_Overrides!$D$5:$D$304,MATCH(Org_Profile!$C$4&amp;"|"&amp;$A13&amp;"|tilc",Org_Overrides!$H$5:$H$304,0))*Location!$C$9),IFERROR(INDEX(Market_Data!$D$5:$D$304,MATCH(Location!$C$4&amp;"|"&amp;$A13&amp;"|tilc",Market_Data!$K$5:$K$304,0)),IFERROR(INDEX(Market_Data!$D$5:$D$304,MATCH(Location!$C$5&amp;"|"&amp;$A13&amp;"|tilc",Market_Data!$K$5:$K$304,0)),IFERROR(INDEX(Market_Data!$D$5:$D$304,MATCH(Location!$C$6&amp;"|"&amp;$A13&amp;"|tilc",Market_Data!$K$5:$K$304,0)),(Use_Library!$AG$13*Location!$C$9)))))</f>
        <v/>
      </c>
      <c r="E13" s="20">
        <f>IFERROR((INDEX(Org_Overrides!$D$5:$D$304,MATCH(Org_Profile!$C$4&amp;"|"&amp;$A13&amp;"|opex",Org_Overrides!$H$5:$H$304,0))*Location!$C$13),IFERROR(INDEX(Market_Data!$D$5:$D$304,MATCH(Location!$C$4&amp;"|"&amp;$A13&amp;"|opex",Market_Data!$K$5:$K$304,0)),IFERROR(INDEX(Market_Data!$D$5:$D$304,MATCH(Location!$C$5&amp;"|"&amp;$A13&amp;"|opex",Market_Data!$K$5:$K$304,0)),IFERROR(INDEX(Market_Data!$D$5:$D$304,MATCH(Location!$C$6&amp;"|"&amp;$A13&amp;"|opex",Market_Data!$K$5:$K$304,0)),(Use_Library!$AN$13*Location!$C$13)))))</f>
        <v/>
      </c>
      <c r="F13" s="9">
        <f>IFERROR(INDEX(Org_Overrides!$D$5:$D$304,MATCH(Org_Profile!$C$4&amp;"|"&amp;$A13&amp;"|devmo",Org_Overrides!$H$5:$H$304,0)),IFERROR(INDEX(Market_Data!$D$5:$D$304,MATCH(Location!$C$4&amp;"|"&amp;$A13&amp;"|devmo",Market_Data!$K$5:$K$304,0)),IFERROR(INDEX(Market_Data!$D$5:$D$304,MATCH(Location!$C$5&amp;"|"&amp;$A13&amp;"|devmo",Market_Data!$K$5:$K$304,0)),IFERROR(INDEX(Market_Data!$D$5:$D$304,MATCH(Location!$C$6&amp;"|"&amp;$A13&amp;"|devmo",Market_Data!$K$5:$K$304,0)),Use_Library!$AH$13))))</f>
        <v/>
      </c>
      <c r="G13" s="23">
        <f>IFERROR(INDEX(Org_Overrides!$D$5:$D$304,MATCH(Org_Profile!$C$4&amp;"|"&amp;$A13&amp;"|margin",Org_Overrides!$H$5:$H$304,0)),IF(INDEX(Org_Profile!$C$9:$C$12,MATCH(Use_Library!$C$13,Org_Profile!$B$9:$B$12,0))&lt;&gt;"",INDEX(Org_Profile!$C$9:$C$12,MATCH(Use_Library!$C$13,Org_Profile!$B$9:$B$12,0)),Use_Library!$AU$13))</f>
        <v/>
      </c>
      <c r="H13" s="20">
        <f>IFERROR(INDEX(Market_Data!$D$5:$D$304,MATCH(Location!$C$4&amp;"|"&amp;$A13&amp;"|lotprice",Market_Data!$K$5:$K$304,0)),IFERROR(INDEX(Market_Data!$D$5:$D$304,MATCH(Location!$C$5&amp;"|"&amp;$A13&amp;"|lotprice",Market_Data!$K$5:$K$304,0)),IFERROR(INDEX(Market_Data!$D$5:$D$304,MATCH(Location!$C$6&amp;"|"&amp;$A13&amp;"|lotprice",Market_Data!$K$5:$K$304,0)),IFERROR((INDEX(Org_Overrides!$D$5:$D$304,MATCH(Org_Profile!$C$4&amp;"|"&amp;$A13&amp;"|lotprice",Org_Overrides!$H$5:$H$304,0))*Location!$C$10),(Use_Library!$AI$13*Location!$C$10)))))</f>
        <v/>
      </c>
      <c r="I13" s="20">
        <f>IFERROR(INDEX(Market_Data!$D$5:$D$304,MATCH(Location!$C$4&amp;"|"&amp;$A13&amp;"|saleprice",Market_Data!$K$5:$K$304,0)),IFERROR(INDEX(Market_Data!$D$5:$D$304,MATCH(Location!$C$5&amp;"|"&amp;$A13&amp;"|saleprice",Market_Data!$K$5:$K$304,0)),IFERROR(INDEX(Market_Data!$D$5:$D$304,MATCH(Location!$C$6&amp;"|"&amp;$A13&amp;"|saleprice",Market_Data!$K$5:$K$304,0)),IFERROR((INDEX(Org_Overrides!$D$5:$D$304,MATCH(Org_Profile!$C$4&amp;"|"&amp;$A13&amp;"|saleprice",Org_Overrides!$H$5:$H$304,0))*Location!$C$10),(Use_Library!$AJ$13*Location!$C$10)))))</f>
        <v/>
      </c>
      <c r="J13" s="20">
        <f>IFERROR(INDEX(Market_Data!$D$5:$D$304,MATCH(Location!$C$4&amp;"|"&amp;$A13&amp;"|landac",Market_Data!$K$5:$K$304,0)),IFERROR(INDEX(Market_Data!$D$5:$D$304,MATCH(Location!$C$5&amp;"|"&amp;$A13&amp;"|landac",Market_Data!$K$5:$K$304,0)),IFERROR(INDEX(Market_Data!$D$5:$D$304,MATCH(Location!$C$6&amp;"|"&amp;$A13&amp;"|landac",Market_Data!$K$5:$K$304,0)),IFERROR((INDEX(Org_Overrides!$D$5:$D$304,MATCH(Org_Profile!$C$4&amp;"|"&amp;$A13&amp;"|landac",Org_Overrides!$H$5:$H$304,0))*Location!$C$10),(Use_Library!$AS$13*Location!$C$10)))))</f>
        <v/>
      </c>
      <c r="K13" s="20">
        <f>IFERROR(INDEX(Market_Data!$D$5:$D$304,MATCH(Location!$C$4&amp;"|"&amp;$A13&amp;"|rent",Market_Data!$K$5:$K$304,0)),IFERROR(INDEX(Market_Data!$D$5:$D$304,MATCH(Location!$C$5&amp;"|"&amp;$A13&amp;"|rent",Market_Data!$K$5:$K$304,0)),IFERROR(INDEX(Market_Data!$D$5:$D$304,MATCH(Location!$C$6&amp;"|"&amp;$A13&amp;"|rent",Market_Data!$K$5:$K$304,0)),IFERROR((INDEX(Org_Overrides!$D$5:$D$304,MATCH(Org_Profile!$C$4&amp;"|"&amp;$A13&amp;"|rent",Org_Overrides!$H$5:$H$304,0))*Location!$C$11),(Use_Library!$AK$13*Location!$C$11)))))</f>
        <v/>
      </c>
      <c r="L13" s="20">
        <f>IFERROR(INDEX(Market_Data!$D$5:$D$304,MATCH(Location!$C$4&amp;"|"&amp;$A13&amp;"|groundrent",Market_Data!$K$5:$K$304,0)),IFERROR(INDEX(Market_Data!$D$5:$D$304,MATCH(Location!$C$5&amp;"|"&amp;$A13&amp;"|groundrent",Market_Data!$K$5:$K$304,0)),IFERROR(INDEX(Market_Data!$D$5:$D$304,MATCH(Location!$C$6&amp;"|"&amp;$A13&amp;"|groundrent",Market_Data!$K$5:$K$304,0)),IFERROR((INDEX(Org_Overrides!$D$5:$D$304,MATCH(Org_Profile!$C$4&amp;"|"&amp;$A13&amp;"|groundrent",Org_Overrides!$H$5:$H$304,0))*Location!$C$11),(Use_Library!$AT$13*Location!$C$11)))))</f>
        <v/>
      </c>
      <c r="M13" s="23">
        <f>IFERROR(INDEX(Market_Data!$D$5:$D$304,MATCH(Location!$C$4&amp;"|"&amp;$A13&amp;"|cap",Market_Data!$K$5:$K$304,0)),IFERROR(INDEX(Market_Data!$D$5:$D$304,MATCH(Location!$C$5&amp;"|"&amp;$A13&amp;"|cap",Market_Data!$K$5:$K$304,0)),IFERROR(INDEX(Market_Data!$D$5:$D$304,MATCH(Location!$C$6&amp;"|"&amp;$A13&amp;"|cap",Market_Data!$K$5:$K$304,0)),IFERROR((INDEX(Org_Overrides!$D$5:$D$304,MATCH(Org_Profile!$C$4&amp;"|"&amp;$A13&amp;"|cap",Org_Overrides!$H$5:$H$304,0))+Location!$C$12),(Use_Library!$AR$13+Location!$C$12)))))</f>
        <v/>
      </c>
      <c r="N13" s="23">
        <f>IFERROR(INDEX(Market_Data!$D$5:$D$304,MATCH(Location!$C$4&amp;"|"&amp;$A13&amp;"|vac",Market_Data!$K$5:$K$304,0)),IFERROR(INDEX(Market_Data!$D$5:$D$304,MATCH(Location!$C$5&amp;"|"&amp;$A13&amp;"|vac",Market_Data!$K$5:$K$304,0)),IFERROR(INDEX(Market_Data!$D$5:$D$304,MATCH(Location!$C$6&amp;"|"&amp;$A13&amp;"|vac",Market_Data!$K$5:$K$304,0)),IFERROR(INDEX(Org_Overrides!$D$5:$D$304,MATCH(Org_Profile!$C$4&amp;"|"&amp;$A13&amp;"|vac",Org_Overrides!$H$5:$H$304,0)),Use_Library!$AM$13))))</f>
        <v/>
      </c>
      <c r="O13" s="24">
        <f>IFERROR(INDEX(Market_Data!$D$5:$D$304,MATCH(Location!$C$4&amp;"|"&amp;$A13&amp;"|absorb",Market_Data!$K$5:$K$304,0)),IFERROR(INDEX(Market_Data!$D$5:$D$304,MATCH(Location!$C$5&amp;"|"&amp;$A13&amp;"|absorb",Market_Data!$K$5:$K$304,0)),IFERROR(INDEX(Market_Data!$D$5:$D$304,MATCH(Location!$C$6&amp;"|"&amp;$A13&amp;"|absorb",Market_Data!$K$5:$K$304,0)),IFERROR(INDEX(Org_Overrides!$D$5:$D$304,MATCH(Org_Profile!$C$4&amp;"|"&amp;$A13&amp;"|absorb",Org_Overrides!$H$5:$H$304,0)),Use_Library!$R$13))))</f>
        <v/>
      </c>
      <c r="P13" s="24">
        <f>IFERROR(INDEX(Market_Data!$D$5:$D$304,MATCH(Location!$C$4&amp;"|"&amp;$A13&amp;"|lotabs",Market_Data!$K$5:$K$304,0)),IFERROR(INDEX(Market_Data!$D$5:$D$304,MATCH(Location!$C$5&amp;"|"&amp;$A13&amp;"|lotabs",Market_Data!$K$5:$K$304,0)),IFERROR(INDEX(Market_Data!$D$5:$D$304,MATCH(Location!$C$6&amp;"|"&amp;$A13&amp;"|lotabs",Market_Data!$K$5:$K$304,0)),IFERROR(INDEX(Org_Overrides!$D$5:$D$304,MATCH(Org_Profile!$C$4&amp;"|"&amp;$A13&amp;"|lotabs",Org_Overrides!$H$5:$H$304,0)),Use_Library!$S$13))))</f>
        <v/>
      </c>
      <c r="Q13" s="2">
        <f>IF(ISNUMBER(MATCH(Org_Profile!$C$4&amp;"|"&amp;$A13&amp;"|vert",Org_Overrides!$H$5:$H$304,0)),"Org",IF(ISNUMBER(MATCH(Location!$C$4&amp;"|"&amp;$A13&amp;"|vert",Market_Data!$K$5:$K$304,0)),"Market-City",IF(ISNUMBER(MATCH(Location!$C$5&amp;"|"&amp;$A13&amp;"|vert",Market_Data!$K$5:$K$304,0)),"Market-County",IF(ISNUMBER(MATCH(Location!$C$6&amp;"|"&amp;$A13&amp;"|vert",Market_Data!$K$5:$K$304,0)),"Market-State","Default x index"))))</f>
        <v/>
      </c>
      <c r="R13" s="2">
        <f>IF(ISNUMBER(MATCH(Org_Profile!$C$4&amp;"|"&amp;$A13&amp;"|entitle",Org_Overrides!$H$5:$H$304,0)),"Org",IF(ISNUMBER(MATCH(Location!$C$4&amp;"|"&amp;$A13&amp;"|entitle",Market_Data!$K$5:$K$304,0)),"Market-City",IF(ISNUMBER(MATCH(Location!$C$5&amp;"|"&amp;$A13&amp;"|entitle",Market_Data!$K$5:$K$304,0)),"Market-County",IF(ISNUMBER(MATCH(Location!$C$6&amp;"|"&amp;$A13&amp;"|entitle",Market_Data!$K$5:$K$304,0)),"Market-State","Default x index"))))</f>
        <v/>
      </c>
      <c r="S13" s="2">
        <f>IF(ISNUMBER(MATCH(Org_Profile!$C$4&amp;"|"&amp;$A13&amp;"|tilc",Org_Overrides!$H$5:$H$304,0)),"Org",IF(ISNUMBER(MATCH(Location!$C$4&amp;"|"&amp;$A13&amp;"|tilc",Market_Data!$K$5:$K$304,0)),"Market-City",IF(ISNUMBER(MATCH(Location!$C$5&amp;"|"&amp;$A13&amp;"|tilc",Market_Data!$K$5:$K$304,0)),"Market-County",IF(ISNUMBER(MATCH(Location!$C$6&amp;"|"&amp;$A13&amp;"|tilc",Market_Data!$K$5:$K$304,0)),"Market-State","Default x index"))))</f>
        <v/>
      </c>
      <c r="T13" s="2">
        <f>IF(ISNUMBER(MATCH(Org_Profile!$C$4&amp;"|"&amp;$A13&amp;"|opex",Org_Overrides!$H$5:$H$304,0)),"Org",IF(ISNUMBER(MATCH(Location!$C$4&amp;"|"&amp;$A13&amp;"|opex",Market_Data!$K$5:$K$304,0)),"Market-City",IF(ISNUMBER(MATCH(Location!$C$5&amp;"|"&amp;$A13&amp;"|opex",Market_Data!$K$5:$K$304,0)),"Market-County",IF(ISNUMBER(MATCH(Location!$C$6&amp;"|"&amp;$A13&amp;"|opex",Market_Data!$K$5:$K$304,0)),"Market-State","Default x index"))))</f>
        <v/>
      </c>
      <c r="U13" s="2">
        <f>IF(ISNUMBER(MATCH(Org_Profile!$C$4&amp;"|"&amp;$A13&amp;"|devmo",Org_Overrides!$H$5:$H$304,0)),"Org",IF(ISNUMBER(MATCH(Location!$C$4&amp;"|"&amp;$A13&amp;"|devmo",Market_Data!$K$5:$K$304,0)),"Market-City",IF(ISNUMBER(MATCH(Location!$C$5&amp;"|"&amp;$A13&amp;"|devmo",Market_Data!$K$5:$K$304,0)),"Market-County",IF(ISNUMBER(MATCH(Location!$C$6&amp;"|"&amp;$A13&amp;"|devmo",Market_Data!$K$5:$K$304,0)),"Market-State","Default"))))</f>
        <v/>
      </c>
      <c r="V13" s="2">
        <f>IF(ISNUMBER(MATCH(Org_Profile!$C$4&amp;"|"&amp;$A13&amp;"|margin",Org_Overrides!$H$5:$H$304,0)),"Org",IF(INDEX(Org_Profile!$C$9:$C$12,MATCH(Use_Library!$C$13,Org_Profile!$B$9:$B$12,0))&lt;&gt;"","Org engine margin","Default"))</f>
        <v/>
      </c>
      <c r="W13" s="2">
        <f>IF(ISNUMBER(MATCH(Location!$C$4&amp;"|"&amp;$A13&amp;"|lotprice",Market_Data!$K$5:$K$304,0)),"Market-City",IF(ISNUMBER(MATCH(Location!$C$5&amp;"|"&amp;$A13&amp;"|lotprice",Market_Data!$K$5:$K$304,0)),"Market-County",IF(ISNUMBER(MATCH(Location!$C$6&amp;"|"&amp;$A13&amp;"|lotprice",Market_Data!$K$5:$K$304,0)),"Market-State",IF(ISNUMBER(MATCH(Org_Profile!$C$4&amp;"|"&amp;$A13&amp;"|lotprice",Org_Overrides!$H$5:$H$304,0)),"Org","Default x index"))))</f>
        <v/>
      </c>
      <c r="X13" s="2">
        <f>IF(ISNUMBER(MATCH(Location!$C$4&amp;"|"&amp;$A13&amp;"|saleprice",Market_Data!$K$5:$K$304,0)),"Market-City",IF(ISNUMBER(MATCH(Location!$C$5&amp;"|"&amp;$A13&amp;"|saleprice",Market_Data!$K$5:$K$304,0)),"Market-County",IF(ISNUMBER(MATCH(Location!$C$6&amp;"|"&amp;$A13&amp;"|saleprice",Market_Data!$K$5:$K$304,0)),"Market-State",IF(ISNUMBER(MATCH(Org_Profile!$C$4&amp;"|"&amp;$A13&amp;"|saleprice",Org_Overrides!$H$5:$H$304,0)),"Org","Default x index"))))</f>
        <v/>
      </c>
      <c r="Y13" s="2">
        <f>IF(ISNUMBER(MATCH(Location!$C$4&amp;"|"&amp;$A13&amp;"|landac",Market_Data!$K$5:$K$304,0)),"Market-City",IF(ISNUMBER(MATCH(Location!$C$5&amp;"|"&amp;$A13&amp;"|landac",Market_Data!$K$5:$K$304,0)),"Market-County",IF(ISNUMBER(MATCH(Location!$C$6&amp;"|"&amp;$A13&amp;"|landac",Market_Data!$K$5:$K$304,0)),"Market-State",IF(ISNUMBER(MATCH(Org_Profile!$C$4&amp;"|"&amp;$A13&amp;"|landac",Org_Overrides!$H$5:$H$304,0)),"Org","Default x index"))))</f>
        <v/>
      </c>
      <c r="Z13" s="2">
        <f>IF(ISNUMBER(MATCH(Location!$C$4&amp;"|"&amp;$A13&amp;"|rent",Market_Data!$K$5:$K$304,0)),"Market-City",IF(ISNUMBER(MATCH(Location!$C$5&amp;"|"&amp;$A13&amp;"|rent",Market_Data!$K$5:$K$304,0)),"Market-County",IF(ISNUMBER(MATCH(Location!$C$6&amp;"|"&amp;$A13&amp;"|rent",Market_Data!$K$5:$K$304,0)),"Market-State",IF(ISNUMBER(MATCH(Org_Profile!$C$4&amp;"|"&amp;$A13&amp;"|rent",Org_Overrides!$H$5:$H$304,0)),"Org","Default x index"))))</f>
        <v/>
      </c>
      <c r="AA13" s="2">
        <f>IF(ISNUMBER(MATCH(Location!$C$4&amp;"|"&amp;$A13&amp;"|groundrent",Market_Data!$K$5:$K$304,0)),"Market-City",IF(ISNUMBER(MATCH(Location!$C$5&amp;"|"&amp;$A13&amp;"|groundrent",Market_Data!$K$5:$K$304,0)),"Market-County",IF(ISNUMBER(MATCH(Location!$C$6&amp;"|"&amp;$A13&amp;"|groundrent",Market_Data!$K$5:$K$304,0)),"Market-State",IF(ISNUMBER(MATCH(Org_Profile!$C$4&amp;"|"&amp;$A13&amp;"|groundrent",Org_Overrides!$H$5:$H$304,0)),"Org","Default x index"))))</f>
        <v/>
      </c>
      <c r="AB13" s="2">
        <f>IF(ISNUMBER(MATCH(Location!$C$4&amp;"|"&amp;$A13&amp;"|cap",Market_Data!$K$5:$K$304,0)),"Market-City",IF(ISNUMBER(MATCH(Location!$C$5&amp;"|"&amp;$A13&amp;"|cap",Market_Data!$K$5:$K$304,0)),"Market-County",IF(ISNUMBER(MATCH(Location!$C$6&amp;"|"&amp;$A13&amp;"|cap",Market_Data!$K$5:$K$304,0)),"Market-State",IF(ISNUMBER(MATCH(Org_Profile!$C$4&amp;"|"&amp;$A13&amp;"|cap",Org_Overrides!$H$5:$H$304,0)),"Org","Default x index"))))</f>
        <v/>
      </c>
      <c r="AC13" s="2">
        <f>IF(ISNUMBER(MATCH(Location!$C$4&amp;"|"&amp;$A13&amp;"|vac",Market_Data!$K$5:$K$304,0)),"Market-City",IF(ISNUMBER(MATCH(Location!$C$5&amp;"|"&amp;$A13&amp;"|vac",Market_Data!$K$5:$K$304,0)),"Market-County",IF(ISNUMBER(MATCH(Location!$C$6&amp;"|"&amp;$A13&amp;"|vac",Market_Data!$K$5:$K$304,0)),"Market-State",IF(ISNUMBER(MATCH(Org_Profile!$C$4&amp;"|"&amp;$A13&amp;"|vac",Org_Overrides!$H$5:$H$304,0)),"Org","Default"))))</f>
        <v/>
      </c>
      <c r="AD13" s="2">
        <f>IF(ISNUMBER(MATCH(Location!$C$4&amp;"|"&amp;$A13&amp;"|absorb",Market_Data!$K$5:$K$304,0)),"Market-City",IF(ISNUMBER(MATCH(Location!$C$5&amp;"|"&amp;$A13&amp;"|absorb",Market_Data!$K$5:$K$304,0)),"Market-County",IF(ISNUMBER(MATCH(Location!$C$6&amp;"|"&amp;$A13&amp;"|absorb",Market_Data!$K$5:$K$304,0)),"Market-State",IF(ISNUMBER(MATCH(Org_Profile!$C$4&amp;"|"&amp;$A13&amp;"|absorb",Org_Overrides!$H$5:$H$304,0)),"Org","Default"))))</f>
        <v/>
      </c>
      <c r="AE13" s="2">
        <f>IF(ISNUMBER(MATCH(Location!$C$4&amp;"|"&amp;$A13&amp;"|lotabs",Market_Data!$K$5:$K$304,0)),"Market-City",IF(ISNUMBER(MATCH(Location!$C$5&amp;"|"&amp;$A13&amp;"|lotabs",Market_Data!$K$5:$K$304,0)),"Market-County",IF(ISNUMBER(MATCH(Location!$C$6&amp;"|"&amp;$A13&amp;"|lotabs",Market_Data!$K$5:$K$304,0)),"Market-State",IF(ISNUMBER(MATCH(Org_Profile!$C$4&amp;"|"&amp;$A13&amp;"|lotabs",Org_Overrides!$H$5:$H$304,0)),"Org","Default"))))</f>
        <v/>
      </c>
      <c r="AF13" s="15">
        <f>15-COUNTIF(Q13:AE13,"Default*")</f>
        <v/>
      </c>
    </row>
    <row r="14">
      <c r="A14" s="4">
        <f>Use_Library!$A$14</f>
        <v/>
      </c>
      <c r="B14" s="20">
        <f>IFERROR((INDEX(Org_Overrides!$D$5:$D$304,MATCH(Org_Profile!$C$4&amp;"|"&amp;$A14&amp;"|vert",Org_Overrides!$H$5:$H$304,0))*Location!$C$9),IFERROR(INDEX(Market_Data!$D$5:$D$304,MATCH(Location!$C$4&amp;"|"&amp;$A14&amp;"|vert",Market_Data!$K$5:$K$304,0)),IFERROR(INDEX(Market_Data!$D$5:$D$304,MATCH(Location!$C$5&amp;"|"&amp;$A14&amp;"|vert",Market_Data!$K$5:$K$304,0)),IFERROR(INDEX(Market_Data!$D$5:$D$304,MATCH(Location!$C$6&amp;"|"&amp;$A14&amp;"|vert",Market_Data!$K$5:$K$304,0)),(Use_Library!$AF$14*Location!$C$9)))))</f>
        <v/>
      </c>
      <c r="C14" s="20">
        <f>IFERROR((INDEX(Org_Overrides!$D$5:$D$304,MATCH(Org_Profile!$C$4&amp;"|"&amp;$A14&amp;"|entitle",Org_Overrides!$H$5:$H$304,0))*Location!$C$9),IFERROR(INDEX(Market_Data!$D$5:$D$304,MATCH(Location!$C$4&amp;"|"&amp;$A14&amp;"|entitle",Market_Data!$K$5:$K$304,0)),IFERROR(INDEX(Market_Data!$D$5:$D$304,MATCH(Location!$C$5&amp;"|"&amp;$A14&amp;"|entitle",Market_Data!$K$5:$K$304,0)),IFERROR(INDEX(Market_Data!$D$5:$D$304,MATCH(Location!$C$6&amp;"|"&amp;$A14&amp;"|entitle",Market_Data!$K$5:$K$304,0)),(Use_Library!$AE$14*Location!$C$9)))))</f>
        <v/>
      </c>
      <c r="D14" s="20">
        <f>IFERROR((INDEX(Org_Overrides!$D$5:$D$304,MATCH(Org_Profile!$C$4&amp;"|"&amp;$A14&amp;"|tilc",Org_Overrides!$H$5:$H$304,0))*Location!$C$9),IFERROR(INDEX(Market_Data!$D$5:$D$304,MATCH(Location!$C$4&amp;"|"&amp;$A14&amp;"|tilc",Market_Data!$K$5:$K$304,0)),IFERROR(INDEX(Market_Data!$D$5:$D$304,MATCH(Location!$C$5&amp;"|"&amp;$A14&amp;"|tilc",Market_Data!$K$5:$K$304,0)),IFERROR(INDEX(Market_Data!$D$5:$D$304,MATCH(Location!$C$6&amp;"|"&amp;$A14&amp;"|tilc",Market_Data!$K$5:$K$304,0)),(Use_Library!$AG$14*Location!$C$9)))))</f>
        <v/>
      </c>
      <c r="E14" s="20">
        <f>IFERROR((INDEX(Org_Overrides!$D$5:$D$304,MATCH(Org_Profile!$C$4&amp;"|"&amp;$A14&amp;"|opex",Org_Overrides!$H$5:$H$304,0))*Location!$C$13),IFERROR(INDEX(Market_Data!$D$5:$D$304,MATCH(Location!$C$4&amp;"|"&amp;$A14&amp;"|opex",Market_Data!$K$5:$K$304,0)),IFERROR(INDEX(Market_Data!$D$5:$D$304,MATCH(Location!$C$5&amp;"|"&amp;$A14&amp;"|opex",Market_Data!$K$5:$K$304,0)),IFERROR(INDEX(Market_Data!$D$5:$D$304,MATCH(Location!$C$6&amp;"|"&amp;$A14&amp;"|opex",Market_Data!$K$5:$K$304,0)),(Use_Library!$AN$14*Location!$C$13)))))</f>
        <v/>
      </c>
      <c r="F14" s="9">
        <f>IFERROR(INDEX(Org_Overrides!$D$5:$D$304,MATCH(Org_Profile!$C$4&amp;"|"&amp;$A14&amp;"|devmo",Org_Overrides!$H$5:$H$304,0)),IFERROR(INDEX(Market_Data!$D$5:$D$304,MATCH(Location!$C$4&amp;"|"&amp;$A14&amp;"|devmo",Market_Data!$K$5:$K$304,0)),IFERROR(INDEX(Market_Data!$D$5:$D$304,MATCH(Location!$C$5&amp;"|"&amp;$A14&amp;"|devmo",Market_Data!$K$5:$K$304,0)),IFERROR(INDEX(Market_Data!$D$5:$D$304,MATCH(Location!$C$6&amp;"|"&amp;$A14&amp;"|devmo",Market_Data!$K$5:$K$304,0)),Use_Library!$AH$14))))</f>
        <v/>
      </c>
      <c r="G14" s="23">
        <f>IFERROR(INDEX(Org_Overrides!$D$5:$D$304,MATCH(Org_Profile!$C$4&amp;"|"&amp;$A14&amp;"|margin",Org_Overrides!$H$5:$H$304,0)),IF(INDEX(Org_Profile!$C$9:$C$12,MATCH(Use_Library!$C$14,Org_Profile!$B$9:$B$12,0))&lt;&gt;"",INDEX(Org_Profile!$C$9:$C$12,MATCH(Use_Library!$C$14,Org_Profile!$B$9:$B$12,0)),Use_Library!$AU$14))</f>
        <v/>
      </c>
      <c r="H14" s="20">
        <f>IFERROR(INDEX(Market_Data!$D$5:$D$304,MATCH(Location!$C$4&amp;"|"&amp;$A14&amp;"|lotprice",Market_Data!$K$5:$K$304,0)),IFERROR(INDEX(Market_Data!$D$5:$D$304,MATCH(Location!$C$5&amp;"|"&amp;$A14&amp;"|lotprice",Market_Data!$K$5:$K$304,0)),IFERROR(INDEX(Market_Data!$D$5:$D$304,MATCH(Location!$C$6&amp;"|"&amp;$A14&amp;"|lotprice",Market_Data!$K$5:$K$304,0)),IFERROR((INDEX(Org_Overrides!$D$5:$D$304,MATCH(Org_Profile!$C$4&amp;"|"&amp;$A14&amp;"|lotprice",Org_Overrides!$H$5:$H$304,0))*Location!$C$10),(Use_Library!$AI$14*Location!$C$10)))))</f>
        <v/>
      </c>
      <c r="I14" s="20">
        <f>IFERROR(INDEX(Market_Data!$D$5:$D$304,MATCH(Location!$C$4&amp;"|"&amp;$A14&amp;"|saleprice",Market_Data!$K$5:$K$304,0)),IFERROR(INDEX(Market_Data!$D$5:$D$304,MATCH(Location!$C$5&amp;"|"&amp;$A14&amp;"|saleprice",Market_Data!$K$5:$K$304,0)),IFERROR(INDEX(Market_Data!$D$5:$D$304,MATCH(Location!$C$6&amp;"|"&amp;$A14&amp;"|saleprice",Market_Data!$K$5:$K$304,0)),IFERROR((INDEX(Org_Overrides!$D$5:$D$304,MATCH(Org_Profile!$C$4&amp;"|"&amp;$A14&amp;"|saleprice",Org_Overrides!$H$5:$H$304,0))*Location!$C$10),(Use_Library!$AJ$14*Location!$C$10)))))</f>
        <v/>
      </c>
      <c r="J14" s="20">
        <f>IFERROR(INDEX(Market_Data!$D$5:$D$304,MATCH(Location!$C$4&amp;"|"&amp;$A14&amp;"|landac",Market_Data!$K$5:$K$304,0)),IFERROR(INDEX(Market_Data!$D$5:$D$304,MATCH(Location!$C$5&amp;"|"&amp;$A14&amp;"|landac",Market_Data!$K$5:$K$304,0)),IFERROR(INDEX(Market_Data!$D$5:$D$304,MATCH(Location!$C$6&amp;"|"&amp;$A14&amp;"|landac",Market_Data!$K$5:$K$304,0)),IFERROR((INDEX(Org_Overrides!$D$5:$D$304,MATCH(Org_Profile!$C$4&amp;"|"&amp;$A14&amp;"|landac",Org_Overrides!$H$5:$H$304,0))*Location!$C$10),(Use_Library!$AS$14*Location!$C$10)))))</f>
        <v/>
      </c>
      <c r="K14" s="20">
        <f>IFERROR(INDEX(Market_Data!$D$5:$D$304,MATCH(Location!$C$4&amp;"|"&amp;$A14&amp;"|rent",Market_Data!$K$5:$K$304,0)),IFERROR(INDEX(Market_Data!$D$5:$D$304,MATCH(Location!$C$5&amp;"|"&amp;$A14&amp;"|rent",Market_Data!$K$5:$K$304,0)),IFERROR(INDEX(Market_Data!$D$5:$D$304,MATCH(Location!$C$6&amp;"|"&amp;$A14&amp;"|rent",Market_Data!$K$5:$K$304,0)),IFERROR((INDEX(Org_Overrides!$D$5:$D$304,MATCH(Org_Profile!$C$4&amp;"|"&amp;$A14&amp;"|rent",Org_Overrides!$H$5:$H$304,0))*Location!$C$11),(Use_Library!$AK$14*Location!$C$11)))))</f>
        <v/>
      </c>
      <c r="L14" s="20">
        <f>IFERROR(INDEX(Market_Data!$D$5:$D$304,MATCH(Location!$C$4&amp;"|"&amp;$A14&amp;"|groundrent",Market_Data!$K$5:$K$304,0)),IFERROR(INDEX(Market_Data!$D$5:$D$304,MATCH(Location!$C$5&amp;"|"&amp;$A14&amp;"|groundrent",Market_Data!$K$5:$K$304,0)),IFERROR(INDEX(Market_Data!$D$5:$D$304,MATCH(Location!$C$6&amp;"|"&amp;$A14&amp;"|groundrent",Market_Data!$K$5:$K$304,0)),IFERROR((INDEX(Org_Overrides!$D$5:$D$304,MATCH(Org_Profile!$C$4&amp;"|"&amp;$A14&amp;"|groundrent",Org_Overrides!$H$5:$H$304,0))*Location!$C$11),(Use_Library!$AT$14*Location!$C$11)))))</f>
        <v/>
      </c>
      <c r="M14" s="23">
        <f>IFERROR(INDEX(Market_Data!$D$5:$D$304,MATCH(Location!$C$4&amp;"|"&amp;$A14&amp;"|cap",Market_Data!$K$5:$K$304,0)),IFERROR(INDEX(Market_Data!$D$5:$D$304,MATCH(Location!$C$5&amp;"|"&amp;$A14&amp;"|cap",Market_Data!$K$5:$K$304,0)),IFERROR(INDEX(Market_Data!$D$5:$D$304,MATCH(Location!$C$6&amp;"|"&amp;$A14&amp;"|cap",Market_Data!$K$5:$K$304,0)),IFERROR((INDEX(Org_Overrides!$D$5:$D$304,MATCH(Org_Profile!$C$4&amp;"|"&amp;$A14&amp;"|cap",Org_Overrides!$H$5:$H$304,0))+Location!$C$12),(Use_Library!$AR$14+Location!$C$12)))))</f>
        <v/>
      </c>
      <c r="N14" s="23">
        <f>IFERROR(INDEX(Market_Data!$D$5:$D$304,MATCH(Location!$C$4&amp;"|"&amp;$A14&amp;"|vac",Market_Data!$K$5:$K$304,0)),IFERROR(INDEX(Market_Data!$D$5:$D$304,MATCH(Location!$C$5&amp;"|"&amp;$A14&amp;"|vac",Market_Data!$K$5:$K$304,0)),IFERROR(INDEX(Market_Data!$D$5:$D$304,MATCH(Location!$C$6&amp;"|"&amp;$A14&amp;"|vac",Market_Data!$K$5:$K$304,0)),IFERROR(INDEX(Org_Overrides!$D$5:$D$304,MATCH(Org_Profile!$C$4&amp;"|"&amp;$A14&amp;"|vac",Org_Overrides!$H$5:$H$304,0)),Use_Library!$AM$14))))</f>
        <v/>
      </c>
      <c r="O14" s="24">
        <f>IFERROR(INDEX(Market_Data!$D$5:$D$304,MATCH(Location!$C$4&amp;"|"&amp;$A14&amp;"|absorb",Market_Data!$K$5:$K$304,0)),IFERROR(INDEX(Market_Data!$D$5:$D$304,MATCH(Location!$C$5&amp;"|"&amp;$A14&amp;"|absorb",Market_Data!$K$5:$K$304,0)),IFERROR(INDEX(Market_Data!$D$5:$D$304,MATCH(Location!$C$6&amp;"|"&amp;$A14&amp;"|absorb",Market_Data!$K$5:$K$304,0)),IFERROR(INDEX(Org_Overrides!$D$5:$D$304,MATCH(Org_Profile!$C$4&amp;"|"&amp;$A14&amp;"|absorb",Org_Overrides!$H$5:$H$304,0)),Use_Library!$R$14))))</f>
        <v/>
      </c>
      <c r="P14" s="24">
        <f>IFERROR(INDEX(Market_Data!$D$5:$D$304,MATCH(Location!$C$4&amp;"|"&amp;$A14&amp;"|lotabs",Market_Data!$K$5:$K$304,0)),IFERROR(INDEX(Market_Data!$D$5:$D$304,MATCH(Location!$C$5&amp;"|"&amp;$A14&amp;"|lotabs",Market_Data!$K$5:$K$304,0)),IFERROR(INDEX(Market_Data!$D$5:$D$304,MATCH(Location!$C$6&amp;"|"&amp;$A14&amp;"|lotabs",Market_Data!$K$5:$K$304,0)),IFERROR(INDEX(Org_Overrides!$D$5:$D$304,MATCH(Org_Profile!$C$4&amp;"|"&amp;$A14&amp;"|lotabs",Org_Overrides!$H$5:$H$304,0)),Use_Library!$S$14))))</f>
        <v/>
      </c>
      <c r="Q14" s="2">
        <f>IF(ISNUMBER(MATCH(Org_Profile!$C$4&amp;"|"&amp;$A14&amp;"|vert",Org_Overrides!$H$5:$H$304,0)),"Org",IF(ISNUMBER(MATCH(Location!$C$4&amp;"|"&amp;$A14&amp;"|vert",Market_Data!$K$5:$K$304,0)),"Market-City",IF(ISNUMBER(MATCH(Location!$C$5&amp;"|"&amp;$A14&amp;"|vert",Market_Data!$K$5:$K$304,0)),"Market-County",IF(ISNUMBER(MATCH(Location!$C$6&amp;"|"&amp;$A14&amp;"|vert",Market_Data!$K$5:$K$304,0)),"Market-State","Default x index"))))</f>
        <v/>
      </c>
      <c r="R14" s="2">
        <f>IF(ISNUMBER(MATCH(Org_Profile!$C$4&amp;"|"&amp;$A14&amp;"|entitle",Org_Overrides!$H$5:$H$304,0)),"Org",IF(ISNUMBER(MATCH(Location!$C$4&amp;"|"&amp;$A14&amp;"|entitle",Market_Data!$K$5:$K$304,0)),"Market-City",IF(ISNUMBER(MATCH(Location!$C$5&amp;"|"&amp;$A14&amp;"|entitle",Market_Data!$K$5:$K$304,0)),"Market-County",IF(ISNUMBER(MATCH(Location!$C$6&amp;"|"&amp;$A14&amp;"|entitle",Market_Data!$K$5:$K$304,0)),"Market-State","Default x index"))))</f>
        <v/>
      </c>
      <c r="S14" s="2">
        <f>IF(ISNUMBER(MATCH(Org_Profile!$C$4&amp;"|"&amp;$A14&amp;"|tilc",Org_Overrides!$H$5:$H$304,0)),"Org",IF(ISNUMBER(MATCH(Location!$C$4&amp;"|"&amp;$A14&amp;"|tilc",Market_Data!$K$5:$K$304,0)),"Market-City",IF(ISNUMBER(MATCH(Location!$C$5&amp;"|"&amp;$A14&amp;"|tilc",Market_Data!$K$5:$K$304,0)),"Market-County",IF(ISNUMBER(MATCH(Location!$C$6&amp;"|"&amp;$A14&amp;"|tilc",Market_Data!$K$5:$K$304,0)),"Market-State","Default x index"))))</f>
        <v/>
      </c>
      <c r="T14" s="2">
        <f>IF(ISNUMBER(MATCH(Org_Profile!$C$4&amp;"|"&amp;$A14&amp;"|opex",Org_Overrides!$H$5:$H$304,0)),"Org",IF(ISNUMBER(MATCH(Location!$C$4&amp;"|"&amp;$A14&amp;"|opex",Market_Data!$K$5:$K$304,0)),"Market-City",IF(ISNUMBER(MATCH(Location!$C$5&amp;"|"&amp;$A14&amp;"|opex",Market_Data!$K$5:$K$304,0)),"Market-County",IF(ISNUMBER(MATCH(Location!$C$6&amp;"|"&amp;$A14&amp;"|opex",Market_Data!$K$5:$K$304,0)),"Market-State","Default x index"))))</f>
        <v/>
      </c>
      <c r="U14" s="2">
        <f>IF(ISNUMBER(MATCH(Org_Profile!$C$4&amp;"|"&amp;$A14&amp;"|devmo",Org_Overrides!$H$5:$H$304,0)),"Org",IF(ISNUMBER(MATCH(Location!$C$4&amp;"|"&amp;$A14&amp;"|devmo",Market_Data!$K$5:$K$304,0)),"Market-City",IF(ISNUMBER(MATCH(Location!$C$5&amp;"|"&amp;$A14&amp;"|devmo",Market_Data!$K$5:$K$304,0)),"Market-County",IF(ISNUMBER(MATCH(Location!$C$6&amp;"|"&amp;$A14&amp;"|devmo",Market_Data!$K$5:$K$304,0)),"Market-State","Default"))))</f>
        <v/>
      </c>
      <c r="V14" s="2">
        <f>IF(ISNUMBER(MATCH(Org_Profile!$C$4&amp;"|"&amp;$A14&amp;"|margin",Org_Overrides!$H$5:$H$304,0)),"Org",IF(INDEX(Org_Profile!$C$9:$C$12,MATCH(Use_Library!$C$14,Org_Profile!$B$9:$B$12,0))&lt;&gt;"","Org engine margin","Default"))</f>
        <v/>
      </c>
      <c r="W14" s="2">
        <f>IF(ISNUMBER(MATCH(Location!$C$4&amp;"|"&amp;$A14&amp;"|lotprice",Market_Data!$K$5:$K$304,0)),"Market-City",IF(ISNUMBER(MATCH(Location!$C$5&amp;"|"&amp;$A14&amp;"|lotprice",Market_Data!$K$5:$K$304,0)),"Market-County",IF(ISNUMBER(MATCH(Location!$C$6&amp;"|"&amp;$A14&amp;"|lotprice",Market_Data!$K$5:$K$304,0)),"Market-State",IF(ISNUMBER(MATCH(Org_Profile!$C$4&amp;"|"&amp;$A14&amp;"|lotprice",Org_Overrides!$H$5:$H$304,0)),"Org","Default x index"))))</f>
        <v/>
      </c>
      <c r="X14" s="2">
        <f>IF(ISNUMBER(MATCH(Location!$C$4&amp;"|"&amp;$A14&amp;"|saleprice",Market_Data!$K$5:$K$304,0)),"Market-City",IF(ISNUMBER(MATCH(Location!$C$5&amp;"|"&amp;$A14&amp;"|saleprice",Market_Data!$K$5:$K$304,0)),"Market-County",IF(ISNUMBER(MATCH(Location!$C$6&amp;"|"&amp;$A14&amp;"|saleprice",Market_Data!$K$5:$K$304,0)),"Market-State",IF(ISNUMBER(MATCH(Org_Profile!$C$4&amp;"|"&amp;$A14&amp;"|saleprice",Org_Overrides!$H$5:$H$304,0)),"Org","Default x index"))))</f>
        <v/>
      </c>
      <c r="Y14" s="2">
        <f>IF(ISNUMBER(MATCH(Location!$C$4&amp;"|"&amp;$A14&amp;"|landac",Market_Data!$K$5:$K$304,0)),"Market-City",IF(ISNUMBER(MATCH(Location!$C$5&amp;"|"&amp;$A14&amp;"|landac",Market_Data!$K$5:$K$304,0)),"Market-County",IF(ISNUMBER(MATCH(Location!$C$6&amp;"|"&amp;$A14&amp;"|landac",Market_Data!$K$5:$K$304,0)),"Market-State",IF(ISNUMBER(MATCH(Org_Profile!$C$4&amp;"|"&amp;$A14&amp;"|landac",Org_Overrides!$H$5:$H$304,0)),"Org","Default x index"))))</f>
        <v/>
      </c>
      <c r="Z14" s="2">
        <f>IF(ISNUMBER(MATCH(Location!$C$4&amp;"|"&amp;$A14&amp;"|rent",Market_Data!$K$5:$K$304,0)),"Market-City",IF(ISNUMBER(MATCH(Location!$C$5&amp;"|"&amp;$A14&amp;"|rent",Market_Data!$K$5:$K$304,0)),"Market-County",IF(ISNUMBER(MATCH(Location!$C$6&amp;"|"&amp;$A14&amp;"|rent",Market_Data!$K$5:$K$304,0)),"Market-State",IF(ISNUMBER(MATCH(Org_Profile!$C$4&amp;"|"&amp;$A14&amp;"|rent",Org_Overrides!$H$5:$H$304,0)),"Org","Default x index"))))</f>
        <v/>
      </c>
      <c r="AA14" s="2">
        <f>IF(ISNUMBER(MATCH(Location!$C$4&amp;"|"&amp;$A14&amp;"|groundrent",Market_Data!$K$5:$K$304,0)),"Market-City",IF(ISNUMBER(MATCH(Location!$C$5&amp;"|"&amp;$A14&amp;"|groundrent",Market_Data!$K$5:$K$304,0)),"Market-County",IF(ISNUMBER(MATCH(Location!$C$6&amp;"|"&amp;$A14&amp;"|groundrent",Market_Data!$K$5:$K$304,0)),"Market-State",IF(ISNUMBER(MATCH(Org_Profile!$C$4&amp;"|"&amp;$A14&amp;"|groundrent",Org_Overrides!$H$5:$H$304,0)),"Org","Default x index"))))</f>
        <v/>
      </c>
      <c r="AB14" s="2">
        <f>IF(ISNUMBER(MATCH(Location!$C$4&amp;"|"&amp;$A14&amp;"|cap",Market_Data!$K$5:$K$304,0)),"Market-City",IF(ISNUMBER(MATCH(Location!$C$5&amp;"|"&amp;$A14&amp;"|cap",Market_Data!$K$5:$K$304,0)),"Market-County",IF(ISNUMBER(MATCH(Location!$C$6&amp;"|"&amp;$A14&amp;"|cap",Market_Data!$K$5:$K$304,0)),"Market-State",IF(ISNUMBER(MATCH(Org_Profile!$C$4&amp;"|"&amp;$A14&amp;"|cap",Org_Overrides!$H$5:$H$304,0)),"Org","Default x index"))))</f>
        <v/>
      </c>
      <c r="AC14" s="2">
        <f>IF(ISNUMBER(MATCH(Location!$C$4&amp;"|"&amp;$A14&amp;"|vac",Market_Data!$K$5:$K$304,0)),"Market-City",IF(ISNUMBER(MATCH(Location!$C$5&amp;"|"&amp;$A14&amp;"|vac",Market_Data!$K$5:$K$304,0)),"Market-County",IF(ISNUMBER(MATCH(Location!$C$6&amp;"|"&amp;$A14&amp;"|vac",Market_Data!$K$5:$K$304,0)),"Market-State",IF(ISNUMBER(MATCH(Org_Profile!$C$4&amp;"|"&amp;$A14&amp;"|vac",Org_Overrides!$H$5:$H$304,0)),"Org","Default"))))</f>
        <v/>
      </c>
      <c r="AD14" s="2">
        <f>IF(ISNUMBER(MATCH(Location!$C$4&amp;"|"&amp;$A14&amp;"|absorb",Market_Data!$K$5:$K$304,0)),"Market-City",IF(ISNUMBER(MATCH(Location!$C$5&amp;"|"&amp;$A14&amp;"|absorb",Market_Data!$K$5:$K$304,0)),"Market-County",IF(ISNUMBER(MATCH(Location!$C$6&amp;"|"&amp;$A14&amp;"|absorb",Market_Data!$K$5:$K$304,0)),"Market-State",IF(ISNUMBER(MATCH(Org_Profile!$C$4&amp;"|"&amp;$A14&amp;"|absorb",Org_Overrides!$H$5:$H$304,0)),"Org","Default"))))</f>
        <v/>
      </c>
      <c r="AE14" s="2">
        <f>IF(ISNUMBER(MATCH(Location!$C$4&amp;"|"&amp;$A14&amp;"|lotabs",Market_Data!$K$5:$K$304,0)),"Market-City",IF(ISNUMBER(MATCH(Location!$C$5&amp;"|"&amp;$A14&amp;"|lotabs",Market_Data!$K$5:$K$304,0)),"Market-County",IF(ISNUMBER(MATCH(Location!$C$6&amp;"|"&amp;$A14&amp;"|lotabs",Market_Data!$K$5:$K$304,0)),"Market-State",IF(ISNUMBER(MATCH(Org_Profile!$C$4&amp;"|"&amp;$A14&amp;"|lotabs",Org_Overrides!$H$5:$H$304,0)),"Org","Default"))))</f>
        <v/>
      </c>
      <c r="AF14" s="15">
        <f>15-COUNTIF(Q14:AE14,"Default*")</f>
        <v/>
      </c>
    </row>
    <row r="15">
      <c r="A15" s="4">
        <f>Use_Library!$A$15</f>
        <v/>
      </c>
      <c r="B15" s="20">
        <f>IFERROR((INDEX(Org_Overrides!$D$5:$D$304,MATCH(Org_Profile!$C$4&amp;"|"&amp;$A15&amp;"|vert",Org_Overrides!$H$5:$H$304,0))*Location!$C$9),IFERROR(INDEX(Market_Data!$D$5:$D$304,MATCH(Location!$C$4&amp;"|"&amp;$A15&amp;"|vert",Market_Data!$K$5:$K$304,0)),IFERROR(INDEX(Market_Data!$D$5:$D$304,MATCH(Location!$C$5&amp;"|"&amp;$A15&amp;"|vert",Market_Data!$K$5:$K$304,0)),IFERROR(INDEX(Market_Data!$D$5:$D$304,MATCH(Location!$C$6&amp;"|"&amp;$A15&amp;"|vert",Market_Data!$K$5:$K$304,0)),(Use_Library!$AF$15*Location!$C$9)))))</f>
        <v/>
      </c>
      <c r="C15" s="20">
        <f>IFERROR((INDEX(Org_Overrides!$D$5:$D$304,MATCH(Org_Profile!$C$4&amp;"|"&amp;$A15&amp;"|entitle",Org_Overrides!$H$5:$H$304,0))*Location!$C$9),IFERROR(INDEX(Market_Data!$D$5:$D$304,MATCH(Location!$C$4&amp;"|"&amp;$A15&amp;"|entitle",Market_Data!$K$5:$K$304,0)),IFERROR(INDEX(Market_Data!$D$5:$D$304,MATCH(Location!$C$5&amp;"|"&amp;$A15&amp;"|entitle",Market_Data!$K$5:$K$304,0)),IFERROR(INDEX(Market_Data!$D$5:$D$304,MATCH(Location!$C$6&amp;"|"&amp;$A15&amp;"|entitle",Market_Data!$K$5:$K$304,0)),(Use_Library!$AE$15*Location!$C$9)))))</f>
        <v/>
      </c>
      <c r="D15" s="20">
        <f>IFERROR((INDEX(Org_Overrides!$D$5:$D$304,MATCH(Org_Profile!$C$4&amp;"|"&amp;$A15&amp;"|tilc",Org_Overrides!$H$5:$H$304,0))*Location!$C$9),IFERROR(INDEX(Market_Data!$D$5:$D$304,MATCH(Location!$C$4&amp;"|"&amp;$A15&amp;"|tilc",Market_Data!$K$5:$K$304,0)),IFERROR(INDEX(Market_Data!$D$5:$D$304,MATCH(Location!$C$5&amp;"|"&amp;$A15&amp;"|tilc",Market_Data!$K$5:$K$304,0)),IFERROR(INDEX(Market_Data!$D$5:$D$304,MATCH(Location!$C$6&amp;"|"&amp;$A15&amp;"|tilc",Market_Data!$K$5:$K$304,0)),(Use_Library!$AG$15*Location!$C$9)))))</f>
        <v/>
      </c>
      <c r="E15" s="20">
        <f>IFERROR((INDEX(Org_Overrides!$D$5:$D$304,MATCH(Org_Profile!$C$4&amp;"|"&amp;$A15&amp;"|opex",Org_Overrides!$H$5:$H$304,0))*Location!$C$13),IFERROR(INDEX(Market_Data!$D$5:$D$304,MATCH(Location!$C$4&amp;"|"&amp;$A15&amp;"|opex",Market_Data!$K$5:$K$304,0)),IFERROR(INDEX(Market_Data!$D$5:$D$304,MATCH(Location!$C$5&amp;"|"&amp;$A15&amp;"|opex",Market_Data!$K$5:$K$304,0)),IFERROR(INDEX(Market_Data!$D$5:$D$304,MATCH(Location!$C$6&amp;"|"&amp;$A15&amp;"|opex",Market_Data!$K$5:$K$304,0)),(Use_Library!$AN$15*Location!$C$13)))))</f>
        <v/>
      </c>
      <c r="F15" s="9">
        <f>IFERROR(INDEX(Org_Overrides!$D$5:$D$304,MATCH(Org_Profile!$C$4&amp;"|"&amp;$A15&amp;"|devmo",Org_Overrides!$H$5:$H$304,0)),IFERROR(INDEX(Market_Data!$D$5:$D$304,MATCH(Location!$C$4&amp;"|"&amp;$A15&amp;"|devmo",Market_Data!$K$5:$K$304,0)),IFERROR(INDEX(Market_Data!$D$5:$D$304,MATCH(Location!$C$5&amp;"|"&amp;$A15&amp;"|devmo",Market_Data!$K$5:$K$304,0)),IFERROR(INDEX(Market_Data!$D$5:$D$304,MATCH(Location!$C$6&amp;"|"&amp;$A15&amp;"|devmo",Market_Data!$K$5:$K$304,0)),Use_Library!$AH$15))))</f>
        <v/>
      </c>
      <c r="G15" s="23">
        <f>IFERROR(INDEX(Org_Overrides!$D$5:$D$304,MATCH(Org_Profile!$C$4&amp;"|"&amp;$A15&amp;"|margin",Org_Overrides!$H$5:$H$304,0)),IF(INDEX(Org_Profile!$C$9:$C$12,MATCH(Use_Library!$C$15,Org_Profile!$B$9:$B$12,0))&lt;&gt;"",INDEX(Org_Profile!$C$9:$C$12,MATCH(Use_Library!$C$15,Org_Profile!$B$9:$B$12,0)),Use_Library!$AU$15))</f>
        <v/>
      </c>
      <c r="H15" s="20">
        <f>IFERROR(INDEX(Market_Data!$D$5:$D$304,MATCH(Location!$C$4&amp;"|"&amp;$A15&amp;"|lotprice",Market_Data!$K$5:$K$304,0)),IFERROR(INDEX(Market_Data!$D$5:$D$304,MATCH(Location!$C$5&amp;"|"&amp;$A15&amp;"|lotprice",Market_Data!$K$5:$K$304,0)),IFERROR(INDEX(Market_Data!$D$5:$D$304,MATCH(Location!$C$6&amp;"|"&amp;$A15&amp;"|lotprice",Market_Data!$K$5:$K$304,0)),IFERROR((INDEX(Org_Overrides!$D$5:$D$304,MATCH(Org_Profile!$C$4&amp;"|"&amp;$A15&amp;"|lotprice",Org_Overrides!$H$5:$H$304,0))*Location!$C$10),(Use_Library!$AI$15*Location!$C$10)))))</f>
        <v/>
      </c>
      <c r="I15" s="20">
        <f>IFERROR(INDEX(Market_Data!$D$5:$D$304,MATCH(Location!$C$4&amp;"|"&amp;$A15&amp;"|saleprice",Market_Data!$K$5:$K$304,0)),IFERROR(INDEX(Market_Data!$D$5:$D$304,MATCH(Location!$C$5&amp;"|"&amp;$A15&amp;"|saleprice",Market_Data!$K$5:$K$304,0)),IFERROR(INDEX(Market_Data!$D$5:$D$304,MATCH(Location!$C$6&amp;"|"&amp;$A15&amp;"|saleprice",Market_Data!$K$5:$K$304,0)),IFERROR((INDEX(Org_Overrides!$D$5:$D$304,MATCH(Org_Profile!$C$4&amp;"|"&amp;$A15&amp;"|saleprice",Org_Overrides!$H$5:$H$304,0))*Location!$C$10),(Use_Library!$AJ$15*Location!$C$10)))))</f>
        <v/>
      </c>
      <c r="J15" s="20">
        <f>IFERROR(INDEX(Market_Data!$D$5:$D$304,MATCH(Location!$C$4&amp;"|"&amp;$A15&amp;"|landac",Market_Data!$K$5:$K$304,0)),IFERROR(INDEX(Market_Data!$D$5:$D$304,MATCH(Location!$C$5&amp;"|"&amp;$A15&amp;"|landac",Market_Data!$K$5:$K$304,0)),IFERROR(INDEX(Market_Data!$D$5:$D$304,MATCH(Location!$C$6&amp;"|"&amp;$A15&amp;"|landac",Market_Data!$K$5:$K$304,0)),IFERROR((INDEX(Org_Overrides!$D$5:$D$304,MATCH(Org_Profile!$C$4&amp;"|"&amp;$A15&amp;"|landac",Org_Overrides!$H$5:$H$304,0))*Location!$C$10),(Use_Library!$AS$15*Location!$C$10)))))</f>
        <v/>
      </c>
      <c r="K15" s="20">
        <f>IFERROR(INDEX(Market_Data!$D$5:$D$304,MATCH(Location!$C$4&amp;"|"&amp;$A15&amp;"|rent",Market_Data!$K$5:$K$304,0)),IFERROR(INDEX(Market_Data!$D$5:$D$304,MATCH(Location!$C$5&amp;"|"&amp;$A15&amp;"|rent",Market_Data!$K$5:$K$304,0)),IFERROR(INDEX(Market_Data!$D$5:$D$304,MATCH(Location!$C$6&amp;"|"&amp;$A15&amp;"|rent",Market_Data!$K$5:$K$304,0)),IFERROR((INDEX(Org_Overrides!$D$5:$D$304,MATCH(Org_Profile!$C$4&amp;"|"&amp;$A15&amp;"|rent",Org_Overrides!$H$5:$H$304,0))*Location!$C$11),(Use_Library!$AK$15*Location!$C$11)))))</f>
        <v/>
      </c>
      <c r="L15" s="20">
        <f>IFERROR(INDEX(Market_Data!$D$5:$D$304,MATCH(Location!$C$4&amp;"|"&amp;$A15&amp;"|groundrent",Market_Data!$K$5:$K$304,0)),IFERROR(INDEX(Market_Data!$D$5:$D$304,MATCH(Location!$C$5&amp;"|"&amp;$A15&amp;"|groundrent",Market_Data!$K$5:$K$304,0)),IFERROR(INDEX(Market_Data!$D$5:$D$304,MATCH(Location!$C$6&amp;"|"&amp;$A15&amp;"|groundrent",Market_Data!$K$5:$K$304,0)),IFERROR((INDEX(Org_Overrides!$D$5:$D$304,MATCH(Org_Profile!$C$4&amp;"|"&amp;$A15&amp;"|groundrent",Org_Overrides!$H$5:$H$304,0))*Location!$C$11),(Use_Library!$AT$15*Location!$C$11)))))</f>
        <v/>
      </c>
      <c r="M15" s="23">
        <f>IFERROR(INDEX(Market_Data!$D$5:$D$304,MATCH(Location!$C$4&amp;"|"&amp;$A15&amp;"|cap",Market_Data!$K$5:$K$304,0)),IFERROR(INDEX(Market_Data!$D$5:$D$304,MATCH(Location!$C$5&amp;"|"&amp;$A15&amp;"|cap",Market_Data!$K$5:$K$304,0)),IFERROR(INDEX(Market_Data!$D$5:$D$304,MATCH(Location!$C$6&amp;"|"&amp;$A15&amp;"|cap",Market_Data!$K$5:$K$304,0)),IFERROR((INDEX(Org_Overrides!$D$5:$D$304,MATCH(Org_Profile!$C$4&amp;"|"&amp;$A15&amp;"|cap",Org_Overrides!$H$5:$H$304,0))+Location!$C$12),(Use_Library!$AR$15+Location!$C$12)))))</f>
        <v/>
      </c>
      <c r="N15" s="23">
        <f>IFERROR(INDEX(Market_Data!$D$5:$D$304,MATCH(Location!$C$4&amp;"|"&amp;$A15&amp;"|vac",Market_Data!$K$5:$K$304,0)),IFERROR(INDEX(Market_Data!$D$5:$D$304,MATCH(Location!$C$5&amp;"|"&amp;$A15&amp;"|vac",Market_Data!$K$5:$K$304,0)),IFERROR(INDEX(Market_Data!$D$5:$D$304,MATCH(Location!$C$6&amp;"|"&amp;$A15&amp;"|vac",Market_Data!$K$5:$K$304,0)),IFERROR(INDEX(Org_Overrides!$D$5:$D$304,MATCH(Org_Profile!$C$4&amp;"|"&amp;$A15&amp;"|vac",Org_Overrides!$H$5:$H$304,0)),Use_Library!$AM$15))))</f>
        <v/>
      </c>
      <c r="O15" s="24">
        <f>IFERROR(INDEX(Market_Data!$D$5:$D$304,MATCH(Location!$C$4&amp;"|"&amp;$A15&amp;"|absorb",Market_Data!$K$5:$K$304,0)),IFERROR(INDEX(Market_Data!$D$5:$D$304,MATCH(Location!$C$5&amp;"|"&amp;$A15&amp;"|absorb",Market_Data!$K$5:$K$304,0)),IFERROR(INDEX(Market_Data!$D$5:$D$304,MATCH(Location!$C$6&amp;"|"&amp;$A15&amp;"|absorb",Market_Data!$K$5:$K$304,0)),IFERROR(INDEX(Org_Overrides!$D$5:$D$304,MATCH(Org_Profile!$C$4&amp;"|"&amp;$A15&amp;"|absorb",Org_Overrides!$H$5:$H$304,0)),Use_Library!$R$15))))</f>
        <v/>
      </c>
      <c r="P15" s="24">
        <f>IFERROR(INDEX(Market_Data!$D$5:$D$304,MATCH(Location!$C$4&amp;"|"&amp;$A15&amp;"|lotabs",Market_Data!$K$5:$K$304,0)),IFERROR(INDEX(Market_Data!$D$5:$D$304,MATCH(Location!$C$5&amp;"|"&amp;$A15&amp;"|lotabs",Market_Data!$K$5:$K$304,0)),IFERROR(INDEX(Market_Data!$D$5:$D$304,MATCH(Location!$C$6&amp;"|"&amp;$A15&amp;"|lotabs",Market_Data!$K$5:$K$304,0)),IFERROR(INDEX(Org_Overrides!$D$5:$D$304,MATCH(Org_Profile!$C$4&amp;"|"&amp;$A15&amp;"|lotabs",Org_Overrides!$H$5:$H$304,0)),Use_Library!$S$15))))</f>
        <v/>
      </c>
      <c r="Q15" s="2">
        <f>IF(ISNUMBER(MATCH(Org_Profile!$C$4&amp;"|"&amp;$A15&amp;"|vert",Org_Overrides!$H$5:$H$304,0)),"Org",IF(ISNUMBER(MATCH(Location!$C$4&amp;"|"&amp;$A15&amp;"|vert",Market_Data!$K$5:$K$304,0)),"Market-City",IF(ISNUMBER(MATCH(Location!$C$5&amp;"|"&amp;$A15&amp;"|vert",Market_Data!$K$5:$K$304,0)),"Market-County",IF(ISNUMBER(MATCH(Location!$C$6&amp;"|"&amp;$A15&amp;"|vert",Market_Data!$K$5:$K$304,0)),"Market-State","Default x index"))))</f>
        <v/>
      </c>
      <c r="R15" s="2">
        <f>IF(ISNUMBER(MATCH(Org_Profile!$C$4&amp;"|"&amp;$A15&amp;"|entitle",Org_Overrides!$H$5:$H$304,0)),"Org",IF(ISNUMBER(MATCH(Location!$C$4&amp;"|"&amp;$A15&amp;"|entitle",Market_Data!$K$5:$K$304,0)),"Market-City",IF(ISNUMBER(MATCH(Location!$C$5&amp;"|"&amp;$A15&amp;"|entitle",Market_Data!$K$5:$K$304,0)),"Market-County",IF(ISNUMBER(MATCH(Location!$C$6&amp;"|"&amp;$A15&amp;"|entitle",Market_Data!$K$5:$K$304,0)),"Market-State","Default x index"))))</f>
        <v/>
      </c>
      <c r="S15" s="2">
        <f>IF(ISNUMBER(MATCH(Org_Profile!$C$4&amp;"|"&amp;$A15&amp;"|tilc",Org_Overrides!$H$5:$H$304,0)),"Org",IF(ISNUMBER(MATCH(Location!$C$4&amp;"|"&amp;$A15&amp;"|tilc",Market_Data!$K$5:$K$304,0)),"Market-City",IF(ISNUMBER(MATCH(Location!$C$5&amp;"|"&amp;$A15&amp;"|tilc",Market_Data!$K$5:$K$304,0)),"Market-County",IF(ISNUMBER(MATCH(Location!$C$6&amp;"|"&amp;$A15&amp;"|tilc",Market_Data!$K$5:$K$304,0)),"Market-State","Default x index"))))</f>
        <v/>
      </c>
      <c r="T15" s="2">
        <f>IF(ISNUMBER(MATCH(Org_Profile!$C$4&amp;"|"&amp;$A15&amp;"|opex",Org_Overrides!$H$5:$H$304,0)),"Org",IF(ISNUMBER(MATCH(Location!$C$4&amp;"|"&amp;$A15&amp;"|opex",Market_Data!$K$5:$K$304,0)),"Market-City",IF(ISNUMBER(MATCH(Location!$C$5&amp;"|"&amp;$A15&amp;"|opex",Market_Data!$K$5:$K$304,0)),"Market-County",IF(ISNUMBER(MATCH(Location!$C$6&amp;"|"&amp;$A15&amp;"|opex",Market_Data!$K$5:$K$304,0)),"Market-State","Default x index"))))</f>
        <v/>
      </c>
      <c r="U15" s="2">
        <f>IF(ISNUMBER(MATCH(Org_Profile!$C$4&amp;"|"&amp;$A15&amp;"|devmo",Org_Overrides!$H$5:$H$304,0)),"Org",IF(ISNUMBER(MATCH(Location!$C$4&amp;"|"&amp;$A15&amp;"|devmo",Market_Data!$K$5:$K$304,0)),"Market-City",IF(ISNUMBER(MATCH(Location!$C$5&amp;"|"&amp;$A15&amp;"|devmo",Market_Data!$K$5:$K$304,0)),"Market-County",IF(ISNUMBER(MATCH(Location!$C$6&amp;"|"&amp;$A15&amp;"|devmo",Market_Data!$K$5:$K$304,0)),"Market-State","Default"))))</f>
        <v/>
      </c>
      <c r="V15" s="2">
        <f>IF(ISNUMBER(MATCH(Org_Profile!$C$4&amp;"|"&amp;$A15&amp;"|margin",Org_Overrides!$H$5:$H$304,0)),"Org",IF(INDEX(Org_Profile!$C$9:$C$12,MATCH(Use_Library!$C$15,Org_Profile!$B$9:$B$12,0))&lt;&gt;"","Org engine margin","Default"))</f>
        <v/>
      </c>
      <c r="W15" s="2">
        <f>IF(ISNUMBER(MATCH(Location!$C$4&amp;"|"&amp;$A15&amp;"|lotprice",Market_Data!$K$5:$K$304,0)),"Market-City",IF(ISNUMBER(MATCH(Location!$C$5&amp;"|"&amp;$A15&amp;"|lotprice",Market_Data!$K$5:$K$304,0)),"Market-County",IF(ISNUMBER(MATCH(Location!$C$6&amp;"|"&amp;$A15&amp;"|lotprice",Market_Data!$K$5:$K$304,0)),"Market-State",IF(ISNUMBER(MATCH(Org_Profile!$C$4&amp;"|"&amp;$A15&amp;"|lotprice",Org_Overrides!$H$5:$H$304,0)),"Org","Default x index"))))</f>
        <v/>
      </c>
      <c r="X15" s="2">
        <f>IF(ISNUMBER(MATCH(Location!$C$4&amp;"|"&amp;$A15&amp;"|saleprice",Market_Data!$K$5:$K$304,0)),"Market-City",IF(ISNUMBER(MATCH(Location!$C$5&amp;"|"&amp;$A15&amp;"|saleprice",Market_Data!$K$5:$K$304,0)),"Market-County",IF(ISNUMBER(MATCH(Location!$C$6&amp;"|"&amp;$A15&amp;"|saleprice",Market_Data!$K$5:$K$304,0)),"Market-State",IF(ISNUMBER(MATCH(Org_Profile!$C$4&amp;"|"&amp;$A15&amp;"|saleprice",Org_Overrides!$H$5:$H$304,0)),"Org","Default x index"))))</f>
        <v/>
      </c>
      <c r="Y15" s="2">
        <f>IF(ISNUMBER(MATCH(Location!$C$4&amp;"|"&amp;$A15&amp;"|landac",Market_Data!$K$5:$K$304,0)),"Market-City",IF(ISNUMBER(MATCH(Location!$C$5&amp;"|"&amp;$A15&amp;"|landac",Market_Data!$K$5:$K$304,0)),"Market-County",IF(ISNUMBER(MATCH(Location!$C$6&amp;"|"&amp;$A15&amp;"|landac",Market_Data!$K$5:$K$304,0)),"Market-State",IF(ISNUMBER(MATCH(Org_Profile!$C$4&amp;"|"&amp;$A15&amp;"|landac",Org_Overrides!$H$5:$H$304,0)),"Org","Default x index"))))</f>
        <v/>
      </c>
      <c r="Z15" s="2">
        <f>IF(ISNUMBER(MATCH(Location!$C$4&amp;"|"&amp;$A15&amp;"|rent",Market_Data!$K$5:$K$304,0)),"Market-City",IF(ISNUMBER(MATCH(Location!$C$5&amp;"|"&amp;$A15&amp;"|rent",Market_Data!$K$5:$K$304,0)),"Market-County",IF(ISNUMBER(MATCH(Location!$C$6&amp;"|"&amp;$A15&amp;"|rent",Market_Data!$K$5:$K$304,0)),"Market-State",IF(ISNUMBER(MATCH(Org_Profile!$C$4&amp;"|"&amp;$A15&amp;"|rent",Org_Overrides!$H$5:$H$304,0)),"Org","Default x index"))))</f>
        <v/>
      </c>
      <c r="AA15" s="2">
        <f>IF(ISNUMBER(MATCH(Location!$C$4&amp;"|"&amp;$A15&amp;"|groundrent",Market_Data!$K$5:$K$304,0)),"Market-City",IF(ISNUMBER(MATCH(Location!$C$5&amp;"|"&amp;$A15&amp;"|groundrent",Market_Data!$K$5:$K$304,0)),"Market-County",IF(ISNUMBER(MATCH(Location!$C$6&amp;"|"&amp;$A15&amp;"|groundrent",Market_Data!$K$5:$K$304,0)),"Market-State",IF(ISNUMBER(MATCH(Org_Profile!$C$4&amp;"|"&amp;$A15&amp;"|groundrent",Org_Overrides!$H$5:$H$304,0)),"Org","Default x index"))))</f>
        <v/>
      </c>
      <c r="AB15" s="2">
        <f>IF(ISNUMBER(MATCH(Location!$C$4&amp;"|"&amp;$A15&amp;"|cap",Market_Data!$K$5:$K$304,0)),"Market-City",IF(ISNUMBER(MATCH(Location!$C$5&amp;"|"&amp;$A15&amp;"|cap",Market_Data!$K$5:$K$304,0)),"Market-County",IF(ISNUMBER(MATCH(Location!$C$6&amp;"|"&amp;$A15&amp;"|cap",Market_Data!$K$5:$K$304,0)),"Market-State",IF(ISNUMBER(MATCH(Org_Profile!$C$4&amp;"|"&amp;$A15&amp;"|cap",Org_Overrides!$H$5:$H$304,0)),"Org","Default x index"))))</f>
        <v/>
      </c>
      <c r="AC15" s="2">
        <f>IF(ISNUMBER(MATCH(Location!$C$4&amp;"|"&amp;$A15&amp;"|vac",Market_Data!$K$5:$K$304,0)),"Market-City",IF(ISNUMBER(MATCH(Location!$C$5&amp;"|"&amp;$A15&amp;"|vac",Market_Data!$K$5:$K$304,0)),"Market-County",IF(ISNUMBER(MATCH(Location!$C$6&amp;"|"&amp;$A15&amp;"|vac",Market_Data!$K$5:$K$304,0)),"Market-State",IF(ISNUMBER(MATCH(Org_Profile!$C$4&amp;"|"&amp;$A15&amp;"|vac",Org_Overrides!$H$5:$H$304,0)),"Org","Default"))))</f>
        <v/>
      </c>
      <c r="AD15" s="2">
        <f>IF(ISNUMBER(MATCH(Location!$C$4&amp;"|"&amp;$A15&amp;"|absorb",Market_Data!$K$5:$K$304,0)),"Market-City",IF(ISNUMBER(MATCH(Location!$C$5&amp;"|"&amp;$A15&amp;"|absorb",Market_Data!$K$5:$K$304,0)),"Market-County",IF(ISNUMBER(MATCH(Location!$C$6&amp;"|"&amp;$A15&amp;"|absorb",Market_Data!$K$5:$K$304,0)),"Market-State",IF(ISNUMBER(MATCH(Org_Profile!$C$4&amp;"|"&amp;$A15&amp;"|absorb",Org_Overrides!$H$5:$H$304,0)),"Org","Default"))))</f>
        <v/>
      </c>
      <c r="AE15" s="2">
        <f>IF(ISNUMBER(MATCH(Location!$C$4&amp;"|"&amp;$A15&amp;"|lotabs",Market_Data!$K$5:$K$304,0)),"Market-City",IF(ISNUMBER(MATCH(Location!$C$5&amp;"|"&amp;$A15&amp;"|lotabs",Market_Data!$K$5:$K$304,0)),"Market-County",IF(ISNUMBER(MATCH(Location!$C$6&amp;"|"&amp;$A15&amp;"|lotabs",Market_Data!$K$5:$K$304,0)),"Market-State",IF(ISNUMBER(MATCH(Org_Profile!$C$4&amp;"|"&amp;$A15&amp;"|lotabs",Org_Overrides!$H$5:$H$304,0)),"Org","Default"))))</f>
        <v/>
      </c>
      <c r="AF15" s="15">
        <f>15-COUNTIF(Q15:AE15,"Default*")</f>
        <v/>
      </c>
    </row>
    <row r="16">
      <c r="A16" s="4">
        <f>Use_Library!$A$16</f>
        <v/>
      </c>
      <c r="B16" s="20">
        <f>IFERROR((INDEX(Org_Overrides!$D$5:$D$304,MATCH(Org_Profile!$C$4&amp;"|"&amp;$A16&amp;"|vert",Org_Overrides!$H$5:$H$304,0))*Location!$C$9),IFERROR(INDEX(Market_Data!$D$5:$D$304,MATCH(Location!$C$4&amp;"|"&amp;$A16&amp;"|vert",Market_Data!$K$5:$K$304,0)),IFERROR(INDEX(Market_Data!$D$5:$D$304,MATCH(Location!$C$5&amp;"|"&amp;$A16&amp;"|vert",Market_Data!$K$5:$K$304,0)),IFERROR(INDEX(Market_Data!$D$5:$D$304,MATCH(Location!$C$6&amp;"|"&amp;$A16&amp;"|vert",Market_Data!$K$5:$K$304,0)),(Use_Library!$AF$16*Location!$C$9)))))</f>
        <v/>
      </c>
      <c r="C16" s="20">
        <f>IFERROR((INDEX(Org_Overrides!$D$5:$D$304,MATCH(Org_Profile!$C$4&amp;"|"&amp;$A16&amp;"|entitle",Org_Overrides!$H$5:$H$304,0))*Location!$C$9),IFERROR(INDEX(Market_Data!$D$5:$D$304,MATCH(Location!$C$4&amp;"|"&amp;$A16&amp;"|entitle",Market_Data!$K$5:$K$304,0)),IFERROR(INDEX(Market_Data!$D$5:$D$304,MATCH(Location!$C$5&amp;"|"&amp;$A16&amp;"|entitle",Market_Data!$K$5:$K$304,0)),IFERROR(INDEX(Market_Data!$D$5:$D$304,MATCH(Location!$C$6&amp;"|"&amp;$A16&amp;"|entitle",Market_Data!$K$5:$K$304,0)),(Use_Library!$AE$16*Location!$C$9)))))</f>
        <v/>
      </c>
      <c r="D16" s="20">
        <f>IFERROR((INDEX(Org_Overrides!$D$5:$D$304,MATCH(Org_Profile!$C$4&amp;"|"&amp;$A16&amp;"|tilc",Org_Overrides!$H$5:$H$304,0))*Location!$C$9),IFERROR(INDEX(Market_Data!$D$5:$D$304,MATCH(Location!$C$4&amp;"|"&amp;$A16&amp;"|tilc",Market_Data!$K$5:$K$304,0)),IFERROR(INDEX(Market_Data!$D$5:$D$304,MATCH(Location!$C$5&amp;"|"&amp;$A16&amp;"|tilc",Market_Data!$K$5:$K$304,0)),IFERROR(INDEX(Market_Data!$D$5:$D$304,MATCH(Location!$C$6&amp;"|"&amp;$A16&amp;"|tilc",Market_Data!$K$5:$K$304,0)),(Use_Library!$AG$16*Location!$C$9)))))</f>
        <v/>
      </c>
      <c r="E16" s="20">
        <f>IFERROR((INDEX(Org_Overrides!$D$5:$D$304,MATCH(Org_Profile!$C$4&amp;"|"&amp;$A16&amp;"|opex",Org_Overrides!$H$5:$H$304,0))*Location!$C$13),IFERROR(INDEX(Market_Data!$D$5:$D$304,MATCH(Location!$C$4&amp;"|"&amp;$A16&amp;"|opex",Market_Data!$K$5:$K$304,0)),IFERROR(INDEX(Market_Data!$D$5:$D$304,MATCH(Location!$C$5&amp;"|"&amp;$A16&amp;"|opex",Market_Data!$K$5:$K$304,0)),IFERROR(INDEX(Market_Data!$D$5:$D$304,MATCH(Location!$C$6&amp;"|"&amp;$A16&amp;"|opex",Market_Data!$K$5:$K$304,0)),(Use_Library!$AN$16*Location!$C$13)))))</f>
        <v/>
      </c>
      <c r="F16" s="9">
        <f>IFERROR(INDEX(Org_Overrides!$D$5:$D$304,MATCH(Org_Profile!$C$4&amp;"|"&amp;$A16&amp;"|devmo",Org_Overrides!$H$5:$H$304,0)),IFERROR(INDEX(Market_Data!$D$5:$D$304,MATCH(Location!$C$4&amp;"|"&amp;$A16&amp;"|devmo",Market_Data!$K$5:$K$304,0)),IFERROR(INDEX(Market_Data!$D$5:$D$304,MATCH(Location!$C$5&amp;"|"&amp;$A16&amp;"|devmo",Market_Data!$K$5:$K$304,0)),IFERROR(INDEX(Market_Data!$D$5:$D$304,MATCH(Location!$C$6&amp;"|"&amp;$A16&amp;"|devmo",Market_Data!$K$5:$K$304,0)),Use_Library!$AH$16))))</f>
        <v/>
      </c>
      <c r="G16" s="23">
        <f>IFERROR(INDEX(Org_Overrides!$D$5:$D$304,MATCH(Org_Profile!$C$4&amp;"|"&amp;$A16&amp;"|margin",Org_Overrides!$H$5:$H$304,0)),IF(INDEX(Org_Profile!$C$9:$C$12,MATCH(Use_Library!$C$16,Org_Profile!$B$9:$B$12,0))&lt;&gt;"",INDEX(Org_Profile!$C$9:$C$12,MATCH(Use_Library!$C$16,Org_Profile!$B$9:$B$12,0)),Use_Library!$AU$16))</f>
        <v/>
      </c>
      <c r="H16" s="20">
        <f>IFERROR(INDEX(Market_Data!$D$5:$D$304,MATCH(Location!$C$4&amp;"|"&amp;$A16&amp;"|lotprice",Market_Data!$K$5:$K$304,0)),IFERROR(INDEX(Market_Data!$D$5:$D$304,MATCH(Location!$C$5&amp;"|"&amp;$A16&amp;"|lotprice",Market_Data!$K$5:$K$304,0)),IFERROR(INDEX(Market_Data!$D$5:$D$304,MATCH(Location!$C$6&amp;"|"&amp;$A16&amp;"|lotprice",Market_Data!$K$5:$K$304,0)),IFERROR((INDEX(Org_Overrides!$D$5:$D$304,MATCH(Org_Profile!$C$4&amp;"|"&amp;$A16&amp;"|lotprice",Org_Overrides!$H$5:$H$304,0))*Location!$C$10),(Use_Library!$AI$16*Location!$C$10)))))</f>
        <v/>
      </c>
      <c r="I16" s="20">
        <f>IFERROR(INDEX(Market_Data!$D$5:$D$304,MATCH(Location!$C$4&amp;"|"&amp;$A16&amp;"|saleprice",Market_Data!$K$5:$K$304,0)),IFERROR(INDEX(Market_Data!$D$5:$D$304,MATCH(Location!$C$5&amp;"|"&amp;$A16&amp;"|saleprice",Market_Data!$K$5:$K$304,0)),IFERROR(INDEX(Market_Data!$D$5:$D$304,MATCH(Location!$C$6&amp;"|"&amp;$A16&amp;"|saleprice",Market_Data!$K$5:$K$304,0)),IFERROR((INDEX(Org_Overrides!$D$5:$D$304,MATCH(Org_Profile!$C$4&amp;"|"&amp;$A16&amp;"|saleprice",Org_Overrides!$H$5:$H$304,0))*Location!$C$10),(Use_Library!$AJ$16*Location!$C$10)))))</f>
        <v/>
      </c>
      <c r="J16" s="20">
        <f>IFERROR(INDEX(Market_Data!$D$5:$D$304,MATCH(Location!$C$4&amp;"|"&amp;$A16&amp;"|landac",Market_Data!$K$5:$K$304,0)),IFERROR(INDEX(Market_Data!$D$5:$D$304,MATCH(Location!$C$5&amp;"|"&amp;$A16&amp;"|landac",Market_Data!$K$5:$K$304,0)),IFERROR(INDEX(Market_Data!$D$5:$D$304,MATCH(Location!$C$6&amp;"|"&amp;$A16&amp;"|landac",Market_Data!$K$5:$K$304,0)),IFERROR((INDEX(Org_Overrides!$D$5:$D$304,MATCH(Org_Profile!$C$4&amp;"|"&amp;$A16&amp;"|landac",Org_Overrides!$H$5:$H$304,0))*Location!$C$10),(Use_Library!$AS$16*Location!$C$10)))))</f>
        <v/>
      </c>
      <c r="K16" s="20">
        <f>IFERROR(INDEX(Market_Data!$D$5:$D$304,MATCH(Location!$C$4&amp;"|"&amp;$A16&amp;"|rent",Market_Data!$K$5:$K$304,0)),IFERROR(INDEX(Market_Data!$D$5:$D$304,MATCH(Location!$C$5&amp;"|"&amp;$A16&amp;"|rent",Market_Data!$K$5:$K$304,0)),IFERROR(INDEX(Market_Data!$D$5:$D$304,MATCH(Location!$C$6&amp;"|"&amp;$A16&amp;"|rent",Market_Data!$K$5:$K$304,0)),IFERROR((INDEX(Org_Overrides!$D$5:$D$304,MATCH(Org_Profile!$C$4&amp;"|"&amp;$A16&amp;"|rent",Org_Overrides!$H$5:$H$304,0))*Location!$C$11),(Use_Library!$AK$16*Location!$C$11)))))</f>
        <v/>
      </c>
      <c r="L16" s="20">
        <f>IFERROR(INDEX(Market_Data!$D$5:$D$304,MATCH(Location!$C$4&amp;"|"&amp;$A16&amp;"|groundrent",Market_Data!$K$5:$K$304,0)),IFERROR(INDEX(Market_Data!$D$5:$D$304,MATCH(Location!$C$5&amp;"|"&amp;$A16&amp;"|groundrent",Market_Data!$K$5:$K$304,0)),IFERROR(INDEX(Market_Data!$D$5:$D$304,MATCH(Location!$C$6&amp;"|"&amp;$A16&amp;"|groundrent",Market_Data!$K$5:$K$304,0)),IFERROR((INDEX(Org_Overrides!$D$5:$D$304,MATCH(Org_Profile!$C$4&amp;"|"&amp;$A16&amp;"|groundrent",Org_Overrides!$H$5:$H$304,0))*Location!$C$11),(Use_Library!$AT$16*Location!$C$11)))))</f>
        <v/>
      </c>
      <c r="M16" s="23">
        <f>IFERROR(INDEX(Market_Data!$D$5:$D$304,MATCH(Location!$C$4&amp;"|"&amp;$A16&amp;"|cap",Market_Data!$K$5:$K$304,0)),IFERROR(INDEX(Market_Data!$D$5:$D$304,MATCH(Location!$C$5&amp;"|"&amp;$A16&amp;"|cap",Market_Data!$K$5:$K$304,0)),IFERROR(INDEX(Market_Data!$D$5:$D$304,MATCH(Location!$C$6&amp;"|"&amp;$A16&amp;"|cap",Market_Data!$K$5:$K$304,0)),IFERROR((INDEX(Org_Overrides!$D$5:$D$304,MATCH(Org_Profile!$C$4&amp;"|"&amp;$A16&amp;"|cap",Org_Overrides!$H$5:$H$304,0))+Location!$C$12),(Use_Library!$AR$16+Location!$C$12)))))</f>
        <v/>
      </c>
      <c r="N16" s="23">
        <f>IFERROR(INDEX(Market_Data!$D$5:$D$304,MATCH(Location!$C$4&amp;"|"&amp;$A16&amp;"|vac",Market_Data!$K$5:$K$304,0)),IFERROR(INDEX(Market_Data!$D$5:$D$304,MATCH(Location!$C$5&amp;"|"&amp;$A16&amp;"|vac",Market_Data!$K$5:$K$304,0)),IFERROR(INDEX(Market_Data!$D$5:$D$304,MATCH(Location!$C$6&amp;"|"&amp;$A16&amp;"|vac",Market_Data!$K$5:$K$304,0)),IFERROR(INDEX(Org_Overrides!$D$5:$D$304,MATCH(Org_Profile!$C$4&amp;"|"&amp;$A16&amp;"|vac",Org_Overrides!$H$5:$H$304,0)),Use_Library!$AM$16))))</f>
        <v/>
      </c>
      <c r="O16" s="24">
        <f>IFERROR(INDEX(Market_Data!$D$5:$D$304,MATCH(Location!$C$4&amp;"|"&amp;$A16&amp;"|absorb",Market_Data!$K$5:$K$304,0)),IFERROR(INDEX(Market_Data!$D$5:$D$304,MATCH(Location!$C$5&amp;"|"&amp;$A16&amp;"|absorb",Market_Data!$K$5:$K$304,0)),IFERROR(INDEX(Market_Data!$D$5:$D$304,MATCH(Location!$C$6&amp;"|"&amp;$A16&amp;"|absorb",Market_Data!$K$5:$K$304,0)),IFERROR(INDEX(Org_Overrides!$D$5:$D$304,MATCH(Org_Profile!$C$4&amp;"|"&amp;$A16&amp;"|absorb",Org_Overrides!$H$5:$H$304,0)),Use_Library!$R$16))))</f>
        <v/>
      </c>
      <c r="P16" s="24">
        <f>IFERROR(INDEX(Market_Data!$D$5:$D$304,MATCH(Location!$C$4&amp;"|"&amp;$A16&amp;"|lotabs",Market_Data!$K$5:$K$304,0)),IFERROR(INDEX(Market_Data!$D$5:$D$304,MATCH(Location!$C$5&amp;"|"&amp;$A16&amp;"|lotabs",Market_Data!$K$5:$K$304,0)),IFERROR(INDEX(Market_Data!$D$5:$D$304,MATCH(Location!$C$6&amp;"|"&amp;$A16&amp;"|lotabs",Market_Data!$K$5:$K$304,0)),IFERROR(INDEX(Org_Overrides!$D$5:$D$304,MATCH(Org_Profile!$C$4&amp;"|"&amp;$A16&amp;"|lotabs",Org_Overrides!$H$5:$H$304,0)),Use_Library!$S$16))))</f>
        <v/>
      </c>
      <c r="Q16" s="2">
        <f>IF(ISNUMBER(MATCH(Org_Profile!$C$4&amp;"|"&amp;$A16&amp;"|vert",Org_Overrides!$H$5:$H$304,0)),"Org",IF(ISNUMBER(MATCH(Location!$C$4&amp;"|"&amp;$A16&amp;"|vert",Market_Data!$K$5:$K$304,0)),"Market-City",IF(ISNUMBER(MATCH(Location!$C$5&amp;"|"&amp;$A16&amp;"|vert",Market_Data!$K$5:$K$304,0)),"Market-County",IF(ISNUMBER(MATCH(Location!$C$6&amp;"|"&amp;$A16&amp;"|vert",Market_Data!$K$5:$K$304,0)),"Market-State","Default x index"))))</f>
        <v/>
      </c>
      <c r="R16" s="2">
        <f>IF(ISNUMBER(MATCH(Org_Profile!$C$4&amp;"|"&amp;$A16&amp;"|entitle",Org_Overrides!$H$5:$H$304,0)),"Org",IF(ISNUMBER(MATCH(Location!$C$4&amp;"|"&amp;$A16&amp;"|entitle",Market_Data!$K$5:$K$304,0)),"Market-City",IF(ISNUMBER(MATCH(Location!$C$5&amp;"|"&amp;$A16&amp;"|entitle",Market_Data!$K$5:$K$304,0)),"Market-County",IF(ISNUMBER(MATCH(Location!$C$6&amp;"|"&amp;$A16&amp;"|entitle",Market_Data!$K$5:$K$304,0)),"Market-State","Default x index"))))</f>
        <v/>
      </c>
      <c r="S16" s="2">
        <f>IF(ISNUMBER(MATCH(Org_Profile!$C$4&amp;"|"&amp;$A16&amp;"|tilc",Org_Overrides!$H$5:$H$304,0)),"Org",IF(ISNUMBER(MATCH(Location!$C$4&amp;"|"&amp;$A16&amp;"|tilc",Market_Data!$K$5:$K$304,0)),"Market-City",IF(ISNUMBER(MATCH(Location!$C$5&amp;"|"&amp;$A16&amp;"|tilc",Market_Data!$K$5:$K$304,0)),"Market-County",IF(ISNUMBER(MATCH(Location!$C$6&amp;"|"&amp;$A16&amp;"|tilc",Market_Data!$K$5:$K$304,0)),"Market-State","Default x index"))))</f>
        <v/>
      </c>
      <c r="T16" s="2">
        <f>IF(ISNUMBER(MATCH(Org_Profile!$C$4&amp;"|"&amp;$A16&amp;"|opex",Org_Overrides!$H$5:$H$304,0)),"Org",IF(ISNUMBER(MATCH(Location!$C$4&amp;"|"&amp;$A16&amp;"|opex",Market_Data!$K$5:$K$304,0)),"Market-City",IF(ISNUMBER(MATCH(Location!$C$5&amp;"|"&amp;$A16&amp;"|opex",Market_Data!$K$5:$K$304,0)),"Market-County",IF(ISNUMBER(MATCH(Location!$C$6&amp;"|"&amp;$A16&amp;"|opex",Market_Data!$K$5:$K$304,0)),"Market-State","Default x index"))))</f>
        <v/>
      </c>
      <c r="U16" s="2">
        <f>IF(ISNUMBER(MATCH(Org_Profile!$C$4&amp;"|"&amp;$A16&amp;"|devmo",Org_Overrides!$H$5:$H$304,0)),"Org",IF(ISNUMBER(MATCH(Location!$C$4&amp;"|"&amp;$A16&amp;"|devmo",Market_Data!$K$5:$K$304,0)),"Market-City",IF(ISNUMBER(MATCH(Location!$C$5&amp;"|"&amp;$A16&amp;"|devmo",Market_Data!$K$5:$K$304,0)),"Market-County",IF(ISNUMBER(MATCH(Location!$C$6&amp;"|"&amp;$A16&amp;"|devmo",Market_Data!$K$5:$K$304,0)),"Market-State","Default"))))</f>
        <v/>
      </c>
      <c r="V16" s="2">
        <f>IF(ISNUMBER(MATCH(Org_Profile!$C$4&amp;"|"&amp;$A16&amp;"|margin",Org_Overrides!$H$5:$H$304,0)),"Org",IF(INDEX(Org_Profile!$C$9:$C$12,MATCH(Use_Library!$C$16,Org_Profile!$B$9:$B$12,0))&lt;&gt;"","Org engine margin","Default"))</f>
        <v/>
      </c>
      <c r="W16" s="2">
        <f>IF(ISNUMBER(MATCH(Location!$C$4&amp;"|"&amp;$A16&amp;"|lotprice",Market_Data!$K$5:$K$304,0)),"Market-City",IF(ISNUMBER(MATCH(Location!$C$5&amp;"|"&amp;$A16&amp;"|lotprice",Market_Data!$K$5:$K$304,0)),"Market-County",IF(ISNUMBER(MATCH(Location!$C$6&amp;"|"&amp;$A16&amp;"|lotprice",Market_Data!$K$5:$K$304,0)),"Market-State",IF(ISNUMBER(MATCH(Org_Profile!$C$4&amp;"|"&amp;$A16&amp;"|lotprice",Org_Overrides!$H$5:$H$304,0)),"Org","Default x index"))))</f>
        <v/>
      </c>
      <c r="X16" s="2">
        <f>IF(ISNUMBER(MATCH(Location!$C$4&amp;"|"&amp;$A16&amp;"|saleprice",Market_Data!$K$5:$K$304,0)),"Market-City",IF(ISNUMBER(MATCH(Location!$C$5&amp;"|"&amp;$A16&amp;"|saleprice",Market_Data!$K$5:$K$304,0)),"Market-County",IF(ISNUMBER(MATCH(Location!$C$6&amp;"|"&amp;$A16&amp;"|saleprice",Market_Data!$K$5:$K$304,0)),"Market-State",IF(ISNUMBER(MATCH(Org_Profile!$C$4&amp;"|"&amp;$A16&amp;"|saleprice",Org_Overrides!$H$5:$H$304,0)),"Org","Default x index"))))</f>
        <v/>
      </c>
      <c r="Y16" s="2">
        <f>IF(ISNUMBER(MATCH(Location!$C$4&amp;"|"&amp;$A16&amp;"|landac",Market_Data!$K$5:$K$304,0)),"Market-City",IF(ISNUMBER(MATCH(Location!$C$5&amp;"|"&amp;$A16&amp;"|landac",Market_Data!$K$5:$K$304,0)),"Market-County",IF(ISNUMBER(MATCH(Location!$C$6&amp;"|"&amp;$A16&amp;"|landac",Market_Data!$K$5:$K$304,0)),"Market-State",IF(ISNUMBER(MATCH(Org_Profile!$C$4&amp;"|"&amp;$A16&amp;"|landac",Org_Overrides!$H$5:$H$304,0)),"Org","Default x index"))))</f>
        <v/>
      </c>
      <c r="Z16" s="2">
        <f>IF(ISNUMBER(MATCH(Location!$C$4&amp;"|"&amp;$A16&amp;"|rent",Market_Data!$K$5:$K$304,0)),"Market-City",IF(ISNUMBER(MATCH(Location!$C$5&amp;"|"&amp;$A16&amp;"|rent",Market_Data!$K$5:$K$304,0)),"Market-County",IF(ISNUMBER(MATCH(Location!$C$6&amp;"|"&amp;$A16&amp;"|rent",Market_Data!$K$5:$K$304,0)),"Market-State",IF(ISNUMBER(MATCH(Org_Profile!$C$4&amp;"|"&amp;$A16&amp;"|rent",Org_Overrides!$H$5:$H$304,0)),"Org","Default x index"))))</f>
        <v/>
      </c>
      <c r="AA16" s="2">
        <f>IF(ISNUMBER(MATCH(Location!$C$4&amp;"|"&amp;$A16&amp;"|groundrent",Market_Data!$K$5:$K$304,0)),"Market-City",IF(ISNUMBER(MATCH(Location!$C$5&amp;"|"&amp;$A16&amp;"|groundrent",Market_Data!$K$5:$K$304,0)),"Market-County",IF(ISNUMBER(MATCH(Location!$C$6&amp;"|"&amp;$A16&amp;"|groundrent",Market_Data!$K$5:$K$304,0)),"Market-State",IF(ISNUMBER(MATCH(Org_Profile!$C$4&amp;"|"&amp;$A16&amp;"|groundrent",Org_Overrides!$H$5:$H$304,0)),"Org","Default x index"))))</f>
        <v/>
      </c>
      <c r="AB16" s="2">
        <f>IF(ISNUMBER(MATCH(Location!$C$4&amp;"|"&amp;$A16&amp;"|cap",Market_Data!$K$5:$K$304,0)),"Market-City",IF(ISNUMBER(MATCH(Location!$C$5&amp;"|"&amp;$A16&amp;"|cap",Market_Data!$K$5:$K$304,0)),"Market-County",IF(ISNUMBER(MATCH(Location!$C$6&amp;"|"&amp;$A16&amp;"|cap",Market_Data!$K$5:$K$304,0)),"Market-State",IF(ISNUMBER(MATCH(Org_Profile!$C$4&amp;"|"&amp;$A16&amp;"|cap",Org_Overrides!$H$5:$H$304,0)),"Org","Default x index"))))</f>
        <v/>
      </c>
      <c r="AC16" s="2">
        <f>IF(ISNUMBER(MATCH(Location!$C$4&amp;"|"&amp;$A16&amp;"|vac",Market_Data!$K$5:$K$304,0)),"Market-City",IF(ISNUMBER(MATCH(Location!$C$5&amp;"|"&amp;$A16&amp;"|vac",Market_Data!$K$5:$K$304,0)),"Market-County",IF(ISNUMBER(MATCH(Location!$C$6&amp;"|"&amp;$A16&amp;"|vac",Market_Data!$K$5:$K$304,0)),"Market-State",IF(ISNUMBER(MATCH(Org_Profile!$C$4&amp;"|"&amp;$A16&amp;"|vac",Org_Overrides!$H$5:$H$304,0)),"Org","Default"))))</f>
        <v/>
      </c>
      <c r="AD16" s="2">
        <f>IF(ISNUMBER(MATCH(Location!$C$4&amp;"|"&amp;$A16&amp;"|absorb",Market_Data!$K$5:$K$304,0)),"Market-City",IF(ISNUMBER(MATCH(Location!$C$5&amp;"|"&amp;$A16&amp;"|absorb",Market_Data!$K$5:$K$304,0)),"Market-County",IF(ISNUMBER(MATCH(Location!$C$6&amp;"|"&amp;$A16&amp;"|absorb",Market_Data!$K$5:$K$304,0)),"Market-State",IF(ISNUMBER(MATCH(Org_Profile!$C$4&amp;"|"&amp;$A16&amp;"|absorb",Org_Overrides!$H$5:$H$304,0)),"Org","Default"))))</f>
        <v/>
      </c>
      <c r="AE16" s="2">
        <f>IF(ISNUMBER(MATCH(Location!$C$4&amp;"|"&amp;$A16&amp;"|lotabs",Market_Data!$K$5:$K$304,0)),"Market-City",IF(ISNUMBER(MATCH(Location!$C$5&amp;"|"&amp;$A16&amp;"|lotabs",Market_Data!$K$5:$K$304,0)),"Market-County",IF(ISNUMBER(MATCH(Location!$C$6&amp;"|"&amp;$A16&amp;"|lotabs",Market_Data!$K$5:$K$304,0)),"Market-State",IF(ISNUMBER(MATCH(Org_Profile!$C$4&amp;"|"&amp;$A16&amp;"|lotabs",Org_Overrides!$H$5:$H$304,0)),"Org","Default"))))</f>
        <v/>
      </c>
      <c r="AF16" s="15">
        <f>15-COUNTIF(Q16:AE16,"Default*")</f>
        <v/>
      </c>
    </row>
    <row r="17">
      <c r="A17" s="4">
        <f>Use_Library!$A$17</f>
        <v/>
      </c>
      <c r="B17" s="20">
        <f>IFERROR((INDEX(Org_Overrides!$D$5:$D$304,MATCH(Org_Profile!$C$4&amp;"|"&amp;$A17&amp;"|vert",Org_Overrides!$H$5:$H$304,0))*Location!$C$9),IFERROR(INDEX(Market_Data!$D$5:$D$304,MATCH(Location!$C$4&amp;"|"&amp;$A17&amp;"|vert",Market_Data!$K$5:$K$304,0)),IFERROR(INDEX(Market_Data!$D$5:$D$304,MATCH(Location!$C$5&amp;"|"&amp;$A17&amp;"|vert",Market_Data!$K$5:$K$304,0)),IFERROR(INDEX(Market_Data!$D$5:$D$304,MATCH(Location!$C$6&amp;"|"&amp;$A17&amp;"|vert",Market_Data!$K$5:$K$304,0)),(Use_Library!$AF$17*Location!$C$9)))))</f>
        <v/>
      </c>
      <c r="C17" s="20">
        <f>IFERROR((INDEX(Org_Overrides!$D$5:$D$304,MATCH(Org_Profile!$C$4&amp;"|"&amp;$A17&amp;"|entitle",Org_Overrides!$H$5:$H$304,0))*Location!$C$9),IFERROR(INDEX(Market_Data!$D$5:$D$304,MATCH(Location!$C$4&amp;"|"&amp;$A17&amp;"|entitle",Market_Data!$K$5:$K$304,0)),IFERROR(INDEX(Market_Data!$D$5:$D$304,MATCH(Location!$C$5&amp;"|"&amp;$A17&amp;"|entitle",Market_Data!$K$5:$K$304,0)),IFERROR(INDEX(Market_Data!$D$5:$D$304,MATCH(Location!$C$6&amp;"|"&amp;$A17&amp;"|entitle",Market_Data!$K$5:$K$304,0)),(Use_Library!$AE$17*Location!$C$9)))))</f>
        <v/>
      </c>
      <c r="D17" s="20">
        <f>IFERROR((INDEX(Org_Overrides!$D$5:$D$304,MATCH(Org_Profile!$C$4&amp;"|"&amp;$A17&amp;"|tilc",Org_Overrides!$H$5:$H$304,0))*Location!$C$9),IFERROR(INDEX(Market_Data!$D$5:$D$304,MATCH(Location!$C$4&amp;"|"&amp;$A17&amp;"|tilc",Market_Data!$K$5:$K$304,0)),IFERROR(INDEX(Market_Data!$D$5:$D$304,MATCH(Location!$C$5&amp;"|"&amp;$A17&amp;"|tilc",Market_Data!$K$5:$K$304,0)),IFERROR(INDEX(Market_Data!$D$5:$D$304,MATCH(Location!$C$6&amp;"|"&amp;$A17&amp;"|tilc",Market_Data!$K$5:$K$304,0)),(Use_Library!$AG$17*Location!$C$9)))))</f>
        <v/>
      </c>
      <c r="E17" s="20">
        <f>IFERROR((INDEX(Org_Overrides!$D$5:$D$304,MATCH(Org_Profile!$C$4&amp;"|"&amp;$A17&amp;"|opex",Org_Overrides!$H$5:$H$304,0))*Location!$C$13),IFERROR(INDEX(Market_Data!$D$5:$D$304,MATCH(Location!$C$4&amp;"|"&amp;$A17&amp;"|opex",Market_Data!$K$5:$K$304,0)),IFERROR(INDEX(Market_Data!$D$5:$D$304,MATCH(Location!$C$5&amp;"|"&amp;$A17&amp;"|opex",Market_Data!$K$5:$K$304,0)),IFERROR(INDEX(Market_Data!$D$5:$D$304,MATCH(Location!$C$6&amp;"|"&amp;$A17&amp;"|opex",Market_Data!$K$5:$K$304,0)),(Use_Library!$AN$17*Location!$C$13)))))</f>
        <v/>
      </c>
      <c r="F17" s="9">
        <f>IFERROR(INDEX(Org_Overrides!$D$5:$D$304,MATCH(Org_Profile!$C$4&amp;"|"&amp;$A17&amp;"|devmo",Org_Overrides!$H$5:$H$304,0)),IFERROR(INDEX(Market_Data!$D$5:$D$304,MATCH(Location!$C$4&amp;"|"&amp;$A17&amp;"|devmo",Market_Data!$K$5:$K$304,0)),IFERROR(INDEX(Market_Data!$D$5:$D$304,MATCH(Location!$C$5&amp;"|"&amp;$A17&amp;"|devmo",Market_Data!$K$5:$K$304,0)),IFERROR(INDEX(Market_Data!$D$5:$D$304,MATCH(Location!$C$6&amp;"|"&amp;$A17&amp;"|devmo",Market_Data!$K$5:$K$304,0)),Use_Library!$AH$17))))</f>
        <v/>
      </c>
      <c r="G17" s="23">
        <f>IFERROR(INDEX(Org_Overrides!$D$5:$D$304,MATCH(Org_Profile!$C$4&amp;"|"&amp;$A17&amp;"|margin",Org_Overrides!$H$5:$H$304,0)),IF(INDEX(Org_Profile!$C$9:$C$12,MATCH(Use_Library!$C$17,Org_Profile!$B$9:$B$12,0))&lt;&gt;"",INDEX(Org_Profile!$C$9:$C$12,MATCH(Use_Library!$C$17,Org_Profile!$B$9:$B$12,0)),Use_Library!$AU$17))</f>
        <v/>
      </c>
      <c r="H17" s="20">
        <f>IFERROR(INDEX(Market_Data!$D$5:$D$304,MATCH(Location!$C$4&amp;"|"&amp;$A17&amp;"|lotprice",Market_Data!$K$5:$K$304,0)),IFERROR(INDEX(Market_Data!$D$5:$D$304,MATCH(Location!$C$5&amp;"|"&amp;$A17&amp;"|lotprice",Market_Data!$K$5:$K$304,0)),IFERROR(INDEX(Market_Data!$D$5:$D$304,MATCH(Location!$C$6&amp;"|"&amp;$A17&amp;"|lotprice",Market_Data!$K$5:$K$304,0)),IFERROR((INDEX(Org_Overrides!$D$5:$D$304,MATCH(Org_Profile!$C$4&amp;"|"&amp;$A17&amp;"|lotprice",Org_Overrides!$H$5:$H$304,0))*Location!$C$10),(Use_Library!$AI$17*Location!$C$10)))))</f>
        <v/>
      </c>
      <c r="I17" s="20">
        <f>IFERROR(INDEX(Market_Data!$D$5:$D$304,MATCH(Location!$C$4&amp;"|"&amp;$A17&amp;"|saleprice",Market_Data!$K$5:$K$304,0)),IFERROR(INDEX(Market_Data!$D$5:$D$304,MATCH(Location!$C$5&amp;"|"&amp;$A17&amp;"|saleprice",Market_Data!$K$5:$K$304,0)),IFERROR(INDEX(Market_Data!$D$5:$D$304,MATCH(Location!$C$6&amp;"|"&amp;$A17&amp;"|saleprice",Market_Data!$K$5:$K$304,0)),IFERROR((INDEX(Org_Overrides!$D$5:$D$304,MATCH(Org_Profile!$C$4&amp;"|"&amp;$A17&amp;"|saleprice",Org_Overrides!$H$5:$H$304,0))*Location!$C$10),(Use_Library!$AJ$17*Location!$C$10)))))</f>
        <v/>
      </c>
      <c r="J17" s="20">
        <f>IFERROR(INDEX(Market_Data!$D$5:$D$304,MATCH(Location!$C$4&amp;"|"&amp;$A17&amp;"|landac",Market_Data!$K$5:$K$304,0)),IFERROR(INDEX(Market_Data!$D$5:$D$304,MATCH(Location!$C$5&amp;"|"&amp;$A17&amp;"|landac",Market_Data!$K$5:$K$304,0)),IFERROR(INDEX(Market_Data!$D$5:$D$304,MATCH(Location!$C$6&amp;"|"&amp;$A17&amp;"|landac",Market_Data!$K$5:$K$304,0)),IFERROR((INDEX(Org_Overrides!$D$5:$D$304,MATCH(Org_Profile!$C$4&amp;"|"&amp;$A17&amp;"|landac",Org_Overrides!$H$5:$H$304,0))*Location!$C$10),(Use_Library!$AS$17*Location!$C$10)))))</f>
        <v/>
      </c>
      <c r="K17" s="20">
        <f>IFERROR(INDEX(Market_Data!$D$5:$D$304,MATCH(Location!$C$4&amp;"|"&amp;$A17&amp;"|rent",Market_Data!$K$5:$K$304,0)),IFERROR(INDEX(Market_Data!$D$5:$D$304,MATCH(Location!$C$5&amp;"|"&amp;$A17&amp;"|rent",Market_Data!$K$5:$K$304,0)),IFERROR(INDEX(Market_Data!$D$5:$D$304,MATCH(Location!$C$6&amp;"|"&amp;$A17&amp;"|rent",Market_Data!$K$5:$K$304,0)),IFERROR((INDEX(Org_Overrides!$D$5:$D$304,MATCH(Org_Profile!$C$4&amp;"|"&amp;$A17&amp;"|rent",Org_Overrides!$H$5:$H$304,0))*Location!$C$11),(Use_Library!$AK$17*Location!$C$11)))))</f>
        <v/>
      </c>
      <c r="L17" s="20">
        <f>IFERROR(INDEX(Market_Data!$D$5:$D$304,MATCH(Location!$C$4&amp;"|"&amp;$A17&amp;"|groundrent",Market_Data!$K$5:$K$304,0)),IFERROR(INDEX(Market_Data!$D$5:$D$304,MATCH(Location!$C$5&amp;"|"&amp;$A17&amp;"|groundrent",Market_Data!$K$5:$K$304,0)),IFERROR(INDEX(Market_Data!$D$5:$D$304,MATCH(Location!$C$6&amp;"|"&amp;$A17&amp;"|groundrent",Market_Data!$K$5:$K$304,0)),IFERROR((INDEX(Org_Overrides!$D$5:$D$304,MATCH(Org_Profile!$C$4&amp;"|"&amp;$A17&amp;"|groundrent",Org_Overrides!$H$5:$H$304,0))*Location!$C$11),(Use_Library!$AT$17*Location!$C$11)))))</f>
        <v/>
      </c>
      <c r="M17" s="23">
        <f>IFERROR(INDEX(Market_Data!$D$5:$D$304,MATCH(Location!$C$4&amp;"|"&amp;$A17&amp;"|cap",Market_Data!$K$5:$K$304,0)),IFERROR(INDEX(Market_Data!$D$5:$D$304,MATCH(Location!$C$5&amp;"|"&amp;$A17&amp;"|cap",Market_Data!$K$5:$K$304,0)),IFERROR(INDEX(Market_Data!$D$5:$D$304,MATCH(Location!$C$6&amp;"|"&amp;$A17&amp;"|cap",Market_Data!$K$5:$K$304,0)),IFERROR((INDEX(Org_Overrides!$D$5:$D$304,MATCH(Org_Profile!$C$4&amp;"|"&amp;$A17&amp;"|cap",Org_Overrides!$H$5:$H$304,0))+Location!$C$12),(Use_Library!$AR$17+Location!$C$12)))))</f>
        <v/>
      </c>
      <c r="N17" s="23">
        <f>IFERROR(INDEX(Market_Data!$D$5:$D$304,MATCH(Location!$C$4&amp;"|"&amp;$A17&amp;"|vac",Market_Data!$K$5:$K$304,0)),IFERROR(INDEX(Market_Data!$D$5:$D$304,MATCH(Location!$C$5&amp;"|"&amp;$A17&amp;"|vac",Market_Data!$K$5:$K$304,0)),IFERROR(INDEX(Market_Data!$D$5:$D$304,MATCH(Location!$C$6&amp;"|"&amp;$A17&amp;"|vac",Market_Data!$K$5:$K$304,0)),IFERROR(INDEX(Org_Overrides!$D$5:$D$304,MATCH(Org_Profile!$C$4&amp;"|"&amp;$A17&amp;"|vac",Org_Overrides!$H$5:$H$304,0)),Use_Library!$AM$17))))</f>
        <v/>
      </c>
      <c r="O17" s="24">
        <f>IFERROR(INDEX(Market_Data!$D$5:$D$304,MATCH(Location!$C$4&amp;"|"&amp;$A17&amp;"|absorb",Market_Data!$K$5:$K$304,0)),IFERROR(INDEX(Market_Data!$D$5:$D$304,MATCH(Location!$C$5&amp;"|"&amp;$A17&amp;"|absorb",Market_Data!$K$5:$K$304,0)),IFERROR(INDEX(Market_Data!$D$5:$D$304,MATCH(Location!$C$6&amp;"|"&amp;$A17&amp;"|absorb",Market_Data!$K$5:$K$304,0)),IFERROR(INDEX(Org_Overrides!$D$5:$D$304,MATCH(Org_Profile!$C$4&amp;"|"&amp;$A17&amp;"|absorb",Org_Overrides!$H$5:$H$304,0)),Use_Library!$R$17))))</f>
        <v/>
      </c>
      <c r="P17" s="24">
        <f>IFERROR(INDEX(Market_Data!$D$5:$D$304,MATCH(Location!$C$4&amp;"|"&amp;$A17&amp;"|lotabs",Market_Data!$K$5:$K$304,0)),IFERROR(INDEX(Market_Data!$D$5:$D$304,MATCH(Location!$C$5&amp;"|"&amp;$A17&amp;"|lotabs",Market_Data!$K$5:$K$304,0)),IFERROR(INDEX(Market_Data!$D$5:$D$304,MATCH(Location!$C$6&amp;"|"&amp;$A17&amp;"|lotabs",Market_Data!$K$5:$K$304,0)),IFERROR(INDEX(Org_Overrides!$D$5:$D$304,MATCH(Org_Profile!$C$4&amp;"|"&amp;$A17&amp;"|lotabs",Org_Overrides!$H$5:$H$304,0)),Use_Library!$S$17))))</f>
        <v/>
      </c>
      <c r="Q17" s="2">
        <f>IF(ISNUMBER(MATCH(Org_Profile!$C$4&amp;"|"&amp;$A17&amp;"|vert",Org_Overrides!$H$5:$H$304,0)),"Org",IF(ISNUMBER(MATCH(Location!$C$4&amp;"|"&amp;$A17&amp;"|vert",Market_Data!$K$5:$K$304,0)),"Market-City",IF(ISNUMBER(MATCH(Location!$C$5&amp;"|"&amp;$A17&amp;"|vert",Market_Data!$K$5:$K$304,0)),"Market-County",IF(ISNUMBER(MATCH(Location!$C$6&amp;"|"&amp;$A17&amp;"|vert",Market_Data!$K$5:$K$304,0)),"Market-State","Default x index"))))</f>
        <v/>
      </c>
      <c r="R17" s="2">
        <f>IF(ISNUMBER(MATCH(Org_Profile!$C$4&amp;"|"&amp;$A17&amp;"|entitle",Org_Overrides!$H$5:$H$304,0)),"Org",IF(ISNUMBER(MATCH(Location!$C$4&amp;"|"&amp;$A17&amp;"|entitle",Market_Data!$K$5:$K$304,0)),"Market-City",IF(ISNUMBER(MATCH(Location!$C$5&amp;"|"&amp;$A17&amp;"|entitle",Market_Data!$K$5:$K$304,0)),"Market-County",IF(ISNUMBER(MATCH(Location!$C$6&amp;"|"&amp;$A17&amp;"|entitle",Market_Data!$K$5:$K$304,0)),"Market-State","Default x index"))))</f>
        <v/>
      </c>
      <c r="S17" s="2">
        <f>IF(ISNUMBER(MATCH(Org_Profile!$C$4&amp;"|"&amp;$A17&amp;"|tilc",Org_Overrides!$H$5:$H$304,0)),"Org",IF(ISNUMBER(MATCH(Location!$C$4&amp;"|"&amp;$A17&amp;"|tilc",Market_Data!$K$5:$K$304,0)),"Market-City",IF(ISNUMBER(MATCH(Location!$C$5&amp;"|"&amp;$A17&amp;"|tilc",Market_Data!$K$5:$K$304,0)),"Market-County",IF(ISNUMBER(MATCH(Location!$C$6&amp;"|"&amp;$A17&amp;"|tilc",Market_Data!$K$5:$K$304,0)),"Market-State","Default x index"))))</f>
        <v/>
      </c>
      <c r="T17" s="2">
        <f>IF(ISNUMBER(MATCH(Org_Profile!$C$4&amp;"|"&amp;$A17&amp;"|opex",Org_Overrides!$H$5:$H$304,0)),"Org",IF(ISNUMBER(MATCH(Location!$C$4&amp;"|"&amp;$A17&amp;"|opex",Market_Data!$K$5:$K$304,0)),"Market-City",IF(ISNUMBER(MATCH(Location!$C$5&amp;"|"&amp;$A17&amp;"|opex",Market_Data!$K$5:$K$304,0)),"Market-County",IF(ISNUMBER(MATCH(Location!$C$6&amp;"|"&amp;$A17&amp;"|opex",Market_Data!$K$5:$K$304,0)),"Market-State","Default x index"))))</f>
        <v/>
      </c>
      <c r="U17" s="2">
        <f>IF(ISNUMBER(MATCH(Org_Profile!$C$4&amp;"|"&amp;$A17&amp;"|devmo",Org_Overrides!$H$5:$H$304,0)),"Org",IF(ISNUMBER(MATCH(Location!$C$4&amp;"|"&amp;$A17&amp;"|devmo",Market_Data!$K$5:$K$304,0)),"Market-City",IF(ISNUMBER(MATCH(Location!$C$5&amp;"|"&amp;$A17&amp;"|devmo",Market_Data!$K$5:$K$304,0)),"Market-County",IF(ISNUMBER(MATCH(Location!$C$6&amp;"|"&amp;$A17&amp;"|devmo",Market_Data!$K$5:$K$304,0)),"Market-State","Default"))))</f>
        <v/>
      </c>
      <c r="V17" s="2">
        <f>IF(ISNUMBER(MATCH(Org_Profile!$C$4&amp;"|"&amp;$A17&amp;"|margin",Org_Overrides!$H$5:$H$304,0)),"Org",IF(INDEX(Org_Profile!$C$9:$C$12,MATCH(Use_Library!$C$17,Org_Profile!$B$9:$B$12,0))&lt;&gt;"","Org engine margin","Default"))</f>
        <v/>
      </c>
      <c r="W17" s="2">
        <f>IF(ISNUMBER(MATCH(Location!$C$4&amp;"|"&amp;$A17&amp;"|lotprice",Market_Data!$K$5:$K$304,0)),"Market-City",IF(ISNUMBER(MATCH(Location!$C$5&amp;"|"&amp;$A17&amp;"|lotprice",Market_Data!$K$5:$K$304,0)),"Market-County",IF(ISNUMBER(MATCH(Location!$C$6&amp;"|"&amp;$A17&amp;"|lotprice",Market_Data!$K$5:$K$304,0)),"Market-State",IF(ISNUMBER(MATCH(Org_Profile!$C$4&amp;"|"&amp;$A17&amp;"|lotprice",Org_Overrides!$H$5:$H$304,0)),"Org","Default x index"))))</f>
        <v/>
      </c>
      <c r="X17" s="2">
        <f>IF(ISNUMBER(MATCH(Location!$C$4&amp;"|"&amp;$A17&amp;"|saleprice",Market_Data!$K$5:$K$304,0)),"Market-City",IF(ISNUMBER(MATCH(Location!$C$5&amp;"|"&amp;$A17&amp;"|saleprice",Market_Data!$K$5:$K$304,0)),"Market-County",IF(ISNUMBER(MATCH(Location!$C$6&amp;"|"&amp;$A17&amp;"|saleprice",Market_Data!$K$5:$K$304,0)),"Market-State",IF(ISNUMBER(MATCH(Org_Profile!$C$4&amp;"|"&amp;$A17&amp;"|saleprice",Org_Overrides!$H$5:$H$304,0)),"Org","Default x index"))))</f>
        <v/>
      </c>
      <c r="Y17" s="2">
        <f>IF(ISNUMBER(MATCH(Location!$C$4&amp;"|"&amp;$A17&amp;"|landac",Market_Data!$K$5:$K$304,0)),"Market-City",IF(ISNUMBER(MATCH(Location!$C$5&amp;"|"&amp;$A17&amp;"|landac",Market_Data!$K$5:$K$304,0)),"Market-County",IF(ISNUMBER(MATCH(Location!$C$6&amp;"|"&amp;$A17&amp;"|landac",Market_Data!$K$5:$K$304,0)),"Market-State",IF(ISNUMBER(MATCH(Org_Profile!$C$4&amp;"|"&amp;$A17&amp;"|landac",Org_Overrides!$H$5:$H$304,0)),"Org","Default x index"))))</f>
        <v/>
      </c>
      <c r="Z17" s="2">
        <f>IF(ISNUMBER(MATCH(Location!$C$4&amp;"|"&amp;$A17&amp;"|rent",Market_Data!$K$5:$K$304,0)),"Market-City",IF(ISNUMBER(MATCH(Location!$C$5&amp;"|"&amp;$A17&amp;"|rent",Market_Data!$K$5:$K$304,0)),"Market-County",IF(ISNUMBER(MATCH(Location!$C$6&amp;"|"&amp;$A17&amp;"|rent",Market_Data!$K$5:$K$304,0)),"Market-State",IF(ISNUMBER(MATCH(Org_Profile!$C$4&amp;"|"&amp;$A17&amp;"|rent",Org_Overrides!$H$5:$H$304,0)),"Org","Default x index"))))</f>
        <v/>
      </c>
      <c r="AA17" s="2">
        <f>IF(ISNUMBER(MATCH(Location!$C$4&amp;"|"&amp;$A17&amp;"|groundrent",Market_Data!$K$5:$K$304,0)),"Market-City",IF(ISNUMBER(MATCH(Location!$C$5&amp;"|"&amp;$A17&amp;"|groundrent",Market_Data!$K$5:$K$304,0)),"Market-County",IF(ISNUMBER(MATCH(Location!$C$6&amp;"|"&amp;$A17&amp;"|groundrent",Market_Data!$K$5:$K$304,0)),"Market-State",IF(ISNUMBER(MATCH(Org_Profile!$C$4&amp;"|"&amp;$A17&amp;"|groundrent",Org_Overrides!$H$5:$H$304,0)),"Org","Default x index"))))</f>
        <v/>
      </c>
      <c r="AB17" s="2">
        <f>IF(ISNUMBER(MATCH(Location!$C$4&amp;"|"&amp;$A17&amp;"|cap",Market_Data!$K$5:$K$304,0)),"Market-City",IF(ISNUMBER(MATCH(Location!$C$5&amp;"|"&amp;$A17&amp;"|cap",Market_Data!$K$5:$K$304,0)),"Market-County",IF(ISNUMBER(MATCH(Location!$C$6&amp;"|"&amp;$A17&amp;"|cap",Market_Data!$K$5:$K$304,0)),"Market-State",IF(ISNUMBER(MATCH(Org_Profile!$C$4&amp;"|"&amp;$A17&amp;"|cap",Org_Overrides!$H$5:$H$304,0)),"Org","Default x index"))))</f>
        <v/>
      </c>
      <c r="AC17" s="2">
        <f>IF(ISNUMBER(MATCH(Location!$C$4&amp;"|"&amp;$A17&amp;"|vac",Market_Data!$K$5:$K$304,0)),"Market-City",IF(ISNUMBER(MATCH(Location!$C$5&amp;"|"&amp;$A17&amp;"|vac",Market_Data!$K$5:$K$304,0)),"Market-County",IF(ISNUMBER(MATCH(Location!$C$6&amp;"|"&amp;$A17&amp;"|vac",Market_Data!$K$5:$K$304,0)),"Market-State",IF(ISNUMBER(MATCH(Org_Profile!$C$4&amp;"|"&amp;$A17&amp;"|vac",Org_Overrides!$H$5:$H$304,0)),"Org","Default"))))</f>
        <v/>
      </c>
      <c r="AD17" s="2">
        <f>IF(ISNUMBER(MATCH(Location!$C$4&amp;"|"&amp;$A17&amp;"|absorb",Market_Data!$K$5:$K$304,0)),"Market-City",IF(ISNUMBER(MATCH(Location!$C$5&amp;"|"&amp;$A17&amp;"|absorb",Market_Data!$K$5:$K$304,0)),"Market-County",IF(ISNUMBER(MATCH(Location!$C$6&amp;"|"&amp;$A17&amp;"|absorb",Market_Data!$K$5:$K$304,0)),"Market-State",IF(ISNUMBER(MATCH(Org_Profile!$C$4&amp;"|"&amp;$A17&amp;"|absorb",Org_Overrides!$H$5:$H$304,0)),"Org","Default"))))</f>
        <v/>
      </c>
      <c r="AE17" s="2">
        <f>IF(ISNUMBER(MATCH(Location!$C$4&amp;"|"&amp;$A17&amp;"|lotabs",Market_Data!$K$5:$K$304,0)),"Market-City",IF(ISNUMBER(MATCH(Location!$C$5&amp;"|"&amp;$A17&amp;"|lotabs",Market_Data!$K$5:$K$304,0)),"Market-County",IF(ISNUMBER(MATCH(Location!$C$6&amp;"|"&amp;$A17&amp;"|lotabs",Market_Data!$K$5:$K$304,0)),"Market-State",IF(ISNUMBER(MATCH(Org_Profile!$C$4&amp;"|"&amp;$A17&amp;"|lotabs",Org_Overrides!$H$5:$H$304,0)),"Org","Default"))))</f>
        <v/>
      </c>
      <c r="AF17" s="15">
        <f>15-COUNTIF(Q17:AE17,"Default*")</f>
        <v/>
      </c>
    </row>
    <row r="18">
      <c r="A18" s="4">
        <f>Use_Library!$A$18</f>
        <v/>
      </c>
      <c r="B18" s="20">
        <f>IFERROR((INDEX(Org_Overrides!$D$5:$D$304,MATCH(Org_Profile!$C$4&amp;"|"&amp;$A18&amp;"|vert",Org_Overrides!$H$5:$H$304,0))*Location!$C$9),IFERROR(INDEX(Market_Data!$D$5:$D$304,MATCH(Location!$C$4&amp;"|"&amp;$A18&amp;"|vert",Market_Data!$K$5:$K$304,0)),IFERROR(INDEX(Market_Data!$D$5:$D$304,MATCH(Location!$C$5&amp;"|"&amp;$A18&amp;"|vert",Market_Data!$K$5:$K$304,0)),IFERROR(INDEX(Market_Data!$D$5:$D$304,MATCH(Location!$C$6&amp;"|"&amp;$A18&amp;"|vert",Market_Data!$K$5:$K$304,0)),(Use_Library!$AF$18*Location!$C$9)))))</f>
        <v/>
      </c>
      <c r="C18" s="20">
        <f>IFERROR((INDEX(Org_Overrides!$D$5:$D$304,MATCH(Org_Profile!$C$4&amp;"|"&amp;$A18&amp;"|entitle",Org_Overrides!$H$5:$H$304,0))*Location!$C$9),IFERROR(INDEX(Market_Data!$D$5:$D$304,MATCH(Location!$C$4&amp;"|"&amp;$A18&amp;"|entitle",Market_Data!$K$5:$K$304,0)),IFERROR(INDEX(Market_Data!$D$5:$D$304,MATCH(Location!$C$5&amp;"|"&amp;$A18&amp;"|entitle",Market_Data!$K$5:$K$304,0)),IFERROR(INDEX(Market_Data!$D$5:$D$304,MATCH(Location!$C$6&amp;"|"&amp;$A18&amp;"|entitle",Market_Data!$K$5:$K$304,0)),(Use_Library!$AE$18*Location!$C$9)))))</f>
        <v/>
      </c>
      <c r="D18" s="20">
        <f>IFERROR((INDEX(Org_Overrides!$D$5:$D$304,MATCH(Org_Profile!$C$4&amp;"|"&amp;$A18&amp;"|tilc",Org_Overrides!$H$5:$H$304,0))*Location!$C$9),IFERROR(INDEX(Market_Data!$D$5:$D$304,MATCH(Location!$C$4&amp;"|"&amp;$A18&amp;"|tilc",Market_Data!$K$5:$K$304,0)),IFERROR(INDEX(Market_Data!$D$5:$D$304,MATCH(Location!$C$5&amp;"|"&amp;$A18&amp;"|tilc",Market_Data!$K$5:$K$304,0)),IFERROR(INDEX(Market_Data!$D$5:$D$304,MATCH(Location!$C$6&amp;"|"&amp;$A18&amp;"|tilc",Market_Data!$K$5:$K$304,0)),(Use_Library!$AG$18*Location!$C$9)))))</f>
        <v/>
      </c>
      <c r="E18" s="20">
        <f>IFERROR((INDEX(Org_Overrides!$D$5:$D$304,MATCH(Org_Profile!$C$4&amp;"|"&amp;$A18&amp;"|opex",Org_Overrides!$H$5:$H$304,0))*Location!$C$13),IFERROR(INDEX(Market_Data!$D$5:$D$304,MATCH(Location!$C$4&amp;"|"&amp;$A18&amp;"|opex",Market_Data!$K$5:$K$304,0)),IFERROR(INDEX(Market_Data!$D$5:$D$304,MATCH(Location!$C$5&amp;"|"&amp;$A18&amp;"|opex",Market_Data!$K$5:$K$304,0)),IFERROR(INDEX(Market_Data!$D$5:$D$304,MATCH(Location!$C$6&amp;"|"&amp;$A18&amp;"|opex",Market_Data!$K$5:$K$304,0)),(Use_Library!$AN$18*Location!$C$13)))))</f>
        <v/>
      </c>
      <c r="F18" s="9">
        <f>IFERROR(INDEX(Org_Overrides!$D$5:$D$304,MATCH(Org_Profile!$C$4&amp;"|"&amp;$A18&amp;"|devmo",Org_Overrides!$H$5:$H$304,0)),IFERROR(INDEX(Market_Data!$D$5:$D$304,MATCH(Location!$C$4&amp;"|"&amp;$A18&amp;"|devmo",Market_Data!$K$5:$K$304,0)),IFERROR(INDEX(Market_Data!$D$5:$D$304,MATCH(Location!$C$5&amp;"|"&amp;$A18&amp;"|devmo",Market_Data!$K$5:$K$304,0)),IFERROR(INDEX(Market_Data!$D$5:$D$304,MATCH(Location!$C$6&amp;"|"&amp;$A18&amp;"|devmo",Market_Data!$K$5:$K$304,0)),Use_Library!$AH$18))))</f>
        <v/>
      </c>
      <c r="G18" s="23">
        <f>IFERROR(INDEX(Org_Overrides!$D$5:$D$304,MATCH(Org_Profile!$C$4&amp;"|"&amp;$A18&amp;"|margin",Org_Overrides!$H$5:$H$304,0)),IF(INDEX(Org_Profile!$C$9:$C$12,MATCH(Use_Library!$C$18,Org_Profile!$B$9:$B$12,0))&lt;&gt;"",INDEX(Org_Profile!$C$9:$C$12,MATCH(Use_Library!$C$18,Org_Profile!$B$9:$B$12,0)),Use_Library!$AU$18))</f>
        <v/>
      </c>
      <c r="H18" s="20">
        <f>IFERROR(INDEX(Market_Data!$D$5:$D$304,MATCH(Location!$C$4&amp;"|"&amp;$A18&amp;"|lotprice",Market_Data!$K$5:$K$304,0)),IFERROR(INDEX(Market_Data!$D$5:$D$304,MATCH(Location!$C$5&amp;"|"&amp;$A18&amp;"|lotprice",Market_Data!$K$5:$K$304,0)),IFERROR(INDEX(Market_Data!$D$5:$D$304,MATCH(Location!$C$6&amp;"|"&amp;$A18&amp;"|lotprice",Market_Data!$K$5:$K$304,0)),IFERROR((INDEX(Org_Overrides!$D$5:$D$304,MATCH(Org_Profile!$C$4&amp;"|"&amp;$A18&amp;"|lotprice",Org_Overrides!$H$5:$H$304,0))*Location!$C$10),(Use_Library!$AI$18*Location!$C$10)))))</f>
        <v/>
      </c>
      <c r="I18" s="20">
        <f>IFERROR(INDEX(Market_Data!$D$5:$D$304,MATCH(Location!$C$4&amp;"|"&amp;$A18&amp;"|saleprice",Market_Data!$K$5:$K$304,0)),IFERROR(INDEX(Market_Data!$D$5:$D$304,MATCH(Location!$C$5&amp;"|"&amp;$A18&amp;"|saleprice",Market_Data!$K$5:$K$304,0)),IFERROR(INDEX(Market_Data!$D$5:$D$304,MATCH(Location!$C$6&amp;"|"&amp;$A18&amp;"|saleprice",Market_Data!$K$5:$K$304,0)),IFERROR((INDEX(Org_Overrides!$D$5:$D$304,MATCH(Org_Profile!$C$4&amp;"|"&amp;$A18&amp;"|saleprice",Org_Overrides!$H$5:$H$304,0))*Location!$C$10),(Use_Library!$AJ$18*Location!$C$10)))))</f>
        <v/>
      </c>
      <c r="J18" s="20">
        <f>IFERROR(INDEX(Market_Data!$D$5:$D$304,MATCH(Location!$C$4&amp;"|"&amp;$A18&amp;"|landac",Market_Data!$K$5:$K$304,0)),IFERROR(INDEX(Market_Data!$D$5:$D$304,MATCH(Location!$C$5&amp;"|"&amp;$A18&amp;"|landac",Market_Data!$K$5:$K$304,0)),IFERROR(INDEX(Market_Data!$D$5:$D$304,MATCH(Location!$C$6&amp;"|"&amp;$A18&amp;"|landac",Market_Data!$K$5:$K$304,0)),IFERROR((INDEX(Org_Overrides!$D$5:$D$304,MATCH(Org_Profile!$C$4&amp;"|"&amp;$A18&amp;"|landac",Org_Overrides!$H$5:$H$304,0))*Location!$C$10),(Use_Library!$AS$18*Location!$C$10)))))</f>
        <v/>
      </c>
      <c r="K18" s="20">
        <f>IFERROR(INDEX(Market_Data!$D$5:$D$304,MATCH(Location!$C$4&amp;"|"&amp;$A18&amp;"|rent",Market_Data!$K$5:$K$304,0)),IFERROR(INDEX(Market_Data!$D$5:$D$304,MATCH(Location!$C$5&amp;"|"&amp;$A18&amp;"|rent",Market_Data!$K$5:$K$304,0)),IFERROR(INDEX(Market_Data!$D$5:$D$304,MATCH(Location!$C$6&amp;"|"&amp;$A18&amp;"|rent",Market_Data!$K$5:$K$304,0)),IFERROR((INDEX(Org_Overrides!$D$5:$D$304,MATCH(Org_Profile!$C$4&amp;"|"&amp;$A18&amp;"|rent",Org_Overrides!$H$5:$H$304,0))*Location!$C$11),(Use_Library!$AK$18*Location!$C$11)))))</f>
        <v/>
      </c>
      <c r="L18" s="20">
        <f>IFERROR(INDEX(Market_Data!$D$5:$D$304,MATCH(Location!$C$4&amp;"|"&amp;$A18&amp;"|groundrent",Market_Data!$K$5:$K$304,0)),IFERROR(INDEX(Market_Data!$D$5:$D$304,MATCH(Location!$C$5&amp;"|"&amp;$A18&amp;"|groundrent",Market_Data!$K$5:$K$304,0)),IFERROR(INDEX(Market_Data!$D$5:$D$304,MATCH(Location!$C$6&amp;"|"&amp;$A18&amp;"|groundrent",Market_Data!$K$5:$K$304,0)),IFERROR((INDEX(Org_Overrides!$D$5:$D$304,MATCH(Org_Profile!$C$4&amp;"|"&amp;$A18&amp;"|groundrent",Org_Overrides!$H$5:$H$304,0))*Location!$C$11),(Use_Library!$AT$18*Location!$C$11)))))</f>
        <v/>
      </c>
      <c r="M18" s="23">
        <f>IFERROR(INDEX(Market_Data!$D$5:$D$304,MATCH(Location!$C$4&amp;"|"&amp;$A18&amp;"|cap",Market_Data!$K$5:$K$304,0)),IFERROR(INDEX(Market_Data!$D$5:$D$304,MATCH(Location!$C$5&amp;"|"&amp;$A18&amp;"|cap",Market_Data!$K$5:$K$304,0)),IFERROR(INDEX(Market_Data!$D$5:$D$304,MATCH(Location!$C$6&amp;"|"&amp;$A18&amp;"|cap",Market_Data!$K$5:$K$304,0)),IFERROR((INDEX(Org_Overrides!$D$5:$D$304,MATCH(Org_Profile!$C$4&amp;"|"&amp;$A18&amp;"|cap",Org_Overrides!$H$5:$H$304,0))+Location!$C$12),(Use_Library!$AR$18+Location!$C$12)))))</f>
        <v/>
      </c>
      <c r="N18" s="23">
        <f>IFERROR(INDEX(Market_Data!$D$5:$D$304,MATCH(Location!$C$4&amp;"|"&amp;$A18&amp;"|vac",Market_Data!$K$5:$K$304,0)),IFERROR(INDEX(Market_Data!$D$5:$D$304,MATCH(Location!$C$5&amp;"|"&amp;$A18&amp;"|vac",Market_Data!$K$5:$K$304,0)),IFERROR(INDEX(Market_Data!$D$5:$D$304,MATCH(Location!$C$6&amp;"|"&amp;$A18&amp;"|vac",Market_Data!$K$5:$K$304,0)),IFERROR(INDEX(Org_Overrides!$D$5:$D$304,MATCH(Org_Profile!$C$4&amp;"|"&amp;$A18&amp;"|vac",Org_Overrides!$H$5:$H$304,0)),Use_Library!$AM$18))))</f>
        <v/>
      </c>
      <c r="O18" s="24">
        <f>IFERROR(INDEX(Market_Data!$D$5:$D$304,MATCH(Location!$C$4&amp;"|"&amp;$A18&amp;"|absorb",Market_Data!$K$5:$K$304,0)),IFERROR(INDEX(Market_Data!$D$5:$D$304,MATCH(Location!$C$5&amp;"|"&amp;$A18&amp;"|absorb",Market_Data!$K$5:$K$304,0)),IFERROR(INDEX(Market_Data!$D$5:$D$304,MATCH(Location!$C$6&amp;"|"&amp;$A18&amp;"|absorb",Market_Data!$K$5:$K$304,0)),IFERROR(INDEX(Org_Overrides!$D$5:$D$304,MATCH(Org_Profile!$C$4&amp;"|"&amp;$A18&amp;"|absorb",Org_Overrides!$H$5:$H$304,0)),Use_Library!$R$18))))</f>
        <v/>
      </c>
      <c r="P18" s="24">
        <f>IFERROR(INDEX(Market_Data!$D$5:$D$304,MATCH(Location!$C$4&amp;"|"&amp;$A18&amp;"|lotabs",Market_Data!$K$5:$K$304,0)),IFERROR(INDEX(Market_Data!$D$5:$D$304,MATCH(Location!$C$5&amp;"|"&amp;$A18&amp;"|lotabs",Market_Data!$K$5:$K$304,0)),IFERROR(INDEX(Market_Data!$D$5:$D$304,MATCH(Location!$C$6&amp;"|"&amp;$A18&amp;"|lotabs",Market_Data!$K$5:$K$304,0)),IFERROR(INDEX(Org_Overrides!$D$5:$D$304,MATCH(Org_Profile!$C$4&amp;"|"&amp;$A18&amp;"|lotabs",Org_Overrides!$H$5:$H$304,0)),Use_Library!$S$18))))</f>
        <v/>
      </c>
      <c r="Q18" s="2">
        <f>IF(ISNUMBER(MATCH(Org_Profile!$C$4&amp;"|"&amp;$A18&amp;"|vert",Org_Overrides!$H$5:$H$304,0)),"Org",IF(ISNUMBER(MATCH(Location!$C$4&amp;"|"&amp;$A18&amp;"|vert",Market_Data!$K$5:$K$304,0)),"Market-City",IF(ISNUMBER(MATCH(Location!$C$5&amp;"|"&amp;$A18&amp;"|vert",Market_Data!$K$5:$K$304,0)),"Market-County",IF(ISNUMBER(MATCH(Location!$C$6&amp;"|"&amp;$A18&amp;"|vert",Market_Data!$K$5:$K$304,0)),"Market-State","Default x index"))))</f>
        <v/>
      </c>
      <c r="R18" s="2">
        <f>IF(ISNUMBER(MATCH(Org_Profile!$C$4&amp;"|"&amp;$A18&amp;"|entitle",Org_Overrides!$H$5:$H$304,0)),"Org",IF(ISNUMBER(MATCH(Location!$C$4&amp;"|"&amp;$A18&amp;"|entitle",Market_Data!$K$5:$K$304,0)),"Market-City",IF(ISNUMBER(MATCH(Location!$C$5&amp;"|"&amp;$A18&amp;"|entitle",Market_Data!$K$5:$K$304,0)),"Market-County",IF(ISNUMBER(MATCH(Location!$C$6&amp;"|"&amp;$A18&amp;"|entitle",Market_Data!$K$5:$K$304,0)),"Market-State","Default x index"))))</f>
        <v/>
      </c>
      <c r="S18" s="2">
        <f>IF(ISNUMBER(MATCH(Org_Profile!$C$4&amp;"|"&amp;$A18&amp;"|tilc",Org_Overrides!$H$5:$H$304,0)),"Org",IF(ISNUMBER(MATCH(Location!$C$4&amp;"|"&amp;$A18&amp;"|tilc",Market_Data!$K$5:$K$304,0)),"Market-City",IF(ISNUMBER(MATCH(Location!$C$5&amp;"|"&amp;$A18&amp;"|tilc",Market_Data!$K$5:$K$304,0)),"Market-County",IF(ISNUMBER(MATCH(Location!$C$6&amp;"|"&amp;$A18&amp;"|tilc",Market_Data!$K$5:$K$304,0)),"Market-State","Default x index"))))</f>
        <v/>
      </c>
      <c r="T18" s="2">
        <f>IF(ISNUMBER(MATCH(Org_Profile!$C$4&amp;"|"&amp;$A18&amp;"|opex",Org_Overrides!$H$5:$H$304,0)),"Org",IF(ISNUMBER(MATCH(Location!$C$4&amp;"|"&amp;$A18&amp;"|opex",Market_Data!$K$5:$K$304,0)),"Market-City",IF(ISNUMBER(MATCH(Location!$C$5&amp;"|"&amp;$A18&amp;"|opex",Market_Data!$K$5:$K$304,0)),"Market-County",IF(ISNUMBER(MATCH(Location!$C$6&amp;"|"&amp;$A18&amp;"|opex",Market_Data!$K$5:$K$304,0)),"Market-State","Default x index"))))</f>
        <v/>
      </c>
      <c r="U18" s="2">
        <f>IF(ISNUMBER(MATCH(Org_Profile!$C$4&amp;"|"&amp;$A18&amp;"|devmo",Org_Overrides!$H$5:$H$304,0)),"Org",IF(ISNUMBER(MATCH(Location!$C$4&amp;"|"&amp;$A18&amp;"|devmo",Market_Data!$K$5:$K$304,0)),"Market-City",IF(ISNUMBER(MATCH(Location!$C$5&amp;"|"&amp;$A18&amp;"|devmo",Market_Data!$K$5:$K$304,0)),"Market-County",IF(ISNUMBER(MATCH(Location!$C$6&amp;"|"&amp;$A18&amp;"|devmo",Market_Data!$K$5:$K$304,0)),"Market-State","Default"))))</f>
        <v/>
      </c>
      <c r="V18" s="2">
        <f>IF(ISNUMBER(MATCH(Org_Profile!$C$4&amp;"|"&amp;$A18&amp;"|margin",Org_Overrides!$H$5:$H$304,0)),"Org",IF(INDEX(Org_Profile!$C$9:$C$12,MATCH(Use_Library!$C$18,Org_Profile!$B$9:$B$12,0))&lt;&gt;"","Org engine margin","Default"))</f>
        <v/>
      </c>
      <c r="W18" s="2">
        <f>IF(ISNUMBER(MATCH(Location!$C$4&amp;"|"&amp;$A18&amp;"|lotprice",Market_Data!$K$5:$K$304,0)),"Market-City",IF(ISNUMBER(MATCH(Location!$C$5&amp;"|"&amp;$A18&amp;"|lotprice",Market_Data!$K$5:$K$304,0)),"Market-County",IF(ISNUMBER(MATCH(Location!$C$6&amp;"|"&amp;$A18&amp;"|lotprice",Market_Data!$K$5:$K$304,0)),"Market-State",IF(ISNUMBER(MATCH(Org_Profile!$C$4&amp;"|"&amp;$A18&amp;"|lotprice",Org_Overrides!$H$5:$H$304,0)),"Org","Default x index"))))</f>
        <v/>
      </c>
      <c r="X18" s="2">
        <f>IF(ISNUMBER(MATCH(Location!$C$4&amp;"|"&amp;$A18&amp;"|saleprice",Market_Data!$K$5:$K$304,0)),"Market-City",IF(ISNUMBER(MATCH(Location!$C$5&amp;"|"&amp;$A18&amp;"|saleprice",Market_Data!$K$5:$K$304,0)),"Market-County",IF(ISNUMBER(MATCH(Location!$C$6&amp;"|"&amp;$A18&amp;"|saleprice",Market_Data!$K$5:$K$304,0)),"Market-State",IF(ISNUMBER(MATCH(Org_Profile!$C$4&amp;"|"&amp;$A18&amp;"|saleprice",Org_Overrides!$H$5:$H$304,0)),"Org","Default x index"))))</f>
        <v/>
      </c>
      <c r="Y18" s="2">
        <f>IF(ISNUMBER(MATCH(Location!$C$4&amp;"|"&amp;$A18&amp;"|landac",Market_Data!$K$5:$K$304,0)),"Market-City",IF(ISNUMBER(MATCH(Location!$C$5&amp;"|"&amp;$A18&amp;"|landac",Market_Data!$K$5:$K$304,0)),"Market-County",IF(ISNUMBER(MATCH(Location!$C$6&amp;"|"&amp;$A18&amp;"|landac",Market_Data!$K$5:$K$304,0)),"Market-State",IF(ISNUMBER(MATCH(Org_Profile!$C$4&amp;"|"&amp;$A18&amp;"|landac",Org_Overrides!$H$5:$H$304,0)),"Org","Default x index"))))</f>
        <v/>
      </c>
      <c r="Z18" s="2">
        <f>IF(ISNUMBER(MATCH(Location!$C$4&amp;"|"&amp;$A18&amp;"|rent",Market_Data!$K$5:$K$304,0)),"Market-City",IF(ISNUMBER(MATCH(Location!$C$5&amp;"|"&amp;$A18&amp;"|rent",Market_Data!$K$5:$K$304,0)),"Market-County",IF(ISNUMBER(MATCH(Location!$C$6&amp;"|"&amp;$A18&amp;"|rent",Market_Data!$K$5:$K$304,0)),"Market-State",IF(ISNUMBER(MATCH(Org_Profile!$C$4&amp;"|"&amp;$A18&amp;"|rent",Org_Overrides!$H$5:$H$304,0)),"Org","Default x index"))))</f>
        <v/>
      </c>
      <c r="AA18" s="2">
        <f>IF(ISNUMBER(MATCH(Location!$C$4&amp;"|"&amp;$A18&amp;"|groundrent",Market_Data!$K$5:$K$304,0)),"Market-City",IF(ISNUMBER(MATCH(Location!$C$5&amp;"|"&amp;$A18&amp;"|groundrent",Market_Data!$K$5:$K$304,0)),"Market-County",IF(ISNUMBER(MATCH(Location!$C$6&amp;"|"&amp;$A18&amp;"|groundrent",Market_Data!$K$5:$K$304,0)),"Market-State",IF(ISNUMBER(MATCH(Org_Profile!$C$4&amp;"|"&amp;$A18&amp;"|groundrent",Org_Overrides!$H$5:$H$304,0)),"Org","Default x index"))))</f>
        <v/>
      </c>
      <c r="AB18" s="2">
        <f>IF(ISNUMBER(MATCH(Location!$C$4&amp;"|"&amp;$A18&amp;"|cap",Market_Data!$K$5:$K$304,0)),"Market-City",IF(ISNUMBER(MATCH(Location!$C$5&amp;"|"&amp;$A18&amp;"|cap",Market_Data!$K$5:$K$304,0)),"Market-County",IF(ISNUMBER(MATCH(Location!$C$6&amp;"|"&amp;$A18&amp;"|cap",Market_Data!$K$5:$K$304,0)),"Market-State",IF(ISNUMBER(MATCH(Org_Profile!$C$4&amp;"|"&amp;$A18&amp;"|cap",Org_Overrides!$H$5:$H$304,0)),"Org","Default x index"))))</f>
        <v/>
      </c>
      <c r="AC18" s="2">
        <f>IF(ISNUMBER(MATCH(Location!$C$4&amp;"|"&amp;$A18&amp;"|vac",Market_Data!$K$5:$K$304,0)),"Market-City",IF(ISNUMBER(MATCH(Location!$C$5&amp;"|"&amp;$A18&amp;"|vac",Market_Data!$K$5:$K$304,0)),"Market-County",IF(ISNUMBER(MATCH(Location!$C$6&amp;"|"&amp;$A18&amp;"|vac",Market_Data!$K$5:$K$304,0)),"Market-State",IF(ISNUMBER(MATCH(Org_Profile!$C$4&amp;"|"&amp;$A18&amp;"|vac",Org_Overrides!$H$5:$H$304,0)),"Org","Default"))))</f>
        <v/>
      </c>
      <c r="AD18" s="2">
        <f>IF(ISNUMBER(MATCH(Location!$C$4&amp;"|"&amp;$A18&amp;"|absorb",Market_Data!$K$5:$K$304,0)),"Market-City",IF(ISNUMBER(MATCH(Location!$C$5&amp;"|"&amp;$A18&amp;"|absorb",Market_Data!$K$5:$K$304,0)),"Market-County",IF(ISNUMBER(MATCH(Location!$C$6&amp;"|"&amp;$A18&amp;"|absorb",Market_Data!$K$5:$K$304,0)),"Market-State",IF(ISNUMBER(MATCH(Org_Profile!$C$4&amp;"|"&amp;$A18&amp;"|absorb",Org_Overrides!$H$5:$H$304,0)),"Org","Default"))))</f>
        <v/>
      </c>
      <c r="AE18" s="2">
        <f>IF(ISNUMBER(MATCH(Location!$C$4&amp;"|"&amp;$A18&amp;"|lotabs",Market_Data!$K$5:$K$304,0)),"Market-City",IF(ISNUMBER(MATCH(Location!$C$5&amp;"|"&amp;$A18&amp;"|lotabs",Market_Data!$K$5:$K$304,0)),"Market-County",IF(ISNUMBER(MATCH(Location!$C$6&amp;"|"&amp;$A18&amp;"|lotabs",Market_Data!$K$5:$K$304,0)),"Market-State",IF(ISNUMBER(MATCH(Org_Profile!$C$4&amp;"|"&amp;$A18&amp;"|lotabs",Org_Overrides!$H$5:$H$304,0)),"Org","Default"))))</f>
        <v/>
      </c>
      <c r="AF18" s="15">
        <f>15-COUNTIF(Q18:AE18,"Default*")</f>
        <v/>
      </c>
    </row>
    <row r="19">
      <c r="A19" s="4">
        <f>Use_Library!$A$19</f>
        <v/>
      </c>
      <c r="B19" s="20">
        <f>IFERROR((INDEX(Org_Overrides!$D$5:$D$304,MATCH(Org_Profile!$C$4&amp;"|"&amp;$A19&amp;"|vert",Org_Overrides!$H$5:$H$304,0))*Location!$C$9),IFERROR(INDEX(Market_Data!$D$5:$D$304,MATCH(Location!$C$4&amp;"|"&amp;$A19&amp;"|vert",Market_Data!$K$5:$K$304,0)),IFERROR(INDEX(Market_Data!$D$5:$D$304,MATCH(Location!$C$5&amp;"|"&amp;$A19&amp;"|vert",Market_Data!$K$5:$K$304,0)),IFERROR(INDEX(Market_Data!$D$5:$D$304,MATCH(Location!$C$6&amp;"|"&amp;$A19&amp;"|vert",Market_Data!$K$5:$K$304,0)),(Use_Library!$AF$19*Location!$C$9)))))</f>
        <v/>
      </c>
      <c r="C19" s="20">
        <f>IFERROR((INDEX(Org_Overrides!$D$5:$D$304,MATCH(Org_Profile!$C$4&amp;"|"&amp;$A19&amp;"|entitle",Org_Overrides!$H$5:$H$304,0))*Location!$C$9),IFERROR(INDEX(Market_Data!$D$5:$D$304,MATCH(Location!$C$4&amp;"|"&amp;$A19&amp;"|entitle",Market_Data!$K$5:$K$304,0)),IFERROR(INDEX(Market_Data!$D$5:$D$304,MATCH(Location!$C$5&amp;"|"&amp;$A19&amp;"|entitle",Market_Data!$K$5:$K$304,0)),IFERROR(INDEX(Market_Data!$D$5:$D$304,MATCH(Location!$C$6&amp;"|"&amp;$A19&amp;"|entitle",Market_Data!$K$5:$K$304,0)),(Use_Library!$AE$19*Location!$C$9)))))</f>
        <v/>
      </c>
      <c r="D19" s="20">
        <f>IFERROR((INDEX(Org_Overrides!$D$5:$D$304,MATCH(Org_Profile!$C$4&amp;"|"&amp;$A19&amp;"|tilc",Org_Overrides!$H$5:$H$304,0))*Location!$C$9),IFERROR(INDEX(Market_Data!$D$5:$D$304,MATCH(Location!$C$4&amp;"|"&amp;$A19&amp;"|tilc",Market_Data!$K$5:$K$304,0)),IFERROR(INDEX(Market_Data!$D$5:$D$304,MATCH(Location!$C$5&amp;"|"&amp;$A19&amp;"|tilc",Market_Data!$K$5:$K$304,0)),IFERROR(INDEX(Market_Data!$D$5:$D$304,MATCH(Location!$C$6&amp;"|"&amp;$A19&amp;"|tilc",Market_Data!$K$5:$K$304,0)),(Use_Library!$AG$19*Location!$C$9)))))</f>
        <v/>
      </c>
      <c r="E19" s="20">
        <f>IFERROR((INDEX(Org_Overrides!$D$5:$D$304,MATCH(Org_Profile!$C$4&amp;"|"&amp;$A19&amp;"|opex",Org_Overrides!$H$5:$H$304,0))*Location!$C$13),IFERROR(INDEX(Market_Data!$D$5:$D$304,MATCH(Location!$C$4&amp;"|"&amp;$A19&amp;"|opex",Market_Data!$K$5:$K$304,0)),IFERROR(INDEX(Market_Data!$D$5:$D$304,MATCH(Location!$C$5&amp;"|"&amp;$A19&amp;"|opex",Market_Data!$K$5:$K$304,0)),IFERROR(INDEX(Market_Data!$D$5:$D$304,MATCH(Location!$C$6&amp;"|"&amp;$A19&amp;"|opex",Market_Data!$K$5:$K$304,0)),(Use_Library!$AN$19*Location!$C$13)))))</f>
        <v/>
      </c>
      <c r="F19" s="9">
        <f>IFERROR(INDEX(Org_Overrides!$D$5:$D$304,MATCH(Org_Profile!$C$4&amp;"|"&amp;$A19&amp;"|devmo",Org_Overrides!$H$5:$H$304,0)),IFERROR(INDEX(Market_Data!$D$5:$D$304,MATCH(Location!$C$4&amp;"|"&amp;$A19&amp;"|devmo",Market_Data!$K$5:$K$304,0)),IFERROR(INDEX(Market_Data!$D$5:$D$304,MATCH(Location!$C$5&amp;"|"&amp;$A19&amp;"|devmo",Market_Data!$K$5:$K$304,0)),IFERROR(INDEX(Market_Data!$D$5:$D$304,MATCH(Location!$C$6&amp;"|"&amp;$A19&amp;"|devmo",Market_Data!$K$5:$K$304,0)),Use_Library!$AH$19))))</f>
        <v/>
      </c>
      <c r="G19" s="23">
        <f>IFERROR(INDEX(Org_Overrides!$D$5:$D$304,MATCH(Org_Profile!$C$4&amp;"|"&amp;$A19&amp;"|margin",Org_Overrides!$H$5:$H$304,0)),IF(INDEX(Org_Profile!$C$9:$C$12,MATCH(Use_Library!$C$19,Org_Profile!$B$9:$B$12,0))&lt;&gt;"",INDEX(Org_Profile!$C$9:$C$12,MATCH(Use_Library!$C$19,Org_Profile!$B$9:$B$12,0)),Use_Library!$AU$19))</f>
        <v/>
      </c>
      <c r="H19" s="20">
        <f>IFERROR(INDEX(Market_Data!$D$5:$D$304,MATCH(Location!$C$4&amp;"|"&amp;$A19&amp;"|lotprice",Market_Data!$K$5:$K$304,0)),IFERROR(INDEX(Market_Data!$D$5:$D$304,MATCH(Location!$C$5&amp;"|"&amp;$A19&amp;"|lotprice",Market_Data!$K$5:$K$304,0)),IFERROR(INDEX(Market_Data!$D$5:$D$304,MATCH(Location!$C$6&amp;"|"&amp;$A19&amp;"|lotprice",Market_Data!$K$5:$K$304,0)),IFERROR((INDEX(Org_Overrides!$D$5:$D$304,MATCH(Org_Profile!$C$4&amp;"|"&amp;$A19&amp;"|lotprice",Org_Overrides!$H$5:$H$304,0))*Location!$C$10),(Use_Library!$AI$19*Location!$C$10)))))</f>
        <v/>
      </c>
      <c r="I19" s="20">
        <f>IFERROR(INDEX(Market_Data!$D$5:$D$304,MATCH(Location!$C$4&amp;"|"&amp;$A19&amp;"|saleprice",Market_Data!$K$5:$K$304,0)),IFERROR(INDEX(Market_Data!$D$5:$D$304,MATCH(Location!$C$5&amp;"|"&amp;$A19&amp;"|saleprice",Market_Data!$K$5:$K$304,0)),IFERROR(INDEX(Market_Data!$D$5:$D$304,MATCH(Location!$C$6&amp;"|"&amp;$A19&amp;"|saleprice",Market_Data!$K$5:$K$304,0)),IFERROR((INDEX(Org_Overrides!$D$5:$D$304,MATCH(Org_Profile!$C$4&amp;"|"&amp;$A19&amp;"|saleprice",Org_Overrides!$H$5:$H$304,0))*Location!$C$10),(Use_Library!$AJ$19*Location!$C$10)))))</f>
        <v/>
      </c>
      <c r="J19" s="20">
        <f>IFERROR(INDEX(Market_Data!$D$5:$D$304,MATCH(Location!$C$4&amp;"|"&amp;$A19&amp;"|landac",Market_Data!$K$5:$K$304,0)),IFERROR(INDEX(Market_Data!$D$5:$D$304,MATCH(Location!$C$5&amp;"|"&amp;$A19&amp;"|landac",Market_Data!$K$5:$K$304,0)),IFERROR(INDEX(Market_Data!$D$5:$D$304,MATCH(Location!$C$6&amp;"|"&amp;$A19&amp;"|landac",Market_Data!$K$5:$K$304,0)),IFERROR((INDEX(Org_Overrides!$D$5:$D$304,MATCH(Org_Profile!$C$4&amp;"|"&amp;$A19&amp;"|landac",Org_Overrides!$H$5:$H$304,0))*Location!$C$10),(Use_Library!$AS$19*Location!$C$10)))))</f>
        <v/>
      </c>
      <c r="K19" s="20">
        <f>IFERROR(INDEX(Market_Data!$D$5:$D$304,MATCH(Location!$C$4&amp;"|"&amp;$A19&amp;"|rent",Market_Data!$K$5:$K$304,0)),IFERROR(INDEX(Market_Data!$D$5:$D$304,MATCH(Location!$C$5&amp;"|"&amp;$A19&amp;"|rent",Market_Data!$K$5:$K$304,0)),IFERROR(INDEX(Market_Data!$D$5:$D$304,MATCH(Location!$C$6&amp;"|"&amp;$A19&amp;"|rent",Market_Data!$K$5:$K$304,0)),IFERROR((INDEX(Org_Overrides!$D$5:$D$304,MATCH(Org_Profile!$C$4&amp;"|"&amp;$A19&amp;"|rent",Org_Overrides!$H$5:$H$304,0))*Location!$C$11),(Use_Library!$AK$19*Location!$C$11)))))</f>
        <v/>
      </c>
      <c r="L19" s="20">
        <f>IFERROR(INDEX(Market_Data!$D$5:$D$304,MATCH(Location!$C$4&amp;"|"&amp;$A19&amp;"|groundrent",Market_Data!$K$5:$K$304,0)),IFERROR(INDEX(Market_Data!$D$5:$D$304,MATCH(Location!$C$5&amp;"|"&amp;$A19&amp;"|groundrent",Market_Data!$K$5:$K$304,0)),IFERROR(INDEX(Market_Data!$D$5:$D$304,MATCH(Location!$C$6&amp;"|"&amp;$A19&amp;"|groundrent",Market_Data!$K$5:$K$304,0)),IFERROR((INDEX(Org_Overrides!$D$5:$D$304,MATCH(Org_Profile!$C$4&amp;"|"&amp;$A19&amp;"|groundrent",Org_Overrides!$H$5:$H$304,0))*Location!$C$11),(Use_Library!$AT$19*Location!$C$11)))))</f>
        <v/>
      </c>
      <c r="M19" s="23">
        <f>IFERROR(INDEX(Market_Data!$D$5:$D$304,MATCH(Location!$C$4&amp;"|"&amp;$A19&amp;"|cap",Market_Data!$K$5:$K$304,0)),IFERROR(INDEX(Market_Data!$D$5:$D$304,MATCH(Location!$C$5&amp;"|"&amp;$A19&amp;"|cap",Market_Data!$K$5:$K$304,0)),IFERROR(INDEX(Market_Data!$D$5:$D$304,MATCH(Location!$C$6&amp;"|"&amp;$A19&amp;"|cap",Market_Data!$K$5:$K$304,0)),IFERROR((INDEX(Org_Overrides!$D$5:$D$304,MATCH(Org_Profile!$C$4&amp;"|"&amp;$A19&amp;"|cap",Org_Overrides!$H$5:$H$304,0))+Location!$C$12),(Use_Library!$AR$19+Location!$C$12)))))</f>
        <v/>
      </c>
      <c r="N19" s="23">
        <f>IFERROR(INDEX(Market_Data!$D$5:$D$304,MATCH(Location!$C$4&amp;"|"&amp;$A19&amp;"|vac",Market_Data!$K$5:$K$304,0)),IFERROR(INDEX(Market_Data!$D$5:$D$304,MATCH(Location!$C$5&amp;"|"&amp;$A19&amp;"|vac",Market_Data!$K$5:$K$304,0)),IFERROR(INDEX(Market_Data!$D$5:$D$304,MATCH(Location!$C$6&amp;"|"&amp;$A19&amp;"|vac",Market_Data!$K$5:$K$304,0)),IFERROR(INDEX(Org_Overrides!$D$5:$D$304,MATCH(Org_Profile!$C$4&amp;"|"&amp;$A19&amp;"|vac",Org_Overrides!$H$5:$H$304,0)),Use_Library!$AM$19))))</f>
        <v/>
      </c>
      <c r="O19" s="24">
        <f>IFERROR(INDEX(Market_Data!$D$5:$D$304,MATCH(Location!$C$4&amp;"|"&amp;$A19&amp;"|absorb",Market_Data!$K$5:$K$304,0)),IFERROR(INDEX(Market_Data!$D$5:$D$304,MATCH(Location!$C$5&amp;"|"&amp;$A19&amp;"|absorb",Market_Data!$K$5:$K$304,0)),IFERROR(INDEX(Market_Data!$D$5:$D$304,MATCH(Location!$C$6&amp;"|"&amp;$A19&amp;"|absorb",Market_Data!$K$5:$K$304,0)),IFERROR(INDEX(Org_Overrides!$D$5:$D$304,MATCH(Org_Profile!$C$4&amp;"|"&amp;$A19&amp;"|absorb",Org_Overrides!$H$5:$H$304,0)),Use_Library!$R$19))))</f>
        <v/>
      </c>
      <c r="P19" s="24">
        <f>IFERROR(INDEX(Market_Data!$D$5:$D$304,MATCH(Location!$C$4&amp;"|"&amp;$A19&amp;"|lotabs",Market_Data!$K$5:$K$304,0)),IFERROR(INDEX(Market_Data!$D$5:$D$304,MATCH(Location!$C$5&amp;"|"&amp;$A19&amp;"|lotabs",Market_Data!$K$5:$K$304,0)),IFERROR(INDEX(Market_Data!$D$5:$D$304,MATCH(Location!$C$6&amp;"|"&amp;$A19&amp;"|lotabs",Market_Data!$K$5:$K$304,0)),IFERROR(INDEX(Org_Overrides!$D$5:$D$304,MATCH(Org_Profile!$C$4&amp;"|"&amp;$A19&amp;"|lotabs",Org_Overrides!$H$5:$H$304,0)),Use_Library!$S$19))))</f>
        <v/>
      </c>
      <c r="Q19" s="2">
        <f>IF(ISNUMBER(MATCH(Org_Profile!$C$4&amp;"|"&amp;$A19&amp;"|vert",Org_Overrides!$H$5:$H$304,0)),"Org",IF(ISNUMBER(MATCH(Location!$C$4&amp;"|"&amp;$A19&amp;"|vert",Market_Data!$K$5:$K$304,0)),"Market-City",IF(ISNUMBER(MATCH(Location!$C$5&amp;"|"&amp;$A19&amp;"|vert",Market_Data!$K$5:$K$304,0)),"Market-County",IF(ISNUMBER(MATCH(Location!$C$6&amp;"|"&amp;$A19&amp;"|vert",Market_Data!$K$5:$K$304,0)),"Market-State","Default x index"))))</f>
        <v/>
      </c>
      <c r="R19" s="2">
        <f>IF(ISNUMBER(MATCH(Org_Profile!$C$4&amp;"|"&amp;$A19&amp;"|entitle",Org_Overrides!$H$5:$H$304,0)),"Org",IF(ISNUMBER(MATCH(Location!$C$4&amp;"|"&amp;$A19&amp;"|entitle",Market_Data!$K$5:$K$304,0)),"Market-City",IF(ISNUMBER(MATCH(Location!$C$5&amp;"|"&amp;$A19&amp;"|entitle",Market_Data!$K$5:$K$304,0)),"Market-County",IF(ISNUMBER(MATCH(Location!$C$6&amp;"|"&amp;$A19&amp;"|entitle",Market_Data!$K$5:$K$304,0)),"Market-State","Default x index"))))</f>
        <v/>
      </c>
      <c r="S19" s="2">
        <f>IF(ISNUMBER(MATCH(Org_Profile!$C$4&amp;"|"&amp;$A19&amp;"|tilc",Org_Overrides!$H$5:$H$304,0)),"Org",IF(ISNUMBER(MATCH(Location!$C$4&amp;"|"&amp;$A19&amp;"|tilc",Market_Data!$K$5:$K$304,0)),"Market-City",IF(ISNUMBER(MATCH(Location!$C$5&amp;"|"&amp;$A19&amp;"|tilc",Market_Data!$K$5:$K$304,0)),"Market-County",IF(ISNUMBER(MATCH(Location!$C$6&amp;"|"&amp;$A19&amp;"|tilc",Market_Data!$K$5:$K$304,0)),"Market-State","Default x index"))))</f>
        <v/>
      </c>
      <c r="T19" s="2">
        <f>IF(ISNUMBER(MATCH(Org_Profile!$C$4&amp;"|"&amp;$A19&amp;"|opex",Org_Overrides!$H$5:$H$304,0)),"Org",IF(ISNUMBER(MATCH(Location!$C$4&amp;"|"&amp;$A19&amp;"|opex",Market_Data!$K$5:$K$304,0)),"Market-City",IF(ISNUMBER(MATCH(Location!$C$5&amp;"|"&amp;$A19&amp;"|opex",Market_Data!$K$5:$K$304,0)),"Market-County",IF(ISNUMBER(MATCH(Location!$C$6&amp;"|"&amp;$A19&amp;"|opex",Market_Data!$K$5:$K$304,0)),"Market-State","Default x index"))))</f>
        <v/>
      </c>
      <c r="U19" s="2">
        <f>IF(ISNUMBER(MATCH(Org_Profile!$C$4&amp;"|"&amp;$A19&amp;"|devmo",Org_Overrides!$H$5:$H$304,0)),"Org",IF(ISNUMBER(MATCH(Location!$C$4&amp;"|"&amp;$A19&amp;"|devmo",Market_Data!$K$5:$K$304,0)),"Market-City",IF(ISNUMBER(MATCH(Location!$C$5&amp;"|"&amp;$A19&amp;"|devmo",Market_Data!$K$5:$K$304,0)),"Market-County",IF(ISNUMBER(MATCH(Location!$C$6&amp;"|"&amp;$A19&amp;"|devmo",Market_Data!$K$5:$K$304,0)),"Market-State","Default"))))</f>
        <v/>
      </c>
      <c r="V19" s="2">
        <f>IF(ISNUMBER(MATCH(Org_Profile!$C$4&amp;"|"&amp;$A19&amp;"|margin",Org_Overrides!$H$5:$H$304,0)),"Org",IF(INDEX(Org_Profile!$C$9:$C$12,MATCH(Use_Library!$C$19,Org_Profile!$B$9:$B$12,0))&lt;&gt;"","Org engine margin","Default"))</f>
        <v/>
      </c>
      <c r="W19" s="2">
        <f>IF(ISNUMBER(MATCH(Location!$C$4&amp;"|"&amp;$A19&amp;"|lotprice",Market_Data!$K$5:$K$304,0)),"Market-City",IF(ISNUMBER(MATCH(Location!$C$5&amp;"|"&amp;$A19&amp;"|lotprice",Market_Data!$K$5:$K$304,0)),"Market-County",IF(ISNUMBER(MATCH(Location!$C$6&amp;"|"&amp;$A19&amp;"|lotprice",Market_Data!$K$5:$K$304,0)),"Market-State",IF(ISNUMBER(MATCH(Org_Profile!$C$4&amp;"|"&amp;$A19&amp;"|lotprice",Org_Overrides!$H$5:$H$304,0)),"Org","Default x index"))))</f>
        <v/>
      </c>
      <c r="X19" s="2">
        <f>IF(ISNUMBER(MATCH(Location!$C$4&amp;"|"&amp;$A19&amp;"|saleprice",Market_Data!$K$5:$K$304,0)),"Market-City",IF(ISNUMBER(MATCH(Location!$C$5&amp;"|"&amp;$A19&amp;"|saleprice",Market_Data!$K$5:$K$304,0)),"Market-County",IF(ISNUMBER(MATCH(Location!$C$6&amp;"|"&amp;$A19&amp;"|saleprice",Market_Data!$K$5:$K$304,0)),"Market-State",IF(ISNUMBER(MATCH(Org_Profile!$C$4&amp;"|"&amp;$A19&amp;"|saleprice",Org_Overrides!$H$5:$H$304,0)),"Org","Default x index"))))</f>
        <v/>
      </c>
      <c r="Y19" s="2">
        <f>IF(ISNUMBER(MATCH(Location!$C$4&amp;"|"&amp;$A19&amp;"|landac",Market_Data!$K$5:$K$304,0)),"Market-City",IF(ISNUMBER(MATCH(Location!$C$5&amp;"|"&amp;$A19&amp;"|landac",Market_Data!$K$5:$K$304,0)),"Market-County",IF(ISNUMBER(MATCH(Location!$C$6&amp;"|"&amp;$A19&amp;"|landac",Market_Data!$K$5:$K$304,0)),"Market-State",IF(ISNUMBER(MATCH(Org_Profile!$C$4&amp;"|"&amp;$A19&amp;"|landac",Org_Overrides!$H$5:$H$304,0)),"Org","Default x index"))))</f>
        <v/>
      </c>
      <c r="Z19" s="2">
        <f>IF(ISNUMBER(MATCH(Location!$C$4&amp;"|"&amp;$A19&amp;"|rent",Market_Data!$K$5:$K$304,0)),"Market-City",IF(ISNUMBER(MATCH(Location!$C$5&amp;"|"&amp;$A19&amp;"|rent",Market_Data!$K$5:$K$304,0)),"Market-County",IF(ISNUMBER(MATCH(Location!$C$6&amp;"|"&amp;$A19&amp;"|rent",Market_Data!$K$5:$K$304,0)),"Market-State",IF(ISNUMBER(MATCH(Org_Profile!$C$4&amp;"|"&amp;$A19&amp;"|rent",Org_Overrides!$H$5:$H$304,0)),"Org","Default x index"))))</f>
        <v/>
      </c>
      <c r="AA19" s="2">
        <f>IF(ISNUMBER(MATCH(Location!$C$4&amp;"|"&amp;$A19&amp;"|groundrent",Market_Data!$K$5:$K$304,0)),"Market-City",IF(ISNUMBER(MATCH(Location!$C$5&amp;"|"&amp;$A19&amp;"|groundrent",Market_Data!$K$5:$K$304,0)),"Market-County",IF(ISNUMBER(MATCH(Location!$C$6&amp;"|"&amp;$A19&amp;"|groundrent",Market_Data!$K$5:$K$304,0)),"Market-State",IF(ISNUMBER(MATCH(Org_Profile!$C$4&amp;"|"&amp;$A19&amp;"|groundrent",Org_Overrides!$H$5:$H$304,0)),"Org","Default x index"))))</f>
        <v/>
      </c>
      <c r="AB19" s="2">
        <f>IF(ISNUMBER(MATCH(Location!$C$4&amp;"|"&amp;$A19&amp;"|cap",Market_Data!$K$5:$K$304,0)),"Market-City",IF(ISNUMBER(MATCH(Location!$C$5&amp;"|"&amp;$A19&amp;"|cap",Market_Data!$K$5:$K$304,0)),"Market-County",IF(ISNUMBER(MATCH(Location!$C$6&amp;"|"&amp;$A19&amp;"|cap",Market_Data!$K$5:$K$304,0)),"Market-State",IF(ISNUMBER(MATCH(Org_Profile!$C$4&amp;"|"&amp;$A19&amp;"|cap",Org_Overrides!$H$5:$H$304,0)),"Org","Default x index"))))</f>
        <v/>
      </c>
      <c r="AC19" s="2">
        <f>IF(ISNUMBER(MATCH(Location!$C$4&amp;"|"&amp;$A19&amp;"|vac",Market_Data!$K$5:$K$304,0)),"Market-City",IF(ISNUMBER(MATCH(Location!$C$5&amp;"|"&amp;$A19&amp;"|vac",Market_Data!$K$5:$K$304,0)),"Market-County",IF(ISNUMBER(MATCH(Location!$C$6&amp;"|"&amp;$A19&amp;"|vac",Market_Data!$K$5:$K$304,0)),"Market-State",IF(ISNUMBER(MATCH(Org_Profile!$C$4&amp;"|"&amp;$A19&amp;"|vac",Org_Overrides!$H$5:$H$304,0)),"Org","Default"))))</f>
        <v/>
      </c>
      <c r="AD19" s="2">
        <f>IF(ISNUMBER(MATCH(Location!$C$4&amp;"|"&amp;$A19&amp;"|absorb",Market_Data!$K$5:$K$304,0)),"Market-City",IF(ISNUMBER(MATCH(Location!$C$5&amp;"|"&amp;$A19&amp;"|absorb",Market_Data!$K$5:$K$304,0)),"Market-County",IF(ISNUMBER(MATCH(Location!$C$6&amp;"|"&amp;$A19&amp;"|absorb",Market_Data!$K$5:$K$304,0)),"Market-State",IF(ISNUMBER(MATCH(Org_Profile!$C$4&amp;"|"&amp;$A19&amp;"|absorb",Org_Overrides!$H$5:$H$304,0)),"Org","Default"))))</f>
        <v/>
      </c>
      <c r="AE19" s="2">
        <f>IF(ISNUMBER(MATCH(Location!$C$4&amp;"|"&amp;$A19&amp;"|lotabs",Market_Data!$K$5:$K$304,0)),"Market-City",IF(ISNUMBER(MATCH(Location!$C$5&amp;"|"&amp;$A19&amp;"|lotabs",Market_Data!$K$5:$K$304,0)),"Market-County",IF(ISNUMBER(MATCH(Location!$C$6&amp;"|"&amp;$A19&amp;"|lotabs",Market_Data!$K$5:$K$304,0)),"Market-State",IF(ISNUMBER(MATCH(Org_Profile!$C$4&amp;"|"&amp;$A19&amp;"|lotabs",Org_Overrides!$H$5:$H$304,0)),"Org","Default"))))</f>
        <v/>
      </c>
      <c r="AF19" s="15">
        <f>15-COUNTIF(Q19:AE19,"Default*")</f>
        <v/>
      </c>
    </row>
    <row r="20">
      <c r="A20" s="4">
        <f>Use_Library!$A$20</f>
        <v/>
      </c>
      <c r="B20" s="20">
        <f>IFERROR((INDEX(Org_Overrides!$D$5:$D$304,MATCH(Org_Profile!$C$4&amp;"|"&amp;$A20&amp;"|vert",Org_Overrides!$H$5:$H$304,0))*Location!$C$9),IFERROR(INDEX(Market_Data!$D$5:$D$304,MATCH(Location!$C$4&amp;"|"&amp;$A20&amp;"|vert",Market_Data!$K$5:$K$304,0)),IFERROR(INDEX(Market_Data!$D$5:$D$304,MATCH(Location!$C$5&amp;"|"&amp;$A20&amp;"|vert",Market_Data!$K$5:$K$304,0)),IFERROR(INDEX(Market_Data!$D$5:$D$304,MATCH(Location!$C$6&amp;"|"&amp;$A20&amp;"|vert",Market_Data!$K$5:$K$304,0)),(Use_Library!$AF$20*Location!$C$9)))))</f>
        <v/>
      </c>
      <c r="C20" s="20">
        <f>IFERROR((INDEX(Org_Overrides!$D$5:$D$304,MATCH(Org_Profile!$C$4&amp;"|"&amp;$A20&amp;"|entitle",Org_Overrides!$H$5:$H$304,0))*Location!$C$9),IFERROR(INDEX(Market_Data!$D$5:$D$304,MATCH(Location!$C$4&amp;"|"&amp;$A20&amp;"|entitle",Market_Data!$K$5:$K$304,0)),IFERROR(INDEX(Market_Data!$D$5:$D$304,MATCH(Location!$C$5&amp;"|"&amp;$A20&amp;"|entitle",Market_Data!$K$5:$K$304,0)),IFERROR(INDEX(Market_Data!$D$5:$D$304,MATCH(Location!$C$6&amp;"|"&amp;$A20&amp;"|entitle",Market_Data!$K$5:$K$304,0)),(Use_Library!$AE$20*Location!$C$9)))))</f>
        <v/>
      </c>
      <c r="D20" s="20">
        <f>IFERROR((INDEX(Org_Overrides!$D$5:$D$304,MATCH(Org_Profile!$C$4&amp;"|"&amp;$A20&amp;"|tilc",Org_Overrides!$H$5:$H$304,0))*Location!$C$9),IFERROR(INDEX(Market_Data!$D$5:$D$304,MATCH(Location!$C$4&amp;"|"&amp;$A20&amp;"|tilc",Market_Data!$K$5:$K$304,0)),IFERROR(INDEX(Market_Data!$D$5:$D$304,MATCH(Location!$C$5&amp;"|"&amp;$A20&amp;"|tilc",Market_Data!$K$5:$K$304,0)),IFERROR(INDEX(Market_Data!$D$5:$D$304,MATCH(Location!$C$6&amp;"|"&amp;$A20&amp;"|tilc",Market_Data!$K$5:$K$304,0)),(Use_Library!$AG$20*Location!$C$9)))))</f>
        <v/>
      </c>
      <c r="E20" s="20">
        <f>IFERROR((INDEX(Org_Overrides!$D$5:$D$304,MATCH(Org_Profile!$C$4&amp;"|"&amp;$A20&amp;"|opex",Org_Overrides!$H$5:$H$304,0))*Location!$C$13),IFERROR(INDEX(Market_Data!$D$5:$D$304,MATCH(Location!$C$4&amp;"|"&amp;$A20&amp;"|opex",Market_Data!$K$5:$K$304,0)),IFERROR(INDEX(Market_Data!$D$5:$D$304,MATCH(Location!$C$5&amp;"|"&amp;$A20&amp;"|opex",Market_Data!$K$5:$K$304,0)),IFERROR(INDEX(Market_Data!$D$5:$D$304,MATCH(Location!$C$6&amp;"|"&amp;$A20&amp;"|opex",Market_Data!$K$5:$K$304,0)),(Use_Library!$AN$20*Location!$C$13)))))</f>
        <v/>
      </c>
      <c r="F20" s="9">
        <f>IFERROR(INDEX(Org_Overrides!$D$5:$D$304,MATCH(Org_Profile!$C$4&amp;"|"&amp;$A20&amp;"|devmo",Org_Overrides!$H$5:$H$304,0)),IFERROR(INDEX(Market_Data!$D$5:$D$304,MATCH(Location!$C$4&amp;"|"&amp;$A20&amp;"|devmo",Market_Data!$K$5:$K$304,0)),IFERROR(INDEX(Market_Data!$D$5:$D$304,MATCH(Location!$C$5&amp;"|"&amp;$A20&amp;"|devmo",Market_Data!$K$5:$K$304,0)),IFERROR(INDEX(Market_Data!$D$5:$D$304,MATCH(Location!$C$6&amp;"|"&amp;$A20&amp;"|devmo",Market_Data!$K$5:$K$304,0)),Use_Library!$AH$20))))</f>
        <v/>
      </c>
      <c r="G20" s="23">
        <f>IFERROR(INDEX(Org_Overrides!$D$5:$D$304,MATCH(Org_Profile!$C$4&amp;"|"&amp;$A20&amp;"|margin",Org_Overrides!$H$5:$H$304,0)),IF(INDEX(Org_Profile!$C$9:$C$12,MATCH(Use_Library!$C$20,Org_Profile!$B$9:$B$12,0))&lt;&gt;"",INDEX(Org_Profile!$C$9:$C$12,MATCH(Use_Library!$C$20,Org_Profile!$B$9:$B$12,0)),Use_Library!$AU$20))</f>
        <v/>
      </c>
      <c r="H20" s="20">
        <f>IFERROR(INDEX(Market_Data!$D$5:$D$304,MATCH(Location!$C$4&amp;"|"&amp;$A20&amp;"|lotprice",Market_Data!$K$5:$K$304,0)),IFERROR(INDEX(Market_Data!$D$5:$D$304,MATCH(Location!$C$5&amp;"|"&amp;$A20&amp;"|lotprice",Market_Data!$K$5:$K$304,0)),IFERROR(INDEX(Market_Data!$D$5:$D$304,MATCH(Location!$C$6&amp;"|"&amp;$A20&amp;"|lotprice",Market_Data!$K$5:$K$304,0)),IFERROR((INDEX(Org_Overrides!$D$5:$D$304,MATCH(Org_Profile!$C$4&amp;"|"&amp;$A20&amp;"|lotprice",Org_Overrides!$H$5:$H$304,0))*Location!$C$10),(Use_Library!$AI$20*Location!$C$10)))))</f>
        <v/>
      </c>
      <c r="I20" s="20">
        <f>IFERROR(INDEX(Market_Data!$D$5:$D$304,MATCH(Location!$C$4&amp;"|"&amp;$A20&amp;"|saleprice",Market_Data!$K$5:$K$304,0)),IFERROR(INDEX(Market_Data!$D$5:$D$304,MATCH(Location!$C$5&amp;"|"&amp;$A20&amp;"|saleprice",Market_Data!$K$5:$K$304,0)),IFERROR(INDEX(Market_Data!$D$5:$D$304,MATCH(Location!$C$6&amp;"|"&amp;$A20&amp;"|saleprice",Market_Data!$K$5:$K$304,0)),IFERROR((INDEX(Org_Overrides!$D$5:$D$304,MATCH(Org_Profile!$C$4&amp;"|"&amp;$A20&amp;"|saleprice",Org_Overrides!$H$5:$H$304,0))*Location!$C$10),(Use_Library!$AJ$20*Location!$C$10)))))</f>
        <v/>
      </c>
      <c r="J20" s="20">
        <f>IFERROR(INDEX(Market_Data!$D$5:$D$304,MATCH(Location!$C$4&amp;"|"&amp;$A20&amp;"|landac",Market_Data!$K$5:$K$304,0)),IFERROR(INDEX(Market_Data!$D$5:$D$304,MATCH(Location!$C$5&amp;"|"&amp;$A20&amp;"|landac",Market_Data!$K$5:$K$304,0)),IFERROR(INDEX(Market_Data!$D$5:$D$304,MATCH(Location!$C$6&amp;"|"&amp;$A20&amp;"|landac",Market_Data!$K$5:$K$304,0)),IFERROR((INDEX(Org_Overrides!$D$5:$D$304,MATCH(Org_Profile!$C$4&amp;"|"&amp;$A20&amp;"|landac",Org_Overrides!$H$5:$H$304,0))*Location!$C$10),(Use_Library!$AS$20*Location!$C$10)))))</f>
        <v/>
      </c>
      <c r="K20" s="20">
        <f>IFERROR(INDEX(Market_Data!$D$5:$D$304,MATCH(Location!$C$4&amp;"|"&amp;$A20&amp;"|rent",Market_Data!$K$5:$K$304,0)),IFERROR(INDEX(Market_Data!$D$5:$D$304,MATCH(Location!$C$5&amp;"|"&amp;$A20&amp;"|rent",Market_Data!$K$5:$K$304,0)),IFERROR(INDEX(Market_Data!$D$5:$D$304,MATCH(Location!$C$6&amp;"|"&amp;$A20&amp;"|rent",Market_Data!$K$5:$K$304,0)),IFERROR((INDEX(Org_Overrides!$D$5:$D$304,MATCH(Org_Profile!$C$4&amp;"|"&amp;$A20&amp;"|rent",Org_Overrides!$H$5:$H$304,0))*Location!$C$11),(Use_Library!$AK$20*Location!$C$11)))))</f>
        <v/>
      </c>
      <c r="L20" s="20">
        <f>IFERROR(INDEX(Market_Data!$D$5:$D$304,MATCH(Location!$C$4&amp;"|"&amp;$A20&amp;"|groundrent",Market_Data!$K$5:$K$304,0)),IFERROR(INDEX(Market_Data!$D$5:$D$304,MATCH(Location!$C$5&amp;"|"&amp;$A20&amp;"|groundrent",Market_Data!$K$5:$K$304,0)),IFERROR(INDEX(Market_Data!$D$5:$D$304,MATCH(Location!$C$6&amp;"|"&amp;$A20&amp;"|groundrent",Market_Data!$K$5:$K$304,0)),IFERROR((INDEX(Org_Overrides!$D$5:$D$304,MATCH(Org_Profile!$C$4&amp;"|"&amp;$A20&amp;"|groundrent",Org_Overrides!$H$5:$H$304,0))*Location!$C$11),(Use_Library!$AT$20*Location!$C$11)))))</f>
        <v/>
      </c>
      <c r="M20" s="23">
        <f>IFERROR(INDEX(Market_Data!$D$5:$D$304,MATCH(Location!$C$4&amp;"|"&amp;$A20&amp;"|cap",Market_Data!$K$5:$K$304,0)),IFERROR(INDEX(Market_Data!$D$5:$D$304,MATCH(Location!$C$5&amp;"|"&amp;$A20&amp;"|cap",Market_Data!$K$5:$K$304,0)),IFERROR(INDEX(Market_Data!$D$5:$D$304,MATCH(Location!$C$6&amp;"|"&amp;$A20&amp;"|cap",Market_Data!$K$5:$K$304,0)),IFERROR((INDEX(Org_Overrides!$D$5:$D$304,MATCH(Org_Profile!$C$4&amp;"|"&amp;$A20&amp;"|cap",Org_Overrides!$H$5:$H$304,0))+Location!$C$12),(Use_Library!$AR$20+Location!$C$12)))))</f>
        <v/>
      </c>
      <c r="N20" s="23">
        <f>IFERROR(INDEX(Market_Data!$D$5:$D$304,MATCH(Location!$C$4&amp;"|"&amp;$A20&amp;"|vac",Market_Data!$K$5:$K$304,0)),IFERROR(INDEX(Market_Data!$D$5:$D$304,MATCH(Location!$C$5&amp;"|"&amp;$A20&amp;"|vac",Market_Data!$K$5:$K$304,0)),IFERROR(INDEX(Market_Data!$D$5:$D$304,MATCH(Location!$C$6&amp;"|"&amp;$A20&amp;"|vac",Market_Data!$K$5:$K$304,0)),IFERROR(INDEX(Org_Overrides!$D$5:$D$304,MATCH(Org_Profile!$C$4&amp;"|"&amp;$A20&amp;"|vac",Org_Overrides!$H$5:$H$304,0)),Use_Library!$AM$20))))</f>
        <v/>
      </c>
      <c r="O20" s="24">
        <f>IFERROR(INDEX(Market_Data!$D$5:$D$304,MATCH(Location!$C$4&amp;"|"&amp;$A20&amp;"|absorb",Market_Data!$K$5:$K$304,0)),IFERROR(INDEX(Market_Data!$D$5:$D$304,MATCH(Location!$C$5&amp;"|"&amp;$A20&amp;"|absorb",Market_Data!$K$5:$K$304,0)),IFERROR(INDEX(Market_Data!$D$5:$D$304,MATCH(Location!$C$6&amp;"|"&amp;$A20&amp;"|absorb",Market_Data!$K$5:$K$304,0)),IFERROR(INDEX(Org_Overrides!$D$5:$D$304,MATCH(Org_Profile!$C$4&amp;"|"&amp;$A20&amp;"|absorb",Org_Overrides!$H$5:$H$304,0)),Use_Library!$R$20))))</f>
        <v/>
      </c>
      <c r="P20" s="24">
        <f>IFERROR(INDEX(Market_Data!$D$5:$D$304,MATCH(Location!$C$4&amp;"|"&amp;$A20&amp;"|lotabs",Market_Data!$K$5:$K$304,0)),IFERROR(INDEX(Market_Data!$D$5:$D$304,MATCH(Location!$C$5&amp;"|"&amp;$A20&amp;"|lotabs",Market_Data!$K$5:$K$304,0)),IFERROR(INDEX(Market_Data!$D$5:$D$304,MATCH(Location!$C$6&amp;"|"&amp;$A20&amp;"|lotabs",Market_Data!$K$5:$K$304,0)),IFERROR(INDEX(Org_Overrides!$D$5:$D$304,MATCH(Org_Profile!$C$4&amp;"|"&amp;$A20&amp;"|lotabs",Org_Overrides!$H$5:$H$304,0)),Use_Library!$S$20))))</f>
        <v/>
      </c>
      <c r="Q20" s="2">
        <f>IF(ISNUMBER(MATCH(Org_Profile!$C$4&amp;"|"&amp;$A20&amp;"|vert",Org_Overrides!$H$5:$H$304,0)),"Org",IF(ISNUMBER(MATCH(Location!$C$4&amp;"|"&amp;$A20&amp;"|vert",Market_Data!$K$5:$K$304,0)),"Market-City",IF(ISNUMBER(MATCH(Location!$C$5&amp;"|"&amp;$A20&amp;"|vert",Market_Data!$K$5:$K$304,0)),"Market-County",IF(ISNUMBER(MATCH(Location!$C$6&amp;"|"&amp;$A20&amp;"|vert",Market_Data!$K$5:$K$304,0)),"Market-State","Default x index"))))</f>
        <v/>
      </c>
      <c r="R20" s="2">
        <f>IF(ISNUMBER(MATCH(Org_Profile!$C$4&amp;"|"&amp;$A20&amp;"|entitle",Org_Overrides!$H$5:$H$304,0)),"Org",IF(ISNUMBER(MATCH(Location!$C$4&amp;"|"&amp;$A20&amp;"|entitle",Market_Data!$K$5:$K$304,0)),"Market-City",IF(ISNUMBER(MATCH(Location!$C$5&amp;"|"&amp;$A20&amp;"|entitle",Market_Data!$K$5:$K$304,0)),"Market-County",IF(ISNUMBER(MATCH(Location!$C$6&amp;"|"&amp;$A20&amp;"|entitle",Market_Data!$K$5:$K$304,0)),"Market-State","Default x index"))))</f>
        <v/>
      </c>
      <c r="S20" s="2">
        <f>IF(ISNUMBER(MATCH(Org_Profile!$C$4&amp;"|"&amp;$A20&amp;"|tilc",Org_Overrides!$H$5:$H$304,0)),"Org",IF(ISNUMBER(MATCH(Location!$C$4&amp;"|"&amp;$A20&amp;"|tilc",Market_Data!$K$5:$K$304,0)),"Market-City",IF(ISNUMBER(MATCH(Location!$C$5&amp;"|"&amp;$A20&amp;"|tilc",Market_Data!$K$5:$K$304,0)),"Market-County",IF(ISNUMBER(MATCH(Location!$C$6&amp;"|"&amp;$A20&amp;"|tilc",Market_Data!$K$5:$K$304,0)),"Market-State","Default x index"))))</f>
        <v/>
      </c>
      <c r="T20" s="2">
        <f>IF(ISNUMBER(MATCH(Org_Profile!$C$4&amp;"|"&amp;$A20&amp;"|opex",Org_Overrides!$H$5:$H$304,0)),"Org",IF(ISNUMBER(MATCH(Location!$C$4&amp;"|"&amp;$A20&amp;"|opex",Market_Data!$K$5:$K$304,0)),"Market-City",IF(ISNUMBER(MATCH(Location!$C$5&amp;"|"&amp;$A20&amp;"|opex",Market_Data!$K$5:$K$304,0)),"Market-County",IF(ISNUMBER(MATCH(Location!$C$6&amp;"|"&amp;$A20&amp;"|opex",Market_Data!$K$5:$K$304,0)),"Market-State","Default x index"))))</f>
        <v/>
      </c>
      <c r="U20" s="2">
        <f>IF(ISNUMBER(MATCH(Org_Profile!$C$4&amp;"|"&amp;$A20&amp;"|devmo",Org_Overrides!$H$5:$H$304,0)),"Org",IF(ISNUMBER(MATCH(Location!$C$4&amp;"|"&amp;$A20&amp;"|devmo",Market_Data!$K$5:$K$304,0)),"Market-City",IF(ISNUMBER(MATCH(Location!$C$5&amp;"|"&amp;$A20&amp;"|devmo",Market_Data!$K$5:$K$304,0)),"Market-County",IF(ISNUMBER(MATCH(Location!$C$6&amp;"|"&amp;$A20&amp;"|devmo",Market_Data!$K$5:$K$304,0)),"Market-State","Default"))))</f>
        <v/>
      </c>
      <c r="V20" s="2">
        <f>IF(ISNUMBER(MATCH(Org_Profile!$C$4&amp;"|"&amp;$A20&amp;"|margin",Org_Overrides!$H$5:$H$304,0)),"Org",IF(INDEX(Org_Profile!$C$9:$C$12,MATCH(Use_Library!$C$20,Org_Profile!$B$9:$B$12,0))&lt;&gt;"","Org engine margin","Default"))</f>
        <v/>
      </c>
      <c r="W20" s="2">
        <f>IF(ISNUMBER(MATCH(Location!$C$4&amp;"|"&amp;$A20&amp;"|lotprice",Market_Data!$K$5:$K$304,0)),"Market-City",IF(ISNUMBER(MATCH(Location!$C$5&amp;"|"&amp;$A20&amp;"|lotprice",Market_Data!$K$5:$K$304,0)),"Market-County",IF(ISNUMBER(MATCH(Location!$C$6&amp;"|"&amp;$A20&amp;"|lotprice",Market_Data!$K$5:$K$304,0)),"Market-State",IF(ISNUMBER(MATCH(Org_Profile!$C$4&amp;"|"&amp;$A20&amp;"|lotprice",Org_Overrides!$H$5:$H$304,0)),"Org","Default x index"))))</f>
        <v/>
      </c>
      <c r="X20" s="2">
        <f>IF(ISNUMBER(MATCH(Location!$C$4&amp;"|"&amp;$A20&amp;"|saleprice",Market_Data!$K$5:$K$304,0)),"Market-City",IF(ISNUMBER(MATCH(Location!$C$5&amp;"|"&amp;$A20&amp;"|saleprice",Market_Data!$K$5:$K$304,0)),"Market-County",IF(ISNUMBER(MATCH(Location!$C$6&amp;"|"&amp;$A20&amp;"|saleprice",Market_Data!$K$5:$K$304,0)),"Market-State",IF(ISNUMBER(MATCH(Org_Profile!$C$4&amp;"|"&amp;$A20&amp;"|saleprice",Org_Overrides!$H$5:$H$304,0)),"Org","Default x index"))))</f>
        <v/>
      </c>
      <c r="Y20" s="2">
        <f>IF(ISNUMBER(MATCH(Location!$C$4&amp;"|"&amp;$A20&amp;"|landac",Market_Data!$K$5:$K$304,0)),"Market-City",IF(ISNUMBER(MATCH(Location!$C$5&amp;"|"&amp;$A20&amp;"|landac",Market_Data!$K$5:$K$304,0)),"Market-County",IF(ISNUMBER(MATCH(Location!$C$6&amp;"|"&amp;$A20&amp;"|landac",Market_Data!$K$5:$K$304,0)),"Market-State",IF(ISNUMBER(MATCH(Org_Profile!$C$4&amp;"|"&amp;$A20&amp;"|landac",Org_Overrides!$H$5:$H$304,0)),"Org","Default x index"))))</f>
        <v/>
      </c>
      <c r="Z20" s="2">
        <f>IF(ISNUMBER(MATCH(Location!$C$4&amp;"|"&amp;$A20&amp;"|rent",Market_Data!$K$5:$K$304,0)),"Market-City",IF(ISNUMBER(MATCH(Location!$C$5&amp;"|"&amp;$A20&amp;"|rent",Market_Data!$K$5:$K$304,0)),"Market-County",IF(ISNUMBER(MATCH(Location!$C$6&amp;"|"&amp;$A20&amp;"|rent",Market_Data!$K$5:$K$304,0)),"Market-State",IF(ISNUMBER(MATCH(Org_Profile!$C$4&amp;"|"&amp;$A20&amp;"|rent",Org_Overrides!$H$5:$H$304,0)),"Org","Default x index"))))</f>
        <v/>
      </c>
      <c r="AA20" s="2">
        <f>IF(ISNUMBER(MATCH(Location!$C$4&amp;"|"&amp;$A20&amp;"|groundrent",Market_Data!$K$5:$K$304,0)),"Market-City",IF(ISNUMBER(MATCH(Location!$C$5&amp;"|"&amp;$A20&amp;"|groundrent",Market_Data!$K$5:$K$304,0)),"Market-County",IF(ISNUMBER(MATCH(Location!$C$6&amp;"|"&amp;$A20&amp;"|groundrent",Market_Data!$K$5:$K$304,0)),"Market-State",IF(ISNUMBER(MATCH(Org_Profile!$C$4&amp;"|"&amp;$A20&amp;"|groundrent",Org_Overrides!$H$5:$H$304,0)),"Org","Default x index"))))</f>
        <v/>
      </c>
      <c r="AB20" s="2">
        <f>IF(ISNUMBER(MATCH(Location!$C$4&amp;"|"&amp;$A20&amp;"|cap",Market_Data!$K$5:$K$304,0)),"Market-City",IF(ISNUMBER(MATCH(Location!$C$5&amp;"|"&amp;$A20&amp;"|cap",Market_Data!$K$5:$K$304,0)),"Market-County",IF(ISNUMBER(MATCH(Location!$C$6&amp;"|"&amp;$A20&amp;"|cap",Market_Data!$K$5:$K$304,0)),"Market-State",IF(ISNUMBER(MATCH(Org_Profile!$C$4&amp;"|"&amp;$A20&amp;"|cap",Org_Overrides!$H$5:$H$304,0)),"Org","Default x index"))))</f>
        <v/>
      </c>
      <c r="AC20" s="2">
        <f>IF(ISNUMBER(MATCH(Location!$C$4&amp;"|"&amp;$A20&amp;"|vac",Market_Data!$K$5:$K$304,0)),"Market-City",IF(ISNUMBER(MATCH(Location!$C$5&amp;"|"&amp;$A20&amp;"|vac",Market_Data!$K$5:$K$304,0)),"Market-County",IF(ISNUMBER(MATCH(Location!$C$6&amp;"|"&amp;$A20&amp;"|vac",Market_Data!$K$5:$K$304,0)),"Market-State",IF(ISNUMBER(MATCH(Org_Profile!$C$4&amp;"|"&amp;$A20&amp;"|vac",Org_Overrides!$H$5:$H$304,0)),"Org","Default"))))</f>
        <v/>
      </c>
      <c r="AD20" s="2">
        <f>IF(ISNUMBER(MATCH(Location!$C$4&amp;"|"&amp;$A20&amp;"|absorb",Market_Data!$K$5:$K$304,0)),"Market-City",IF(ISNUMBER(MATCH(Location!$C$5&amp;"|"&amp;$A20&amp;"|absorb",Market_Data!$K$5:$K$304,0)),"Market-County",IF(ISNUMBER(MATCH(Location!$C$6&amp;"|"&amp;$A20&amp;"|absorb",Market_Data!$K$5:$K$304,0)),"Market-State",IF(ISNUMBER(MATCH(Org_Profile!$C$4&amp;"|"&amp;$A20&amp;"|absorb",Org_Overrides!$H$5:$H$304,0)),"Org","Default"))))</f>
        <v/>
      </c>
      <c r="AE20" s="2">
        <f>IF(ISNUMBER(MATCH(Location!$C$4&amp;"|"&amp;$A20&amp;"|lotabs",Market_Data!$K$5:$K$304,0)),"Market-City",IF(ISNUMBER(MATCH(Location!$C$5&amp;"|"&amp;$A20&amp;"|lotabs",Market_Data!$K$5:$K$304,0)),"Market-County",IF(ISNUMBER(MATCH(Location!$C$6&amp;"|"&amp;$A20&amp;"|lotabs",Market_Data!$K$5:$K$304,0)),"Market-State",IF(ISNUMBER(MATCH(Org_Profile!$C$4&amp;"|"&amp;$A20&amp;"|lotabs",Org_Overrides!$H$5:$H$304,0)),"Org","Default"))))</f>
        <v/>
      </c>
      <c r="AF20" s="15">
        <f>15-COUNTIF(Q20:AE20,"Default*")</f>
        <v/>
      </c>
    </row>
    <row r="21">
      <c r="A21" s="4">
        <f>Use_Library!$A$21</f>
        <v/>
      </c>
      <c r="B21" s="20">
        <f>IFERROR((INDEX(Org_Overrides!$D$5:$D$304,MATCH(Org_Profile!$C$4&amp;"|"&amp;$A21&amp;"|vert",Org_Overrides!$H$5:$H$304,0))*Location!$C$9),IFERROR(INDEX(Market_Data!$D$5:$D$304,MATCH(Location!$C$4&amp;"|"&amp;$A21&amp;"|vert",Market_Data!$K$5:$K$304,0)),IFERROR(INDEX(Market_Data!$D$5:$D$304,MATCH(Location!$C$5&amp;"|"&amp;$A21&amp;"|vert",Market_Data!$K$5:$K$304,0)),IFERROR(INDEX(Market_Data!$D$5:$D$304,MATCH(Location!$C$6&amp;"|"&amp;$A21&amp;"|vert",Market_Data!$K$5:$K$304,0)),(Use_Library!$AF$21*Location!$C$9)))))</f>
        <v/>
      </c>
      <c r="C21" s="20">
        <f>IFERROR((INDEX(Org_Overrides!$D$5:$D$304,MATCH(Org_Profile!$C$4&amp;"|"&amp;$A21&amp;"|entitle",Org_Overrides!$H$5:$H$304,0))*Location!$C$9),IFERROR(INDEX(Market_Data!$D$5:$D$304,MATCH(Location!$C$4&amp;"|"&amp;$A21&amp;"|entitle",Market_Data!$K$5:$K$304,0)),IFERROR(INDEX(Market_Data!$D$5:$D$304,MATCH(Location!$C$5&amp;"|"&amp;$A21&amp;"|entitle",Market_Data!$K$5:$K$304,0)),IFERROR(INDEX(Market_Data!$D$5:$D$304,MATCH(Location!$C$6&amp;"|"&amp;$A21&amp;"|entitle",Market_Data!$K$5:$K$304,0)),(Use_Library!$AE$21*Location!$C$9)))))</f>
        <v/>
      </c>
      <c r="D21" s="20">
        <f>IFERROR((INDEX(Org_Overrides!$D$5:$D$304,MATCH(Org_Profile!$C$4&amp;"|"&amp;$A21&amp;"|tilc",Org_Overrides!$H$5:$H$304,0))*Location!$C$9),IFERROR(INDEX(Market_Data!$D$5:$D$304,MATCH(Location!$C$4&amp;"|"&amp;$A21&amp;"|tilc",Market_Data!$K$5:$K$304,0)),IFERROR(INDEX(Market_Data!$D$5:$D$304,MATCH(Location!$C$5&amp;"|"&amp;$A21&amp;"|tilc",Market_Data!$K$5:$K$304,0)),IFERROR(INDEX(Market_Data!$D$5:$D$304,MATCH(Location!$C$6&amp;"|"&amp;$A21&amp;"|tilc",Market_Data!$K$5:$K$304,0)),(Use_Library!$AG$21*Location!$C$9)))))</f>
        <v/>
      </c>
      <c r="E21" s="20">
        <f>IFERROR((INDEX(Org_Overrides!$D$5:$D$304,MATCH(Org_Profile!$C$4&amp;"|"&amp;$A21&amp;"|opex",Org_Overrides!$H$5:$H$304,0))*Location!$C$13),IFERROR(INDEX(Market_Data!$D$5:$D$304,MATCH(Location!$C$4&amp;"|"&amp;$A21&amp;"|opex",Market_Data!$K$5:$K$304,0)),IFERROR(INDEX(Market_Data!$D$5:$D$304,MATCH(Location!$C$5&amp;"|"&amp;$A21&amp;"|opex",Market_Data!$K$5:$K$304,0)),IFERROR(INDEX(Market_Data!$D$5:$D$304,MATCH(Location!$C$6&amp;"|"&amp;$A21&amp;"|opex",Market_Data!$K$5:$K$304,0)),(Use_Library!$AN$21*Location!$C$13)))))</f>
        <v/>
      </c>
      <c r="F21" s="9">
        <f>IFERROR(INDEX(Org_Overrides!$D$5:$D$304,MATCH(Org_Profile!$C$4&amp;"|"&amp;$A21&amp;"|devmo",Org_Overrides!$H$5:$H$304,0)),IFERROR(INDEX(Market_Data!$D$5:$D$304,MATCH(Location!$C$4&amp;"|"&amp;$A21&amp;"|devmo",Market_Data!$K$5:$K$304,0)),IFERROR(INDEX(Market_Data!$D$5:$D$304,MATCH(Location!$C$5&amp;"|"&amp;$A21&amp;"|devmo",Market_Data!$K$5:$K$304,0)),IFERROR(INDEX(Market_Data!$D$5:$D$304,MATCH(Location!$C$6&amp;"|"&amp;$A21&amp;"|devmo",Market_Data!$K$5:$K$304,0)),Use_Library!$AH$21))))</f>
        <v/>
      </c>
      <c r="G21" s="23">
        <f>IFERROR(INDEX(Org_Overrides!$D$5:$D$304,MATCH(Org_Profile!$C$4&amp;"|"&amp;$A21&amp;"|margin",Org_Overrides!$H$5:$H$304,0)),IF(INDEX(Org_Profile!$C$9:$C$12,MATCH(Use_Library!$C$21,Org_Profile!$B$9:$B$12,0))&lt;&gt;"",INDEX(Org_Profile!$C$9:$C$12,MATCH(Use_Library!$C$21,Org_Profile!$B$9:$B$12,0)),Use_Library!$AU$21))</f>
        <v/>
      </c>
      <c r="H21" s="20">
        <f>IFERROR(INDEX(Market_Data!$D$5:$D$304,MATCH(Location!$C$4&amp;"|"&amp;$A21&amp;"|lotprice",Market_Data!$K$5:$K$304,0)),IFERROR(INDEX(Market_Data!$D$5:$D$304,MATCH(Location!$C$5&amp;"|"&amp;$A21&amp;"|lotprice",Market_Data!$K$5:$K$304,0)),IFERROR(INDEX(Market_Data!$D$5:$D$304,MATCH(Location!$C$6&amp;"|"&amp;$A21&amp;"|lotprice",Market_Data!$K$5:$K$304,0)),IFERROR((INDEX(Org_Overrides!$D$5:$D$304,MATCH(Org_Profile!$C$4&amp;"|"&amp;$A21&amp;"|lotprice",Org_Overrides!$H$5:$H$304,0))*Location!$C$10),(Use_Library!$AI$21*Location!$C$10)))))</f>
        <v/>
      </c>
      <c r="I21" s="20">
        <f>IFERROR(INDEX(Market_Data!$D$5:$D$304,MATCH(Location!$C$4&amp;"|"&amp;$A21&amp;"|saleprice",Market_Data!$K$5:$K$304,0)),IFERROR(INDEX(Market_Data!$D$5:$D$304,MATCH(Location!$C$5&amp;"|"&amp;$A21&amp;"|saleprice",Market_Data!$K$5:$K$304,0)),IFERROR(INDEX(Market_Data!$D$5:$D$304,MATCH(Location!$C$6&amp;"|"&amp;$A21&amp;"|saleprice",Market_Data!$K$5:$K$304,0)),IFERROR((INDEX(Org_Overrides!$D$5:$D$304,MATCH(Org_Profile!$C$4&amp;"|"&amp;$A21&amp;"|saleprice",Org_Overrides!$H$5:$H$304,0))*Location!$C$10),(Use_Library!$AJ$21*Location!$C$10)))))</f>
        <v/>
      </c>
      <c r="J21" s="20">
        <f>IFERROR(INDEX(Market_Data!$D$5:$D$304,MATCH(Location!$C$4&amp;"|"&amp;$A21&amp;"|landac",Market_Data!$K$5:$K$304,0)),IFERROR(INDEX(Market_Data!$D$5:$D$304,MATCH(Location!$C$5&amp;"|"&amp;$A21&amp;"|landac",Market_Data!$K$5:$K$304,0)),IFERROR(INDEX(Market_Data!$D$5:$D$304,MATCH(Location!$C$6&amp;"|"&amp;$A21&amp;"|landac",Market_Data!$K$5:$K$304,0)),IFERROR((INDEX(Org_Overrides!$D$5:$D$304,MATCH(Org_Profile!$C$4&amp;"|"&amp;$A21&amp;"|landac",Org_Overrides!$H$5:$H$304,0))*Location!$C$10),(Use_Library!$AS$21*Location!$C$10)))))</f>
        <v/>
      </c>
      <c r="K21" s="20">
        <f>IFERROR(INDEX(Market_Data!$D$5:$D$304,MATCH(Location!$C$4&amp;"|"&amp;$A21&amp;"|rent",Market_Data!$K$5:$K$304,0)),IFERROR(INDEX(Market_Data!$D$5:$D$304,MATCH(Location!$C$5&amp;"|"&amp;$A21&amp;"|rent",Market_Data!$K$5:$K$304,0)),IFERROR(INDEX(Market_Data!$D$5:$D$304,MATCH(Location!$C$6&amp;"|"&amp;$A21&amp;"|rent",Market_Data!$K$5:$K$304,0)),IFERROR((INDEX(Org_Overrides!$D$5:$D$304,MATCH(Org_Profile!$C$4&amp;"|"&amp;$A21&amp;"|rent",Org_Overrides!$H$5:$H$304,0))*Location!$C$11),(Use_Library!$AK$21*Location!$C$11)))))</f>
        <v/>
      </c>
      <c r="L21" s="20">
        <f>IFERROR(INDEX(Market_Data!$D$5:$D$304,MATCH(Location!$C$4&amp;"|"&amp;$A21&amp;"|groundrent",Market_Data!$K$5:$K$304,0)),IFERROR(INDEX(Market_Data!$D$5:$D$304,MATCH(Location!$C$5&amp;"|"&amp;$A21&amp;"|groundrent",Market_Data!$K$5:$K$304,0)),IFERROR(INDEX(Market_Data!$D$5:$D$304,MATCH(Location!$C$6&amp;"|"&amp;$A21&amp;"|groundrent",Market_Data!$K$5:$K$304,0)),IFERROR((INDEX(Org_Overrides!$D$5:$D$304,MATCH(Org_Profile!$C$4&amp;"|"&amp;$A21&amp;"|groundrent",Org_Overrides!$H$5:$H$304,0))*Location!$C$11),(Use_Library!$AT$21*Location!$C$11)))))</f>
        <v/>
      </c>
      <c r="M21" s="23">
        <f>IFERROR(INDEX(Market_Data!$D$5:$D$304,MATCH(Location!$C$4&amp;"|"&amp;$A21&amp;"|cap",Market_Data!$K$5:$K$304,0)),IFERROR(INDEX(Market_Data!$D$5:$D$304,MATCH(Location!$C$5&amp;"|"&amp;$A21&amp;"|cap",Market_Data!$K$5:$K$304,0)),IFERROR(INDEX(Market_Data!$D$5:$D$304,MATCH(Location!$C$6&amp;"|"&amp;$A21&amp;"|cap",Market_Data!$K$5:$K$304,0)),IFERROR((INDEX(Org_Overrides!$D$5:$D$304,MATCH(Org_Profile!$C$4&amp;"|"&amp;$A21&amp;"|cap",Org_Overrides!$H$5:$H$304,0))+Location!$C$12),(Use_Library!$AR$21+Location!$C$12)))))</f>
        <v/>
      </c>
      <c r="N21" s="23">
        <f>IFERROR(INDEX(Market_Data!$D$5:$D$304,MATCH(Location!$C$4&amp;"|"&amp;$A21&amp;"|vac",Market_Data!$K$5:$K$304,0)),IFERROR(INDEX(Market_Data!$D$5:$D$304,MATCH(Location!$C$5&amp;"|"&amp;$A21&amp;"|vac",Market_Data!$K$5:$K$304,0)),IFERROR(INDEX(Market_Data!$D$5:$D$304,MATCH(Location!$C$6&amp;"|"&amp;$A21&amp;"|vac",Market_Data!$K$5:$K$304,0)),IFERROR(INDEX(Org_Overrides!$D$5:$D$304,MATCH(Org_Profile!$C$4&amp;"|"&amp;$A21&amp;"|vac",Org_Overrides!$H$5:$H$304,0)),Use_Library!$AM$21))))</f>
        <v/>
      </c>
      <c r="O21" s="24">
        <f>IFERROR(INDEX(Market_Data!$D$5:$D$304,MATCH(Location!$C$4&amp;"|"&amp;$A21&amp;"|absorb",Market_Data!$K$5:$K$304,0)),IFERROR(INDEX(Market_Data!$D$5:$D$304,MATCH(Location!$C$5&amp;"|"&amp;$A21&amp;"|absorb",Market_Data!$K$5:$K$304,0)),IFERROR(INDEX(Market_Data!$D$5:$D$304,MATCH(Location!$C$6&amp;"|"&amp;$A21&amp;"|absorb",Market_Data!$K$5:$K$304,0)),IFERROR(INDEX(Org_Overrides!$D$5:$D$304,MATCH(Org_Profile!$C$4&amp;"|"&amp;$A21&amp;"|absorb",Org_Overrides!$H$5:$H$304,0)),Use_Library!$R$21))))</f>
        <v/>
      </c>
      <c r="P21" s="24">
        <f>IFERROR(INDEX(Market_Data!$D$5:$D$304,MATCH(Location!$C$4&amp;"|"&amp;$A21&amp;"|lotabs",Market_Data!$K$5:$K$304,0)),IFERROR(INDEX(Market_Data!$D$5:$D$304,MATCH(Location!$C$5&amp;"|"&amp;$A21&amp;"|lotabs",Market_Data!$K$5:$K$304,0)),IFERROR(INDEX(Market_Data!$D$5:$D$304,MATCH(Location!$C$6&amp;"|"&amp;$A21&amp;"|lotabs",Market_Data!$K$5:$K$304,0)),IFERROR(INDEX(Org_Overrides!$D$5:$D$304,MATCH(Org_Profile!$C$4&amp;"|"&amp;$A21&amp;"|lotabs",Org_Overrides!$H$5:$H$304,0)),Use_Library!$S$21))))</f>
        <v/>
      </c>
      <c r="Q21" s="2">
        <f>IF(ISNUMBER(MATCH(Org_Profile!$C$4&amp;"|"&amp;$A21&amp;"|vert",Org_Overrides!$H$5:$H$304,0)),"Org",IF(ISNUMBER(MATCH(Location!$C$4&amp;"|"&amp;$A21&amp;"|vert",Market_Data!$K$5:$K$304,0)),"Market-City",IF(ISNUMBER(MATCH(Location!$C$5&amp;"|"&amp;$A21&amp;"|vert",Market_Data!$K$5:$K$304,0)),"Market-County",IF(ISNUMBER(MATCH(Location!$C$6&amp;"|"&amp;$A21&amp;"|vert",Market_Data!$K$5:$K$304,0)),"Market-State","Default x index"))))</f>
        <v/>
      </c>
      <c r="R21" s="2">
        <f>IF(ISNUMBER(MATCH(Org_Profile!$C$4&amp;"|"&amp;$A21&amp;"|entitle",Org_Overrides!$H$5:$H$304,0)),"Org",IF(ISNUMBER(MATCH(Location!$C$4&amp;"|"&amp;$A21&amp;"|entitle",Market_Data!$K$5:$K$304,0)),"Market-City",IF(ISNUMBER(MATCH(Location!$C$5&amp;"|"&amp;$A21&amp;"|entitle",Market_Data!$K$5:$K$304,0)),"Market-County",IF(ISNUMBER(MATCH(Location!$C$6&amp;"|"&amp;$A21&amp;"|entitle",Market_Data!$K$5:$K$304,0)),"Market-State","Default x index"))))</f>
        <v/>
      </c>
      <c r="S21" s="2">
        <f>IF(ISNUMBER(MATCH(Org_Profile!$C$4&amp;"|"&amp;$A21&amp;"|tilc",Org_Overrides!$H$5:$H$304,0)),"Org",IF(ISNUMBER(MATCH(Location!$C$4&amp;"|"&amp;$A21&amp;"|tilc",Market_Data!$K$5:$K$304,0)),"Market-City",IF(ISNUMBER(MATCH(Location!$C$5&amp;"|"&amp;$A21&amp;"|tilc",Market_Data!$K$5:$K$304,0)),"Market-County",IF(ISNUMBER(MATCH(Location!$C$6&amp;"|"&amp;$A21&amp;"|tilc",Market_Data!$K$5:$K$304,0)),"Market-State","Default x index"))))</f>
        <v/>
      </c>
      <c r="T21" s="2">
        <f>IF(ISNUMBER(MATCH(Org_Profile!$C$4&amp;"|"&amp;$A21&amp;"|opex",Org_Overrides!$H$5:$H$304,0)),"Org",IF(ISNUMBER(MATCH(Location!$C$4&amp;"|"&amp;$A21&amp;"|opex",Market_Data!$K$5:$K$304,0)),"Market-City",IF(ISNUMBER(MATCH(Location!$C$5&amp;"|"&amp;$A21&amp;"|opex",Market_Data!$K$5:$K$304,0)),"Market-County",IF(ISNUMBER(MATCH(Location!$C$6&amp;"|"&amp;$A21&amp;"|opex",Market_Data!$K$5:$K$304,0)),"Market-State","Default x index"))))</f>
        <v/>
      </c>
      <c r="U21" s="2">
        <f>IF(ISNUMBER(MATCH(Org_Profile!$C$4&amp;"|"&amp;$A21&amp;"|devmo",Org_Overrides!$H$5:$H$304,0)),"Org",IF(ISNUMBER(MATCH(Location!$C$4&amp;"|"&amp;$A21&amp;"|devmo",Market_Data!$K$5:$K$304,0)),"Market-City",IF(ISNUMBER(MATCH(Location!$C$5&amp;"|"&amp;$A21&amp;"|devmo",Market_Data!$K$5:$K$304,0)),"Market-County",IF(ISNUMBER(MATCH(Location!$C$6&amp;"|"&amp;$A21&amp;"|devmo",Market_Data!$K$5:$K$304,0)),"Market-State","Default"))))</f>
        <v/>
      </c>
      <c r="V21" s="2">
        <f>IF(ISNUMBER(MATCH(Org_Profile!$C$4&amp;"|"&amp;$A21&amp;"|margin",Org_Overrides!$H$5:$H$304,0)),"Org",IF(INDEX(Org_Profile!$C$9:$C$12,MATCH(Use_Library!$C$21,Org_Profile!$B$9:$B$12,0))&lt;&gt;"","Org engine margin","Default"))</f>
        <v/>
      </c>
      <c r="W21" s="2">
        <f>IF(ISNUMBER(MATCH(Location!$C$4&amp;"|"&amp;$A21&amp;"|lotprice",Market_Data!$K$5:$K$304,0)),"Market-City",IF(ISNUMBER(MATCH(Location!$C$5&amp;"|"&amp;$A21&amp;"|lotprice",Market_Data!$K$5:$K$304,0)),"Market-County",IF(ISNUMBER(MATCH(Location!$C$6&amp;"|"&amp;$A21&amp;"|lotprice",Market_Data!$K$5:$K$304,0)),"Market-State",IF(ISNUMBER(MATCH(Org_Profile!$C$4&amp;"|"&amp;$A21&amp;"|lotprice",Org_Overrides!$H$5:$H$304,0)),"Org","Default x index"))))</f>
        <v/>
      </c>
      <c r="X21" s="2">
        <f>IF(ISNUMBER(MATCH(Location!$C$4&amp;"|"&amp;$A21&amp;"|saleprice",Market_Data!$K$5:$K$304,0)),"Market-City",IF(ISNUMBER(MATCH(Location!$C$5&amp;"|"&amp;$A21&amp;"|saleprice",Market_Data!$K$5:$K$304,0)),"Market-County",IF(ISNUMBER(MATCH(Location!$C$6&amp;"|"&amp;$A21&amp;"|saleprice",Market_Data!$K$5:$K$304,0)),"Market-State",IF(ISNUMBER(MATCH(Org_Profile!$C$4&amp;"|"&amp;$A21&amp;"|saleprice",Org_Overrides!$H$5:$H$304,0)),"Org","Default x index"))))</f>
        <v/>
      </c>
      <c r="Y21" s="2">
        <f>IF(ISNUMBER(MATCH(Location!$C$4&amp;"|"&amp;$A21&amp;"|landac",Market_Data!$K$5:$K$304,0)),"Market-City",IF(ISNUMBER(MATCH(Location!$C$5&amp;"|"&amp;$A21&amp;"|landac",Market_Data!$K$5:$K$304,0)),"Market-County",IF(ISNUMBER(MATCH(Location!$C$6&amp;"|"&amp;$A21&amp;"|landac",Market_Data!$K$5:$K$304,0)),"Market-State",IF(ISNUMBER(MATCH(Org_Profile!$C$4&amp;"|"&amp;$A21&amp;"|landac",Org_Overrides!$H$5:$H$304,0)),"Org","Default x index"))))</f>
        <v/>
      </c>
      <c r="Z21" s="2">
        <f>IF(ISNUMBER(MATCH(Location!$C$4&amp;"|"&amp;$A21&amp;"|rent",Market_Data!$K$5:$K$304,0)),"Market-City",IF(ISNUMBER(MATCH(Location!$C$5&amp;"|"&amp;$A21&amp;"|rent",Market_Data!$K$5:$K$304,0)),"Market-County",IF(ISNUMBER(MATCH(Location!$C$6&amp;"|"&amp;$A21&amp;"|rent",Market_Data!$K$5:$K$304,0)),"Market-State",IF(ISNUMBER(MATCH(Org_Profile!$C$4&amp;"|"&amp;$A21&amp;"|rent",Org_Overrides!$H$5:$H$304,0)),"Org","Default x index"))))</f>
        <v/>
      </c>
      <c r="AA21" s="2">
        <f>IF(ISNUMBER(MATCH(Location!$C$4&amp;"|"&amp;$A21&amp;"|groundrent",Market_Data!$K$5:$K$304,0)),"Market-City",IF(ISNUMBER(MATCH(Location!$C$5&amp;"|"&amp;$A21&amp;"|groundrent",Market_Data!$K$5:$K$304,0)),"Market-County",IF(ISNUMBER(MATCH(Location!$C$6&amp;"|"&amp;$A21&amp;"|groundrent",Market_Data!$K$5:$K$304,0)),"Market-State",IF(ISNUMBER(MATCH(Org_Profile!$C$4&amp;"|"&amp;$A21&amp;"|groundrent",Org_Overrides!$H$5:$H$304,0)),"Org","Default x index"))))</f>
        <v/>
      </c>
      <c r="AB21" s="2">
        <f>IF(ISNUMBER(MATCH(Location!$C$4&amp;"|"&amp;$A21&amp;"|cap",Market_Data!$K$5:$K$304,0)),"Market-City",IF(ISNUMBER(MATCH(Location!$C$5&amp;"|"&amp;$A21&amp;"|cap",Market_Data!$K$5:$K$304,0)),"Market-County",IF(ISNUMBER(MATCH(Location!$C$6&amp;"|"&amp;$A21&amp;"|cap",Market_Data!$K$5:$K$304,0)),"Market-State",IF(ISNUMBER(MATCH(Org_Profile!$C$4&amp;"|"&amp;$A21&amp;"|cap",Org_Overrides!$H$5:$H$304,0)),"Org","Default x index"))))</f>
        <v/>
      </c>
      <c r="AC21" s="2">
        <f>IF(ISNUMBER(MATCH(Location!$C$4&amp;"|"&amp;$A21&amp;"|vac",Market_Data!$K$5:$K$304,0)),"Market-City",IF(ISNUMBER(MATCH(Location!$C$5&amp;"|"&amp;$A21&amp;"|vac",Market_Data!$K$5:$K$304,0)),"Market-County",IF(ISNUMBER(MATCH(Location!$C$6&amp;"|"&amp;$A21&amp;"|vac",Market_Data!$K$5:$K$304,0)),"Market-State",IF(ISNUMBER(MATCH(Org_Profile!$C$4&amp;"|"&amp;$A21&amp;"|vac",Org_Overrides!$H$5:$H$304,0)),"Org","Default"))))</f>
        <v/>
      </c>
      <c r="AD21" s="2">
        <f>IF(ISNUMBER(MATCH(Location!$C$4&amp;"|"&amp;$A21&amp;"|absorb",Market_Data!$K$5:$K$304,0)),"Market-City",IF(ISNUMBER(MATCH(Location!$C$5&amp;"|"&amp;$A21&amp;"|absorb",Market_Data!$K$5:$K$304,0)),"Market-County",IF(ISNUMBER(MATCH(Location!$C$6&amp;"|"&amp;$A21&amp;"|absorb",Market_Data!$K$5:$K$304,0)),"Market-State",IF(ISNUMBER(MATCH(Org_Profile!$C$4&amp;"|"&amp;$A21&amp;"|absorb",Org_Overrides!$H$5:$H$304,0)),"Org","Default"))))</f>
        <v/>
      </c>
      <c r="AE21" s="2">
        <f>IF(ISNUMBER(MATCH(Location!$C$4&amp;"|"&amp;$A21&amp;"|lotabs",Market_Data!$K$5:$K$304,0)),"Market-City",IF(ISNUMBER(MATCH(Location!$C$5&amp;"|"&amp;$A21&amp;"|lotabs",Market_Data!$K$5:$K$304,0)),"Market-County",IF(ISNUMBER(MATCH(Location!$C$6&amp;"|"&amp;$A21&amp;"|lotabs",Market_Data!$K$5:$K$304,0)),"Market-State",IF(ISNUMBER(MATCH(Org_Profile!$C$4&amp;"|"&amp;$A21&amp;"|lotabs",Org_Overrides!$H$5:$H$304,0)),"Org","Default"))))</f>
        <v/>
      </c>
      <c r="AF21" s="15">
        <f>15-COUNTIF(Q21:AE21,"Default*")</f>
        <v/>
      </c>
    </row>
    <row r="22">
      <c r="A22" s="4">
        <f>Use_Library!$A$22</f>
        <v/>
      </c>
      <c r="B22" s="20">
        <f>IFERROR((INDEX(Org_Overrides!$D$5:$D$304,MATCH(Org_Profile!$C$4&amp;"|"&amp;$A22&amp;"|vert",Org_Overrides!$H$5:$H$304,0))*Location!$C$9),IFERROR(INDEX(Market_Data!$D$5:$D$304,MATCH(Location!$C$4&amp;"|"&amp;$A22&amp;"|vert",Market_Data!$K$5:$K$304,0)),IFERROR(INDEX(Market_Data!$D$5:$D$304,MATCH(Location!$C$5&amp;"|"&amp;$A22&amp;"|vert",Market_Data!$K$5:$K$304,0)),IFERROR(INDEX(Market_Data!$D$5:$D$304,MATCH(Location!$C$6&amp;"|"&amp;$A22&amp;"|vert",Market_Data!$K$5:$K$304,0)),(Use_Library!$AF$22*Location!$C$9)))))</f>
        <v/>
      </c>
      <c r="C22" s="20">
        <f>IFERROR((INDEX(Org_Overrides!$D$5:$D$304,MATCH(Org_Profile!$C$4&amp;"|"&amp;$A22&amp;"|entitle",Org_Overrides!$H$5:$H$304,0))*Location!$C$9),IFERROR(INDEX(Market_Data!$D$5:$D$304,MATCH(Location!$C$4&amp;"|"&amp;$A22&amp;"|entitle",Market_Data!$K$5:$K$304,0)),IFERROR(INDEX(Market_Data!$D$5:$D$304,MATCH(Location!$C$5&amp;"|"&amp;$A22&amp;"|entitle",Market_Data!$K$5:$K$304,0)),IFERROR(INDEX(Market_Data!$D$5:$D$304,MATCH(Location!$C$6&amp;"|"&amp;$A22&amp;"|entitle",Market_Data!$K$5:$K$304,0)),(Use_Library!$AE$22*Location!$C$9)))))</f>
        <v/>
      </c>
      <c r="D22" s="20">
        <f>IFERROR((INDEX(Org_Overrides!$D$5:$D$304,MATCH(Org_Profile!$C$4&amp;"|"&amp;$A22&amp;"|tilc",Org_Overrides!$H$5:$H$304,0))*Location!$C$9),IFERROR(INDEX(Market_Data!$D$5:$D$304,MATCH(Location!$C$4&amp;"|"&amp;$A22&amp;"|tilc",Market_Data!$K$5:$K$304,0)),IFERROR(INDEX(Market_Data!$D$5:$D$304,MATCH(Location!$C$5&amp;"|"&amp;$A22&amp;"|tilc",Market_Data!$K$5:$K$304,0)),IFERROR(INDEX(Market_Data!$D$5:$D$304,MATCH(Location!$C$6&amp;"|"&amp;$A22&amp;"|tilc",Market_Data!$K$5:$K$304,0)),(Use_Library!$AG$22*Location!$C$9)))))</f>
        <v/>
      </c>
      <c r="E22" s="20">
        <f>IFERROR((INDEX(Org_Overrides!$D$5:$D$304,MATCH(Org_Profile!$C$4&amp;"|"&amp;$A22&amp;"|opex",Org_Overrides!$H$5:$H$304,0))*Location!$C$13),IFERROR(INDEX(Market_Data!$D$5:$D$304,MATCH(Location!$C$4&amp;"|"&amp;$A22&amp;"|opex",Market_Data!$K$5:$K$304,0)),IFERROR(INDEX(Market_Data!$D$5:$D$304,MATCH(Location!$C$5&amp;"|"&amp;$A22&amp;"|opex",Market_Data!$K$5:$K$304,0)),IFERROR(INDEX(Market_Data!$D$5:$D$304,MATCH(Location!$C$6&amp;"|"&amp;$A22&amp;"|opex",Market_Data!$K$5:$K$304,0)),(Use_Library!$AN$22*Location!$C$13)))))</f>
        <v/>
      </c>
      <c r="F22" s="9">
        <f>IFERROR(INDEX(Org_Overrides!$D$5:$D$304,MATCH(Org_Profile!$C$4&amp;"|"&amp;$A22&amp;"|devmo",Org_Overrides!$H$5:$H$304,0)),IFERROR(INDEX(Market_Data!$D$5:$D$304,MATCH(Location!$C$4&amp;"|"&amp;$A22&amp;"|devmo",Market_Data!$K$5:$K$304,0)),IFERROR(INDEX(Market_Data!$D$5:$D$304,MATCH(Location!$C$5&amp;"|"&amp;$A22&amp;"|devmo",Market_Data!$K$5:$K$304,0)),IFERROR(INDEX(Market_Data!$D$5:$D$304,MATCH(Location!$C$6&amp;"|"&amp;$A22&amp;"|devmo",Market_Data!$K$5:$K$304,0)),Use_Library!$AH$22))))</f>
        <v/>
      </c>
      <c r="G22" s="23">
        <f>IFERROR(INDEX(Org_Overrides!$D$5:$D$304,MATCH(Org_Profile!$C$4&amp;"|"&amp;$A22&amp;"|margin",Org_Overrides!$H$5:$H$304,0)),IF(INDEX(Org_Profile!$C$9:$C$12,MATCH(Use_Library!$C$22,Org_Profile!$B$9:$B$12,0))&lt;&gt;"",INDEX(Org_Profile!$C$9:$C$12,MATCH(Use_Library!$C$22,Org_Profile!$B$9:$B$12,0)),Use_Library!$AU$22))</f>
        <v/>
      </c>
      <c r="H22" s="20">
        <f>IFERROR(INDEX(Market_Data!$D$5:$D$304,MATCH(Location!$C$4&amp;"|"&amp;$A22&amp;"|lotprice",Market_Data!$K$5:$K$304,0)),IFERROR(INDEX(Market_Data!$D$5:$D$304,MATCH(Location!$C$5&amp;"|"&amp;$A22&amp;"|lotprice",Market_Data!$K$5:$K$304,0)),IFERROR(INDEX(Market_Data!$D$5:$D$304,MATCH(Location!$C$6&amp;"|"&amp;$A22&amp;"|lotprice",Market_Data!$K$5:$K$304,0)),IFERROR((INDEX(Org_Overrides!$D$5:$D$304,MATCH(Org_Profile!$C$4&amp;"|"&amp;$A22&amp;"|lotprice",Org_Overrides!$H$5:$H$304,0))*Location!$C$10),(Use_Library!$AI$22*Location!$C$10)))))</f>
        <v/>
      </c>
      <c r="I22" s="20">
        <f>IFERROR(INDEX(Market_Data!$D$5:$D$304,MATCH(Location!$C$4&amp;"|"&amp;$A22&amp;"|saleprice",Market_Data!$K$5:$K$304,0)),IFERROR(INDEX(Market_Data!$D$5:$D$304,MATCH(Location!$C$5&amp;"|"&amp;$A22&amp;"|saleprice",Market_Data!$K$5:$K$304,0)),IFERROR(INDEX(Market_Data!$D$5:$D$304,MATCH(Location!$C$6&amp;"|"&amp;$A22&amp;"|saleprice",Market_Data!$K$5:$K$304,0)),IFERROR((INDEX(Org_Overrides!$D$5:$D$304,MATCH(Org_Profile!$C$4&amp;"|"&amp;$A22&amp;"|saleprice",Org_Overrides!$H$5:$H$304,0))*Location!$C$10),(Use_Library!$AJ$22*Location!$C$10)))))</f>
        <v/>
      </c>
      <c r="J22" s="20">
        <f>IFERROR(INDEX(Market_Data!$D$5:$D$304,MATCH(Location!$C$4&amp;"|"&amp;$A22&amp;"|landac",Market_Data!$K$5:$K$304,0)),IFERROR(INDEX(Market_Data!$D$5:$D$304,MATCH(Location!$C$5&amp;"|"&amp;$A22&amp;"|landac",Market_Data!$K$5:$K$304,0)),IFERROR(INDEX(Market_Data!$D$5:$D$304,MATCH(Location!$C$6&amp;"|"&amp;$A22&amp;"|landac",Market_Data!$K$5:$K$304,0)),IFERROR((INDEX(Org_Overrides!$D$5:$D$304,MATCH(Org_Profile!$C$4&amp;"|"&amp;$A22&amp;"|landac",Org_Overrides!$H$5:$H$304,0))*Location!$C$10),(Use_Library!$AS$22*Location!$C$10)))))</f>
        <v/>
      </c>
      <c r="K22" s="20">
        <f>IFERROR(INDEX(Market_Data!$D$5:$D$304,MATCH(Location!$C$4&amp;"|"&amp;$A22&amp;"|rent",Market_Data!$K$5:$K$304,0)),IFERROR(INDEX(Market_Data!$D$5:$D$304,MATCH(Location!$C$5&amp;"|"&amp;$A22&amp;"|rent",Market_Data!$K$5:$K$304,0)),IFERROR(INDEX(Market_Data!$D$5:$D$304,MATCH(Location!$C$6&amp;"|"&amp;$A22&amp;"|rent",Market_Data!$K$5:$K$304,0)),IFERROR((INDEX(Org_Overrides!$D$5:$D$304,MATCH(Org_Profile!$C$4&amp;"|"&amp;$A22&amp;"|rent",Org_Overrides!$H$5:$H$304,0))*Location!$C$11),(Use_Library!$AK$22*Location!$C$11)))))</f>
        <v/>
      </c>
      <c r="L22" s="20">
        <f>IFERROR(INDEX(Market_Data!$D$5:$D$304,MATCH(Location!$C$4&amp;"|"&amp;$A22&amp;"|groundrent",Market_Data!$K$5:$K$304,0)),IFERROR(INDEX(Market_Data!$D$5:$D$304,MATCH(Location!$C$5&amp;"|"&amp;$A22&amp;"|groundrent",Market_Data!$K$5:$K$304,0)),IFERROR(INDEX(Market_Data!$D$5:$D$304,MATCH(Location!$C$6&amp;"|"&amp;$A22&amp;"|groundrent",Market_Data!$K$5:$K$304,0)),IFERROR((INDEX(Org_Overrides!$D$5:$D$304,MATCH(Org_Profile!$C$4&amp;"|"&amp;$A22&amp;"|groundrent",Org_Overrides!$H$5:$H$304,0))*Location!$C$11),(Use_Library!$AT$22*Location!$C$11)))))</f>
        <v/>
      </c>
      <c r="M22" s="23">
        <f>IFERROR(INDEX(Market_Data!$D$5:$D$304,MATCH(Location!$C$4&amp;"|"&amp;$A22&amp;"|cap",Market_Data!$K$5:$K$304,0)),IFERROR(INDEX(Market_Data!$D$5:$D$304,MATCH(Location!$C$5&amp;"|"&amp;$A22&amp;"|cap",Market_Data!$K$5:$K$304,0)),IFERROR(INDEX(Market_Data!$D$5:$D$304,MATCH(Location!$C$6&amp;"|"&amp;$A22&amp;"|cap",Market_Data!$K$5:$K$304,0)),IFERROR((INDEX(Org_Overrides!$D$5:$D$304,MATCH(Org_Profile!$C$4&amp;"|"&amp;$A22&amp;"|cap",Org_Overrides!$H$5:$H$304,0))+Location!$C$12),(Use_Library!$AR$22+Location!$C$12)))))</f>
        <v/>
      </c>
      <c r="N22" s="23">
        <f>IFERROR(INDEX(Market_Data!$D$5:$D$304,MATCH(Location!$C$4&amp;"|"&amp;$A22&amp;"|vac",Market_Data!$K$5:$K$304,0)),IFERROR(INDEX(Market_Data!$D$5:$D$304,MATCH(Location!$C$5&amp;"|"&amp;$A22&amp;"|vac",Market_Data!$K$5:$K$304,0)),IFERROR(INDEX(Market_Data!$D$5:$D$304,MATCH(Location!$C$6&amp;"|"&amp;$A22&amp;"|vac",Market_Data!$K$5:$K$304,0)),IFERROR(INDEX(Org_Overrides!$D$5:$D$304,MATCH(Org_Profile!$C$4&amp;"|"&amp;$A22&amp;"|vac",Org_Overrides!$H$5:$H$304,0)),Use_Library!$AM$22))))</f>
        <v/>
      </c>
      <c r="O22" s="24">
        <f>IFERROR(INDEX(Market_Data!$D$5:$D$304,MATCH(Location!$C$4&amp;"|"&amp;$A22&amp;"|absorb",Market_Data!$K$5:$K$304,0)),IFERROR(INDEX(Market_Data!$D$5:$D$304,MATCH(Location!$C$5&amp;"|"&amp;$A22&amp;"|absorb",Market_Data!$K$5:$K$304,0)),IFERROR(INDEX(Market_Data!$D$5:$D$304,MATCH(Location!$C$6&amp;"|"&amp;$A22&amp;"|absorb",Market_Data!$K$5:$K$304,0)),IFERROR(INDEX(Org_Overrides!$D$5:$D$304,MATCH(Org_Profile!$C$4&amp;"|"&amp;$A22&amp;"|absorb",Org_Overrides!$H$5:$H$304,0)),Use_Library!$R$22))))</f>
        <v/>
      </c>
      <c r="P22" s="24">
        <f>IFERROR(INDEX(Market_Data!$D$5:$D$304,MATCH(Location!$C$4&amp;"|"&amp;$A22&amp;"|lotabs",Market_Data!$K$5:$K$304,0)),IFERROR(INDEX(Market_Data!$D$5:$D$304,MATCH(Location!$C$5&amp;"|"&amp;$A22&amp;"|lotabs",Market_Data!$K$5:$K$304,0)),IFERROR(INDEX(Market_Data!$D$5:$D$304,MATCH(Location!$C$6&amp;"|"&amp;$A22&amp;"|lotabs",Market_Data!$K$5:$K$304,0)),IFERROR(INDEX(Org_Overrides!$D$5:$D$304,MATCH(Org_Profile!$C$4&amp;"|"&amp;$A22&amp;"|lotabs",Org_Overrides!$H$5:$H$304,0)),Use_Library!$S$22))))</f>
        <v/>
      </c>
      <c r="Q22" s="2">
        <f>IF(ISNUMBER(MATCH(Org_Profile!$C$4&amp;"|"&amp;$A22&amp;"|vert",Org_Overrides!$H$5:$H$304,0)),"Org",IF(ISNUMBER(MATCH(Location!$C$4&amp;"|"&amp;$A22&amp;"|vert",Market_Data!$K$5:$K$304,0)),"Market-City",IF(ISNUMBER(MATCH(Location!$C$5&amp;"|"&amp;$A22&amp;"|vert",Market_Data!$K$5:$K$304,0)),"Market-County",IF(ISNUMBER(MATCH(Location!$C$6&amp;"|"&amp;$A22&amp;"|vert",Market_Data!$K$5:$K$304,0)),"Market-State","Default x index"))))</f>
        <v/>
      </c>
      <c r="R22" s="2">
        <f>IF(ISNUMBER(MATCH(Org_Profile!$C$4&amp;"|"&amp;$A22&amp;"|entitle",Org_Overrides!$H$5:$H$304,0)),"Org",IF(ISNUMBER(MATCH(Location!$C$4&amp;"|"&amp;$A22&amp;"|entitle",Market_Data!$K$5:$K$304,0)),"Market-City",IF(ISNUMBER(MATCH(Location!$C$5&amp;"|"&amp;$A22&amp;"|entitle",Market_Data!$K$5:$K$304,0)),"Market-County",IF(ISNUMBER(MATCH(Location!$C$6&amp;"|"&amp;$A22&amp;"|entitle",Market_Data!$K$5:$K$304,0)),"Market-State","Default x index"))))</f>
        <v/>
      </c>
      <c r="S22" s="2">
        <f>IF(ISNUMBER(MATCH(Org_Profile!$C$4&amp;"|"&amp;$A22&amp;"|tilc",Org_Overrides!$H$5:$H$304,0)),"Org",IF(ISNUMBER(MATCH(Location!$C$4&amp;"|"&amp;$A22&amp;"|tilc",Market_Data!$K$5:$K$304,0)),"Market-City",IF(ISNUMBER(MATCH(Location!$C$5&amp;"|"&amp;$A22&amp;"|tilc",Market_Data!$K$5:$K$304,0)),"Market-County",IF(ISNUMBER(MATCH(Location!$C$6&amp;"|"&amp;$A22&amp;"|tilc",Market_Data!$K$5:$K$304,0)),"Market-State","Default x index"))))</f>
        <v/>
      </c>
      <c r="T22" s="2">
        <f>IF(ISNUMBER(MATCH(Org_Profile!$C$4&amp;"|"&amp;$A22&amp;"|opex",Org_Overrides!$H$5:$H$304,0)),"Org",IF(ISNUMBER(MATCH(Location!$C$4&amp;"|"&amp;$A22&amp;"|opex",Market_Data!$K$5:$K$304,0)),"Market-City",IF(ISNUMBER(MATCH(Location!$C$5&amp;"|"&amp;$A22&amp;"|opex",Market_Data!$K$5:$K$304,0)),"Market-County",IF(ISNUMBER(MATCH(Location!$C$6&amp;"|"&amp;$A22&amp;"|opex",Market_Data!$K$5:$K$304,0)),"Market-State","Default x index"))))</f>
        <v/>
      </c>
      <c r="U22" s="2">
        <f>IF(ISNUMBER(MATCH(Org_Profile!$C$4&amp;"|"&amp;$A22&amp;"|devmo",Org_Overrides!$H$5:$H$304,0)),"Org",IF(ISNUMBER(MATCH(Location!$C$4&amp;"|"&amp;$A22&amp;"|devmo",Market_Data!$K$5:$K$304,0)),"Market-City",IF(ISNUMBER(MATCH(Location!$C$5&amp;"|"&amp;$A22&amp;"|devmo",Market_Data!$K$5:$K$304,0)),"Market-County",IF(ISNUMBER(MATCH(Location!$C$6&amp;"|"&amp;$A22&amp;"|devmo",Market_Data!$K$5:$K$304,0)),"Market-State","Default"))))</f>
        <v/>
      </c>
      <c r="V22" s="2">
        <f>IF(ISNUMBER(MATCH(Org_Profile!$C$4&amp;"|"&amp;$A22&amp;"|margin",Org_Overrides!$H$5:$H$304,0)),"Org",IF(INDEX(Org_Profile!$C$9:$C$12,MATCH(Use_Library!$C$22,Org_Profile!$B$9:$B$12,0))&lt;&gt;"","Org engine margin","Default"))</f>
        <v/>
      </c>
      <c r="W22" s="2">
        <f>IF(ISNUMBER(MATCH(Location!$C$4&amp;"|"&amp;$A22&amp;"|lotprice",Market_Data!$K$5:$K$304,0)),"Market-City",IF(ISNUMBER(MATCH(Location!$C$5&amp;"|"&amp;$A22&amp;"|lotprice",Market_Data!$K$5:$K$304,0)),"Market-County",IF(ISNUMBER(MATCH(Location!$C$6&amp;"|"&amp;$A22&amp;"|lotprice",Market_Data!$K$5:$K$304,0)),"Market-State",IF(ISNUMBER(MATCH(Org_Profile!$C$4&amp;"|"&amp;$A22&amp;"|lotprice",Org_Overrides!$H$5:$H$304,0)),"Org","Default x index"))))</f>
        <v/>
      </c>
      <c r="X22" s="2">
        <f>IF(ISNUMBER(MATCH(Location!$C$4&amp;"|"&amp;$A22&amp;"|saleprice",Market_Data!$K$5:$K$304,0)),"Market-City",IF(ISNUMBER(MATCH(Location!$C$5&amp;"|"&amp;$A22&amp;"|saleprice",Market_Data!$K$5:$K$304,0)),"Market-County",IF(ISNUMBER(MATCH(Location!$C$6&amp;"|"&amp;$A22&amp;"|saleprice",Market_Data!$K$5:$K$304,0)),"Market-State",IF(ISNUMBER(MATCH(Org_Profile!$C$4&amp;"|"&amp;$A22&amp;"|saleprice",Org_Overrides!$H$5:$H$304,0)),"Org","Default x index"))))</f>
        <v/>
      </c>
      <c r="Y22" s="2">
        <f>IF(ISNUMBER(MATCH(Location!$C$4&amp;"|"&amp;$A22&amp;"|landac",Market_Data!$K$5:$K$304,0)),"Market-City",IF(ISNUMBER(MATCH(Location!$C$5&amp;"|"&amp;$A22&amp;"|landac",Market_Data!$K$5:$K$304,0)),"Market-County",IF(ISNUMBER(MATCH(Location!$C$6&amp;"|"&amp;$A22&amp;"|landac",Market_Data!$K$5:$K$304,0)),"Market-State",IF(ISNUMBER(MATCH(Org_Profile!$C$4&amp;"|"&amp;$A22&amp;"|landac",Org_Overrides!$H$5:$H$304,0)),"Org","Default x index"))))</f>
        <v/>
      </c>
      <c r="Z22" s="2">
        <f>IF(ISNUMBER(MATCH(Location!$C$4&amp;"|"&amp;$A22&amp;"|rent",Market_Data!$K$5:$K$304,0)),"Market-City",IF(ISNUMBER(MATCH(Location!$C$5&amp;"|"&amp;$A22&amp;"|rent",Market_Data!$K$5:$K$304,0)),"Market-County",IF(ISNUMBER(MATCH(Location!$C$6&amp;"|"&amp;$A22&amp;"|rent",Market_Data!$K$5:$K$304,0)),"Market-State",IF(ISNUMBER(MATCH(Org_Profile!$C$4&amp;"|"&amp;$A22&amp;"|rent",Org_Overrides!$H$5:$H$304,0)),"Org","Default x index"))))</f>
        <v/>
      </c>
      <c r="AA22" s="2">
        <f>IF(ISNUMBER(MATCH(Location!$C$4&amp;"|"&amp;$A22&amp;"|groundrent",Market_Data!$K$5:$K$304,0)),"Market-City",IF(ISNUMBER(MATCH(Location!$C$5&amp;"|"&amp;$A22&amp;"|groundrent",Market_Data!$K$5:$K$304,0)),"Market-County",IF(ISNUMBER(MATCH(Location!$C$6&amp;"|"&amp;$A22&amp;"|groundrent",Market_Data!$K$5:$K$304,0)),"Market-State",IF(ISNUMBER(MATCH(Org_Profile!$C$4&amp;"|"&amp;$A22&amp;"|groundrent",Org_Overrides!$H$5:$H$304,0)),"Org","Default x index"))))</f>
        <v/>
      </c>
      <c r="AB22" s="2">
        <f>IF(ISNUMBER(MATCH(Location!$C$4&amp;"|"&amp;$A22&amp;"|cap",Market_Data!$K$5:$K$304,0)),"Market-City",IF(ISNUMBER(MATCH(Location!$C$5&amp;"|"&amp;$A22&amp;"|cap",Market_Data!$K$5:$K$304,0)),"Market-County",IF(ISNUMBER(MATCH(Location!$C$6&amp;"|"&amp;$A22&amp;"|cap",Market_Data!$K$5:$K$304,0)),"Market-State",IF(ISNUMBER(MATCH(Org_Profile!$C$4&amp;"|"&amp;$A22&amp;"|cap",Org_Overrides!$H$5:$H$304,0)),"Org","Default x index"))))</f>
        <v/>
      </c>
      <c r="AC22" s="2">
        <f>IF(ISNUMBER(MATCH(Location!$C$4&amp;"|"&amp;$A22&amp;"|vac",Market_Data!$K$5:$K$304,0)),"Market-City",IF(ISNUMBER(MATCH(Location!$C$5&amp;"|"&amp;$A22&amp;"|vac",Market_Data!$K$5:$K$304,0)),"Market-County",IF(ISNUMBER(MATCH(Location!$C$6&amp;"|"&amp;$A22&amp;"|vac",Market_Data!$K$5:$K$304,0)),"Market-State",IF(ISNUMBER(MATCH(Org_Profile!$C$4&amp;"|"&amp;$A22&amp;"|vac",Org_Overrides!$H$5:$H$304,0)),"Org","Default"))))</f>
        <v/>
      </c>
      <c r="AD22" s="2">
        <f>IF(ISNUMBER(MATCH(Location!$C$4&amp;"|"&amp;$A22&amp;"|absorb",Market_Data!$K$5:$K$304,0)),"Market-City",IF(ISNUMBER(MATCH(Location!$C$5&amp;"|"&amp;$A22&amp;"|absorb",Market_Data!$K$5:$K$304,0)),"Market-County",IF(ISNUMBER(MATCH(Location!$C$6&amp;"|"&amp;$A22&amp;"|absorb",Market_Data!$K$5:$K$304,0)),"Market-State",IF(ISNUMBER(MATCH(Org_Profile!$C$4&amp;"|"&amp;$A22&amp;"|absorb",Org_Overrides!$H$5:$H$304,0)),"Org","Default"))))</f>
        <v/>
      </c>
      <c r="AE22" s="2">
        <f>IF(ISNUMBER(MATCH(Location!$C$4&amp;"|"&amp;$A22&amp;"|lotabs",Market_Data!$K$5:$K$304,0)),"Market-City",IF(ISNUMBER(MATCH(Location!$C$5&amp;"|"&amp;$A22&amp;"|lotabs",Market_Data!$K$5:$K$304,0)),"Market-County",IF(ISNUMBER(MATCH(Location!$C$6&amp;"|"&amp;$A22&amp;"|lotabs",Market_Data!$K$5:$K$304,0)),"Market-State",IF(ISNUMBER(MATCH(Org_Profile!$C$4&amp;"|"&amp;$A22&amp;"|lotabs",Org_Overrides!$H$5:$H$304,0)),"Org","Default"))))</f>
        <v/>
      </c>
      <c r="AF22" s="15">
        <f>15-COUNTIF(Q22:AE22,"Default*")</f>
        <v/>
      </c>
    </row>
    <row r="23">
      <c r="A23" s="4">
        <f>Use_Library!$A$23</f>
        <v/>
      </c>
      <c r="B23" s="20">
        <f>IFERROR((INDEX(Org_Overrides!$D$5:$D$304,MATCH(Org_Profile!$C$4&amp;"|"&amp;$A23&amp;"|vert",Org_Overrides!$H$5:$H$304,0))*Location!$C$9),IFERROR(INDEX(Market_Data!$D$5:$D$304,MATCH(Location!$C$4&amp;"|"&amp;$A23&amp;"|vert",Market_Data!$K$5:$K$304,0)),IFERROR(INDEX(Market_Data!$D$5:$D$304,MATCH(Location!$C$5&amp;"|"&amp;$A23&amp;"|vert",Market_Data!$K$5:$K$304,0)),IFERROR(INDEX(Market_Data!$D$5:$D$304,MATCH(Location!$C$6&amp;"|"&amp;$A23&amp;"|vert",Market_Data!$K$5:$K$304,0)),(Use_Library!$AF$23*Location!$C$9)))))</f>
        <v/>
      </c>
      <c r="C23" s="20">
        <f>IFERROR((INDEX(Org_Overrides!$D$5:$D$304,MATCH(Org_Profile!$C$4&amp;"|"&amp;$A23&amp;"|entitle",Org_Overrides!$H$5:$H$304,0))*Location!$C$9),IFERROR(INDEX(Market_Data!$D$5:$D$304,MATCH(Location!$C$4&amp;"|"&amp;$A23&amp;"|entitle",Market_Data!$K$5:$K$304,0)),IFERROR(INDEX(Market_Data!$D$5:$D$304,MATCH(Location!$C$5&amp;"|"&amp;$A23&amp;"|entitle",Market_Data!$K$5:$K$304,0)),IFERROR(INDEX(Market_Data!$D$5:$D$304,MATCH(Location!$C$6&amp;"|"&amp;$A23&amp;"|entitle",Market_Data!$K$5:$K$304,0)),(Use_Library!$AE$23*Location!$C$9)))))</f>
        <v/>
      </c>
      <c r="D23" s="20">
        <f>IFERROR((INDEX(Org_Overrides!$D$5:$D$304,MATCH(Org_Profile!$C$4&amp;"|"&amp;$A23&amp;"|tilc",Org_Overrides!$H$5:$H$304,0))*Location!$C$9),IFERROR(INDEX(Market_Data!$D$5:$D$304,MATCH(Location!$C$4&amp;"|"&amp;$A23&amp;"|tilc",Market_Data!$K$5:$K$304,0)),IFERROR(INDEX(Market_Data!$D$5:$D$304,MATCH(Location!$C$5&amp;"|"&amp;$A23&amp;"|tilc",Market_Data!$K$5:$K$304,0)),IFERROR(INDEX(Market_Data!$D$5:$D$304,MATCH(Location!$C$6&amp;"|"&amp;$A23&amp;"|tilc",Market_Data!$K$5:$K$304,0)),(Use_Library!$AG$23*Location!$C$9)))))</f>
        <v/>
      </c>
      <c r="E23" s="20">
        <f>IFERROR((INDEX(Org_Overrides!$D$5:$D$304,MATCH(Org_Profile!$C$4&amp;"|"&amp;$A23&amp;"|opex",Org_Overrides!$H$5:$H$304,0))*Location!$C$13),IFERROR(INDEX(Market_Data!$D$5:$D$304,MATCH(Location!$C$4&amp;"|"&amp;$A23&amp;"|opex",Market_Data!$K$5:$K$304,0)),IFERROR(INDEX(Market_Data!$D$5:$D$304,MATCH(Location!$C$5&amp;"|"&amp;$A23&amp;"|opex",Market_Data!$K$5:$K$304,0)),IFERROR(INDEX(Market_Data!$D$5:$D$304,MATCH(Location!$C$6&amp;"|"&amp;$A23&amp;"|opex",Market_Data!$K$5:$K$304,0)),(Use_Library!$AN$23*Location!$C$13)))))</f>
        <v/>
      </c>
      <c r="F23" s="9">
        <f>IFERROR(INDEX(Org_Overrides!$D$5:$D$304,MATCH(Org_Profile!$C$4&amp;"|"&amp;$A23&amp;"|devmo",Org_Overrides!$H$5:$H$304,0)),IFERROR(INDEX(Market_Data!$D$5:$D$304,MATCH(Location!$C$4&amp;"|"&amp;$A23&amp;"|devmo",Market_Data!$K$5:$K$304,0)),IFERROR(INDEX(Market_Data!$D$5:$D$304,MATCH(Location!$C$5&amp;"|"&amp;$A23&amp;"|devmo",Market_Data!$K$5:$K$304,0)),IFERROR(INDEX(Market_Data!$D$5:$D$304,MATCH(Location!$C$6&amp;"|"&amp;$A23&amp;"|devmo",Market_Data!$K$5:$K$304,0)),Use_Library!$AH$23))))</f>
        <v/>
      </c>
      <c r="G23" s="23">
        <f>IFERROR(INDEX(Org_Overrides!$D$5:$D$304,MATCH(Org_Profile!$C$4&amp;"|"&amp;$A23&amp;"|margin",Org_Overrides!$H$5:$H$304,0)),IF(INDEX(Org_Profile!$C$9:$C$12,MATCH(Use_Library!$C$23,Org_Profile!$B$9:$B$12,0))&lt;&gt;"",INDEX(Org_Profile!$C$9:$C$12,MATCH(Use_Library!$C$23,Org_Profile!$B$9:$B$12,0)),Use_Library!$AU$23))</f>
        <v/>
      </c>
      <c r="H23" s="20">
        <f>IFERROR(INDEX(Market_Data!$D$5:$D$304,MATCH(Location!$C$4&amp;"|"&amp;$A23&amp;"|lotprice",Market_Data!$K$5:$K$304,0)),IFERROR(INDEX(Market_Data!$D$5:$D$304,MATCH(Location!$C$5&amp;"|"&amp;$A23&amp;"|lotprice",Market_Data!$K$5:$K$304,0)),IFERROR(INDEX(Market_Data!$D$5:$D$304,MATCH(Location!$C$6&amp;"|"&amp;$A23&amp;"|lotprice",Market_Data!$K$5:$K$304,0)),IFERROR((INDEX(Org_Overrides!$D$5:$D$304,MATCH(Org_Profile!$C$4&amp;"|"&amp;$A23&amp;"|lotprice",Org_Overrides!$H$5:$H$304,0))*Location!$C$10),(Use_Library!$AI$23*Location!$C$10)))))</f>
        <v/>
      </c>
      <c r="I23" s="20">
        <f>IFERROR(INDEX(Market_Data!$D$5:$D$304,MATCH(Location!$C$4&amp;"|"&amp;$A23&amp;"|saleprice",Market_Data!$K$5:$K$304,0)),IFERROR(INDEX(Market_Data!$D$5:$D$304,MATCH(Location!$C$5&amp;"|"&amp;$A23&amp;"|saleprice",Market_Data!$K$5:$K$304,0)),IFERROR(INDEX(Market_Data!$D$5:$D$304,MATCH(Location!$C$6&amp;"|"&amp;$A23&amp;"|saleprice",Market_Data!$K$5:$K$304,0)),IFERROR((INDEX(Org_Overrides!$D$5:$D$304,MATCH(Org_Profile!$C$4&amp;"|"&amp;$A23&amp;"|saleprice",Org_Overrides!$H$5:$H$304,0))*Location!$C$10),(Use_Library!$AJ$23*Location!$C$10)))))</f>
        <v/>
      </c>
      <c r="J23" s="20">
        <f>IFERROR(INDEX(Market_Data!$D$5:$D$304,MATCH(Location!$C$4&amp;"|"&amp;$A23&amp;"|landac",Market_Data!$K$5:$K$304,0)),IFERROR(INDEX(Market_Data!$D$5:$D$304,MATCH(Location!$C$5&amp;"|"&amp;$A23&amp;"|landac",Market_Data!$K$5:$K$304,0)),IFERROR(INDEX(Market_Data!$D$5:$D$304,MATCH(Location!$C$6&amp;"|"&amp;$A23&amp;"|landac",Market_Data!$K$5:$K$304,0)),IFERROR((INDEX(Org_Overrides!$D$5:$D$304,MATCH(Org_Profile!$C$4&amp;"|"&amp;$A23&amp;"|landac",Org_Overrides!$H$5:$H$304,0))*Location!$C$10),(Use_Library!$AS$23*Location!$C$10)))))</f>
        <v/>
      </c>
      <c r="K23" s="20">
        <f>IFERROR(INDEX(Market_Data!$D$5:$D$304,MATCH(Location!$C$4&amp;"|"&amp;$A23&amp;"|rent",Market_Data!$K$5:$K$304,0)),IFERROR(INDEX(Market_Data!$D$5:$D$304,MATCH(Location!$C$5&amp;"|"&amp;$A23&amp;"|rent",Market_Data!$K$5:$K$304,0)),IFERROR(INDEX(Market_Data!$D$5:$D$304,MATCH(Location!$C$6&amp;"|"&amp;$A23&amp;"|rent",Market_Data!$K$5:$K$304,0)),IFERROR((INDEX(Org_Overrides!$D$5:$D$304,MATCH(Org_Profile!$C$4&amp;"|"&amp;$A23&amp;"|rent",Org_Overrides!$H$5:$H$304,0))*Location!$C$11),(Use_Library!$AK$23*Location!$C$11)))))</f>
        <v/>
      </c>
      <c r="L23" s="20">
        <f>IFERROR(INDEX(Market_Data!$D$5:$D$304,MATCH(Location!$C$4&amp;"|"&amp;$A23&amp;"|groundrent",Market_Data!$K$5:$K$304,0)),IFERROR(INDEX(Market_Data!$D$5:$D$304,MATCH(Location!$C$5&amp;"|"&amp;$A23&amp;"|groundrent",Market_Data!$K$5:$K$304,0)),IFERROR(INDEX(Market_Data!$D$5:$D$304,MATCH(Location!$C$6&amp;"|"&amp;$A23&amp;"|groundrent",Market_Data!$K$5:$K$304,0)),IFERROR((INDEX(Org_Overrides!$D$5:$D$304,MATCH(Org_Profile!$C$4&amp;"|"&amp;$A23&amp;"|groundrent",Org_Overrides!$H$5:$H$304,0))*Location!$C$11),(Use_Library!$AT$23*Location!$C$11)))))</f>
        <v/>
      </c>
      <c r="M23" s="23">
        <f>IFERROR(INDEX(Market_Data!$D$5:$D$304,MATCH(Location!$C$4&amp;"|"&amp;$A23&amp;"|cap",Market_Data!$K$5:$K$304,0)),IFERROR(INDEX(Market_Data!$D$5:$D$304,MATCH(Location!$C$5&amp;"|"&amp;$A23&amp;"|cap",Market_Data!$K$5:$K$304,0)),IFERROR(INDEX(Market_Data!$D$5:$D$304,MATCH(Location!$C$6&amp;"|"&amp;$A23&amp;"|cap",Market_Data!$K$5:$K$304,0)),IFERROR((INDEX(Org_Overrides!$D$5:$D$304,MATCH(Org_Profile!$C$4&amp;"|"&amp;$A23&amp;"|cap",Org_Overrides!$H$5:$H$304,0))+Location!$C$12),(Use_Library!$AR$23+Location!$C$12)))))</f>
        <v/>
      </c>
      <c r="N23" s="23">
        <f>IFERROR(INDEX(Market_Data!$D$5:$D$304,MATCH(Location!$C$4&amp;"|"&amp;$A23&amp;"|vac",Market_Data!$K$5:$K$304,0)),IFERROR(INDEX(Market_Data!$D$5:$D$304,MATCH(Location!$C$5&amp;"|"&amp;$A23&amp;"|vac",Market_Data!$K$5:$K$304,0)),IFERROR(INDEX(Market_Data!$D$5:$D$304,MATCH(Location!$C$6&amp;"|"&amp;$A23&amp;"|vac",Market_Data!$K$5:$K$304,0)),IFERROR(INDEX(Org_Overrides!$D$5:$D$304,MATCH(Org_Profile!$C$4&amp;"|"&amp;$A23&amp;"|vac",Org_Overrides!$H$5:$H$304,0)),Use_Library!$AM$23))))</f>
        <v/>
      </c>
      <c r="O23" s="24">
        <f>IFERROR(INDEX(Market_Data!$D$5:$D$304,MATCH(Location!$C$4&amp;"|"&amp;$A23&amp;"|absorb",Market_Data!$K$5:$K$304,0)),IFERROR(INDEX(Market_Data!$D$5:$D$304,MATCH(Location!$C$5&amp;"|"&amp;$A23&amp;"|absorb",Market_Data!$K$5:$K$304,0)),IFERROR(INDEX(Market_Data!$D$5:$D$304,MATCH(Location!$C$6&amp;"|"&amp;$A23&amp;"|absorb",Market_Data!$K$5:$K$304,0)),IFERROR(INDEX(Org_Overrides!$D$5:$D$304,MATCH(Org_Profile!$C$4&amp;"|"&amp;$A23&amp;"|absorb",Org_Overrides!$H$5:$H$304,0)),Use_Library!$R$23))))</f>
        <v/>
      </c>
      <c r="P23" s="24">
        <f>IFERROR(INDEX(Market_Data!$D$5:$D$304,MATCH(Location!$C$4&amp;"|"&amp;$A23&amp;"|lotabs",Market_Data!$K$5:$K$304,0)),IFERROR(INDEX(Market_Data!$D$5:$D$304,MATCH(Location!$C$5&amp;"|"&amp;$A23&amp;"|lotabs",Market_Data!$K$5:$K$304,0)),IFERROR(INDEX(Market_Data!$D$5:$D$304,MATCH(Location!$C$6&amp;"|"&amp;$A23&amp;"|lotabs",Market_Data!$K$5:$K$304,0)),IFERROR(INDEX(Org_Overrides!$D$5:$D$304,MATCH(Org_Profile!$C$4&amp;"|"&amp;$A23&amp;"|lotabs",Org_Overrides!$H$5:$H$304,0)),Use_Library!$S$23))))</f>
        <v/>
      </c>
      <c r="Q23" s="2">
        <f>IF(ISNUMBER(MATCH(Org_Profile!$C$4&amp;"|"&amp;$A23&amp;"|vert",Org_Overrides!$H$5:$H$304,0)),"Org",IF(ISNUMBER(MATCH(Location!$C$4&amp;"|"&amp;$A23&amp;"|vert",Market_Data!$K$5:$K$304,0)),"Market-City",IF(ISNUMBER(MATCH(Location!$C$5&amp;"|"&amp;$A23&amp;"|vert",Market_Data!$K$5:$K$304,0)),"Market-County",IF(ISNUMBER(MATCH(Location!$C$6&amp;"|"&amp;$A23&amp;"|vert",Market_Data!$K$5:$K$304,0)),"Market-State","Default x index"))))</f>
        <v/>
      </c>
      <c r="R23" s="2">
        <f>IF(ISNUMBER(MATCH(Org_Profile!$C$4&amp;"|"&amp;$A23&amp;"|entitle",Org_Overrides!$H$5:$H$304,0)),"Org",IF(ISNUMBER(MATCH(Location!$C$4&amp;"|"&amp;$A23&amp;"|entitle",Market_Data!$K$5:$K$304,0)),"Market-City",IF(ISNUMBER(MATCH(Location!$C$5&amp;"|"&amp;$A23&amp;"|entitle",Market_Data!$K$5:$K$304,0)),"Market-County",IF(ISNUMBER(MATCH(Location!$C$6&amp;"|"&amp;$A23&amp;"|entitle",Market_Data!$K$5:$K$304,0)),"Market-State","Default x index"))))</f>
        <v/>
      </c>
      <c r="S23" s="2">
        <f>IF(ISNUMBER(MATCH(Org_Profile!$C$4&amp;"|"&amp;$A23&amp;"|tilc",Org_Overrides!$H$5:$H$304,0)),"Org",IF(ISNUMBER(MATCH(Location!$C$4&amp;"|"&amp;$A23&amp;"|tilc",Market_Data!$K$5:$K$304,0)),"Market-City",IF(ISNUMBER(MATCH(Location!$C$5&amp;"|"&amp;$A23&amp;"|tilc",Market_Data!$K$5:$K$304,0)),"Market-County",IF(ISNUMBER(MATCH(Location!$C$6&amp;"|"&amp;$A23&amp;"|tilc",Market_Data!$K$5:$K$304,0)),"Market-State","Default x index"))))</f>
        <v/>
      </c>
      <c r="T23" s="2">
        <f>IF(ISNUMBER(MATCH(Org_Profile!$C$4&amp;"|"&amp;$A23&amp;"|opex",Org_Overrides!$H$5:$H$304,0)),"Org",IF(ISNUMBER(MATCH(Location!$C$4&amp;"|"&amp;$A23&amp;"|opex",Market_Data!$K$5:$K$304,0)),"Market-City",IF(ISNUMBER(MATCH(Location!$C$5&amp;"|"&amp;$A23&amp;"|opex",Market_Data!$K$5:$K$304,0)),"Market-County",IF(ISNUMBER(MATCH(Location!$C$6&amp;"|"&amp;$A23&amp;"|opex",Market_Data!$K$5:$K$304,0)),"Market-State","Default x index"))))</f>
        <v/>
      </c>
      <c r="U23" s="2">
        <f>IF(ISNUMBER(MATCH(Org_Profile!$C$4&amp;"|"&amp;$A23&amp;"|devmo",Org_Overrides!$H$5:$H$304,0)),"Org",IF(ISNUMBER(MATCH(Location!$C$4&amp;"|"&amp;$A23&amp;"|devmo",Market_Data!$K$5:$K$304,0)),"Market-City",IF(ISNUMBER(MATCH(Location!$C$5&amp;"|"&amp;$A23&amp;"|devmo",Market_Data!$K$5:$K$304,0)),"Market-County",IF(ISNUMBER(MATCH(Location!$C$6&amp;"|"&amp;$A23&amp;"|devmo",Market_Data!$K$5:$K$304,0)),"Market-State","Default"))))</f>
        <v/>
      </c>
      <c r="V23" s="2">
        <f>IF(ISNUMBER(MATCH(Org_Profile!$C$4&amp;"|"&amp;$A23&amp;"|margin",Org_Overrides!$H$5:$H$304,0)),"Org",IF(INDEX(Org_Profile!$C$9:$C$12,MATCH(Use_Library!$C$23,Org_Profile!$B$9:$B$12,0))&lt;&gt;"","Org engine margin","Default"))</f>
        <v/>
      </c>
      <c r="W23" s="2">
        <f>IF(ISNUMBER(MATCH(Location!$C$4&amp;"|"&amp;$A23&amp;"|lotprice",Market_Data!$K$5:$K$304,0)),"Market-City",IF(ISNUMBER(MATCH(Location!$C$5&amp;"|"&amp;$A23&amp;"|lotprice",Market_Data!$K$5:$K$304,0)),"Market-County",IF(ISNUMBER(MATCH(Location!$C$6&amp;"|"&amp;$A23&amp;"|lotprice",Market_Data!$K$5:$K$304,0)),"Market-State",IF(ISNUMBER(MATCH(Org_Profile!$C$4&amp;"|"&amp;$A23&amp;"|lotprice",Org_Overrides!$H$5:$H$304,0)),"Org","Default x index"))))</f>
        <v/>
      </c>
      <c r="X23" s="2">
        <f>IF(ISNUMBER(MATCH(Location!$C$4&amp;"|"&amp;$A23&amp;"|saleprice",Market_Data!$K$5:$K$304,0)),"Market-City",IF(ISNUMBER(MATCH(Location!$C$5&amp;"|"&amp;$A23&amp;"|saleprice",Market_Data!$K$5:$K$304,0)),"Market-County",IF(ISNUMBER(MATCH(Location!$C$6&amp;"|"&amp;$A23&amp;"|saleprice",Market_Data!$K$5:$K$304,0)),"Market-State",IF(ISNUMBER(MATCH(Org_Profile!$C$4&amp;"|"&amp;$A23&amp;"|saleprice",Org_Overrides!$H$5:$H$304,0)),"Org","Default x index"))))</f>
        <v/>
      </c>
      <c r="Y23" s="2">
        <f>IF(ISNUMBER(MATCH(Location!$C$4&amp;"|"&amp;$A23&amp;"|landac",Market_Data!$K$5:$K$304,0)),"Market-City",IF(ISNUMBER(MATCH(Location!$C$5&amp;"|"&amp;$A23&amp;"|landac",Market_Data!$K$5:$K$304,0)),"Market-County",IF(ISNUMBER(MATCH(Location!$C$6&amp;"|"&amp;$A23&amp;"|landac",Market_Data!$K$5:$K$304,0)),"Market-State",IF(ISNUMBER(MATCH(Org_Profile!$C$4&amp;"|"&amp;$A23&amp;"|landac",Org_Overrides!$H$5:$H$304,0)),"Org","Default x index"))))</f>
        <v/>
      </c>
      <c r="Z23" s="2">
        <f>IF(ISNUMBER(MATCH(Location!$C$4&amp;"|"&amp;$A23&amp;"|rent",Market_Data!$K$5:$K$304,0)),"Market-City",IF(ISNUMBER(MATCH(Location!$C$5&amp;"|"&amp;$A23&amp;"|rent",Market_Data!$K$5:$K$304,0)),"Market-County",IF(ISNUMBER(MATCH(Location!$C$6&amp;"|"&amp;$A23&amp;"|rent",Market_Data!$K$5:$K$304,0)),"Market-State",IF(ISNUMBER(MATCH(Org_Profile!$C$4&amp;"|"&amp;$A23&amp;"|rent",Org_Overrides!$H$5:$H$304,0)),"Org","Default x index"))))</f>
        <v/>
      </c>
      <c r="AA23" s="2">
        <f>IF(ISNUMBER(MATCH(Location!$C$4&amp;"|"&amp;$A23&amp;"|groundrent",Market_Data!$K$5:$K$304,0)),"Market-City",IF(ISNUMBER(MATCH(Location!$C$5&amp;"|"&amp;$A23&amp;"|groundrent",Market_Data!$K$5:$K$304,0)),"Market-County",IF(ISNUMBER(MATCH(Location!$C$6&amp;"|"&amp;$A23&amp;"|groundrent",Market_Data!$K$5:$K$304,0)),"Market-State",IF(ISNUMBER(MATCH(Org_Profile!$C$4&amp;"|"&amp;$A23&amp;"|groundrent",Org_Overrides!$H$5:$H$304,0)),"Org","Default x index"))))</f>
        <v/>
      </c>
      <c r="AB23" s="2">
        <f>IF(ISNUMBER(MATCH(Location!$C$4&amp;"|"&amp;$A23&amp;"|cap",Market_Data!$K$5:$K$304,0)),"Market-City",IF(ISNUMBER(MATCH(Location!$C$5&amp;"|"&amp;$A23&amp;"|cap",Market_Data!$K$5:$K$304,0)),"Market-County",IF(ISNUMBER(MATCH(Location!$C$6&amp;"|"&amp;$A23&amp;"|cap",Market_Data!$K$5:$K$304,0)),"Market-State",IF(ISNUMBER(MATCH(Org_Profile!$C$4&amp;"|"&amp;$A23&amp;"|cap",Org_Overrides!$H$5:$H$304,0)),"Org","Default x index"))))</f>
        <v/>
      </c>
      <c r="AC23" s="2">
        <f>IF(ISNUMBER(MATCH(Location!$C$4&amp;"|"&amp;$A23&amp;"|vac",Market_Data!$K$5:$K$304,0)),"Market-City",IF(ISNUMBER(MATCH(Location!$C$5&amp;"|"&amp;$A23&amp;"|vac",Market_Data!$K$5:$K$304,0)),"Market-County",IF(ISNUMBER(MATCH(Location!$C$6&amp;"|"&amp;$A23&amp;"|vac",Market_Data!$K$5:$K$304,0)),"Market-State",IF(ISNUMBER(MATCH(Org_Profile!$C$4&amp;"|"&amp;$A23&amp;"|vac",Org_Overrides!$H$5:$H$304,0)),"Org","Default"))))</f>
        <v/>
      </c>
      <c r="AD23" s="2">
        <f>IF(ISNUMBER(MATCH(Location!$C$4&amp;"|"&amp;$A23&amp;"|absorb",Market_Data!$K$5:$K$304,0)),"Market-City",IF(ISNUMBER(MATCH(Location!$C$5&amp;"|"&amp;$A23&amp;"|absorb",Market_Data!$K$5:$K$304,0)),"Market-County",IF(ISNUMBER(MATCH(Location!$C$6&amp;"|"&amp;$A23&amp;"|absorb",Market_Data!$K$5:$K$304,0)),"Market-State",IF(ISNUMBER(MATCH(Org_Profile!$C$4&amp;"|"&amp;$A23&amp;"|absorb",Org_Overrides!$H$5:$H$304,0)),"Org","Default"))))</f>
        <v/>
      </c>
      <c r="AE23" s="2">
        <f>IF(ISNUMBER(MATCH(Location!$C$4&amp;"|"&amp;$A23&amp;"|lotabs",Market_Data!$K$5:$K$304,0)),"Market-City",IF(ISNUMBER(MATCH(Location!$C$5&amp;"|"&amp;$A23&amp;"|lotabs",Market_Data!$K$5:$K$304,0)),"Market-County",IF(ISNUMBER(MATCH(Location!$C$6&amp;"|"&amp;$A23&amp;"|lotabs",Market_Data!$K$5:$K$304,0)),"Market-State",IF(ISNUMBER(MATCH(Org_Profile!$C$4&amp;"|"&amp;$A23&amp;"|lotabs",Org_Overrides!$H$5:$H$304,0)),"Org","Default"))))</f>
        <v/>
      </c>
      <c r="AF23" s="15">
        <f>15-COUNTIF(Q23:AE23,"Default*")</f>
        <v/>
      </c>
    </row>
    <row r="24">
      <c r="A24" s="4">
        <f>Use_Library!$A$24</f>
        <v/>
      </c>
      <c r="B24" s="20">
        <f>IFERROR((INDEX(Org_Overrides!$D$5:$D$304,MATCH(Org_Profile!$C$4&amp;"|"&amp;$A24&amp;"|vert",Org_Overrides!$H$5:$H$304,0))*Location!$C$9),IFERROR(INDEX(Market_Data!$D$5:$D$304,MATCH(Location!$C$4&amp;"|"&amp;$A24&amp;"|vert",Market_Data!$K$5:$K$304,0)),IFERROR(INDEX(Market_Data!$D$5:$D$304,MATCH(Location!$C$5&amp;"|"&amp;$A24&amp;"|vert",Market_Data!$K$5:$K$304,0)),IFERROR(INDEX(Market_Data!$D$5:$D$304,MATCH(Location!$C$6&amp;"|"&amp;$A24&amp;"|vert",Market_Data!$K$5:$K$304,0)),(Use_Library!$AF$24*Location!$C$9)))))</f>
        <v/>
      </c>
      <c r="C24" s="20">
        <f>IFERROR((INDEX(Org_Overrides!$D$5:$D$304,MATCH(Org_Profile!$C$4&amp;"|"&amp;$A24&amp;"|entitle",Org_Overrides!$H$5:$H$304,0))*Location!$C$9),IFERROR(INDEX(Market_Data!$D$5:$D$304,MATCH(Location!$C$4&amp;"|"&amp;$A24&amp;"|entitle",Market_Data!$K$5:$K$304,0)),IFERROR(INDEX(Market_Data!$D$5:$D$304,MATCH(Location!$C$5&amp;"|"&amp;$A24&amp;"|entitle",Market_Data!$K$5:$K$304,0)),IFERROR(INDEX(Market_Data!$D$5:$D$304,MATCH(Location!$C$6&amp;"|"&amp;$A24&amp;"|entitle",Market_Data!$K$5:$K$304,0)),(Use_Library!$AE$24*Location!$C$9)))))</f>
        <v/>
      </c>
      <c r="D24" s="20">
        <f>IFERROR((INDEX(Org_Overrides!$D$5:$D$304,MATCH(Org_Profile!$C$4&amp;"|"&amp;$A24&amp;"|tilc",Org_Overrides!$H$5:$H$304,0))*Location!$C$9),IFERROR(INDEX(Market_Data!$D$5:$D$304,MATCH(Location!$C$4&amp;"|"&amp;$A24&amp;"|tilc",Market_Data!$K$5:$K$304,0)),IFERROR(INDEX(Market_Data!$D$5:$D$304,MATCH(Location!$C$5&amp;"|"&amp;$A24&amp;"|tilc",Market_Data!$K$5:$K$304,0)),IFERROR(INDEX(Market_Data!$D$5:$D$304,MATCH(Location!$C$6&amp;"|"&amp;$A24&amp;"|tilc",Market_Data!$K$5:$K$304,0)),(Use_Library!$AG$24*Location!$C$9)))))</f>
        <v/>
      </c>
      <c r="E24" s="20">
        <f>IFERROR((INDEX(Org_Overrides!$D$5:$D$304,MATCH(Org_Profile!$C$4&amp;"|"&amp;$A24&amp;"|opex",Org_Overrides!$H$5:$H$304,0))*Location!$C$13),IFERROR(INDEX(Market_Data!$D$5:$D$304,MATCH(Location!$C$4&amp;"|"&amp;$A24&amp;"|opex",Market_Data!$K$5:$K$304,0)),IFERROR(INDEX(Market_Data!$D$5:$D$304,MATCH(Location!$C$5&amp;"|"&amp;$A24&amp;"|opex",Market_Data!$K$5:$K$304,0)),IFERROR(INDEX(Market_Data!$D$5:$D$304,MATCH(Location!$C$6&amp;"|"&amp;$A24&amp;"|opex",Market_Data!$K$5:$K$304,0)),(Use_Library!$AN$24*Location!$C$13)))))</f>
        <v/>
      </c>
      <c r="F24" s="9">
        <f>IFERROR(INDEX(Org_Overrides!$D$5:$D$304,MATCH(Org_Profile!$C$4&amp;"|"&amp;$A24&amp;"|devmo",Org_Overrides!$H$5:$H$304,0)),IFERROR(INDEX(Market_Data!$D$5:$D$304,MATCH(Location!$C$4&amp;"|"&amp;$A24&amp;"|devmo",Market_Data!$K$5:$K$304,0)),IFERROR(INDEX(Market_Data!$D$5:$D$304,MATCH(Location!$C$5&amp;"|"&amp;$A24&amp;"|devmo",Market_Data!$K$5:$K$304,0)),IFERROR(INDEX(Market_Data!$D$5:$D$304,MATCH(Location!$C$6&amp;"|"&amp;$A24&amp;"|devmo",Market_Data!$K$5:$K$304,0)),Use_Library!$AH$24))))</f>
        <v/>
      </c>
      <c r="G24" s="23">
        <f>IFERROR(INDEX(Org_Overrides!$D$5:$D$304,MATCH(Org_Profile!$C$4&amp;"|"&amp;$A24&amp;"|margin",Org_Overrides!$H$5:$H$304,0)),IF(INDEX(Org_Profile!$C$9:$C$12,MATCH(Use_Library!$C$24,Org_Profile!$B$9:$B$12,0))&lt;&gt;"",INDEX(Org_Profile!$C$9:$C$12,MATCH(Use_Library!$C$24,Org_Profile!$B$9:$B$12,0)),Use_Library!$AU$24))</f>
        <v/>
      </c>
      <c r="H24" s="20">
        <f>IFERROR(INDEX(Market_Data!$D$5:$D$304,MATCH(Location!$C$4&amp;"|"&amp;$A24&amp;"|lotprice",Market_Data!$K$5:$K$304,0)),IFERROR(INDEX(Market_Data!$D$5:$D$304,MATCH(Location!$C$5&amp;"|"&amp;$A24&amp;"|lotprice",Market_Data!$K$5:$K$304,0)),IFERROR(INDEX(Market_Data!$D$5:$D$304,MATCH(Location!$C$6&amp;"|"&amp;$A24&amp;"|lotprice",Market_Data!$K$5:$K$304,0)),IFERROR((INDEX(Org_Overrides!$D$5:$D$304,MATCH(Org_Profile!$C$4&amp;"|"&amp;$A24&amp;"|lotprice",Org_Overrides!$H$5:$H$304,0))*Location!$C$10),(Use_Library!$AI$24*Location!$C$10)))))</f>
        <v/>
      </c>
      <c r="I24" s="20">
        <f>IFERROR(INDEX(Market_Data!$D$5:$D$304,MATCH(Location!$C$4&amp;"|"&amp;$A24&amp;"|saleprice",Market_Data!$K$5:$K$304,0)),IFERROR(INDEX(Market_Data!$D$5:$D$304,MATCH(Location!$C$5&amp;"|"&amp;$A24&amp;"|saleprice",Market_Data!$K$5:$K$304,0)),IFERROR(INDEX(Market_Data!$D$5:$D$304,MATCH(Location!$C$6&amp;"|"&amp;$A24&amp;"|saleprice",Market_Data!$K$5:$K$304,0)),IFERROR((INDEX(Org_Overrides!$D$5:$D$304,MATCH(Org_Profile!$C$4&amp;"|"&amp;$A24&amp;"|saleprice",Org_Overrides!$H$5:$H$304,0))*Location!$C$10),(Use_Library!$AJ$24*Location!$C$10)))))</f>
        <v/>
      </c>
      <c r="J24" s="20">
        <f>IFERROR(INDEX(Market_Data!$D$5:$D$304,MATCH(Location!$C$4&amp;"|"&amp;$A24&amp;"|landac",Market_Data!$K$5:$K$304,0)),IFERROR(INDEX(Market_Data!$D$5:$D$304,MATCH(Location!$C$5&amp;"|"&amp;$A24&amp;"|landac",Market_Data!$K$5:$K$304,0)),IFERROR(INDEX(Market_Data!$D$5:$D$304,MATCH(Location!$C$6&amp;"|"&amp;$A24&amp;"|landac",Market_Data!$K$5:$K$304,0)),IFERROR((INDEX(Org_Overrides!$D$5:$D$304,MATCH(Org_Profile!$C$4&amp;"|"&amp;$A24&amp;"|landac",Org_Overrides!$H$5:$H$304,0))*Location!$C$10),(Use_Library!$AS$24*Location!$C$10)))))</f>
        <v/>
      </c>
      <c r="K24" s="20">
        <f>IFERROR(INDEX(Market_Data!$D$5:$D$304,MATCH(Location!$C$4&amp;"|"&amp;$A24&amp;"|rent",Market_Data!$K$5:$K$304,0)),IFERROR(INDEX(Market_Data!$D$5:$D$304,MATCH(Location!$C$5&amp;"|"&amp;$A24&amp;"|rent",Market_Data!$K$5:$K$304,0)),IFERROR(INDEX(Market_Data!$D$5:$D$304,MATCH(Location!$C$6&amp;"|"&amp;$A24&amp;"|rent",Market_Data!$K$5:$K$304,0)),IFERROR((INDEX(Org_Overrides!$D$5:$D$304,MATCH(Org_Profile!$C$4&amp;"|"&amp;$A24&amp;"|rent",Org_Overrides!$H$5:$H$304,0))*Location!$C$11),(Use_Library!$AK$24*Location!$C$11)))))</f>
        <v/>
      </c>
      <c r="L24" s="20">
        <f>IFERROR(INDEX(Market_Data!$D$5:$D$304,MATCH(Location!$C$4&amp;"|"&amp;$A24&amp;"|groundrent",Market_Data!$K$5:$K$304,0)),IFERROR(INDEX(Market_Data!$D$5:$D$304,MATCH(Location!$C$5&amp;"|"&amp;$A24&amp;"|groundrent",Market_Data!$K$5:$K$304,0)),IFERROR(INDEX(Market_Data!$D$5:$D$304,MATCH(Location!$C$6&amp;"|"&amp;$A24&amp;"|groundrent",Market_Data!$K$5:$K$304,0)),IFERROR((INDEX(Org_Overrides!$D$5:$D$304,MATCH(Org_Profile!$C$4&amp;"|"&amp;$A24&amp;"|groundrent",Org_Overrides!$H$5:$H$304,0))*Location!$C$11),(Use_Library!$AT$24*Location!$C$11)))))</f>
        <v/>
      </c>
      <c r="M24" s="23">
        <f>IFERROR(INDEX(Market_Data!$D$5:$D$304,MATCH(Location!$C$4&amp;"|"&amp;$A24&amp;"|cap",Market_Data!$K$5:$K$304,0)),IFERROR(INDEX(Market_Data!$D$5:$D$304,MATCH(Location!$C$5&amp;"|"&amp;$A24&amp;"|cap",Market_Data!$K$5:$K$304,0)),IFERROR(INDEX(Market_Data!$D$5:$D$304,MATCH(Location!$C$6&amp;"|"&amp;$A24&amp;"|cap",Market_Data!$K$5:$K$304,0)),IFERROR((INDEX(Org_Overrides!$D$5:$D$304,MATCH(Org_Profile!$C$4&amp;"|"&amp;$A24&amp;"|cap",Org_Overrides!$H$5:$H$304,0))+Location!$C$12),(Use_Library!$AR$24+Location!$C$12)))))</f>
        <v/>
      </c>
      <c r="N24" s="23">
        <f>IFERROR(INDEX(Market_Data!$D$5:$D$304,MATCH(Location!$C$4&amp;"|"&amp;$A24&amp;"|vac",Market_Data!$K$5:$K$304,0)),IFERROR(INDEX(Market_Data!$D$5:$D$304,MATCH(Location!$C$5&amp;"|"&amp;$A24&amp;"|vac",Market_Data!$K$5:$K$304,0)),IFERROR(INDEX(Market_Data!$D$5:$D$304,MATCH(Location!$C$6&amp;"|"&amp;$A24&amp;"|vac",Market_Data!$K$5:$K$304,0)),IFERROR(INDEX(Org_Overrides!$D$5:$D$304,MATCH(Org_Profile!$C$4&amp;"|"&amp;$A24&amp;"|vac",Org_Overrides!$H$5:$H$304,0)),Use_Library!$AM$24))))</f>
        <v/>
      </c>
      <c r="O24" s="24">
        <f>IFERROR(INDEX(Market_Data!$D$5:$D$304,MATCH(Location!$C$4&amp;"|"&amp;$A24&amp;"|absorb",Market_Data!$K$5:$K$304,0)),IFERROR(INDEX(Market_Data!$D$5:$D$304,MATCH(Location!$C$5&amp;"|"&amp;$A24&amp;"|absorb",Market_Data!$K$5:$K$304,0)),IFERROR(INDEX(Market_Data!$D$5:$D$304,MATCH(Location!$C$6&amp;"|"&amp;$A24&amp;"|absorb",Market_Data!$K$5:$K$304,0)),IFERROR(INDEX(Org_Overrides!$D$5:$D$304,MATCH(Org_Profile!$C$4&amp;"|"&amp;$A24&amp;"|absorb",Org_Overrides!$H$5:$H$304,0)),Use_Library!$R$24))))</f>
        <v/>
      </c>
      <c r="P24" s="24">
        <f>IFERROR(INDEX(Market_Data!$D$5:$D$304,MATCH(Location!$C$4&amp;"|"&amp;$A24&amp;"|lotabs",Market_Data!$K$5:$K$304,0)),IFERROR(INDEX(Market_Data!$D$5:$D$304,MATCH(Location!$C$5&amp;"|"&amp;$A24&amp;"|lotabs",Market_Data!$K$5:$K$304,0)),IFERROR(INDEX(Market_Data!$D$5:$D$304,MATCH(Location!$C$6&amp;"|"&amp;$A24&amp;"|lotabs",Market_Data!$K$5:$K$304,0)),IFERROR(INDEX(Org_Overrides!$D$5:$D$304,MATCH(Org_Profile!$C$4&amp;"|"&amp;$A24&amp;"|lotabs",Org_Overrides!$H$5:$H$304,0)),Use_Library!$S$24))))</f>
        <v/>
      </c>
      <c r="Q24" s="2">
        <f>IF(ISNUMBER(MATCH(Org_Profile!$C$4&amp;"|"&amp;$A24&amp;"|vert",Org_Overrides!$H$5:$H$304,0)),"Org",IF(ISNUMBER(MATCH(Location!$C$4&amp;"|"&amp;$A24&amp;"|vert",Market_Data!$K$5:$K$304,0)),"Market-City",IF(ISNUMBER(MATCH(Location!$C$5&amp;"|"&amp;$A24&amp;"|vert",Market_Data!$K$5:$K$304,0)),"Market-County",IF(ISNUMBER(MATCH(Location!$C$6&amp;"|"&amp;$A24&amp;"|vert",Market_Data!$K$5:$K$304,0)),"Market-State","Default x index"))))</f>
        <v/>
      </c>
      <c r="R24" s="2">
        <f>IF(ISNUMBER(MATCH(Org_Profile!$C$4&amp;"|"&amp;$A24&amp;"|entitle",Org_Overrides!$H$5:$H$304,0)),"Org",IF(ISNUMBER(MATCH(Location!$C$4&amp;"|"&amp;$A24&amp;"|entitle",Market_Data!$K$5:$K$304,0)),"Market-City",IF(ISNUMBER(MATCH(Location!$C$5&amp;"|"&amp;$A24&amp;"|entitle",Market_Data!$K$5:$K$304,0)),"Market-County",IF(ISNUMBER(MATCH(Location!$C$6&amp;"|"&amp;$A24&amp;"|entitle",Market_Data!$K$5:$K$304,0)),"Market-State","Default x index"))))</f>
        <v/>
      </c>
      <c r="S24" s="2">
        <f>IF(ISNUMBER(MATCH(Org_Profile!$C$4&amp;"|"&amp;$A24&amp;"|tilc",Org_Overrides!$H$5:$H$304,0)),"Org",IF(ISNUMBER(MATCH(Location!$C$4&amp;"|"&amp;$A24&amp;"|tilc",Market_Data!$K$5:$K$304,0)),"Market-City",IF(ISNUMBER(MATCH(Location!$C$5&amp;"|"&amp;$A24&amp;"|tilc",Market_Data!$K$5:$K$304,0)),"Market-County",IF(ISNUMBER(MATCH(Location!$C$6&amp;"|"&amp;$A24&amp;"|tilc",Market_Data!$K$5:$K$304,0)),"Market-State","Default x index"))))</f>
        <v/>
      </c>
      <c r="T24" s="2">
        <f>IF(ISNUMBER(MATCH(Org_Profile!$C$4&amp;"|"&amp;$A24&amp;"|opex",Org_Overrides!$H$5:$H$304,0)),"Org",IF(ISNUMBER(MATCH(Location!$C$4&amp;"|"&amp;$A24&amp;"|opex",Market_Data!$K$5:$K$304,0)),"Market-City",IF(ISNUMBER(MATCH(Location!$C$5&amp;"|"&amp;$A24&amp;"|opex",Market_Data!$K$5:$K$304,0)),"Market-County",IF(ISNUMBER(MATCH(Location!$C$6&amp;"|"&amp;$A24&amp;"|opex",Market_Data!$K$5:$K$304,0)),"Market-State","Default x index"))))</f>
        <v/>
      </c>
      <c r="U24" s="2">
        <f>IF(ISNUMBER(MATCH(Org_Profile!$C$4&amp;"|"&amp;$A24&amp;"|devmo",Org_Overrides!$H$5:$H$304,0)),"Org",IF(ISNUMBER(MATCH(Location!$C$4&amp;"|"&amp;$A24&amp;"|devmo",Market_Data!$K$5:$K$304,0)),"Market-City",IF(ISNUMBER(MATCH(Location!$C$5&amp;"|"&amp;$A24&amp;"|devmo",Market_Data!$K$5:$K$304,0)),"Market-County",IF(ISNUMBER(MATCH(Location!$C$6&amp;"|"&amp;$A24&amp;"|devmo",Market_Data!$K$5:$K$304,0)),"Market-State","Default"))))</f>
        <v/>
      </c>
      <c r="V24" s="2">
        <f>IF(ISNUMBER(MATCH(Org_Profile!$C$4&amp;"|"&amp;$A24&amp;"|margin",Org_Overrides!$H$5:$H$304,0)),"Org",IF(INDEX(Org_Profile!$C$9:$C$12,MATCH(Use_Library!$C$24,Org_Profile!$B$9:$B$12,0))&lt;&gt;"","Org engine margin","Default"))</f>
        <v/>
      </c>
      <c r="W24" s="2">
        <f>IF(ISNUMBER(MATCH(Location!$C$4&amp;"|"&amp;$A24&amp;"|lotprice",Market_Data!$K$5:$K$304,0)),"Market-City",IF(ISNUMBER(MATCH(Location!$C$5&amp;"|"&amp;$A24&amp;"|lotprice",Market_Data!$K$5:$K$304,0)),"Market-County",IF(ISNUMBER(MATCH(Location!$C$6&amp;"|"&amp;$A24&amp;"|lotprice",Market_Data!$K$5:$K$304,0)),"Market-State",IF(ISNUMBER(MATCH(Org_Profile!$C$4&amp;"|"&amp;$A24&amp;"|lotprice",Org_Overrides!$H$5:$H$304,0)),"Org","Default x index"))))</f>
        <v/>
      </c>
      <c r="X24" s="2">
        <f>IF(ISNUMBER(MATCH(Location!$C$4&amp;"|"&amp;$A24&amp;"|saleprice",Market_Data!$K$5:$K$304,0)),"Market-City",IF(ISNUMBER(MATCH(Location!$C$5&amp;"|"&amp;$A24&amp;"|saleprice",Market_Data!$K$5:$K$304,0)),"Market-County",IF(ISNUMBER(MATCH(Location!$C$6&amp;"|"&amp;$A24&amp;"|saleprice",Market_Data!$K$5:$K$304,0)),"Market-State",IF(ISNUMBER(MATCH(Org_Profile!$C$4&amp;"|"&amp;$A24&amp;"|saleprice",Org_Overrides!$H$5:$H$304,0)),"Org","Default x index"))))</f>
        <v/>
      </c>
      <c r="Y24" s="2">
        <f>IF(ISNUMBER(MATCH(Location!$C$4&amp;"|"&amp;$A24&amp;"|landac",Market_Data!$K$5:$K$304,0)),"Market-City",IF(ISNUMBER(MATCH(Location!$C$5&amp;"|"&amp;$A24&amp;"|landac",Market_Data!$K$5:$K$304,0)),"Market-County",IF(ISNUMBER(MATCH(Location!$C$6&amp;"|"&amp;$A24&amp;"|landac",Market_Data!$K$5:$K$304,0)),"Market-State",IF(ISNUMBER(MATCH(Org_Profile!$C$4&amp;"|"&amp;$A24&amp;"|landac",Org_Overrides!$H$5:$H$304,0)),"Org","Default x index"))))</f>
        <v/>
      </c>
      <c r="Z24" s="2">
        <f>IF(ISNUMBER(MATCH(Location!$C$4&amp;"|"&amp;$A24&amp;"|rent",Market_Data!$K$5:$K$304,0)),"Market-City",IF(ISNUMBER(MATCH(Location!$C$5&amp;"|"&amp;$A24&amp;"|rent",Market_Data!$K$5:$K$304,0)),"Market-County",IF(ISNUMBER(MATCH(Location!$C$6&amp;"|"&amp;$A24&amp;"|rent",Market_Data!$K$5:$K$304,0)),"Market-State",IF(ISNUMBER(MATCH(Org_Profile!$C$4&amp;"|"&amp;$A24&amp;"|rent",Org_Overrides!$H$5:$H$304,0)),"Org","Default x index"))))</f>
        <v/>
      </c>
      <c r="AA24" s="2">
        <f>IF(ISNUMBER(MATCH(Location!$C$4&amp;"|"&amp;$A24&amp;"|groundrent",Market_Data!$K$5:$K$304,0)),"Market-City",IF(ISNUMBER(MATCH(Location!$C$5&amp;"|"&amp;$A24&amp;"|groundrent",Market_Data!$K$5:$K$304,0)),"Market-County",IF(ISNUMBER(MATCH(Location!$C$6&amp;"|"&amp;$A24&amp;"|groundrent",Market_Data!$K$5:$K$304,0)),"Market-State",IF(ISNUMBER(MATCH(Org_Profile!$C$4&amp;"|"&amp;$A24&amp;"|groundrent",Org_Overrides!$H$5:$H$304,0)),"Org","Default x index"))))</f>
        <v/>
      </c>
      <c r="AB24" s="2">
        <f>IF(ISNUMBER(MATCH(Location!$C$4&amp;"|"&amp;$A24&amp;"|cap",Market_Data!$K$5:$K$304,0)),"Market-City",IF(ISNUMBER(MATCH(Location!$C$5&amp;"|"&amp;$A24&amp;"|cap",Market_Data!$K$5:$K$304,0)),"Market-County",IF(ISNUMBER(MATCH(Location!$C$6&amp;"|"&amp;$A24&amp;"|cap",Market_Data!$K$5:$K$304,0)),"Market-State",IF(ISNUMBER(MATCH(Org_Profile!$C$4&amp;"|"&amp;$A24&amp;"|cap",Org_Overrides!$H$5:$H$304,0)),"Org","Default x index"))))</f>
        <v/>
      </c>
      <c r="AC24" s="2">
        <f>IF(ISNUMBER(MATCH(Location!$C$4&amp;"|"&amp;$A24&amp;"|vac",Market_Data!$K$5:$K$304,0)),"Market-City",IF(ISNUMBER(MATCH(Location!$C$5&amp;"|"&amp;$A24&amp;"|vac",Market_Data!$K$5:$K$304,0)),"Market-County",IF(ISNUMBER(MATCH(Location!$C$6&amp;"|"&amp;$A24&amp;"|vac",Market_Data!$K$5:$K$304,0)),"Market-State",IF(ISNUMBER(MATCH(Org_Profile!$C$4&amp;"|"&amp;$A24&amp;"|vac",Org_Overrides!$H$5:$H$304,0)),"Org","Default"))))</f>
        <v/>
      </c>
      <c r="AD24" s="2">
        <f>IF(ISNUMBER(MATCH(Location!$C$4&amp;"|"&amp;$A24&amp;"|absorb",Market_Data!$K$5:$K$304,0)),"Market-City",IF(ISNUMBER(MATCH(Location!$C$5&amp;"|"&amp;$A24&amp;"|absorb",Market_Data!$K$5:$K$304,0)),"Market-County",IF(ISNUMBER(MATCH(Location!$C$6&amp;"|"&amp;$A24&amp;"|absorb",Market_Data!$K$5:$K$304,0)),"Market-State",IF(ISNUMBER(MATCH(Org_Profile!$C$4&amp;"|"&amp;$A24&amp;"|absorb",Org_Overrides!$H$5:$H$304,0)),"Org","Default"))))</f>
        <v/>
      </c>
      <c r="AE24" s="2">
        <f>IF(ISNUMBER(MATCH(Location!$C$4&amp;"|"&amp;$A24&amp;"|lotabs",Market_Data!$K$5:$K$304,0)),"Market-City",IF(ISNUMBER(MATCH(Location!$C$5&amp;"|"&amp;$A24&amp;"|lotabs",Market_Data!$K$5:$K$304,0)),"Market-County",IF(ISNUMBER(MATCH(Location!$C$6&amp;"|"&amp;$A24&amp;"|lotabs",Market_Data!$K$5:$K$304,0)),"Market-State",IF(ISNUMBER(MATCH(Org_Profile!$C$4&amp;"|"&amp;$A24&amp;"|lotabs",Org_Overrides!$H$5:$H$304,0)),"Org","Default"))))</f>
        <v/>
      </c>
      <c r="AF24" s="15">
        <f>15-COUNTIF(Q24:AE24,"Default*")</f>
        <v/>
      </c>
    </row>
    <row r="25">
      <c r="A25" s="4">
        <f>Use_Library!$A$25</f>
        <v/>
      </c>
      <c r="B25" s="20">
        <f>IFERROR((INDEX(Org_Overrides!$D$5:$D$304,MATCH(Org_Profile!$C$4&amp;"|"&amp;$A25&amp;"|vert",Org_Overrides!$H$5:$H$304,0))*Location!$C$9),IFERROR(INDEX(Market_Data!$D$5:$D$304,MATCH(Location!$C$4&amp;"|"&amp;$A25&amp;"|vert",Market_Data!$K$5:$K$304,0)),IFERROR(INDEX(Market_Data!$D$5:$D$304,MATCH(Location!$C$5&amp;"|"&amp;$A25&amp;"|vert",Market_Data!$K$5:$K$304,0)),IFERROR(INDEX(Market_Data!$D$5:$D$304,MATCH(Location!$C$6&amp;"|"&amp;$A25&amp;"|vert",Market_Data!$K$5:$K$304,0)),(Use_Library!$AF$25*Location!$C$9)))))</f>
        <v/>
      </c>
      <c r="C25" s="20">
        <f>IFERROR((INDEX(Org_Overrides!$D$5:$D$304,MATCH(Org_Profile!$C$4&amp;"|"&amp;$A25&amp;"|entitle",Org_Overrides!$H$5:$H$304,0))*Location!$C$9),IFERROR(INDEX(Market_Data!$D$5:$D$304,MATCH(Location!$C$4&amp;"|"&amp;$A25&amp;"|entitle",Market_Data!$K$5:$K$304,0)),IFERROR(INDEX(Market_Data!$D$5:$D$304,MATCH(Location!$C$5&amp;"|"&amp;$A25&amp;"|entitle",Market_Data!$K$5:$K$304,0)),IFERROR(INDEX(Market_Data!$D$5:$D$304,MATCH(Location!$C$6&amp;"|"&amp;$A25&amp;"|entitle",Market_Data!$K$5:$K$304,0)),(Use_Library!$AE$25*Location!$C$9)))))</f>
        <v/>
      </c>
      <c r="D25" s="20">
        <f>IFERROR((INDEX(Org_Overrides!$D$5:$D$304,MATCH(Org_Profile!$C$4&amp;"|"&amp;$A25&amp;"|tilc",Org_Overrides!$H$5:$H$304,0))*Location!$C$9),IFERROR(INDEX(Market_Data!$D$5:$D$304,MATCH(Location!$C$4&amp;"|"&amp;$A25&amp;"|tilc",Market_Data!$K$5:$K$304,0)),IFERROR(INDEX(Market_Data!$D$5:$D$304,MATCH(Location!$C$5&amp;"|"&amp;$A25&amp;"|tilc",Market_Data!$K$5:$K$304,0)),IFERROR(INDEX(Market_Data!$D$5:$D$304,MATCH(Location!$C$6&amp;"|"&amp;$A25&amp;"|tilc",Market_Data!$K$5:$K$304,0)),(Use_Library!$AG$25*Location!$C$9)))))</f>
        <v/>
      </c>
      <c r="E25" s="20">
        <f>IFERROR((INDEX(Org_Overrides!$D$5:$D$304,MATCH(Org_Profile!$C$4&amp;"|"&amp;$A25&amp;"|opex",Org_Overrides!$H$5:$H$304,0))*Location!$C$13),IFERROR(INDEX(Market_Data!$D$5:$D$304,MATCH(Location!$C$4&amp;"|"&amp;$A25&amp;"|opex",Market_Data!$K$5:$K$304,0)),IFERROR(INDEX(Market_Data!$D$5:$D$304,MATCH(Location!$C$5&amp;"|"&amp;$A25&amp;"|opex",Market_Data!$K$5:$K$304,0)),IFERROR(INDEX(Market_Data!$D$5:$D$304,MATCH(Location!$C$6&amp;"|"&amp;$A25&amp;"|opex",Market_Data!$K$5:$K$304,0)),(Use_Library!$AN$25*Location!$C$13)))))</f>
        <v/>
      </c>
      <c r="F25" s="9">
        <f>IFERROR(INDEX(Org_Overrides!$D$5:$D$304,MATCH(Org_Profile!$C$4&amp;"|"&amp;$A25&amp;"|devmo",Org_Overrides!$H$5:$H$304,0)),IFERROR(INDEX(Market_Data!$D$5:$D$304,MATCH(Location!$C$4&amp;"|"&amp;$A25&amp;"|devmo",Market_Data!$K$5:$K$304,0)),IFERROR(INDEX(Market_Data!$D$5:$D$304,MATCH(Location!$C$5&amp;"|"&amp;$A25&amp;"|devmo",Market_Data!$K$5:$K$304,0)),IFERROR(INDEX(Market_Data!$D$5:$D$304,MATCH(Location!$C$6&amp;"|"&amp;$A25&amp;"|devmo",Market_Data!$K$5:$K$304,0)),Use_Library!$AH$25))))</f>
        <v/>
      </c>
      <c r="G25" s="23">
        <f>IFERROR(INDEX(Org_Overrides!$D$5:$D$304,MATCH(Org_Profile!$C$4&amp;"|"&amp;$A25&amp;"|margin",Org_Overrides!$H$5:$H$304,0)),IF(INDEX(Org_Profile!$C$9:$C$12,MATCH(Use_Library!$C$25,Org_Profile!$B$9:$B$12,0))&lt;&gt;"",INDEX(Org_Profile!$C$9:$C$12,MATCH(Use_Library!$C$25,Org_Profile!$B$9:$B$12,0)),Use_Library!$AU$25))</f>
        <v/>
      </c>
      <c r="H25" s="20">
        <f>IFERROR(INDEX(Market_Data!$D$5:$D$304,MATCH(Location!$C$4&amp;"|"&amp;$A25&amp;"|lotprice",Market_Data!$K$5:$K$304,0)),IFERROR(INDEX(Market_Data!$D$5:$D$304,MATCH(Location!$C$5&amp;"|"&amp;$A25&amp;"|lotprice",Market_Data!$K$5:$K$304,0)),IFERROR(INDEX(Market_Data!$D$5:$D$304,MATCH(Location!$C$6&amp;"|"&amp;$A25&amp;"|lotprice",Market_Data!$K$5:$K$304,0)),IFERROR((INDEX(Org_Overrides!$D$5:$D$304,MATCH(Org_Profile!$C$4&amp;"|"&amp;$A25&amp;"|lotprice",Org_Overrides!$H$5:$H$304,0))*Location!$C$10),(Use_Library!$AI$25*Location!$C$10)))))</f>
        <v/>
      </c>
      <c r="I25" s="20">
        <f>IFERROR(INDEX(Market_Data!$D$5:$D$304,MATCH(Location!$C$4&amp;"|"&amp;$A25&amp;"|saleprice",Market_Data!$K$5:$K$304,0)),IFERROR(INDEX(Market_Data!$D$5:$D$304,MATCH(Location!$C$5&amp;"|"&amp;$A25&amp;"|saleprice",Market_Data!$K$5:$K$304,0)),IFERROR(INDEX(Market_Data!$D$5:$D$304,MATCH(Location!$C$6&amp;"|"&amp;$A25&amp;"|saleprice",Market_Data!$K$5:$K$304,0)),IFERROR((INDEX(Org_Overrides!$D$5:$D$304,MATCH(Org_Profile!$C$4&amp;"|"&amp;$A25&amp;"|saleprice",Org_Overrides!$H$5:$H$304,0))*Location!$C$10),(Use_Library!$AJ$25*Location!$C$10)))))</f>
        <v/>
      </c>
      <c r="J25" s="20">
        <f>IFERROR(INDEX(Market_Data!$D$5:$D$304,MATCH(Location!$C$4&amp;"|"&amp;$A25&amp;"|landac",Market_Data!$K$5:$K$304,0)),IFERROR(INDEX(Market_Data!$D$5:$D$304,MATCH(Location!$C$5&amp;"|"&amp;$A25&amp;"|landac",Market_Data!$K$5:$K$304,0)),IFERROR(INDEX(Market_Data!$D$5:$D$304,MATCH(Location!$C$6&amp;"|"&amp;$A25&amp;"|landac",Market_Data!$K$5:$K$304,0)),IFERROR((INDEX(Org_Overrides!$D$5:$D$304,MATCH(Org_Profile!$C$4&amp;"|"&amp;$A25&amp;"|landac",Org_Overrides!$H$5:$H$304,0))*Location!$C$10),(Use_Library!$AS$25*Location!$C$10)))))</f>
        <v/>
      </c>
      <c r="K25" s="20">
        <f>IFERROR(INDEX(Market_Data!$D$5:$D$304,MATCH(Location!$C$4&amp;"|"&amp;$A25&amp;"|rent",Market_Data!$K$5:$K$304,0)),IFERROR(INDEX(Market_Data!$D$5:$D$304,MATCH(Location!$C$5&amp;"|"&amp;$A25&amp;"|rent",Market_Data!$K$5:$K$304,0)),IFERROR(INDEX(Market_Data!$D$5:$D$304,MATCH(Location!$C$6&amp;"|"&amp;$A25&amp;"|rent",Market_Data!$K$5:$K$304,0)),IFERROR((INDEX(Org_Overrides!$D$5:$D$304,MATCH(Org_Profile!$C$4&amp;"|"&amp;$A25&amp;"|rent",Org_Overrides!$H$5:$H$304,0))*Location!$C$11),(Use_Library!$AK$25*Location!$C$11)))))</f>
        <v/>
      </c>
      <c r="L25" s="20">
        <f>IFERROR(INDEX(Market_Data!$D$5:$D$304,MATCH(Location!$C$4&amp;"|"&amp;$A25&amp;"|groundrent",Market_Data!$K$5:$K$304,0)),IFERROR(INDEX(Market_Data!$D$5:$D$304,MATCH(Location!$C$5&amp;"|"&amp;$A25&amp;"|groundrent",Market_Data!$K$5:$K$304,0)),IFERROR(INDEX(Market_Data!$D$5:$D$304,MATCH(Location!$C$6&amp;"|"&amp;$A25&amp;"|groundrent",Market_Data!$K$5:$K$304,0)),IFERROR((INDEX(Org_Overrides!$D$5:$D$304,MATCH(Org_Profile!$C$4&amp;"|"&amp;$A25&amp;"|groundrent",Org_Overrides!$H$5:$H$304,0))*Location!$C$11),(Use_Library!$AT$25*Location!$C$11)))))</f>
        <v/>
      </c>
      <c r="M25" s="23">
        <f>IFERROR(INDEX(Market_Data!$D$5:$D$304,MATCH(Location!$C$4&amp;"|"&amp;$A25&amp;"|cap",Market_Data!$K$5:$K$304,0)),IFERROR(INDEX(Market_Data!$D$5:$D$304,MATCH(Location!$C$5&amp;"|"&amp;$A25&amp;"|cap",Market_Data!$K$5:$K$304,0)),IFERROR(INDEX(Market_Data!$D$5:$D$304,MATCH(Location!$C$6&amp;"|"&amp;$A25&amp;"|cap",Market_Data!$K$5:$K$304,0)),IFERROR((INDEX(Org_Overrides!$D$5:$D$304,MATCH(Org_Profile!$C$4&amp;"|"&amp;$A25&amp;"|cap",Org_Overrides!$H$5:$H$304,0))+Location!$C$12),(Use_Library!$AR$25+Location!$C$12)))))</f>
        <v/>
      </c>
      <c r="N25" s="23">
        <f>IFERROR(INDEX(Market_Data!$D$5:$D$304,MATCH(Location!$C$4&amp;"|"&amp;$A25&amp;"|vac",Market_Data!$K$5:$K$304,0)),IFERROR(INDEX(Market_Data!$D$5:$D$304,MATCH(Location!$C$5&amp;"|"&amp;$A25&amp;"|vac",Market_Data!$K$5:$K$304,0)),IFERROR(INDEX(Market_Data!$D$5:$D$304,MATCH(Location!$C$6&amp;"|"&amp;$A25&amp;"|vac",Market_Data!$K$5:$K$304,0)),IFERROR(INDEX(Org_Overrides!$D$5:$D$304,MATCH(Org_Profile!$C$4&amp;"|"&amp;$A25&amp;"|vac",Org_Overrides!$H$5:$H$304,0)),Use_Library!$AM$25))))</f>
        <v/>
      </c>
      <c r="O25" s="24">
        <f>IFERROR(INDEX(Market_Data!$D$5:$D$304,MATCH(Location!$C$4&amp;"|"&amp;$A25&amp;"|absorb",Market_Data!$K$5:$K$304,0)),IFERROR(INDEX(Market_Data!$D$5:$D$304,MATCH(Location!$C$5&amp;"|"&amp;$A25&amp;"|absorb",Market_Data!$K$5:$K$304,0)),IFERROR(INDEX(Market_Data!$D$5:$D$304,MATCH(Location!$C$6&amp;"|"&amp;$A25&amp;"|absorb",Market_Data!$K$5:$K$304,0)),IFERROR(INDEX(Org_Overrides!$D$5:$D$304,MATCH(Org_Profile!$C$4&amp;"|"&amp;$A25&amp;"|absorb",Org_Overrides!$H$5:$H$304,0)),Use_Library!$R$25))))</f>
        <v/>
      </c>
      <c r="P25" s="24">
        <f>IFERROR(INDEX(Market_Data!$D$5:$D$304,MATCH(Location!$C$4&amp;"|"&amp;$A25&amp;"|lotabs",Market_Data!$K$5:$K$304,0)),IFERROR(INDEX(Market_Data!$D$5:$D$304,MATCH(Location!$C$5&amp;"|"&amp;$A25&amp;"|lotabs",Market_Data!$K$5:$K$304,0)),IFERROR(INDEX(Market_Data!$D$5:$D$304,MATCH(Location!$C$6&amp;"|"&amp;$A25&amp;"|lotabs",Market_Data!$K$5:$K$304,0)),IFERROR(INDEX(Org_Overrides!$D$5:$D$304,MATCH(Org_Profile!$C$4&amp;"|"&amp;$A25&amp;"|lotabs",Org_Overrides!$H$5:$H$304,0)),Use_Library!$S$25))))</f>
        <v/>
      </c>
      <c r="Q25" s="2">
        <f>IF(ISNUMBER(MATCH(Org_Profile!$C$4&amp;"|"&amp;$A25&amp;"|vert",Org_Overrides!$H$5:$H$304,0)),"Org",IF(ISNUMBER(MATCH(Location!$C$4&amp;"|"&amp;$A25&amp;"|vert",Market_Data!$K$5:$K$304,0)),"Market-City",IF(ISNUMBER(MATCH(Location!$C$5&amp;"|"&amp;$A25&amp;"|vert",Market_Data!$K$5:$K$304,0)),"Market-County",IF(ISNUMBER(MATCH(Location!$C$6&amp;"|"&amp;$A25&amp;"|vert",Market_Data!$K$5:$K$304,0)),"Market-State","Default x index"))))</f>
        <v/>
      </c>
      <c r="R25" s="2">
        <f>IF(ISNUMBER(MATCH(Org_Profile!$C$4&amp;"|"&amp;$A25&amp;"|entitle",Org_Overrides!$H$5:$H$304,0)),"Org",IF(ISNUMBER(MATCH(Location!$C$4&amp;"|"&amp;$A25&amp;"|entitle",Market_Data!$K$5:$K$304,0)),"Market-City",IF(ISNUMBER(MATCH(Location!$C$5&amp;"|"&amp;$A25&amp;"|entitle",Market_Data!$K$5:$K$304,0)),"Market-County",IF(ISNUMBER(MATCH(Location!$C$6&amp;"|"&amp;$A25&amp;"|entitle",Market_Data!$K$5:$K$304,0)),"Market-State","Default x index"))))</f>
        <v/>
      </c>
      <c r="S25" s="2">
        <f>IF(ISNUMBER(MATCH(Org_Profile!$C$4&amp;"|"&amp;$A25&amp;"|tilc",Org_Overrides!$H$5:$H$304,0)),"Org",IF(ISNUMBER(MATCH(Location!$C$4&amp;"|"&amp;$A25&amp;"|tilc",Market_Data!$K$5:$K$304,0)),"Market-City",IF(ISNUMBER(MATCH(Location!$C$5&amp;"|"&amp;$A25&amp;"|tilc",Market_Data!$K$5:$K$304,0)),"Market-County",IF(ISNUMBER(MATCH(Location!$C$6&amp;"|"&amp;$A25&amp;"|tilc",Market_Data!$K$5:$K$304,0)),"Market-State","Default x index"))))</f>
        <v/>
      </c>
      <c r="T25" s="2">
        <f>IF(ISNUMBER(MATCH(Org_Profile!$C$4&amp;"|"&amp;$A25&amp;"|opex",Org_Overrides!$H$5:$H$304,0)),"Org",IF(ISNUMBER(MATCH(Location!$C$4&amp;"|"&amp;$A25&amp;"|opex",Market_Data!$K$5:$K$304,0)),"Market-City",IF(ISNUMBER(MATCH(Location!$C$5&amp;"|"&amp;$A25&amp;"|opex",Market_Data!$K$5:$K$304,0)),"Market-County",IF(ISNUMBER(MATCH(Location!$C$6&amp;"|"&amp;$A25&amp;"|opex",Market_Data!$K$5:$K$304,0)),"Market-State","Default x index"))))</f>
        <v/>
      </c>
      <c r="U25" s="2">
        <f>IF(ISNUMBER(MATCH(Org_Profile!$C$4&amp;"|"&amp;$A25&amp;"|devmo",Org_Overrides!$H$5:$H$304,0)),"Org",IF(ISNUMBER(MATCH(Location!$C$4&amp;"|"&amp;$A25&amp;"|devmo",Market_Data!$K$5:$K$304,0)),"Market-City",IF(ISNUMBER(MATCH(Location!$C$5&amp;"|"&amp;$A25&amp;"|devmo",Market_Data!$K$5:$K$304,0)),"Market-County",IF(ISNUMBER(MATCH(Location!$C$6&amp;"|"&amp;$A25&amp;"|devmo",Market_Data!$K$5:$K$304,0)),"Market-State","Default"))))</f>
        <v/>
      </c>
      <c r="V25" s="2">
        <f>IF(ISNUMBER(MATCH(Org_Profile!$C$4&amp;"|"&amp;$A25&amp;"|margin",Org_Overrides!$H$5:$H$304,0)),"Org",IF(INDEX(Org_Profile!$C$9:$C$12,MATCH(Use_Library!$C$25,Org_Profile!$B$9:$B$12,0))&lt;&gt;"","Org engine margin","Default"))</f>
        <v/>
      </c>
      <c r="W25" s="2">
        <f>IF(ISNUMBER(MATCH(Location!$C$4&amp;"|"&amp;$A25&amp;"|lotprice",Market_Data!$K$5:$K$304,0)),"Market-City",IF(ISNUMBER(MATCH(Location!$C$5&amp;"|"&amp;$A25&amp;"|lotprice",Market_Data!$K$5:$K$304,0)),"Market-County",IF(ISNUMBER(MATCH(Location!$C$6&amp;"|"&amp;$A25&amp;"|lotprice",Market_Data!$K$5:$K$304,0)),"Market-State",IF(ISNUMBER(MATCH(Org_Profile!$C$4&amp;"|"&amp;$A25&amp;"|lotprice",Org_Overrides!$H$5:$H$304,0)),"Org","Default x index"))))</f>
        <v/>
      </c>
      <c r="X25" s="2">
        <f>IF(ISNUMBER(MATCH(Location!$C$4&amp;"|"&amp;$A25&amp;"|saleprice",Market_Data!$K$5:$K$304,0)),"Market-City",IF(ISNUMBER(MATCH(Location!$C$5&amp;"|"&amp;$A25&amp;"|saleprice",Market_Data!$K$5:$K$304,0)),"Market-County",IF(ISNUMBER(MATCH(Location!$C$6&amp;"|"&amp;$A25&amp;"|saleprice",Market_Data!$K$5:$K$304,0)),"Market-State",IF(ISNUMBER(MATCH(Org_Profile!$C$4&amp;"|"&amp;$A25&amp;"|saleprice",Org_Overrides!$H$5:$H$304,0)),"Org","Default x index"))))</f>
        <v/>
      </c>
      <c r="Y25" s="2">
        <f>IF(ISNUMBER(MATCH(Location!$C$4&amp;"|"&amp;$A25&amp;"|landac",Market_Data!$K$5:$K$304,0)),"Market-City",IF(ISNUMBER(MATCH(Location!$C$5&amp;"|"&amp;$A25&amp;"|landac",Market_Data!$K$5:$K$304,0)),"Market-County",IF(ISNUMBER(MATCH(Location!$C$6&amp;"|"&amp;$A25&amp;"|landac",Market_Data!$K$5:$K$304,0)),"Market-State",IF(ISNUMBER(MATCH(Org_Profile!$C$4&amp;"|"&amp;$A25&amp;"|landac",Org_Overrides!$H$5:$H$304,0)),"Org","Default x index"))))</f>
        <v/>
      </c>
      <c r="Z25" s="2">
        <f>IF(ISNUMBER(MATCH(Location!$C$4&amp;"|"&amp;$A25&amp;"|rent",Market_Data!$K$5:$K$304,0)),"Market-City",IF(ISNUMBER(MATCH(Location!$C$5&amp;"|"&amp;$A25&amp;"|rent",Market_Data!$K$5:$K$304,0)),"Market-County",IF(ISNUMBER(MATCH(Location!$C$6&amp;"|"&amp;$A25&amp;"|rent",Market_Data!$K$5:$K$304,0)),"Market-State",IF(ISNUMBER(MATCH(Org_Profile!$C$4&amp;"|"&amp;$A25&amp;"|rent",Org_Overrides!$H$5:$H$304,0)),"Org","Default x index"))))</f>
        <v/>
      </c>
      <c r="AA25" s="2">
        <f>IF(ISNUMBER(MATCH(Location!$C$4&amp;"|"&amp;$A25&amp;"|groundrent",Market_Data!$K$5:$K$304,0)),"Market-City",IF(ISNUMBER(MATCH(Location!$C$5&amp;"|"&amp;$A25&amp;"|groundrent",Market_Data!$K$5:$K$304,0)),"Market-County",IF(ISNUMBER(MATCH(Location!$C$6&amp;"|"&amp;$A25&amp;"|groundrent",Market_Data!$K$5:$K$304,0)),"Market-State",IF(ISNUMBER(MATCH(Org_Profile!$C$4&amp;"|"&amp;$A25&amp;"|groundrent",Org_Overrides!$H$5:$H$304,0)),"Org","Default x index"))))</f>
        <v/>
      </c>
      <c r="AB25" s="2">
        <f>IF(ISNUMBER(MATCH(Location!$C$4&amp;"|"&amp;$A25&amp;"|cap",Market_Data!$K$5:$K$304,0)),"Market-City",IF(ISNUMBER(MATCH(Location!$C$5&amp;"|"&amp;$A25&amp;"|cap",Market_Data!$K$5:$K$304,0)),"Market-County",IF(ISNUMBER(MATCH(Location!$C$6&amp;"|"&amp;$A25&amp;"|cap",Market_Data!$K$5:$K$304,0)),"Market-State",IF(ISNUMBER(MATCH(Org_Profile!$C$4&amp;"|"&amp;$A25&amp;"|cap",Org_Overrides!$H$5:$H$304,0)),"Org","Default x index"))))</f>
        <v/>
      </c>
      <c r="AC25" s="2">
        <f>IF(ISNUMBER(MATCH(Location!$C$4&amp;"|"&amp;$A25&amp;"|vac",Market_Data!$K$5:$K$304,0)),"Market-City",IF(ISNUMBER(MATCH(Location!$C$5&amp;"|"&amp;$A25&amp;"|vac",Market_Data!$K$5:$K$304,0)),"Market-County",IF(ISNUMBER(MATCH(Location!$C$6&amp;"|"&amp;$A25&amp;"|vac",Market_Data!$K$5:$K$304,0)),"Market-State",IF(ISNUMBER(MATCH(Org_Profile!$C$4&amp;"|"&amp;$A25&amp;"|vac",Org_Overrides!$H$5:$H$304,0)),"Org","Default"))))</f>
        <v/>
      </c>
      <c r="AD25" s="2">
        <f>IF(ISNUMBER(MATCH(Location!$C$4&amp;"|"&amp;$A25&amp;"|absorb",Market_Data!$K$5:$K$304,0)),"Market-City",IF(ISNUMBER(MATCH(Location!$C$5&amp;"|"&amp;$A25&amp;"|absorb",Market_Data!$K$5:$K$304,0)),"Market-County",IF(ISNUMBER(MATCH(Location!$C$6&amp;"|"&amp;$A25&amp;"|absorb",Market_Data!$K$5:$K$304,0)),"Market-State",IF(ISNUMBER(MATCH(Org_Profile!$C$4&amp;"|"&amp;$A25&amp;"|absorb",Org_Overrides!$H$5:$H$304,0)),"Org","Default"))))</f>
        <v/>
      </c>
      <c r="AE25" s="2">
        <f>IF(ISNUMBER(MATCH(Location!$C$4&amp;"|"&amp;$A25&amp;"|lotabs",Market_Data!$K$5:$K$304,0)),"Market-City",IF(ISNUMBER(MATCH(Location!$C$5&amp;"|"&amp;$A25&amp;"|lotabs",Market_Data!$K$5:$K$304,0)),"Market-County",IF(ISNUMBER(MATCH(Location!$C$6&amp;"|"&amp;$A25&amp;"|lotabs",Market_Data!$K$5:$K$304,0)),"Market-State",IF(ISNUMBER(MATCH(Org_Profile!$C$4&amp;"|"&amp;$A25&amp;"|lotabs",Org_Overrides!$H$5:$H$304,0)),"Org","Default"))))</f>
        <v/>
      </c>
      <c r="AF25" s="15">
        <f>15-COUNTIF(Q25:AE25,"Default*")</f>
        <v/>
      </c>
    </row>
    <row r="26">
      <c r="A26" s="4">
        <f>Use_Library!$A$26</f>
        <v/>
      </c>
      <c r="B26" s="20">
        <f>IFERROR((INDEX(Org_Overrides!$D$5:$D$304,MATCH(Org_Profile!$C$4&amp;"|"&amp;$A26&amp;"|vert",Org_Overrides!$H$5:$H$304,0))*Location!$C$9),IFERROR(INDEX(Market_Data!$D$5:$D$304,MATCH(Location!$C$4&amp;"|"&amp;$A26&amp;"|vert",Market_Data!$K$5:$K$304,0)),IFERROR(INDEX(Market_Data!$D$5:$D$304,MATCH(Location!$C$5&amp;"|"&amp;$A26&amp;"|vert",Market_Data!$K$5:$K$304,0)),IFERROR(INDEX(Market_Data!$D$5:$D$304,MATCH(Location!$C$6&amp;"|"&amp;$A26&amp;"|vert",Market_Data!$K$5:$K$304,0)),(Use_Library!$AF$26*Location!$C$9)))))</f>
        <v/>
      </c>
      <c r="C26" s="20">
        <f>IFERROR((INDEX(Org_Overrides!$D$5:$D$304,MATCH(Org_Profile!$C$4&amp;"|"&amp;$A26&amp;"|entitle",Org_Overrides!$H$5:$H$304,0))*Location!$C$9),IFERROR(INDEX(Market_Data!$D$5:$D$304,MATCH(Location!$C$4&amp;"|"&amp;$A26&amp;"|entitle",Market_Data!$K$5:$K$304,0)),IFERROR(INDEX(Market_Data!$D$5:$D$304,MATCH(Location!$C$5&amp;"|"&amp;$A26&amp;"|entitle",Market_Data!$K$5:$K$304,0)),IFERROR(INDEX(Market_Data!$D$5:$D$304,MATCH(Location!$C$6&amp;"|"&amp;$A26&amp;"|entitle",Market_Data!$K$5:$K$304,0)),(Use_Library!$AE$26*Location!$C$9)))))</f>
        <v/>
      </c>
      <c r="D26" s="20">
        <f>IFERROR((INDEX(Org_Overrides!$D$5:$D$304,MATCH(Org_Profile!$C$4&amp;"|"&amp;$A26&amp;"|tilc",Org_Overrides!$H$5:$H$304,0))*Location!$C$9),IFERROR(INDEX(Market_Data!$D$5:$D$304,MATCH(Location!$C$4&amp;"|"&amp;$A26&amp;"|tilc",Market_Data!$K$5:$K$304,0)),IFERROR(INDEX(Market_Data!$D$5:$D$304,MATCH(Location!$C$5&amp;"|"&amp;$A26&amp;"|tilc",Market_Data!$K$5:$K$304,0)),IFERROR(INDEX(Market_Data!$D$5:$D$304,MATCH(Location!$C$6&amp;"|"&amp;$A26&amp;"|tilc",Market_Data!$K$5:$K$304,0)),(Use_Library!$AG$26*Location!$C$9)))))</f>
        <v/>
      </c>
      <c r="E26" s="20">
        <f>IFERROR((INDEX(Org_Overrides!$D$5:$D$304,MATCH(Org_Profile!$C$4&amp;"|"&amp;$A26&amp;"|opex",Org_Overrides!$H$5:$H$304,0))*Location!$C$13),IFERROR(INDEX(Market_Data!$D$5:$D$304,MATCH(Location!$C$4&amp;"|"&amp;$A26&amp;"|opex",Market_Data!$K$5:$K$304,0)),IFERROR(INDEX(Market_Data!$D$5:$D$304,MATCH(Location!$C$5&amp;"|"&amp;$A26&amp;"|opex",Market_Data!$K$5:$K$304,0)),IFERROR(INDEX(Market_Data!$D$5:$D$304,MATCH(Location!$C$6&amp;"|"&amp;$A26&amp;"|opex",Market_Data!$K$5:$K$304,0)),(Use_Library!$AN$26*Location!$C$13)))))</f>
        <v/>
      </c>
      <c r="F26" s="9">
        <f>IFERROR(INDEX(Org_Overrides!$D$5:$D$304,MATCH(Org_Profile!$C$4&amp;"|"&amp;$A26&amp;"|devmo",Org_Overrides!$H$5:$H$304,0)),IFERROR(INDEX(Market_Data!$D$5:$D$304,MATCH(Location!$C$4&amp;"|"&amp;$A26&amp;"|devmo",Market_Data!$K$5:$K$304,0)),IFERROR(INDEX(Market_Data!$D$5:$D$304,MATCH(Location!$C$5&amp;"|"&amp;$A26&amp;"|devmo",Market_Data!$K$5:$K$304,0)),IFERROR(INDEX(Market_Data!$D$5:$D$304,MATCH(Location!$C$6&amp;"|"&amp;$A26&amp;"|devmo",Market_Data!$K$5:$K$304,0)),Use_Library!$AH$26))))</f>
        <v/>
      </c>
      <c r="G26" s="23">
        <f>IFERROR(INDEX(Org_Overrides!$D$5:$D$304,MATCH(Org_Profile!$C$4&amp;"|"&amp;$A26&amp;"|margin",Org_Overrides!$H$5:$H$304,0)),IF(INDEX(Org_Profile!$C$9:$C$12,MATCH(Use_Library!$C$26,Org_Profile!$B$9:$B$12,0))&lt;&gt;"",INDEX(Org_Profile!$C$9:$C$12,MATCH(Use_Library!$C$26,Org_Profile!$B$9:$B$12,0)),Use_Library!$AU$26))</f>
        <v/>
      </c>
      <c r="H26" s="20">
        <f>IFERROR(INDEX(Market_Data!$D$5:$D$304,MATCH(Location!$C$4&amp;"|"&amp;$A26&amp;"|lotprice",Market_Data!$K$5:$K$304,0)),IFERROR(INDEX(Market_Data!$D$5:$D$304,MATCH(Location!$C$5&amp;"|"&amp;$A26&amp;"|lotprice",Market_Data!$K$5:$K$304,0)),IFERROR(INDEX(Market_Data!$D$5:$D$304,MATCH(Location!$C$6&amp;"|"&amp;$A26&amp;"|lotprice",Market_Data!$K$5:$K$304,0)),IFERROR((INDEX(Org_Overrides!$D$5:$D$304,MATCH(Org_Profile!$C$4&amp;"|"&amp;$A26&amp;"|lotprice",Org_Overrides!$H$5:$H$304,0))*Location!$C$10),(Use_Library!$AI$26*Location!$C$10)))))</f>
        <v/>
      </c>
      <c r="I26" s="20">
        <f>IFERROR(INDEX(Market_Data!$D$5:$D$304,MATCH(Location!$C$4&amp;"|"&amp;$A26&amp;"|saleprice",Market_Data!$K$5:$K$304,0)),IFERROR(INDEX(Market_Data!$D$5:$D$304,MATCH(Location!$C$5&amp;"|"&amp;$A26&amp;"|saleprice",Market_Data!$K$5:$K$304,0)),IFERROR(INDEX(Market_Data!$D$5:$D$304,MATCH(Location!$C$6&amp;"|"&amp;$A26&amp;"|saleprice",Market_Data!$K$5:$K$304,0)),IFERROR((INDEX(Org_Overrides!$D$5:$D$304,MATCH(Org_Profile!$C$4&amp;"|"&amp;$A26&amp;"|saleprice",Org_Overrides!$H$5:$H$304,0))*Location!$C$10),(Use_Library!$AJ$26*Location!$C$10)))))</f>
        <v/>
      </c>
      <c r="J26" s="20">
        <f>IFERROR(INDEX(Market_Data!$D$5:$D$304,MATCH(Location!$C$4&amp;"|"&amp;$A26&amp;"|landac",Market_Data!$K$5:$K$304,0)),IFERROR(INDEX(Market_Data!$D$5:$D$304,MATCH(Location!$C$5&amp;"|"&amp;$A26&amp;"|landac",Market_Data!$K$5:$K$304,0)),IFERROR(INDEX(Market_Data!$D$5:$D$304,MATCH(Location!$C$6&amp;"|"&amp;$A26&amp;"|landac",Market_Data!$K$5:$K$304,0)),IFERROR((INDEX(Org_Overrides!$D$5:$D$304,MATCH(Org_Profile!$C$4&amp;"|"&amp;$A26&amp;"|landac",Org_Overrides!$H$5:$H$304,0))*Location!$C$10),(Use_Library!$AS$26*Location!$C$10)))))</f>
        <v/>
      </c>
      <c r="K26" s="20">
        <f>IFERROR(INDEX(Market_Data!$D$5:$D$304,MATCH(Location!$C$4&amp;"|"&amp;$A26&amp;"|rent",Market_Data!$K$5:$K$304,0)),IFERROR(INDEX(Market_Data!$D$5:$D$304,MATCH(Location!$C$5&amp;"|"&amp;$A26&amp;"|rent",Market_Data!$K$5:$K$304,0)),IFERROR(INDEX(Market_Data!$D$5:$D$304,MATCH(Location!$C$6&amp;"|"&amp;$A26&amp;"|rent",Market_Data!$K$5:$K$304,0)),IFERROR((INDEX(Org_Overrides!$D$5:$D$304,MATCH(Org_Profile!$C$4&amp;"|"&amp;$A26&amp;"|rent",Org_Overrides!$H$5:$H$304,0))*Location!$C$11),(Use_Library!$AK$26*Location!$C$11)))))</f>
        <v/>
      </c>
      <c r="L26" s="20">
        <f>IFERROR(INDEX(Market_Data!$D$5:$D$304,MATCH(Location!$C$4&amp;"|"&amp;$A26&amp;"|groundrent",Market_Data!$K$5:$K$304,0)),IFERROR(INDEX(Market_Data!$D$5:$D$304,MATCH(Location!$C$5&amp;"|"&amp;$A26&amp;"|groundrent",Market_Data!$K$5:$K$304,0)),IFERROR(INDEX(Market_Data!$D$5:$D$304,MATCH(Location!$C$6&amp;"|"&amp;$A26&amp;"|groundrent",Market_Data!$K$5:$K$304,0)),IFERROR((INDEX(Org_Overrides!$D$5:$D$304,MATCH(Org_Profile!$C$4&amp;"|"&amp;$A26&amp;"|groundrent",Org_Overrides!$H$5:$H$304,0))*Location!$C$11),(Use_Library!$AT$26*Location!$C$11)))))</f>
        <v/>
      </c>
      <c r="M26" s="23">
        <f>IFERROR(INDEX(Market_Data!$D$5:$D$304,MATCH(Location!$C$4&amp;"|"&amp;$A26&amp;"|cap",Market_Data!$K$5:$K$304,0)),IFERROR(INDEX(Market_Data!$D$5:$D$304,MATCH(Location!$C$5&amp;"|"&amp;$A26&amp;"|cap",Market_Data!$K$5:$K$304,0)),IFERROR(INDEX(Market_Data!$D$5:$D$304,MATCH(Location!$C$6&amp;"|"&amp;$A26&amp;"|cap",Market_Data!$K$5:$K$304,0)),IFERROR((INDEX(Org_Overrides!$D$5:$D$304,MATCH(Org_Profile!$C$4&amp;"|"&amp;$A26&amp;"|cap",Org_Overrides!$H$5:$H$304,0))+Location!$C$12),(Use_Library!$AR$26+Location!$C$12)))))</f>
        <v/>
      </c>
      <c r="N26" s="23">
        <f>IFERROR(INDEX(Market_Data!$D$5:$D$304,MATCH(Location!$C$4&amp;"|"&amp;$A26&amp;"|vac",Market_Data!$K$5:$K$304,0)),IFERROR(INDEX(Market_Data!$D$5:$D$304,MATCH(Location!$C$5&amp;"|"&amp;$A26&amp;"|vac",Market_Data!$K$5:$K$304,0)),IFERROR(INDEX(Market_Data!$D$5:$D$304,MATCH(Location!$C$6&amp;"|"&amp;$A26&amp;"|vac",Market_Data!$K$5:$K$304,0)),IFERROR(INDEX(Org_Overrides!$D$5:$D$304,MATCH(Org_Profile!$C$4&amp;"|"&amp;$A26&amp;"|vac",Org_Overrides!$H$5:$H$304,0)),Use_Library!$AM$26))))</f>
        <v/>
      </c>
      <c r="O26" s="24">
        <f>IFERROR(INDEX(Market_Data!$D$5:$D$304,MATCH(Location!$C$4&amp;"|"&amp;$A26&amp;"|absorb",Market_Data!$K$5:$K$304,0)),IFERROR(INDEX(Market_Data!$D$5:$D$304,MATCH(Location!$C$5&amp;"|"&amp;$A26&amp;"|absorb",Market_Data!$K$5:$K$304,0)),IFERROR(INDEX(Market_Data!$D$5:$D$304,MATCH(Location!$C$6&amp;"|"&amp;$A26&amp;"|absorb",Market_Data!$K$5:$K$304,0)),IFERROR(INDEX(Org_Overrides!$D$5:$D$304,MATCH(Org_Profile!$C$4&amp;"|"&amp;$A26&amp;"|absorb",Org_Overrides!$H$5:$H$304,0)),Use_Library!$R$26))))</f>
        <v/>
      </c>
      <c r="P26" s="24">
        <f>IFERROR(INDEX(Market_Data!$D$5:$D$304,MATCH(Location!$C$4&amp;"|"&amp;$A26&amp;"|lotabs",Market_Data!$K$5:$K$304,0)),IFERROR(INDEX(Market_Data!$D$5:$D$304,MATCH(Location!$C$5&amp;"|"&amp;$A26&amp;"|lotabs",Market_Data!$K$5:$K$304,0)),IFERROR(INDEX(Market_Data!$D$5:$D$304,MATCH(Location!$C$6&amp;"|"&amp;$A26&amp;"|lotabs",Market_Data!$K$5:$K$304,0)),IFERROR(INDEX(Org_Overrides!$D$5:$D$304,MATCH(Org_Profile!$C$4&amp;"|"&amp;$A26&amp;"|lotabs",Org_Overrides!$H$5:$H$304,0)),Use_Library!$S$26))))</f>
        <v/>
      </c>
      <c r="Q26" s="2">
        <f>IF(ISNUMBER(MATCH(Org_Profile!$C$4&amp;"|"&amp;$A26&amp;"|vert",Org_Overrides!$H$5:$H$304,0)),"Org",IF(ISNUMBER(MATCH(Location!$C$4&amp;"|"&amp;$A26&amp;"|vert",Market_Data!$K$5:$K$304,0)),"Market-City",IF(ISNUMBER(MATCH(Location!$C$5&amp;"|"&amp;$A26&amp;"|vert",Market_Data!$K$5:$K$304,0)),"Market-County",IF(ISNUMBER(MATCH(Location!$C$6&amp;"|"&amp;$A26&amp;"|vert",Market_Data!$K$5:$K$304,0)),"Market-State","Default x index"))))</f>
        <v/>
      </c>
      <c r="R26" s="2">
        <f>IF(ISNUMBER(MATCH(Org_Profile!$C$4&amp;"|"&amp;$A26&amp;"|entitle",Org_Overrides!$H$5:$H$304,0)),"Org",IF(ISNUMBER(MATCH(Location!$C$4&amp;"|"&amp;$A26&amp;"|entitle",Market_Data!$K$5:$K$304,0)),"Market-City",IF(ISNUMBER(MATCH(Location!$C$5&amp;"|"&amp;$A26&amp;"|entitle",Market_Data!$K$5:$K$304,0)),"Market-County",IF(ISNUMBER(MATCH(Location!$C$6&amp;"|"&amp;$A26&amp;"|entitle",Market_Data!$K$5:$K$304,0)),"Market-State","Default x index"))))</f>
        <v/>
      </c>
      <c r="S26" s="2">
        <f>IF(ISNUMBER(MATCH(Org_Profile!$C$4&amp;"|"&amp;$A26&amp;"|tilc",Org_Overrides!$H$5:$H$304,0)),"Org",IF(ISNUMBER(MATCH(Location!$C$4&amp;"|"&amp;$A26&amp;"|tilc",Market_Data!$K$5:$K$304,0)),"Market-City",IF(ISNUMBER(MATCH(Location!$C$5&amp;"|"&amp;$A26&amp;"|tilc",Market_Data!$K$5:$K$304,0)),"Market-County",IF(ISNUMBER(MATCH(Location!$C$6&amp;"|"&amp;$A26&amp;"|tilc",Market_Data!$K$5:$K$304,0)),"Market-State","Default x index"))))</f>
        <v/>
      </c>
      <c r="T26" s="2">
        <f>IF(ISNUMBER(MATCH(Org_Profile!$C$4&amp;"|"&amp;$A26&amp;"|opex",Org_Overrides!$H$5:$H$304,0)),"Org",IF(ISNUMBER(MATCH(Location!$C$4&amp;"|"&amp;$A26&amp;"|opex",Market_Data!$K$5:$K$304,0)),"Market-City",IF(ISNUMBER(MATCH(Location!$C$5&amp;"|"&amp;$A26&amp;"|opex",Market_Data!$K$5:$K$304,0)),"Market-County",IF(ISNUMBER(MATCH(Location!$C$6&amp;"|"&amp;$A26&amp;"|opex",Market_Data!$K$5:$K$304,0)),"Market-State","Default x index"))))</f>
        <v/>
      </c>
      <c r="U26" s="2">
        <f>IF(ISNUMBER(MATCH(Org_Profile!$C$4&amp;"|"&amp;$A26&amp;"|devmo",Org_Overrides!$H$5:$H$304,0)),"Org",IF(ISNUMBER(MATCH(Location!$C$4&amp;"|"&amp;$A26&amp;"|devmo",Market_Data!$K$5:$K$304,0)),"Market-City",IF(ISNUMBER(MATCH(Location!$C$5&amp;"|"&amp;$A26&amp;"|devmo",Market_Data!$K$5:$K$304,0)),"Market-County",IF(ISNUMBER(MATCH(Location!$C$6&amp;"|"&amp;$A26&amp;"|devmo",Market_Data!$K$5:$K$304,0)),"Market-State","Default"))))</f>
        <v/>
      </c>
      <c r="V26" s="2">
        <f>IF(ISNUMBER(MATCH(Org_Profile!$C$4&amp;"|"&amp;$A26&amp;"|margin",Org_Overrides!$H$5:$H$304,0)),"Org",IF(INDEX(Org_Profile!$C$9:$C$12,MATCH(Use_Library!$C$26,Org_Profile!$B$9:$B$12,0))&lt;&gt;"","Org engine margin","Default"))</f>
        <v/>
      </c>
      <c r="W26" s="2">
        <f>IF(ISNUMBER(MATCH(Location!$C$4&amp;"|"&amp;$A26&amp;"|lotprice",Market_Data!$K$5:$K$304,0)),"Market-City",IF(ISNUMBER(MATCH(Location!$C$5&amp;"|"&amp;$A26&amp;"|lotprice",Market_Data!$K$5:$K$304,0)),"Market-County",IF(ISNUMBER(MATCH(Location!$C$6&amp;"|"&amp;$A26&amp;"|lotprice",Market_Data!$K$5:$K$304,0)),"Market-State",IF(ISNUMBER(MATCH(Org_Profile!$C$4&amp;"|"&amp;$A26&amp;"|lotprice",Org_Overrides!$H$5:$H$304,0)),"Org","Default x index"))))</f>
        <v/>
      </c>
      <c r="X26" s="2">
        <f>IF(ISNUMBER(MATCH(Location!$C$4&amp;"|"&amp;$A26&amp;"|saleprice",Market_Data!$K$5:$K$304,0)),"Market-City",IF(ISNUMBER(MATCH(Location!$C$5&amp;"|"&amp;$A26&amp;"|saleprice",Market_Data!$K$5:$K$304,0)),"Market-County",IF(ISNUMBER(MATCH(Location!$C$6&amp;"|"&amp;$A26&amp;"|saleprice",Market_Data!$K$5:$K$304,0)),"Market-State",IF(ISNUMBER(MATCH(Org_Profile!$C$4&amp;"|"&amp;$A26&amp;"|saleprice",Org_Overrides!$H$5:$H$304,0)),"Org","Default x index"))))</f>
        <v/>
      </c>
      <c r="Y26" s="2">
        <f>IF(ISNUMBER(MATCH(Location!$C$4&amp;"|"&amp;$A26&amp;"|landac",Market_Data!$K$5:$K$304,0)),"Market-City",IF(ISNUMBER(MATCH(Location!$C$5&amp;"|"&amp;$A26&amp;"|landac",Market_Data!$K$5:$K$304,0)),"Market-County",IF(ISNUMBER(MATCH(Location!$C$6&amp;"|"&amp;$A26&amp;"|landac",Market_Data!$K$5:$K$304,0)),"Market-State",IF(ISNUMBER(MATCH(Org_Profile!$C$4&amp;"|"&amp;$A26&amp;"|landac",Org_Overrides!$H$5:$H$304,0)),"Org","Default x index"))))</f>
        <v/>
      </c>
      <c r="Z26" s="2">
        <f>IF(ISNUMBER(MATCH(Location!$C$4&amp;"|"&amp;$A26&amp;"|rent",Market_Data!$K$5:$K$304,0)),"Market-City",IF(ISNUMBER(MATCH(Location!$C$5&amp;"|"&amp;$A26&amp;"|rent",Market_Data!$K$5:$K$304,0)),"Market-County",IF(ISNUMBER(MATCH(Location!$C$6&amp;"|"&amp;$A26&amp;"|rent",Market_Data!$K$5:$K$304,0)),"Market-State",IF(ISNUMBER(MATCH(Org_Profile!$C$4&amp;"|"&amp;$A26&amp;"|rent",Org_Overrides!$H$5:$H$304,0)),"Org","Default x index"))))</f>
        <v/>
      </c>
      <c r="AA26" s="2">
        <f>IF(ISNUMBER(MATCH(Location!$C$4&amp;"|"&amp;$A26&amp;"|groundrent",Market_Data!$K$5:$K$304,0)),"Market-City",IF(ISNUMBER(MATCH(Location!$C$5&amp;"|"&amp;$A26&amp;"|groundrent",Market_Data!$K$5:$K$304,0)),"Market-County",IF(ISNUMBER(MATCH(Location!$C$6&amp;"|"&amp;$A26&amp;"|groundrent",Market_Data!$K$5:$K$304,0)),"Market-State",IF(ISNUMBER(MATCH(Org_Profile!$C$4&amp;"|"&amp;$A26&amp;"|groundrent",Org_Overrides!$H$5:$H$304,0)),"Org","Default x index"))))</f>
        <v/>
      </c>
      <c r="AB26" s="2">
        <f>IF(ISNUMBER(MATCH(Location!$C$4&amp;"|"&amp;$A26&amp;"|cap",Market_Data!$K$5:$K$304,0)),"Market-City",IF(ISNUMBER(MATCH(Location!$C$5&amp;"|"&amp;$A26&amp;"|cap",Market_Data!$K$5:$K$304,0)),"Market-County",IF(ISNUMBER(MATCH(Location!$C$6&amp;"|"&amp;$A26&amp;"|cap",Market_Data!$K$5:$K$304,0)),"Market-State",IF(ISNUMBER(MATCH(Org_Profile!$C$4&amp;"|"&amp;$A26&amp;"|cap",Org_Overrides!$H$5:$H$304,0)),"Org","Default x index"))))</f>
        <v/>
      </c>
      <c r="AC26" s="2">
        <f>IF(ISNUMBER(MATCH(Location!$C$4&amp;"|"&amp;$A26&amp;"|vac",Market_Data!$K$5:$K$304,0)),"Market-City",IF(ISNUMBER(MATCH(Location!$C$5&amp;"|"&amp;$A26&amp;"|vac",Market_Data!$K$5:$K$304,0)),"Market-County",IF(ISNUMBER(MATCH(Location!$C$6&amp;"|"&amp;$A26&amp;"|vac",Market_Data!$K$5:$K$304,0)),"Market-State",IF(ISNUMBER(MATCH(Org_Profile!$C$4&amp;"|"&amp;$A26&amp;"|vac",Org_Overrides!$H$5:$H$304,0)),"Org","Default"))))</f>
        <v/>
      </c>
      <c r="AD26" s="2">
        <f>IF(ISNUMBER(MATCH(Location!$C$4&amp;"|"&amp;$A26&amp;"|absorb",Market_Data!$K$5:$K$304,0)),"Market-City",IF(ISNUMBER(MATCH(Location!$C$5&amp;"|"&amp;$A26&amp;"|absorb",Market_Data!$K$5:$K$304,0)),"Market-County",IF(ISNUMBER(MATCH(Location!$C$6&amp;"|"&amp;$A26&amp;"|absorb",Market_Data!$K$5:$K$304,0)),"Market-State",IF(ISNUMBER(MATCH(Org_Profile!$C$4&amp;"|"&amp;$A26&amp;"|absorb",Org_Overrides!$H$5:$H$304,0)),"Org","Default"))))</f>
        <v/>
      </c>
      <c r="AE26" s="2">
        <f>IF(ISNUMBER(MATCH(Location!$C$4&amp;"|"&amp;$A26&amp;"|lotabs",Market_Data!$K$5:$K$304,0)),"Market-City",IF(ISNUMBER(MATCH(Location!$C$5&amp;"|"&amp;$A26&amp;"|lotabs",Market_Data!$K$5:$K$304,0)),"Market-County",IF(ISNUMBER(MATCH(Location!$C$6&amp;"|"&amp;$A26&amp;"|lotabs",Market_Data!$K$5:$K$304,0)),"Market-State",IF(ISNUMBER(MATCH(Org_Profile!$C$4&amp;"|"&amp;$A26&amp;"|lotabs",Org_Overrides!$H$5:$H$304,0)),"Org","Default"))))</f>
        <v/>
      </c>
      <c r="AF26" s="15">
        <f>15-COUNTIF(Q26:AE26,"Default*")</f>
        <v/>
      </c>
    </row>
    <row r="27">
      <c r="A27" s="4">
        <f>Use_Library!$A$27</f>
        <v/>
      </c>
      <c r="B27" s="20">
        <f>IFERROR((INDEX(Org_Overrides!$D$5:$D$304,MATCH(Org_Profile!$C$4&amp;"|"&amp;$A27&amp;"|vert",Org_Overrides!$H$5:$H$304,0))*Location!$C$9),IFERROR(INDEX(Market_Data!$D$5:$D$304,MATCH(Location!$C$4&amp;"|"&amp;$A27&amp;"|vert",Market_Data!$K$5:$K$304,0)),IFERROR(INDEX(Market_Data!$D$5:$D$304,MATCH(Location!$C$5&amp;"|"&amp;$A27&amp;"|vert",Market_Data!$K$5:$K$304,0)),IFERROR(INDEX(Market_Data!$D$5:$D$304,MATCH(Location!$C$6&amp;"|"&amp;$A27&amp;"|vert",Market_Data!$K$5:$K$304,0)),(Use_Library!$AF$27*Location!$C$9)))))</f>
        <v/>
      </c>
      <c r="C27" s="20">
        <f>IFERROR((INDEX(Org_Overrides!$D$5:$D$304,MATCH(Org_Profile!$C$4&amp;"|"&amp;$A27&amp;"|entitle",Org_Overrides!$H$5:$H$304,0))*Location!$C$9),IFERROR(INDEX(Market_Data!$D$5:$D$304,MATCH(Location!$C$4&amp;"|"&amp;$A27&amp;"|entitle",Market_Data!$K$5:$K$304,0)),IFERROR(INDEX(Market_Data!$D$5:$D$304,MATCH(Location!$C$5&amp;"|"&amp;$A27&amp;"|entitle",Market_Data!$K$5:$K$304,0)),IFERROR(INDEX(Market_Data!$D$5:$D$304,MATCH(Location!$C$6&amp;"|"&amp;$A27&amp;"|entitle",Market_Data!$K$5:$K$304,0)),(Use_Library!$AE$27*Location!$C$9)))))</f>
        <v/>
      </c>
      <c r="D27" s="20">
        <f>IFERROR((INDEX(Org_Overrides!$D$5:$D$304,MATCH(Org_Profile!$C$4&amp;"|"&amp;$A27&amp;"|tilc",Org_Overrides!$H$5:$H$304,0))*Location!$C$9),IFERROR(INDEX(Market_Data!$D$5:$D$304,MATCH(Location!$C$4&amp;"|"&amp;$A27&amp;"|tilc",Market_Data!$K$5:$K$304,0)),IFERROR(INDEX(Market_Data!$D$5:$D$304,MATCH(Location!$C$5&amp;"|"&amp;$A27&amp;"|tilc",Market_Data!$K$5:$K$304,0)),IFERROR(INDEX(Market_Data!$D$5:$D$304,MATCH(Location!$C$6&amp;"|"&amp;$A27&amp;"|tilc",Market_Data!$K$5:$K$304,0)),(Use_Library!$AG$27*Location!$C$9)))))</f>
        <v/>
      </c>
      <c r="E27" s="20">
        <f>IFERROR((INDEX(Org_Overrides!$D$5:$D$304,MATCH(Org_Profile!$C$4&amp;"|"&amp;$A27&amp;"|opex",Org_Overrides!$H$5:$H$304,0))*Location!$C$13),IFERROR(INDEX(Market_Data!$D$5:$D$304,MATCH(Location!$C$4&amp;"|"&amp;$A27&amp;"|opex",Market_Data!$K$5:$K$304,0)),IFERROR(INDEX(Market_Data!$D$5:$D$304,MATCH(Location!$C$5&amp;"|"&amp;$A27&amp;"|opex",Market_Data!$K$5:$K$304,0)),IFERROR(INDEX(Market_Data!$D$5:$D$304,MATCH(Location!$C$6&amp;"|"&amp;$A27&amp;"|opex",Market_Data!$K$5:$K$304,0)),(Use_Library!$AN$27*Location!$C$13)))))</f>
        <v/>
      </c>
      <c r="F27" s="9">
        <f>IFERROR(INDEX(Org_Overrides!$D$5:$D$304,MATCH(Org_Profile!$C$4&amp;"|"&amp;$A27&amp;"|devmo",Org_Overrides!$H$5:$H$304,0)),IFERROR(INDEX(Market_Data!$D$5:$D$304,MATCH(Location!$C$4&amp;"|"&amp;$A27&amp;"|devmo",Market_Data!$K$5:$K$304,0)),IFERROR(INDEX(Market_Data!$D$5:$D$304,MATCH(Location!$C$5&amp;"|"&amp;$A27&amp;"|devmo",Market_Data!$K$5:$K$304,0)),IFERROR(INDEX(Market_Data!$D$5:$D$304,MATCH(Location!$C$6&amp;"|"&amp;$A27&amp;"|devmo",Market_Data!$K$5:$K$304,0)),Use_Library!$AH$27))))</f>
        <v/>
      </c>
      <c r="G27" s="23">
        <f>IFERROR(INDEX(Org_Overrides!$D$5:$D$304,MATCH(Org_Profile!$C$4&amp;"|"&amp;$A27&amp;"|margin",Org_Overrides!$H$5:$H$304,0)),IF(INDEX(Org_Profile!$C$9:$C$12,MATCH(Use_Library!$C$27,Org_Profile!$B$9:$B$12,0))&lt;&gt;"",INDEX(Org_Profile!$C$9:$C$12,MATCH(Use_Library!$C$27,Org_Profile!$B$9:$B$12,0)),Use_Library!$AU$27))</f>
        <v/>
      </c>
      <c r="H27" s="20">
        <f>IFERROR(INDEX(Market_Data!$D$5:$D$304,MATCH(Location!$C$4&amp;"|"&amp;$A27&amp;"|lotprice",Market_Data!$K$5:$K$304,0)),IFERROR(INDEX(Market_Data!$D$5:$D$304,MATCH(Location!$C$5&amp;"|"&amp;$A27&amp;"|lotprice",Market_Data!$K$5:$K$304,0)),IFERROR(INDEX(Market_Data!$D$5:$D$304,MATCH(Location!$C$6&amp;"|"&amp;$A27&amp;"|lotprice",Market_Data!$K$5:$K$304,0)),IFERROR((INDEX(Org_Overrides!$D$5:$D$304,MATCH(Org_Profile!$C$4&amp;"|"&amp;$A27&amp;"|lotprice",Org_Overrides!$H$5:$H$304,0))*Location!$C$10),(Use_Library!$AI$27*Location!$C$10)))))</f>
        <v/>
      </c>
      <c r="I27" s="20">
        <f>IFERROR(INDEX(Market_Data!$D$5:$D$304,MATCH(Location!$C$4&amp;"|"&amp;$A27&amp;"|saleprice",Market_Data!$K$5:$K$304,0)),IFERROR(INDEX(Market_Data!$D$5:$D$304,MATCH(Location!$C$5&amp;"|"&amp;$A27&amp;"|saleprice",Market_Data!$K$5:$K$304,0)),IFERROR(INDEX(Market_Data!$D$5:$D$304,MATCH(Location!$C$6&amp;"|"&amp;$A27&amp;"|saleprice",Market_Data!$K$5:$K$304,0)),IFERROR((INDEX(Org_Overrides!$D$5:$D$304,MATCH(Org_Profile!$C$4&amp;"|"&amp;$A27&amp;"|saleprice",Org_Overrides!$H$5:$H$304,0))*Location!$C$10),(Use_Library!$AJ$27*Location!$C$10)))))</f>
        <v/>
      </c>
      <c r="J27" s="20">
        <f>IFERROR(INDEX(Market_Data!$D$5:$D$304,MATCH(Location!$C$4&amp;"|"&amp;$A27&amp;"|landac",Market_Data!$K$5:$K$304,0)),IFERROR(INDEX(Market_Data!$D$5:$D$304,MATCH(Location!$C$5&amp;"|"&amp;$A27&amp;"|landac",Market_Data!$K$5:$K$304,0)),IFERROR(INDEX(Market_Data!$D$5:$D$304,MATCH(Location!$C$6&amp;"|"&amp;$A27&amp;"|landac",Market_Data!$K$5:$K$304,0)),IFERROR((INDEX(Org_Overrides!$D$5:$D$304,MATCH(Org_Profile!$C$4&amp;"|"&amp;$A27&amp;"|landac",Org_Overrides!$H$5:$H$304,0))*Location!$C$10),(Use_Library!$AS$27*Location!$C$10)))))</f>
        <v/>
      </c>
      <c r="K27" s="20">
        <f>IFERROR(INDEX(Market_Data!$D$5:$D$304,MATCH(Location!$C$4&amp;"|"&amp;$A27&amp;"|rent",Market_Data!$K$5:$K$304,0)),IFERROR(INDEX(Market_Data!$D$5:$D$304,MATCH(Location!$C$5&amp;"|"&amp;$A27&amp;"|rent",Market_Data!$K$5:$K$304,0)),IFERROR(INDEX(Market_Data!$D$5:$D$304,MATCH(Location!$C$6&amp;"|"&amp;$A27&amp;"|rent",Market_Data!$K$5:$K$304,0)),IFERROR((INDEX(Org_Overrides!$D$5:$D$304,MATCH(Org_Profile!$C$4&amp;"|"&amp;$A27&amp;"|rent",Org_Overrides!$H$5:$H$304,0))*Location!$C$11),(Use_Library!$AK$27*Location!$C$11)))))</f>
        <v/>
      </c>
      <c r="L27" s="20">
        <f>IFERROR(INDEX(Market_Data!$D$5:$D$304,MATCH(Location!$C$4&amp;"|"&amp;$A27&amp;"|groundrent",Market_Data!$K$5:$K$304,0)),IFERROR(INDEX(Market_Data!$D$5:$D$304,MATCH(Location!$C$5&amp;"|"&amp;$A27&amp;"|groundrent",Market_Data!$K$5:$K$304,0)),IFERROR(INDEX(Market_Data!$D$5:$D$304,MATCH(Location!$C$6&amp;"|"&amp;$A27&amp;"|groundrent",Market_Data!$K$5:$K$304,0)),IFERROR((INDEX(Org_Overrides!$D$5:$D$304,MATCH(Org_Profile!$C$4&amp;"|"&amp;$A27&amp;"|groundrent",Org_Overrides!$H$5:$H$304,0))*Location!$C$11),(Use_Library!$AT$27*Location!$C$11)))))</f>
        <v/>
      </c>
      <c r="M27" s="23">
        <f>IFERROR(INDEX(Market_Data!$D$5:$D$304,MATCH(Location!$C$4&amp;"|"&amp;$A27&amp;"|cap",Market_Data!$K$5:$K$304,0)),IFERROR(INDEX(Market_Data!$D$5:$D$304,MATCH(Location!$C$5&amp;"|"&amp;$A27&amp;"|cap",Market_Data!$K$5:$K$304,0)),IFERROR(INDEX(Market_Data!$D$5:$D$304,MATCH(Location!$C$6&amp;"|"&amp;$A27&amp;"|cap",Market_Data!$K$5:$K$304,0)),IFERROR((INDEX(Org_Overrides!$D$5:$D$304,MATCH(Org_Profile!$C$4&amp;"|"&amp;$A27&amp;"|cap",Org_Overrides!$H$5:$H$304,0))+Location!$C$12),(Use_Library!$AR$27+Location!$C$12)))))</f>
        <v/>
      </c>
      <c r="N27" s="23">
        <f>IFERROR(INDEX(Market_Data!$D$5:$D$304,MATCH(Location!$C$4&amp;"|"&amp;$A27&amp;"|vac",Market_Data!$K$5:$K$304,0)),IFERROR(INDEX(Market_Data!$D$5:$D$304,MATCH(Location!$C$5&amp;"|"&amp;$A27&amp;"|vac",Market_Data!$K$5:$K$304,0)),IFERROR(INDEX(Market_Data!$D$5:$D$304,MATCH(Location!$C$6&amp;"|"&amp;$A27&amp;"|vac",Market_Data!$K$5:$K$304,0)),IFERROR(INDEX(Org_Overrides!$D$5:$D$304,MATCH(Org_Profile!$C$4&amp;"|"&amp;$A27&amp;"|vac",Org_Overrides!$H$5:$H$304,0)),Use_Library!$AM$27))))</f>
        <v/>
      </c>
      <c r="O27" s="24">
        <f>IFERROR(INDEX(Market_Data!$D$5:$D$304,MATCH(Location!$C$4&amp;"|"&amp;$A27&amp;"|absorb",Market_Data!$K$5:$K$304,0)),IFERROR(INDEX(Market_Data!$D$5:$D$304,MATCH(Location!$C$5&amp;"|"&amp;$A27&amp;"|absorb",Market_Data!$K$5:$K$304,0)),IFERROR(INDEX(Market_Data!$D$5:$D$304,MATCH(Location!$C$6&amp;"|"&amp;$A27&amp;"|absorb",Market_Data!$K$5:$K$304,0)),IFERROR(INDEX(Org_Overrides!$D$5:$D$304,MATCH(Org_Profile!$C$4&amp;"|"&amp;$A27&amp;"|absorb",Org_Overrides!$H$5:$H$304,0)),Use_Library!$R$27))))</f>
        <v/>
      </c>
      <c r="P27" s="24">
        <f>IFERROR(INDEX(Market_Data!$D$5:$D$304,MATCH(Location!$C$4&amp;"|"&amp;$A27&amp;"|lotabs",Market_Data!$K$5:$K$304,0)),IFERROR(INDEX(Market_Data!$D$5:$D$304,MATCH(Location!$C$5&amp;"|"&amp;$A27&amp;"|lotabs",Market_Data!$K$5:$K$304,0)),IFERROR(INDEX(Market_Data!$D$5:$D$304,MATCH(Location!$C$6&amp;"|"&amp;$A27&amp;"|lotabs",Market_Data!$K$5:$K$304,0)),IFERROR(INDEX(Org_Overrides!$D$5:$D$304,MATCH(Org_Profile!$C$4&amp;"|"&amp;$A27&amp;"|lotabs",Org_Overrides!$H$5:$H$304,0)),Use_Library!$S$27))))</f>
        <v/>
      </c>
      <c r="Q27" s="2">
        <f>IF(ISNUMBER(MATCH(Org_Profile!$C$4&amp;"|"&amp;$A27&amp;"|vert",Org_Overrides!$H$5:$H$304,0)),"Org",IF(ISNUMBER(MATCH(Location!$C$4&amp;"|"&amp;$A27&amp;"|vert",Market_Data!$K$5:$K$304,0)),"Market-City",IF(ISNUMBER(MATCH(Location!$C$5&amp;"|"&amp;$A27&amp;"|vert",Market_Data!$K$5:$K$304,0)),"Market-County",IF(ISNUMBER(MATCH(Location!$C$6&amp;"|"&amp;$A27&amp;"|vert",Market_Data!$K$5:$K$304,0)),"Market-State","Default x index"))))</f>
        <v/>
      </c>
      <c r="R27" s="2">
        <f>IF(ISNUMBER(MATCH(Org_Profile!$C$4&amp;"|"&amp;$A27&amp;"|entitle",Org_Overrides!$H$5:$H$304,0)),"Org",IF(ISNUMBER(MATCH(Location!$C$4&amp;"|"&amp;$A27&amp;"|entitle",Market_Data!$K$5:$K$304,0)),"Market-City",IF(ISNUMBER(MATCH(Location!$C$5&amp;"|"&amp;$A27&amp;"|entitle",Market_Data!$K$5:$K$304,0)),"Market-County",IF(ISNUMBER(MATCH(Location!$C$6&amp;"|"&amp;$A27&amp;"|entitle",Market_Data!$K$5:$K$304,0)),"Market-State","Default x index"))))</f>
        <v/>
      </c>
      <c r="S27" s="2">
        <f>IF(ISNUMBER(MATCH(Org_Profile!$C$4&amp;"|"&amp;$A27&amp;"|tilc",Org_Overrides!$H$5:$H$304,0)),"Org",IF(ISNUMBER(MATCH(Location!$C$4&amp;"|"&amp;$A27&amp;"|tilc",Market_Data!$K$5:$K$304,0)),"Market-City",IF(ISNUMBER(MATCH(Location!$C$5&amp;"|"&amp;$A27&amp;"|tilc",Market_Data!$K$5:$K$304,0)),"Market-County",IF(ISNUMBER(MATCH(Location!$C$6&amp;"|"&amp;$A27&amp;"|tilc",Market_Data!$K$5:$K$304,0)),"Market-State","Default x index"))))</f>
        <v/>
      </c>
      <c r="T27" s="2">
        <f>IF(ISNUMBER(MATCH(Org_Profile!$C$4&amp;"|"&amp;$A27&amp;"|opex",Org_Overrides!$H$5:$H$304,0)),"Org",IF(ISNUMBER(MATCH(Location!$C$4&amp;"|"&amp;$A27&amp;"|opex",Market_Data!$K$5:$K$304,0)),"Market-City",IF(ISNUMBER(MATCH(Location!$C$5&amp;"|"&amp;$A27&amp;"|opex",Market_Data!$K$5:$K$304,0)),"Market-County",IF(ISNUMBER(MATCH(Location!$C$6&amp;"|"&amp;$A27&amp;"|opex",Market_Data!$K$5:$K$304,0)),"Market-State","Default x index"))))</f>
        <v/>
      </c>
      <c r="U27" s="2">
        <f>IF(ISNUMBER(MATCH(Org_Profile!$C$4&amp;"|"&amp;$A27&amp;"|devmo",Org_Overrides!$H$5:$H$304,0)),"Org",IF(ISNUMBER(MATCH(Location!$C$4&amp;"|"&amp;$A27&amp;"|devmo",Market_Data!$K$5:$K$304,0)),"Market-City",IF(ISNUMBER(MATCH(Location!$C$5&amp;"|"&amp;$A27&amp;"|devmo",Market_Data!$K$5:$K$304,0)),"Market-County",IF(ISNUMBER(MATCH(Location!$C$6&amp;"|"&amp;$A27&amp;"|devmo",Market_Data!$K$5:$K$304,0)),"Market-State","Default"))))</f>
        <v/>
      </c>
      <c r="V27" s="2">
        <f>IF(ISNUMBER(MATCH(Org_Profile!$C$4&amp;"|"&amp;$A27&amp;"|margin",Org_Overrides!$H$5:$H$304,0)),"Org",IF(INDEX(Org_Profile!$C$9:$C$12,MATCH(Use_Library!$C$27,Org_Profile!$B$9:$B$12,0))&lt;&gt;"","Org engine margin","Default"))</f>
        <v/>
      </c>
      <c r="W27" s="2">
        <f>IF(ISNUMBER(MATCH(Location!$C$4&amp;"|"&amp;$A27&amp;"|lotprice",Market_Data!$K$5:$K$304,0)),"Market-City",IF(ISNUMBER(MATCH(Location!$C$5&amp;"|"&amp;$A27&amp;"|lotprice",Market_Data!$K$5:$K$304,0)),"Market-County",IF(ISNUMBER(MATCH(Location!$C$6&amp;"|"&amp;$A27&amp;"|lotprice",Market_Data!$K$5:$K$304,0)),"Market-State",IF(ISNUMBER(MATCH(Org_Profile!$C$4&amp;"|"&amp;$A27&amp;"|lotprice",Org_Overrides!$H$5:$H$304,0)),"Org","Default x index"))))</f>
        <v/>
      </c>
      <c r="X27" s="2">
        <f>IF(ISNUMBER(MATCH(Location!$C$4&amp;"|"&amp;$A27&amp;"|saleprice",Market_Data!$K$5:$K$304,0)),"Market-City",IF(ISNUMBER(MATCH(Location!$C$5&amp;"|"&amp;$A27&amp;"|saleprice",Market_Data!$K$5:$K$304,0)),"Market-County",IF(ISNUMBER(MATCH(Location!$C$6&amp;"|"&amp;$A27&amp;"|saleprice",Market_Data!$K$5:$K$304,0)),"Market-State",IF(ISNUMBER(MATCH(Org_Profile!$C$4&amp;"|"&amp;$A27&amp;"|saleprice",Org_Overrides!$H$5:$H$304,0)),"Org","Default x index"))))</f>
        <v/>
      </c>
      <c r="Y27" s="2">
        <f>IF(ISNUMBER(MATCH(Location!$C$4&amp;"|"&amp;$A27&amp;"|landac",Market_Data!$K$5:$K$304,0)),"Market-City",IF(ISNUMBER(MATCH(Location!$C$5&amp;"|"&amp;$A27&amp;"|landac",Market_Data!$K$5:$K$304,0)),"Market-County",IF(ISNUMBER(MATCH(Location!$C$6&amp;"|"&amp;$A27&amp;"|landac",Market_Data!$K$5:$K$304,0)),"Market-State",IF(ISNUMBER(MATCH(Org_Profile!$C$4&amp;"|"&amp;$A27&amp;"|landac",Org_Overrides!$H$5:$H$304,0)),"Org","Default x index"))))</f>
        <v/>
      </c>
      <c r="Z27" s="2">
        <f>IF(ISNUMBER(MATCH(Location!$C$4&amp;"|"&amp;$A27&amp;"|rent",Market_Data!$K$5:$K$304,0)),"Market-City",IF(ISNUMBER(MATCH(Location!$C$5&amp;"|"&amp;$A27&amp;"|rent",Market_Data!$K$5:$K$304,0)),"Market-County",IF(ISNUMBER(MATCH(Location!$C$6&amp;"|"&amp;$A27&amp;"|rent",Market_Data!$K$5:$K$304,0)),"Market-State",IF(ISNUMBER(MATCH(Org_Profile!$C$4&amp;"|"&amp;$A27&amp;"|rent",Org_Overrides!$H$5:$H$304,0)),"Org","Default x index"))))</f>
        <v/>
      </c>
      <c r="AA27" s="2">
        <f>IF(ISNUMBER(MATCH(Location!$C$4&amp;"|"&amp;$A27&amp;"|groundrent",Market_Data!$K$5:$K$304,0)),"Market-City",IF(ISNUMBER(MATCH(Location!$C$5&amp;"|"&amp;$A27&amp;"|groundrent",Market_Data!$K$5:$K$304,0)),"Market-County",IF(ISNUMBER(MATCH(Location!$C$6&amp;"|"&amp;$A27&amp;"|groundrent",Market_Data!$K$5:$K$304,0)),"Market-State",IF(ISNUMBER(MATCH(Org_Profile!$C$4&amp;"|"&amp;$A27&amp;"|groundrent",Org_Overrides!$H$5:$H$304,0)),"Org","Default x index"))))</f>
        <v/>
      </c>
      <c r="AB27" s="2">
        <f>IF(ISNUMBER(MATCH(Location!$C$4&amp;"|"&amp;$A27&amp;"|cap",Market_Data!$K$5:$K$304,0)),"Market-City",IF(ISNUMBER(MATCH(Location!$C$5&amp;"|"&amp;$A27&amp;"|cap",Market_Data!$K$5:$K$304,0)),"Market-County",IF(ISNUMBER(MATCH(Location!$C$6&amp;"|"&amp;$A27&amp;"|cap",Market_Data!$K$5:$K$304,0)),"Market-State",IF(ISNUMBER(MATCH(Org_Profile!$C$4&amp;"|"&amp;$A27&amp;"|cap",Org_Overrides!$H$5:$H$304,0)),"Org","Default x index"))))</f>
        <v/>
      </c>
      <c r="AC27" s="2">
        <f>IF(ISNUMBER(MATCH(Location!$C$4&amp;"|"&amp;$A27&amp;"|vac",Market_Data!$K$5:$K$304,0)),"Market-City",IF(ISNUMBER(MATCH(Location!$C$5&amp;"|"&amp;$A27&amp;"|vac",Market_Data!$K$5:$K$304,0)),"Market-County",IF(ISNUMBER(MATCH(Location!$C$6&amp;"|"&amp;$A27&amp;"|vac",Market_Data!$K$5:$K$304,0)),"Market-State",IF(ISNUMBER(MATCH(Org_Profile!$C$4&amp;"|"&amp;$A27&amp;"|vac",Org_Overrides!$H$5:$H$304,0)),"Org","Default"))))</f>
        <v/>
      </c>
      <c r="AD27" s="2">
        <f>IF(ISNUMBER(MATCH(Location!$C$4&amp;"|"&amp;$A27&amp;"|absorb",Market_Data!$K$5:$K$304,0)),"Market-City",IF(ISNUMBER(MATCH(Location!$C$5&amp;"|"&amp;$A27&amp;"|absorb",Market_Data!$K$5:$K$304,0)),"Market-County",IF(ISNUMBER(MATCH(Location!$C$6&amp;"|"&amp;$A27&amp;"|absorb",Market_Data!$K$5:$K$304,0)),"Market-State",IF(ISNUMBER(MATCH(Org_Profile!$C$4&amp;"|"&amp;$A27&amp;"|absorb",Org_Overrides!$H$5:$H$304,0)),"Org","Default"))))</f>
        <v/>
      </c>
      <c r="AE27" s="2">
        <f>IF(ISNUMBER(MATCH(Location!$C$4&amp;"|"&amp;$A27&amp;"|lotabs",Market_Data!$K$5:$K$304,0)),"Market-City",IF(ISNUMBER(MATCH(Location!$C$5&amp;"|"&amp;$A27&amp;"|lotabs",Market_Data!$K$5:$K$304,0)),"Market-County",IF(ISNUMBER(MATCH(Location!$C$6&amp;"|"&amp;$A27&amp;"|lotabs",Market_Data!$K$5:$K$304,0)),"Market-State",IF(ISNUMBER(MATCH(Org_Profile!$C$4&amp;"|"&amp;$A27&amp;"|lotabs",Org_Overrides!$H$5:$H$304,0)),"Org","Default"))))</f>
        <v/>
      </c>
      <c r="AF27" s="15">
        <f>15-COUNTIF(Q27:AE27,"Default*")</f>
        <v/>
      </c>
    </row>
    <row r="28">
      <c r="A28" s="4">
        <f>Use_Library!$A$28</f>
        <v/>
      </c>
      <c r="B28" s="20">
        <f>IFERROR((INDEX(Org_Overrides!$D$5:$D$304,MATCH(Org_Profile!$C$4&amp;"|"&amp;$A28&amp;"|vert",Org_Overrides!$H$5:$H$304,0))*Location!$C$9),IFERROR(INDEX(Market_Data!$D$5:$D$304,MATCH(Location!$C$4&amp;"|"&amp;$A28&amp;"|vert",Market_Data!$K$5:$K$304,0)),IFERROR(INDEX(Market_Data!$D$5:$D$304,MATCH(Location!$C$5&amp;"|"&amp;$A28&amp;"|vert",Market_Data!$K$5:$K$304,0)),IFERROR(INDEX(Market_Data!$D$5:$D$304,MATCH(Location!$C$6&amp;"|"&amp;$A28&amp;"|vert",Market_Data!$K$5:$K$304,0)),(Use_Library!$AF$28*Location!$C$9)))))</f>
        <v/>
      </c>
      <c r="C28" s="20">
        <f>IFERROR((INDEX(Org_Overrides!$D$5:$D$304,MATCH(Org_Profile!$C$4&amp;"|"&amp;$A28&amp;"|entitle",Org_Overrides!$H$5:$H$304,0))*Location!$C$9),IFERROR(INDEX(Market_Data!$D$5:$D$304,MATCH(Location!$C$4&amp;"|"&amp;$A28&amp;"|entitle",Market_Data!$K$5:$K$304,0)),IFERROR(INDEX(Market_Data!$D$5:$D$304,MATCH(Location!$C$5&amp;"|"&amp;$A28&amp;"|entitle",Market_Data!$K$5:$K$304,0)),IFERROR(INDEX(Market_Data!$D$5:$D$304,MATCH(Location!$C$6&amp;"|"&amp;$A28&amp;"|entitle",Market_Data!$K$5:$K$304,0)),(Use_Library!$AE$28*Location!$C$9)))))</f>
        <v/>
      </c>
      <c r="D28" s="20">
        <f>IFERROR((INDEX(Org_Overrides!$D$5:$D$304,MATCH(Org_Profile!$C$4&amp;"|"&amp;$A28&amp;"|tilc",Org_Overrides!$H$5:$H$304,0))*Location!$C$9),IFERROR(INDEX(Market_Data!$D$5:$D$304,MATCH(Location!$C$4&amp;"|"&amp;$A28&amp;"|tilc",Market_Data!$K$5:$K$304,0)),IFERROR(INDEX(Market_Data!$D$5:$D$304,MATCH(Location!$C$5&amp;"|"&amp;$A28&amp;"|tilc",Market_Data!$K$5:$K$304,0)),IFERROR(INDEX(Market_Data!$D$5:$D$304,MATCH(Location!$C$6&amp;"|"&amp;$A28&amp;"|tilc",Market_Data!$K$5:$K$304,0)),(Use_Library!$AG$28*Location!$C$9)))))</f>
        <v/>
      </c>
      <c r="E28" s="20">
        <f>IFERROR((INDEX(Org_Overrides!$D$5:$D$304,MATCH(Org_Profile!$C$4&amp;"|"&amp;$A28&amp;"|opex",Org_Overrides!$H$5:$H$304,0))*Location!$C$13),IFERROR(INDEX(Market_Data!$D$5:$D$304,MATCH(Location!$C$4&amp;"|"&amp;$A28&amp;"|opex",Market_Data!$K$5:$K$304,0)),IFERROR(INDEX(Market_Data!$D$5:$D$304,MATCH(Location!$C$5&amp;"|"&amp;$A28&amp;"|opex",Market_Data!$K$5:$K$304,0)),IFERROR(INDEX(Market_Data!$D$5:$D$304,MATCH(Location!$C$6&amp;"|"&amp;$A28&amp;"|opex",Market_Data!$K$5:$K$304,0)),(Use_Library!$AN$28*Location!$C$13)))))</f>
        <v/>
      </c>
      <c r="F28" s="9">
        <f>IFERROR(INDEX(Org_Overrides!$D$5:$D$304,MATCH(Org_Profile!$C$4&amp;"|"&amp;$A28&amp;"|devmo",Org_Overrides!$H$5:$H$304,0)),IFERROR(INDEX(Market_Data!$D$5:$D$304,MATCH(Location!$C$4&amp;"|"&amp;$A28&amp;"|devmo",Market_Data!$K$5:$K$304,0)),IFERROR(INDEX(Market_Data!$D$5:$D$304,MATCH(Location!$C$5&amp;"|"&amp;$A28&amp;"|devmo",Market_Data!$K$5:$K$304,0)),IFERROR(INDEX(Market_Data!$D$5:$D$304,MATCH(Location!$C$6&amp;"|"&amp;$A28&amp;"|devmo",Market_Data!$K$5:$K$304,0)),Use_Library!$AH$28))))</f>
        <v/>
      </c>
      <c r="G28" s="23">
        <f>IFERROR(INDEX(Org_Overrides!$D$5:$D$304,MATCH(Org_Profile!$C$4&amp;"|"&amp;$A28&amp;"|margin",Org_Overrides!$H$5:$H$304,0)),IF(INDEX(Org_Profile!$C$9:$C$12,MATCH(Use_Library!$C$28,Org_Profile!$B$9:$B$12,0))&lt;&gt;"",INDEX(Org_Profile!$C$9:$C$12,MATCH(Use_Library!$C$28,Org_Profile!$B$9:$B$12,0)),Use_Library!$AU$28))</f>
        <v/>
      </c>
      <c r="H28" s="20">
        <f>IFERROR(INDEX(Market_Data!$D$5:$D$304,MATCH(Location!$C$4&amp;"|"&amp;$A28&amp;"|lotprice",Market_Data!$K$5:$K$304,0)),IFERROR(INDEX(Market_Data!$D$5:$D$304,MATCH(Location!$C$5&amp;"|"&amp;$A28&amp;"|lotprice",Market_Data!$K$5:$K$304,0)),IFERROR(INDEX(Market_Data!$D$5:$D$304,MATCH(Location!$C$6&amp;"|"&amp;$A28&amp;"|lotprice",Market_Data!$K$5:$K$304,0)),IFERROR((INDEX(Org_Overrides!$D$5:$D$304,MATCH(Org_Profile!$C$4&amp;"|"&amp;$A28&amp;"|lotprice",Org_Overrides!$H$5:$H$304,0))*Location!$C$10),(Use_Library!$AI$28*Location!$C$10)))))</f>
        <v/>
      </c>
      <c r="I28" s="20">
        <f>IFERROR(INDEX(Market_Data!$D$5:$D$304,MATCH(Location!$C$4&amp;"|"&amp;$A28&amp;"|saleprice",Market_Data!$K$5:$K$304,0)),IFERROR(INDEX(Market_Data!$D$5:$D$304,MATCH(Location!$C$5&amp;"|"&amp;$A28&amp;"|saleprice",Market_Data!$K$5:$K$304,0)),IFERROR(INDEX(Market_Data!$D$5:$D$304,MATCH(Location!$C$6&amp;"|"&amp;$A28&amp;"|saleprice",Market_Data!$K$5:$K$304,0)),IFERROR((INDEX(Org_Overrides!$D$5:$D$304,MATCH(Org_Profile!$C$4&amp;"|"&amp;$A28&amp;"|saleprice",Org_Overrides!$H$5:$H$304,0))*Location!$C$10),(Use_Library!$AJ$28*Location!$C$10)))))</f>
        <v/>
      </c>
      <c r="J28" s="20">
        <f>IFERROR(INDEX(Market_Data!$D$5:$D$304,MATCH(Location!$C$4&amp;"|"&amp;$A28&amp;"|landac",Market_Data!$K$5:$K$304,0)),IFERROR(INDEX(Market_Data!$D$5:$D$304,MATCH(Location!$C$5&amp;"|"&amp;$A28&amp;"|landac",Market_Data!$K$5:$K$304,0)),IFERROR(INDEX(Market_Data!$D$5:$D$304,MATCH(Location!$C$6&amp;"|"&amp;$A28&amp;"|landac",Market_Data!$K$5:$K$304,0)),IFERROR((INDEX(Org_Overrides!$D$5:$D$304,MATCH(Org_Profile!$C$4&amp;"|"&amp;$A28&amp;"|landac",Org_Overrides!$H$5:$H$304,0))*Location!$C$10),(Use_Library!$AS$28*Location!$C$10)))))</f>
        <v/>
      </c>
      <c r="K28" s="20">
        <f>IFERROR(INDEX(Market_Data!$D$5:$D$304,MATCH(Location!$C$4&amp;"|"&amp;$A28&amp;"|rent",Market_Data!$K$5:$K$304,0)),IFERROR(INDEX(Market_Data!$D$5:$D$304,MATCH(Location!$C$5&amp;"|"&amp;$A28&amp;"|rent",Market_Data!$K$5:$K$304,0)),IFERROR(INDEX(Market_Data!$D$5:$D$304,MATCH(Location!$C$6&amp;"|"&amp;$A28&amp;"|rent",Market_Data!$K$5:$K$304,0)),IFERROR((INDEX(Org_Overrides!$D$5:$D$304,MATCH(Org_Profile!$C$4&amp;"|"&amp;$A28&amp;"|rent",Org_Overrides!$H$5:$H$304,0))*Location!$C$11),(Use_Library!$AK$28*Location!$C$11)))))</f>
        <v/>
      </c>
      <c r="L28" s="20">
        <f>IFERROR(INDEX(Market_Data!$D$5:$D$304,MATCH(Location!$C$4&amp;"|"&amp;$A28&amp;"|groundrent",Market_Data!$K$5:$K$304,0)),IFERROR(INDEX(Market_Data!$D$5:$D$304,MATCH(Location!$C$5&amp;"|"&amp;$A28&amp;"|groundrent",Market_Data!$K$5:$K$304,0)),IFERROR(INDEX(Market_Data!$D$5:$D$304,MATCH(Location!$C$6&amp;"|"&amp;$A28&amp;"|groundrent",Market_Data!$K$5:$K$304,0)),IFERROR((INDEX(Org_Overrides!$D$5:$D$304,MATCH(Org_Profile!$C$4&amp;"|"&amp;$A28&amp;"|groundrent",Org_Overrides!$H$5:$H$304,0))*Location!$C$11),(Use_Library!$AT$28*Location!$C$11)))))</f>
        <v/>
      </c>
      <c r="M28" s="23">
        <f>IFERROR(INDEX(Market_Data!$D$5:$D$304,MATCH(Location!$C$4&amp;"|"&amp;$A28&amp;"|cap",Market_Data!$K$5:$K$304,0)),IFERROR(INDEX(Market_Data!$D$5:$D$304,MATCH(Location!$C$5&amp;"|"&amp;$A28&amp;"|cap",Market_Data!$K$5:$K$304,0)),IFERROR(INDEX(Market_Data!$D$5:$D$304,MATCH(Location!$C$6&amp;"|"&amp;$A28&amp;"|cap",Market_Data!$K$5:$K$304,0)),IFERROR((INDEX(Org_Overrides!$D$5:$D$304,MATCH(Org_Profile!$C$4&amp;"|"&amp;$A28&amp;"|cap",Org_Overrides!$H$5:$H$304,0))+Location!$C$12),(Use_Library!$AR$28+Location!$C$12)))))</f>
        <v/>
      </c>
      <c r="N28" s="23">
        <f>IFERROR(INDEX(Market_Data!$D$5:$D$304,MATCH(Location!$C$4&amp;"|"&amp;$A28&amp;"|vac",Market_Data!$K$5:$K$304,0)),IFERROR(INDEX(Market_Data!$D$5:$D$304,MATCH(Location!$C$5&amp;"|"&amp;$A28&amp;"|vac",Market_Data!$K$5:$K$304,0)),IFERROR(INDEX(Market_Data!$D$5:$D$304,MATCH(Location!$C$6&amp;"|"&amp;$A28&amp;"|vac",Market_Data!$K$5:$K$304,0)),IFERROR(INDEX(Org_Overrides!$D$5:$D$304,MATCH(Org_Profile!$C$4&amp;"|"&amp;$A28&amp;"|vac",Org_Overrides!$H$5:$H$304,0)),Use_Library!$AM$28))))</f>
        <v/>
      </c>
      <c r="O28" s="24">
        <f>IFERROR(INDEX(Market_Data!$D$5:$D$304,MATCH(Location!$C$4&amp;"|"&amp;$A28&amp;"|absorb",Market_Data!$K$5:$K$304,0)),IFERROR(INDEX(Market_Data!$D$5:$D$304,MATCH(Location!$C$5&amp;"|"&amp;$A28&amp;"|absorb",Market_Data!$K$5:$K$304,0)),IFERROR(INDEX(Market_Data!$D$5:$D$304,MATCH(Location!$C$6&amp;"|"&amp;$A28&amp;"|absorb",Market_Data!$K$5:$K$304,0)),IFERROR(INDEX(Org_Overrides!$D$5:$D$304,MATCH(Org_Profile!$C$4&amp;"|"&amp;$A28&amp;"|absorb",Org_Overrides!$H$5:$H$304,0)),Use_Library!$R$28))))</f>
        <v/>
      </c>
      <c r="P28" s="24">
        <f>IFERROR(INDEX(Market_Data!$D$5:$D$304,MATCH(Location!$C$4&amp;"|"&amp;$A28&amp;"|lotabs",Market_Data!$K$5:$K$304,0)),IFERROR(INDEX(Market_Data!$D$5:$D$304,MATCH(Location!$C$5&amp;"|"&amp;$A28&amp;"|lotabs",Market_Data!$K$5:$K$304,0)),IFERROR(INDEX(Market_Data!$D$5:$D$304,MATCH(Location!$C$6&amp;"|"&amp;$A28&amp;"|lotabs",Market_Data!$K$5:$K$304,0)),IFERROR(INDEX(Org_Overrides!$D$5:$D$304,MATCH(Org_Profile!$C$4&amp;"|"&amp;$A28&amp;"|lotabs",Org_Overrides!$H$5:$H$304,0)),Use_Library!$S$28))))</f>
        <v/>
      </c>
      <c r="Q28" s="2">
        <f>IF(ISNUMBER(MATCH(Org_Profile!$C$4&amp;"|"&amp;$A28&amp;"|vert",Org_Overrides!$H$5:$H$304,0)),"Org",IF(ISNUMBER(MATCH(Location!$C$4&amp;"|"&amp;$A28&amp;"|vert",Market_Data!$K$5:$K$304,0)),"Market-City",IF(ISNUMBER(MATCH(Location!$C$5&amp;"|"&amp;$A28&amp;"|vert",Market_Data!$K$5:$K$304,0)),"Market-County",IF(ISNUMBER(MATCH(Location!$C$6&amp;"|"&amp;$A28&amp;"|vert",Market_Data!$K$5:$K$304,0)),"Market-State","Default x index"))))</f>
        <v/>
      </c>
      <c r="R28" s="2">
        <f>IF(ISNUMBER(MATCH(Org_Profile!$C$4&amp;"|"&amp;$A28&amp;"|entitle",Org_Overrides!$H$5:$H$304,0)),"Org",IF(ISNUMBER(MATCH(Location!$C$4&amp;"|"&amp;$A28&amp;"|entitle",Market_Data!$K$5:$K$304,0)),"Market-City",IF(ISNUMBER(MATCH(Location!$C$5&amp;"|"&amp;$A28&amp;"|entitle",Market_Data!$K$5:$K$304,0)),"Market-County",IF(ISNUMBER(MATCH(Location!$C$6&amp;"|"&amp;$A28&amp;"|entitle",Market_Data!$K$5:$K$304,0)),"Market-State","Default x index"))))</f>
        <v/>
      </c>
      <c r="S28" s="2">
        <f>IF(ISNUMBER(MATCH(Org_Profile!$C$4&amp;"|"&amp;$A28&amp;"|tilc",Org_Overrides!$H$5:$H$304,0)),"Org",IF(ISNUMBER(MATCH(Location!$C$4&amp;"|"&amp;$A28&amp;"|tilc",Market_Data!$K$5:$K$304,0)),"Market-City",IF(ISNUMBER(MATCH(Location!$C$5&amp;"|"&amp;$A28&amp;"|tilc",Market_Data!$K$5:$K$304,0)),"Market-County",IF(ISNUMBER(MATCH(Location!$C$6&amp;"|"&amp;$A28&amp;"|tilc",Market_Data!$K$5:$K$304,0)),"Market-State","Default x index"))))</f>
        <v/>
      </c>
      <c r="T28" s="2">
        <f>IF(ISNUMBER(MATCH(Org_Profile!$C$4&amp;"|"&amp;$A28&amp;"|opex",Org_Overrides!$H$5:$H$304,0)),"Org",IF(ISNUMBER(MATCH(Location!$C$4&amp;"|"&amp;$A28&amp;"|opex",Market_Data!$K$5:$K$304,0)),"Market-City",IF(ISNUMBER(MATCH(Location!$C$5&amp;"|"&amp;$A28&amp;"|opex",Market_Data!$K$5:$K$304,0)),"Market-County",IF(ISNUMBER(MATCH(Location!$C$6&amp;"|"&amp;$A28&amp;"|opex",Market_Data!$K$5:$K$304,0)),"Market-State","Default x index"))))</f>
        <v/>
      </c>
      <c r="U28" s="2">
        <f>IF(ISNUMBER(MATCH(Org_Profile!$C$4&amp;"|"&amp;$A28&amp;"|devmo",Org_Overrides!$H$5:$H$304,0)),"Org",IF(ISNUMBER(MATCH(Location!$C$4&amp;"|"&amp;$A28&amp;"|devmo",Market_Data!$K$5:$K$304,0)),"Market-City",IF(ISNUMBER(MATCH(Location!$C$5&amp;"|"&amp;$A28&amp;"|devmo",Market_Data!$K$5:$K$304,0)),"Market-County",IF(ISNUMBER(MATCH(Location!$C$6&amp;"|"&amp;$A28&amp;"|devmo",Market_Data!$K$5:$K$304,0)),"Market-State","Default"))))</f>
        <v/>
      </c>
      <c r="V28" s="2">
        <f>IF(ISNUMBER(MATCH(Org_Profile!$C$4&amp;"|"&amp;$A28&amp;"|margin",Org_Overrides!$H$5:$H$304,0)),"Org",IF(INDEX(Org_Profile!$C$9:$C$12,MATCH(Use_Library!$C$28,Org_Profile!$B$9:$B$12,0))&lt;&gt;"","Org engine margin","Default"))</f>
        <v/>
      </c>
      <c r="W28" s="2">
        <f>IF(ISNUMBER(MATCH(Location!$C$4&amp;"|"&amp;$A28&amp;"|lotprice",Market_Data!$K$5:$K$304,0)),"Market-City",IF(ISNUMBER(MATCH(Location!$C$5&amp;"|"&amp;$A28&amp;"|lotprice",Market_Data!$K$5:$K$304,0)),"Market-County",IF(ISNUMBER(MATCH(Location!$C$6&amp;"|"&amp;$A28&amp;"|lotprice",Market_Data!$K$5:$K$304,0)),"Market-State",IF(ISNUMBER(MATCH(Org_Profile!$C$4&amp;"|"&amp;$A28&amp;"|lotprice",Org_Overrides!$H$5:$H$304,0)),"Org","Default x index"))))</f>
        <v/>
      </c>
      <c r="X28" s="2">
        <f>IF(ISNUMBER(MATCH(Location!$C$4&amp;"|"&amp;$A28&amp;"|saleprice",Market_Data!$K$5:$K$304,0)),"Market-City",IF(ISNUMBER(MATCH(Location!$C$5&amp;"|"&amp;$A28&amp;"|saleprice",Market_Data!$K$5:$K$304,0)),"Market-County",IF(ISNUMBER(MATCH(Location!$C$6&amp;"|"&amp;$A28&amp;"|saleprice",Market_Data!$K$5:$K$304,0)),"Market-State",IF(ISNUMBER(MATCH(Org_Profile!$C$4&amp;"|"&amp;$A28&amp;"|saleprice",Org_Overrides!$H$5:$H$304,0)),"Org","Default x index"))))</f>
        <v/>
      </c>
      <c r="Y28" s="2">
        <f>IF(ISNUMBER(MATCH(Location!$C$4&amp;"|"&amp;$A28&amp;"|landac",Market_Data!$K$5:$K$304,0)),"Market-City",IF(ISNUMBER(MATCH(Location!$C$5&amp;"|"&amp;$A28&amp;"|landac",Market_Data!$K$5:$K$304,0)),"Market-County",IF(ISNUMBER(MATCH(Location!$C$6&amp;"|"&amp;$A28&amp;"|landac",Market_Data!$K$5:$K$304,0)),"Market-State",IF(ISNUMBER(MATCH(Org_Profile!$C$4&amp;"|"&amp;$A28&amp;"|landac",Org_Overrides!$H$5:$H$304,0)),"Org","Default x index"))))</f>
        <v/>
      </c>
      <c r="Z28" s="2">
        <f>IF(ISNUMBER(MATCH(Location!$C$4&amp;"|"&amp;$A28&amp;"|rent",Market_Data!$K$5:$K$304,0)),"Market-City",IF(ISNUMBER(MATCH(Location!$C$5&amp;"|"&amp;$A28&amp;"|rent",Market_Data!$K$5:$K$304,0)),"Market-County",IF(ISNUMBER(MATCH(Location!$C$6&amp;"|"&amp;$A28&amp;"|rent",Market_Data!$K$5:$K$304,0)),"Market-State",IF(ISNUMBER(MATCH(Org_Profile!$C$4&amp;"|"&amp;$A28&amp;"|rent",Org_Overrides!$H$5:$H$304,0)),"Org","Default x index"))))</f>
        <v/>
      </c>
      <c r="AA28" s="2">
        <f>IF(ISNUMBER(MATCH(Location!$C$4&amp;"|"&amp;$A28&amp;"|groundrent",Market_Data!$K$5:$K$304,0)),"Market-City",IF(ISNUMBER(MATCH(Location!$C$5&amp;"|"&amp;$A28&amp;"|groundrent",Market_Data!$K$5:$K$304,0)),"Market-County",IF(ISNUMBER(MATCH(Location!$C$6&amp;"|"&amp;$A28&amp;"|groundrent",Market_Data!$K$5:$K$304,0)),"Market-State",IF(ISNUMBER(MATCH(Org_Profile!$C$4&amp;"|"&amp;$A28&amp;"|groundrent",Org_Overrides!$H$5:$H$304,0)),"Org","Default x index"))))</f>
        <v/>
      </c>
      <c r="AB28" s="2">
        <f>IF(ISNUMBER(MATCH(Location!$C$4&amp;"|"&amp;$A28&amp;"|cap",Market_Data!$K$5:$K$304,0)),"Market-City",IF(ISNUMBER(MATCH(Location!$C$5&amp;"|"&amp;$A28&amp;"|cap",Market_Data!$K$5:$K$304,0)),"Market-County",IF(ISNUMBER(MATCH(Location!$C$6&amp;"|"&amp;$A28&amp;"|cap",Market_Data!$K$5:$K$304,0)),"Market-State",IF(ISNUMBER(MATCH(Org_Profile!$C$4&amp;"|"&amp;$A28&amp;"|cap",Org_Overrides!$H$5:$H$304,0)),"Org","Default x index"))))</f>
        <v/>
      </c>
      <c r="AC28" s="2">
        <f>IF(ISNUMBER(MATCH(Location!$C$4&amp;"|"&amp;$A28&amp;"|vac",Market_Data!$K$5:$K$304,0)),"Market-City",IF(ISNUMBER(MATCH(Location!$C$5&amp;"|"&amp;$A28&amp;"|vac",Market_Data!$K$5:$K$304,0)),"Market-County",IF(ISNUMBER(MATCH(Location!$C$6&amp;"|"&amp;$A28&amp;"|vac",Market_Data!$K$5:$K$304,0)),"Market-State",IF(ISNUMBER(MATCH(Org_Profile!$C$4&amp;"|"&amp;$A28&amp;"|vac",Org_Overrides!$H$5:$H$304,0)),"Org","Default"))))</f>
        <v/>
      </c>
      <c r="AD28" s="2">
        <f>IF(ISNUMBER(MATCH(Location!$C$4&amp;"|"&amp;$A28&amp;"|absorb",Market_Data!$K$5:$K$304,0)),"Market-City",IF(ISNUMBER(MATCH(Location!$C$5&amp;"|"&amp;$A28&amp;"|absorb",Market_Data!$K$5:$K$304,0)),"Market-County",IF(ISNUMBER(MATCH(Location!$C$6&amp;"|"&amp;$A28&amp;"|absorb",Market_Data!$K$5:$K$304,0)),"Market-State",IF(ISNUMBER(MATCH(Org_Profile!$C$4&amp;"|"&amp;$A28&amp;"|absorb",Org_Overrides!$H$5:$H$304,0)),"Org","Default"))))</f>
        <v/>
      </c>
      <c r="AE28" s="2">
        <f>IF(ISNUMBER(MATCH(Location!$C$4&amp;"|"&amp;$A28&amp;"|lotabs",Market_Data!$K$5:$K$304,0)),"Market-City",IF(ISNUMBER(MATCH(Location!$C$5&amp;"|"&amp;$A28&amp;"|lotabs",Market_Data!$K$5:$K$304,0)),"Market-County",IF(ISNUMBER(MATCH(Location!$C$6&amp;"|"&amp;$A28&amp;"|lotabs",Market_Data!$K$5:$K$304,0)),"Market-State",IF(ISNUMBER(MATCH(Org_Profile!$C$4&amp;"|"&amp;$A28&amp;"|lotabs",Org_Overrides!$H$5:$H$304,0)),"Org","Default"))))</f>
        <v/>
      </c>
      <c r="AF28" s="15">
        <f>15-COUNTIF(Q28:AE28,"Default*")</f>
        <v/>
      </c>
    </row>
    <row r="29">
      <c r="A29" s="4">
        <f>Use_Library!$A$29</f>
        <v/>
      </c>
      <c r="B29" s="20">
        <f>IFERROR((INDEX(Org_Overrides!$D$5:$D$304,MATCH(Org_Profile!$C$4&amp;"|"&amp;$A29&amp;"|vert",Org_Overrides!$H$5:$H$304,0))*Location!$C$9),IFERROR(INDEX(Market_Data!$D$5:$D$304,MATCH(Location!$C$4&amp;"|"&amp;$A29&amp;"|vert",Market_Data!$K$5:$K$304,0)),IFERROR(INDEX(Market_Data!$D$5:$D$304,MATCH(Location!$C$5&amp;"|"&amp;$A29&amp;"|vert",Market_Data!$K$5:$K$304,0)),IFERROR(INDEX(Market_Data!$D$5:$D$304,MATCH(Location!$C$6&amp;"|"&amp;$A29&amp;"|vert",Market_Data!$K$5:$K$304,0)),(Use_Library!$AF$29*Location!$C$9)))))</f>
        <v/>
      </c>
      <c r="C29" s="20">
        <f>IFERROR((INDEX(Org_Overrides!$D$5:$D$304,MATCH(Org_Profile!$C$4&amp;"|"&amp;$A29&amp;"|entitle",Org_Overrides!$H$5:$H$304,0))*Location!$C$9),IFERROR(INDEX(Market_Data!$D$5:$D$304,MATCH(Location!$C$4&amp;"|"&amp;$A29&amp;"|entitle",Market_Data!$K$5:$K$304,0)),IFERROR(INDEX(Market_Data!$D$5:$D$304,MATCH(Location!$C$5&amp;"|"&amp;$A29&amp;"|entitle",Market_Data!$K$5:$K$304,0)),IFERROR(INDEX(Market_Data!$D$5:$D$304,MATCH(Location!$C$6&amp;"|"&amp;$A29&amp;"|entitle",Market_Data!$K$5:$K$304,0)),(Use_Library!$AE$29*Location!$C$9)))))</f>
        <v/>
      </c>
      <c r="D29" s="20">
        <f>IFERROR((INDEX(Org_Overrides!$D$5:$D$304,MATCH(Org_Profile!$C$4&amp;"|"&amp;$A29&amp;"|tilc",Org_Overrides!$H$5:$H$304,0))*Location!$C$9),IFERROR(INDEX(Market_Data!$D$5:$D$304,MATCH(Location!$C$4&amp;"|"&amp;$A29&amp;"|tilc",Market_Data!$K$5:$K$304,0)),IFERROR(INDEX(Market_Data!$D$5:$D$304,MATCH(Location!$C$5&amp;"|"&amp;$A29&amp;"|tilc",Market_Data!$K$5:$K$304,0)),IFERROR(INDEX(Market_Data!$D$5:$D$304,MATCH(Location!$C$6&amp;"|"&amp;$A29&amp;"|tilc",Market_Data!$K$5:$K$304,0)),(Use_Library!$AG$29*Location!$C$9)))))</f>
        <v/>
      </c>
      <c r="E29" s="20">
        <f>IFERROR((INDEX(Org_Overrides!$D$5:$D$304,MATCH(Org_Profile!$C$4&amp;"|"&amp;$A29&amp;"|opex",Org_Overrides!$H$5:$H$304,0))*Location!$C$13),IFERROR(INDEX(Market_Data!$D$5:$D$304,MATCH(Location!$C$4&amp;"|"&amp;$A29&amp;"|opex",Market_Data!$K$5:$K$304,0)),IFERROR(INDEX(Market_Data!$D$5:$D$304,MATCH(Location!$C$5&amp;"|"&amp;$A29&amp;"|opex",Market_Data!$K$5:$K$304,0)),IFERROR(INDEX(Market_Data!$D$5:$D$304,MATCH(Location!$C$6&amp;"|"&amp;$A29&amp;"|opex",Market_Data!$K$5:$K$304,0)),(Use_Library!$AN$29*Location!$C$13)))))</f>
        <v/>
      </c>
      <c r="F29" s="9">
        <f>IFERROR(INDEX(Org_Overrides!$D$5:$D$304,MATCH(Org_Profile!$C$4&amp;"|"&amp;$A29&amp;"|devmo",Org_Overrides!$H$5:$H$304,0)),IFERROR(INDEX(Market_Data!$D$5:$D$304,MATCH(Location!$C$4&amp;"|"&amp;$A29&amp;"|devmo",Market_Data!$K$5:$K$304,0)),IFERROR(INDEX(Market_Data!$D$5:$D$304,MATCH(Location!$C$5&amp;"|"&amp;$A29&amp;"|devmo",Market_Data!$K$5:$K$304,0)),IFERROR(INDEX(Market_Data!$D$5:$D$304,MATCH(Location!$C$6&amp;"|"&amp;$A29&amp;"|devmo",Market_Data!$K$5:$K$304,0)),Use_Library!$AH$29))))</f>
        <v/>
      </c>
      <c r="G29" s="23">
        <f>IFERROR(INDEX(Org_Overrides!$D$5:$D$304,MATCH(Org_Profile!$C$4&amp;"|"&amp;$A29&amp;"|margin",Org_Overrides!$H$5:$H$304,0)),IF(INDEX(Org_Profile!$C$9:$C$12,MATCH(Use_Library!$C$29,Org_Profile!$B$9:$B$12,0))&lt;&gt;"",INDEX(Org_Profile!$C$9:$C$12,MATCH(Use_Library!$C$29,Org_Profile!$B$9:$B$12,0)),Use_Library!$AU$29))</f>
        <v/>
      </c>
      <c r="H29" s="20">
        <f>IFERROR(INDEX(Market_Data!$D$5:$D$304,MATCH(Location!$C$4&amp;"|"&amp;$A29&amp;"|lotprice",Market_Data!$K$5:$K$304,0)),IFERROR(INDEX(Market_Data!$D$5:$D$304,MATCH(Location!$C$5&amp;"|"&amp;$A29&amp;"|lotprice",Market_Data!$K$5:$K$304,0)),IFERROR(INDEX(Market_Data!$D$5:$D$304,MATCH(Location!$C$6&amp;"|"&amp;$A29&amp;"|lotprice",Market_Data!$K$5:$K$304,0)),IFERROR((INDEX(Org_Overrides!$D$5:$D$304,MATCH(Org_Profile!$C$4&amp;"|"&amp;$A29&amp;"|lotprice",Org_Overrides!$H$5:$H$304,0))*Location!$C$10),(Use_Library!$AI$29*Location!$C$10)))))</f>
        <v/>
      </c>
      <c r="I29" s="20">
        <f>IFERROR(INDEX(Market_Data!$D$5:$D$304,MATCH(Location!$C$4&amp;"|"&amp;$A29&amp;"|saleprice",Market_Data!$K$5:$K$304,0)),IFERROR(INDEX(Market_Data!$D$5:$D$304,MATCH(Location!$C$5&amp;"|"&amp;$A29&amp;"|saleprice",Market_Data!$K$5:$K$304,0)),IFERROR(INDEX(Market_Data!$D$5:$D$304,MATCH(Location!$C$6&amp;"|"&amp;$A29&amp;"|saleprice",Market_Data!$K$5:$K$304,0)),IFERROR((INDEX(Org_Overrides!$D$5:$D$304,MATCH(Org_Profile!$C$4&amp;"|"&amp;$A29&amp;"|saleprice",Org_Overrides!$H$5:$H$304,0))*Location!$C$10),(Use_Library!$AJ$29*Location!$C$10)))))</f>
        <v/>
      </c>
      <c r="J29" s="20">
        <f>IFERROR(INDEX(Market_Data!$D$5:$D$304,MATCH(Location!$C$4&amp;"|"&amp;$A29&amp;"|landac",Market_Data!$K$5:$K$304,0)),IFERROR(INDEX(Market_Data!$D$5:$D$304,MATCH(Location!$C$5&amp;"|"&amp;$A29&amp;"|landac",Market_Data!$K$5:$K$304,0)),IFERROR(INDEX(Market_Data!$D$5:$D$304,MATCH(Location!$C$6&amp;"|"&amp;$A29&amp;"|landac",Market_Data!$K$5:$K$304,0)),IFERROR((INDEX(Org_Overrides!$D$5:$D$304,MATCH(Org_Profile!$C$4&amp;"|"&amp;$A29&amp;"|landac",Org_Overrides!$H$5:$H$304,0))*Location!$C$10),(Use_Library!$AS$29*Location!$C$10)))))</f>
        <v/>
      </c>
      <c r="K29" s="20">
        <f>IFERROR(INDEX(Market_Data!$D$5:$D$304,MATCH(Location!$C$4&amp;"|"&amp;$A29&amp;"|rent",Market_Data!$K$5:$K$304,0)),IFERROR(INDEX(Market_Data!$D$5:$D$304,MATCH(Location!$C$5&amp;"|"&amp;$A29&amp;"|rent",Market_Data!$K$5:$K$304,0)),IFERROR(INDEX(Market_Data!$D$5:$D$304,MATCH(Location!$C$6&amp;"|"&amp;$A29&amp;"|rent",Market_Data!$K$5:$K$304,0)),IFERROR((INDEX(Org_Overrides!$D$5:$D$304,MATCH(Org_Profile!$C$4&amp;"|"&amp;$A29&amp;"|rent",Org_Overrides!$H$5:$H$304,0))*Location!$C$11),(Use_Library!$AK$29*Location!$C$11)))))</f>
        <v/>
      </c>
      <c r="L29" s="20">
        <f>IFERROR(INDEX(Market_Data!$D$5:$D$304,MATCH(Location!$C$4&amp;"|"&amp;$A29&amp;"|groundrent",Market_Data!$K$5:$K$304,0)),IFERROR(INDEX(Market_Data!$D$5:$D$304,MATCH(Location!$C$5&amp;"|"&amp;$A29&amp;"|groundrent",Market_Data!$K$5:$K$304,0)),IFERROR(INDEX(Market_Data!$D$5:$D$304,MATCH(Location!$C$6&amp;"|"&amp;$A29&amp;"|groundrent",Market_Data!$K$5:$K$304,0)),IFERROR((INDEX(Org_Overrides!$D$5:$D$304,MATCH(Org_Profile!$C$4&amp;"|"&amp;$A29&amp;"|groundrent",Org_Overrides!$H$5:$H$304,0))*Location!$C$11),(Use_Library!$AT$29*Location!$C$11)))))</f>
        <v/>
      </c>
      <c r="M29" s="23">
        <f>IFERROR(INDEX(Market_Data!$D$5:$D$304,MATCH(Location!$C$4&amp;"|"&amp;$A29&amp;"|cap",Market_Data!$K$5:$K$304,0)),IFERROR(INDEX(Market_Data!$D$5:$D$304,MATCH(Location!$C$5&amp;"|"&amp;$A29&amp;"|cap",Market_Data!$K$5:$K$304,0)),IFERROR(INDEX(Market_Data!$D$5:$D$304,MATCH(Location!$C$6&amp;"|"&amp;$A29&amp;"|cap",Market_Data!$K$5:$K$304,0)),IFERROR((INDEX(Org_Overrides!$D$5:$D$304,MATCH(Org_Profile!$C$4&amp;"|"&amp;$A29&amp;"|cap",Org_Overrides!$H$5:$H$304,0))+Location!$C$12),(Use_Library!$AR$29+Location!$C$12)))))</f>
        <v/>
      </c>
      <c r="N29" s="23">
        <f>IFERROR(INDEX(Market_Data!$D$5:$D$304,MATCH(Location!$C$4&amp;"|"&amp;$A29&amp;"|vac",Market_Data!$K$5:$K$304,0)),IFERROR(INDEX(Market_Data!$D$5:$D$304,MATCH(Location!$C$5&amp;"|"&amp;$A29&amp;"|vac",Market_Data!$K$5:$K$304,0)),IFERROR(INDEX(Market_Data!$D$5:$D$304,MATCH(Location!$C$6&amp;"|"&amp;$A29&amp;"|vac",Market_Data!$K$5:$K$304,0)),IFERROR(INDEX(Org_Overrides!$D$5:$D$304,MATCH(Org_Profile!$C$4&amp;"|"&amp;$A29&amp;"|vac",Org_Overrides!$H$5:$H$304,0)),Use_Library!$AM$29))))</f>
        <v/>
      </c>
      <c r="O29" s="24">
        <f>IFERROR(INDEX(Market_Data!$D$5:$D$304,MATCH(Location!$C$4&amp;"|"&amp;$A29&amp;"|absorb",Market_Data!$K$5:$K$304,0)),IFERROR(INDEX(Market_Data!$D$5:$D$304,MATCH(Location!$C$5&amp;"|"&amp;$A29&amp;"|absorb",Market_Data!$K$5:$K$304,0)),IFERROR(INDEX(Market_Data!$D$5:$D$304,MATCH(Location!$C$6&amp;"|"&amp;$A29&amp;"|absorb",Market_Data!$K$5:$K$304,0)),IFERROR(INDEX(Org_Overrides!$D$5:$D$304,MATCH(Org_Profile!$C$4&amp;"|"&amp;$A29&amp;"|absorb",Org_Overrides!$H$5:$H$304,0)),Use_Library!$R$29))))</f>
        <v/>
      </c>
      <c r="P29" s="24">
        <f>IFERROR(INDEX(Market_Data!$D$5:$D$304,MATCH(Location!$C$4&amp;"|"&amp;$A29&amp;"|lotabs",Market_Data!$K$5:$K$304,0)),IFERROR(INDEX(Market_Data!$D$5:$D$304,MATCH(Location!$C$5&amp;"|"&amp;$A29&amp;"|lotabs",Market_Data!$K$5:$K$304,0)),IFERROR(INDEX(Market_Data!$D$5:$D$304,MATCH(Location!$C$6&amp;"|"&amp;$A29&amp;"|lotabs",Market_Data!$K$5:$K$304,0)),IFERROR(INDEX(Org_Overrides!$D$5:$D$304,MATCH(Org_Profile!$C$4&amp;"|"&amp;$A29&amp;"|lotabs",Org_Overrides!$H$5:$H$304,0)),Use_Library!$S$29))))</f>
        <v/>
      </c>
      <c r="Q29" s="2">
        <f>IF(ISNUMBER(MATCH(Org_Profile!$C$4&amp;"|"&amp;$A29&amp;"|vert",Org_Overrides!$H$5:$H$304,0)),"Org",IF(ISNUMBER(MATCH(Location!$C$4&amp;"|"&amp;$A29&amp;"|vert",Market_Data!$K$5:$K$304,0)),"Market-City",IF(ISNUMBER(MATCH(Location!$C$5&amp;"|"&amp;$A29&amp;"|vert",Market_Data!$K$5:$K$304,0)),"Market-County",IF(ISNUMBER(MATCH(Location!$C$6&amp;"|"&amp;$A29&amp;"|vert",Market_Data!$K$5:$K$304,0)),"Market-State","Default x index"))))</f>
        <v/>
      </c>
      <c r="R29" s="2">
        <f>IF(ISNUMBER(MATCH(Org_Profile!$C$4&amp;"|"&amp;$A29&amp;"|entitle",Org_Overrides!$H$5:$H$304,0)),"Org",IF(ISNUMBER(MATCH(Location!$C$4&amp;"|"&amp;$A29&amp;"|entitle",Market_Data!$K$5:$K$304,0)),"Market-City",IF(ISNUMBER(MATCH(Location!$C$5&amp;"|"&amp;$A29&amp;"|entitle",Market_Data!$K$5:$K$304,0)),"Market-County",IF(ISNUMBER(MATCH(Location!$C$6&amp;"|"&amp;$A29&amp;"|entitle",Market_Data!$K$5:$K$304,0)),"Market-State","Default x index"))))</f>
        <v/>
      </c>
      <c r="S29" s="2">
        <f>IF(ISNUMBER(MATCH(Org_Profile!$C$4&amp;"|"&amp;$A29&amp;"|tilc",Org_Overrides!$H$5:$H$304,0)),"Org",IF(ISNUMBER(MATCH(Location!$C$4&amp;"|"&amp;$A29&amp;"|tilc",Market_Data!$K$5:$K$304,0)),"Market-City",IF(ISNUMBER(MATCH(Location!$C$5&amp;"|"&amp;$A29&amp;"|tilc",Market_Data!$K$5:$K$304,0)),"Market-County",IF(ISNUMBER(MATCH(Location!$C$6&amp;"|"&amp;$A29&amp;"|tilc",Market_Data!$K$5:$K$304,0)),"Market-State","Default x index"))))</f>
        <v/>
      </c>
      <c r="T29" s="2">
        <f>IF(ISNUMBER(MATCH(Org_Profile!$C$4&amp;"|"&amp;$A29&amp;"|opex",Org_Overrides!$H$5:$H$304,0)),"Org",IF(ISNUMBER(MATCH(Location!$C$4&amp;"|"&amp;$A29&amp;"|opex",Market_Data!$K$5:$K$304,0)),"Market-City",IF(ISNUMBER(MATCH(Location!$C$5&amp;"|"&amp;$A29&amp;"|opex",Market_Data!$K$5:$K$304,0)),"Market-County",IF(ISNUMBER(MATCH(Location!$C$6&amp;"|"&amp;$A29&amp;"|opex",Market_Data!$K$5:$K$304,0)),"Market-State","Default x index"))))</f>
        <v/>
      </c>
      <c r="U29" s="2">
        <f>IF(ISNUMBER(MATCH(Org_Profile!$C$4&amp;"|"&amp;$A29&amp;"|devmo",Org_Overrides!$H$5:$H$304,0)),"Org",IF(ISNUMBER(MATCH(Location!$C$4&amp;"|"&amp;$A29&amp;"|devmo",Market_Data!$K$5:$K$304,0)),"Market-City",IF(ISNUMBER(MATCH(Location!$C$5&amp;"|"&amp;$A29&amp;"|devmo",Market_Data!$K$5:$K$304,0)),"Market-County",IF(ISNUMBER(MATCH(Location!$C$6&amp;"|"&amp;$A29&amp;"|devmo",Market_Data!$K$5:$K$304,0)),"Market-State","Default"))))</f>
        <v/>
      </c>
      <c r="V29" s="2">
        <f>IF(ISNUMBER(MATCH(Org_Profile!$C$4&amp;"|"&amp;$A29&amp;"|margin",Org_Overrides!$H$5:$H$304,0)),"Org",IF(INDEX(Org_Profile!$C$9:$C$12,MATCH(Use_Library!$C$29,Org_Profile!$B$9:$B$12,0))&lt;&gt;"","Org engine margin","Default"))</f>
        <v/>
      </c>
      <c r="W29" s="2">
        <f>IF(ISNUMBER(MATCH(Location!$C$4&amp;"|"&amp;$A29&amp;"|lotprice",Market_Data!$K$5:$K$304,0)),"Market-City",IF(ISNUMBER(MATCH(Location!$C$5&amp;"|"&amp;$A29&amp;"|lotprice",Market_Data!$K$5:$K$304,0)),"Market-County",IF(ISNUMBER(MATCH(Location!$C$6&amp;"|"&amp;$A29&amp;"|lotprice",Market_Data!$K$5:$K$304,0)),"Market-State",IF(ISNUMBER(MATCH(Org_Profile!$C$4&amp;"|"&amp;$A29&amp;"|lotprice",Org_Overrides!$H$5:$H$304,0)),"Org","Default x index"))))</f>
        <v/>
      </c>
      <c r="X29" s="2">
        <f>IF(ISNUMBER(MATCH(Location!$C$4&amp;"|"&amp;$A29&amp;"|saleprice",Market_Data!$K$5:$K$304,0)),"Market-City",IF(ISNUMBER(MATCH(Location!$C$5&amp;"|"&amp;$A29&amp;"|saleprice",Market_Data!$K$5:$K$304,0)),"Market-County",IF(ISNUMBER(MATCH(Location!$C$6&amp;"|"&amp;$A29&amp;"|saleprice",Market_Data!$K$5:$K$304,0)),"Market-State",IF(ISNUMBER(MATCH(Org_Profile!$C$4&amp;"|"&amp;$A29&amp;"|saleprice",Org_Overrides!$H$5:$H$304,0)),"Org","Default x index"))))</f>
        <v/>
      </c>
      <c r="Y29" s="2">
        <f>IF(ISNUMBER(MATCH(Location!$C$4&amp;"|"&amp;$A29&amp;"|landac",Market_Data!$K$5:$K$304,0)),"Market-City",IF(ISNUMBER(MATCH(Location!$C$5&amp;"|"&amp;$A29&amp;"|landac",Market_Data!$K$5:$K$304,0)),"Market-County",IF(ISNUMBER(MATCH(Location!$C$6&amp;"|"&amp;$A29&amp;"|landac",Market_Data!$K$5:$K$304,0)),"Market-State",IF(ISNUMBER(MATCH(Org_Profile!$C$4&amp;"|"&amp;$A29&amp;"|landac",Org_Overrides!$H$5:$H$304,0)),"Org","Default x index"))))</f>
        <v/>
      </c>
      <c r="Z29" s="2">
        <f>IF(ISNUMBER(MATCH(Location!$C$4&amp;"|"&amp;$A29&amp;"|rent",Market_Data!$K$5:$K$304,0)),"Market-City",IF(ISNUMBER(MATCH(Location!$C$5&amp;"|"&amp;$A29&amp;"|rent",Market_Data!$K$5:$K$304,0)),"Market-County",IF(ISNUMBER(MATCH(Location!$C$6&amp;"|"&amp;$A29&amp;"|rent",Market_Data!$K$5:$K$304,0)),"Market-State",IF(ISNUMBER(MATCH(Org_Profile!$C$4&amp;"|"&amp;$A29&amp;"|rent",Org_Overrides!$H$5:$H$304,0)),"Org","Default x index"))))</f>
        <v/>
      </c>
      <c r="AA29" s="2">
        <f>IF(ISNUMBER(MATCH(Location!$C$4&amp;"|"&amp;$A29&amp;"|groundrent",Market_Data!$K$5:$K$304,0)),"Market-City",IF(ISNUMBER(MATCH(Location!$C$5&amp;"|"&amp;$A29&amp;"|groundrent",Market_Data!$K$5:$K$304,0)),"Market-County",IF(ISNUMBER(MATCH(Location!$C$6&amp;"|"&amp;$A29&amp;"|groundrent",Market_Data!$K$5:$K$304,0)),"Market-State",IF(ISNUMBER(MATCH(Org_Profile!$C$4&amp;"|"&amp;$A29&amp;"|groundrent",Org_Overrides!$H$5:$H$304,0)),"Org","Default x index"))))</f>
        <v/>
      </c>
      <c r="AB29" s="2">
        <f>IF(ISNUMBER(MATCH(Location!$C$4&amp;"|"&amp;$A29&amp;"|cap",Market_Data!$K$5:$K$304,0)),"Market-City",IF(ISNUMBER(MATCH(Location!$C$5&amp;"|"&amp;$A29&amp;"|cap",Market_Data!$K$5:$K$304,0)),"Market-County",IF(ISNUMBER(MATCH(Location!$C$6&amp;"|"&amp;$A29&amp;"|cap",Market_Data!$K$5:$K$304,0)),"Market-State",IF(ISNUMBER(MATCH(Org_Profile!$C$4&amp;"|"&amp;$A29&amp;"|cap",Org_Overrides!$H$5:$H$304,0)),"Org","Default x index"))))</f>
        <v/>
      </c>
      <c r="AC29" s="2">
        <f>IF(ISNUMBER(MATCH(Location!$C$4&amp;"|"&amp;$A29&amp;"|vac",Market_Data!$K$5:$K$304,0)),"Market-City",IF(ISNUMBER(MATCH(Location!$C$5&amp;"|"&amp;$A29&amp;"|vac",Market_Data!$K$5:$K$304,0)),"Market-County",IF(ISNUMBER(MATCH(Location!$C$6&amp;"|"&amp;$A29&amp;"|vac",Market_Data!$K$5:$K$304,0)),"Market-State",IF(ISNUMBER(MATCH(Org_Profile!$C$4&amp;"|"&amp;$A29&amp;"|vac",Org_Overrides!$H$5:$H$304,0)),"Org","Default"))))</f>
        <v/>
      </c>
      <c r="AD29" s="2">
        <f>IF(ISNUMBER(MATCH(Location!$C$4&amp;"|"&amp;$A29&amp;"|absorb",Market_Data!$K$5:$K$304,0)),"Market-City",IF(ISNUMBER(MATCH(Location!$C$5&amp;"|"&amp;$A29&amp;"|absorb",Market_Data!$K$5:$K$304,0)),"Market-County",IF(ISNUMBER(MATCH(Location!$C$6&amp;"|"&amp;$A29&amp;"|absorb",Market_Data!$K$5:$K$304,0)),"Market-State",IF(ISNUMBER(MATCH(Org_Profile!$C$4&amp;"|"&amp;$A29&amp;"|absorb",Org_Overrides!$H$5:$H$304,0)),"Org","Default"))))</f>
        <v/>
      </c>
      <c r="AE29" s="2">
        <f>IF(ISNUMBER(MATCH(Location!$C$4&amp;"|"&amp;$A29&amp;"|lotabs",Market_Data!$K$5:$K$304,0)),"Market-City",IF(ISNUMBER(MATCH(Location!$C$5&amp;"|"&amp;$A29&amp;"|lotabs",Market_Data!$K$5:$K$304,0)),"Market-County",IF(ISNUMBER(MATCH(Location!$C$6&amp;"|"&amp;$A29&amp;"|lotabs",Market_Data!$K$5:$K$304,0)),"Market-State",IF(ISNUMBER(MATCH(Org_Profile!$C$4&amp;"|"&amp;$A29&amp;"|lotabs",Org_Overrides!$H$5:$H$304,0)),"Org","Default"))))</f>
        <v/>
      </c>
      <c r="AF29" s="15">
        <f>15-COUNTIF(Q29:AE29,"Default*")</f>
        <v/>
      </c>
    </row>
    <row r="30">
      <c r="A30" s="4">
        <f>Use_Library!$A$30</f>
        <v/>
      </c>
      <c r="B30" s="20">
        <f>IFERROR((INDEX(Org_Overrides!$D$5:$D$304,MATCH(Org_Profile!$C$4&amp;"|"&amp;$A30&amp;"|vert",Org_Overrides!$H$5:$H$304,0))*Location!$C$9),IFERROR(INDEX(Market_Data!$D$5:$D$304,MATCH(Location!$C$4&amp;"|"&amp;$A30&amp;"|vert",Market_Data!$K$5:$K$304,0)),IFERROR(INDEX(Market_Data!$D$5:$D$304,MATCH(Location!$C$5&amp;"|"&amp;$A30&amp;"|vert",Market_Data!$K$5:$K$304,0)),IFERROR(INDEX(Market_Data!$D$5:$D$304,MATCH(Location!$C$6&amp;"|"&amp;$A30&amp;"|vert",Market_Data!$K$5:$K$304,0)),(Use_Library!$AF$30*Location!$C$9)))))</f>
        <v/>
      </c>
      <c r="C30" s="20">
        <f>IFERROR((INDEX(Org_Overrides!$D$5:$D$304,MATCH(Org_Profile!$C$4&amp;"|"&amp;$A30&amp;"|entitle",Org_Overrides!$H$5:$H$304,0))*Location!$C$9),IFERROR(INDEX(Market_Data!$D$5:$D$304,MATCH(Location!$C$4&amp;"|"&amp;$A30&amp;"|entitle",Market_Data!$K$5:$K$304,0)),IFERROR(INDEX(Market_Data!$D$5:$D$304,MATCH(Location!$C$5&amp;"|"&amp;$A30&amp;"|entitle",Market_Data!$K$5:$K$304,0)),IFERROR(INDEX(Market_Data!$D$5:$D$304,MATCH(Location!$C$6&amp;"|"&amp;$A30&amp;"|entitle",Market_Data!$K$5:$K$304,0)),(Use_Library!$AE$30*Location!$C$9)))))</f>
        <v/>
      </c>
      <c r="D30" s="20">
        <f>IFERROR((INDEX(Org_Overrides!$D$5:$D$304,MATCH(Org_Profile!$C$4&amp;"|"&amp;$A30&amp;"|tilc",Org_Overrides!$H$5:$H$304,0))*Location!$C$9),IFERROR(INDEX(Market_Data!$D$5:$D$304,MATCH(Location!$C$4&amp;"|"&amp;$A30&amp;"|tilc",Market_Data!$K$5:$K$304,0)),IFERROR(INDEX(Market_Data!$D$5:$D$304,MATCH(Location!$C$5&amp;"|"&amp;$A30&amp;"|tilc",Market_Data!$K$5:$K$304,0)),IFERROR(INDEX(Market_Data!$D$5:$D$304,MATCH(Location!$C$6&amp;"|"&amp;$A30&amp;"|tilc",Market_Data!$K$5:$K$304,0)),(Use_Library!$AG$30*Location!$C$9)))))</f>
        <v/>
      </c>
      <c r="E30" s="20">
        <f>IFERROR((INDEX(Org_Overrides!$D$5:$D$304,MATCH(Org_Profile!$C$4&amp;"|"&amp;$A30&amp;"|opex",Org_Overrides!$H$5:$H$304,0))*Location!$C$13),IFERROR(INDEX(Market_Data!$D$5:$D$304,MATCH(Location!$C$4&amp;"|"&amp;$A30&amp;"|opex",Market_Data!$K$5:$K$304,0)),IFERROR(INDEX(Market_Data!$D$5:$D$304,MATCH(Location!$C$5&amp;"|"&amp;$A30&amp;"|opex",Market_Data!$K$5:$K$304,0)),IFERROR(INDEX(Market_Data!$D$5:$D$304,MATCH(Location!$C$6&amp;"|"&amp;$A30&amp;"|opex",Market_Data!$K$5:$K$304,0)),(Use_Library!$AN$30*Location!$C$13)))))</f>
        <v/>
      </c>
      <c r="F30" s="9">
        <f>IFERROR(INDEX(Org_Overrides!$D$5:$D$304,MATCH(Org_Profile!$C$4&amp;"|"&amp;$A30&amp;"|devmo",Org_Overrides!$H$5:$H$304,0)),IFERROR(INDEX(Market_Data!$D$5:$D$304,MATCH(Location!$C$4&amp;"|"&amp;$A30&amp;"|devmo",Market_Data!$K$5:$K$304,0)),IFERROR(INDEX(Market_Data!$D$5:$D$304,MATCH(Location!$C$5&amp;"|"&amp;$A30&amp;"|devmo",Market_Data!$K$5:$K$304,0)),IFERROR(INDEX(Market_Data!$D$5:$D$304,MATCH(Location!$C$6&amp;"|"&amp;$A30&amp;"|devmo",Market_Data!$K$5:$K$304,0)),Use_Library!$AH$30))))</f>
        <v/>
      </c>
      <c r="G30" s="23">
        <f>IFERROR(INDEX(Org_Overrides!$D$5:$D$304,MATCH(Org_Profile!$C$4&amp;"|"&amp;$A30&amp;"|margin",Org_Overrides!$H$5:$H$304,0)),IF(INDEX(Org_Profile!$C$9:$C$12,MATCH(Use_Library!$C$30,Org_Profile!$B$9:$B$12,0))&lt;&gt;"",INDEX(Org_Profile!$C$9:$C$12,MATCH(Use_Library!$C$30,Org_Profile!$B$9:$B$12,0)),Use_Library!$AU$30))</f>
        <v/>
      </c>
      <c r="H30" s="20">
        <f>IFERROR(INDEX(Market_Data!$D$5:$D$304,MATCH(Location!$C$4&amp;"|"&amp;$A30&amp;"|lotprice",Market_Data!$K$5:$K$304,0)),IFERROR(INDEX(Market_Data!$D$5:$D$304,MATCH(Location!$C$5&amp;"|"&amp;$A30&amp;"|lotprice",Market_Data!$K$5:$K$304,0)),IFERROR(INDEX(Market_Data!$D$5:$D$304,MATCH(Location!$C$6&amp;"|"&amp;$A30&amp;"|lotprice",Market_Data!$K$5:$K$304,0)),IFERROR((INDEX(Org_Overrides!$D$5:$D$304,MATCH(Org_Profile!$C$4&amp;"|"&amp;$A30&amp;"|lotprice",Org_Overrides!$H$5:$H$304,0))*Location!$C$10),(Use_Library!$AI$30*Location!$C$10)))))</f>
        <v/>
      </c>
      <c r="I30" s="20">
        <f>IFERROR(INDEX(Market_Data!$D$5:$D$304,MATCH(Location!$C$4&amp;"|"&amp;$A30&amp;"|saleprice",Market_Data!$K$5:$K$304,0)),IFERROR(INDEX(Market_Data!$D$5:$D$304,MATCH(Location!$C$5&amp;"|"&amp;$A30&amp;"|saleprice",Market_Data!$K$5:$K$304,0)),IFERROR(INDEX(Market_Data!$D$5:$D$304,MATCH(Location!$C$6&amp;"|"&amp;$A30&amp;"|saleprice",Market_Data!$K$5:$K$304,0)),IFERROR((INDEX(Org_Overrides!$D$5:$D$304,MATCH(Org_Profile!$C$4&amp;"|"&amp;$A30&amp;"|saleprice",Org_Overrides!$H$5:$H$304,0))*Location!$C$10),(Use_Library!$AJ$30*Location!$C$10)))))</f>
        <v/>
      </c>
      <c r="J30" s="20">
        <f>IFERROR(INDEX(Market_Data!$D$5:$D$304,MATCH(Location!$C$4&amp;"|"&amp;$A30&amp;"|landac",Market_Data!$K$5:$K$304,0)),IFERROR(INDEX(Market_Data!$D$5:$D$304,MATCH(Location!$C$5&amp;"|"&amp;$A30&amp;"|landac",Market_Data!$K$5:$K$304,0)),IFERROR(INDEX(Market_Data!$D$5:$D$304,MATCH(Location!$C$6&amp;"|"&amp;$A30&amp;"|landac",Market_Data!$K$5:$K$304,0)),IFERROR((INDEX(Org_Overrides!$D$5:$D$304,MATCH(Org_Profile!$C$4&amp;"|"&amp;$A30&amp;"|landac",Org_Overrides!$H$5:$H$304,0))*Location!$C$10),(Use_Library!$AS$30*Location!$C$10)))))</f>
        <v/>
      </c>
      <c r="K30" s="20">
        <f>IFERROR(INDEX(Market_Data!$D$5:$D$304,MATCH(Location!$C$4&amp;"|"&amp;$A30&amp;"|rent",Market_Data!$K$5:$K$304,0)),IFERROR(INDEX(Market_Data!$D$5:$D$304,MATCH(Location!$C$5&amp;"|"&amp;$A30&amp;"|rent",Market_Data!$K$5:$K$304,0)),IFERROR(INDEX(Market_Data!$D$5:$D$304,MATCH(Location!$C$6&amp;"|"&amp;$A30&amp;"|rent",Market_Data!$K$5:$K$304,0)),IFERROR((INDEX(Org_Overrides!$D$5:$D$304,MATCH(Org_Profile!$C$4&amp;"|"&amp;$A30&amp;"|rent",Org_Overrides!$H$5:$H$304,0))*Location!$C$11),(Use_Library!$AK$30*Location!$C$11)))))</f>
        <v/>
      </c>
      <c r="L30" s="20">
        <f>IFERROR(INDEX(Market_Data!$D$5:$D$304,MATCH(Location!$C$4&amp;"|"&amp;$A30&amp;"|groundrent",Market_Data!$K$5:$K$304,0)),IFERROR(INDEX(Market_Data!$D$5:$D$304,MATCH(Location!$C$5&amp;"|"&amp;$A30&amp;"|groundrent",Market_Data!$K$5:$K$304,0)),IFERROR(INDEX(Market_Data!$D$5:$D$304,MATCH(Location!$C$6&amp;"|"&amp;$A30&amp;"|groundrent",Market_Data!$K$5:$K$304,0)),IFERROR((INDEX(Org_Overrides!$D$5:$D$304,MATCH(Org_Profile!$C$4&amp;"|"&amp;$A30&amp;"|groundrent",Org_Overrides!$H$5:$H$304,0))*Location!$C$11),(Use_Library!$AT$30*Location!$C$11)))))</f>
        <v/>
      </c>
      <c r="M30" s="23">
        <f>IFERROR(INDEX(Market_Data!$D$5:$D$304,MATCH(Location!$C$4&amp;"|"&amp;$A30&amp;"|cap",Market_Data!$K$5:$K$304,0)),IFERROR(INDEX(Market_Data!$D$5:$D$304,MATCH(Location!$C$5&amp;"|"&amp;$A30&amp;"|cap",Market_Data!$K$5:$K$304,0)),IFERROR(INDEX(Market_Data!$D$5:$D$304,MATCH(Location!$C$6&amp;"|"&amp;$A30&amp;"|cap",Market_Data!$K$5:$K$304,0)),IFERROR((INDEX(Org_Overrides!$D$5:$D$304,MATCH(Org_Profile!$C$4&amp;"|"&amp;$A30&amp;"|cap",Org_Overrides!$H$5:$H$304,0))+Location!$C$12),(Use_Library!$AR$30+Location!$C$12)))))</f>
        <v/>
      </c>
      <c r="N30" s="23">
        <f>IFERROR(INDEX(Market_Data!$D$5:$D$304,MATCH(Location!$C$4&amp;"|"&amp;$A30&amp;"|vac",Market_Data!$K$5:$K$304,0)),IFERROR(INDEX(Market_Data!$D$5:$D$304,MATCH(Location!$C$5&amp;"|"&amp;$A30&amp;"|vac",Market_Data!$K$5:$K$304,0)),IFERROR(INDEX(Market_Data!$D$5:$D$304,MATCH(Location!$C$6&amp;"|"&amp;$A30&amp;"|vac",Market_Data!$K$5:$K$304,0)),IFERROR(INDEX(Org_Overrides!$D$5:$D$304,MATCH(Org_Profile!$C$4&amp;"|"&amp;$A30&amp;"|vac",Org_Overrides!$H$5:$H$304,0)),Use_Library!$AM$30))))</f>
        <v/>
      </c>
      <c r="O30" s="24">
        <f>IFERROR(INDEX(Market_Data!$D$5:$D$304,MATCH(Location!$C$4&amp;"|"&amp;$A30&amp;"|absorb",Market_Data!$K$5:$K$304,0)),IFERROR(INDEX(Market_Data!$D$5:$D$304,MATCH(Location!$C$5&amp;"|"&amp;$A30&amp;"|absorb",Market_Data!$K$5:$K$304,0)),IFERROR(INDEX(Market_Data!$D$5:$D$304,MATCH(Location!$C$6&amp;"|"&amp;$A30&amp;"|absorb",Market_Data!$K$5:$K$304,0)),IFERROR(INDEX(Org_Overrides!$D$5:$D$304,MATCH(Org_Profile!$C$4&amp;"|"&amp;$A30&amp;"|absorb",Org_Overrides!$H$5:$H$304,0)),Use_Library!$R$30))))</f>
        <v/>
      </c>
      <c r="P30" s="24">
        <f>IFERROR(INDEX(Market_Data!$D$5:$D$304,MATCH(Location!$C$4&amp;"|"&amp;$A30&amp;"|lotabs",Market_Data!$K$5:$K$304,0)),IFERROR(INDEX(Market_Data!$D$5:$D$304,MATCH(Location!$C$5&amp;"|"&amp;$A30&amp;"|lotabs",Market_Data!$K$5:$K$304,0)),IFERROR(INDEX(Market_Data!$D$5:$D$304,MATCH(Location!$C$6&amp;"|"&amp;$A30&amp;"|lotabs",Market_Data!$K$5:$K$304,0)),IFERROR(INDEX(Org_Overrides!$D$5:$D$304,MATCH(Org_Profile!$C$4&amp;"|"&amp;$A30&amp;"|lotabs",Org_Overrides!$H$5:$H$304,0)),Use_Library!$S$30))))</f>
        <v/>
      </c>
      <c r="Q30" s="2">
        <f>IF(ISNUMBER(MATCH(Org_Profile!$C$4&amp;"|"&amp;$A30&amp;"|vert",Org_Overrides!$H$5:$H$304,0)),"Org",IF(ISNUMBER(MATCH(Location!$C$4&amp;"|"&amp;$A30&amp;"|vert",Market_Data!$K$5:$K$304,0)),"Market-City",IF(ISNUMBER(MATCH(Location!$C$5&amp;"|"&amp;$A30&amp;"|vert",Market_Data!$K$5:$K$304,0)),"Market-County",IF(ISNUMBER(MATCH(Location!$C$6&amp;"|"&amp;$A30&amp;"|vert",Market_Data!$K$5:$K$304,0)),"Market-State","Default x index"))))</f>
        <v/>
      </c>
      <c r="R30" s="2">
        <f>IF(ISNUMBER(MATCH(Org_Profile!$C$4&amp;"|"&amp;$A30&amp;"|entitle",Org_Overrides!$H$5:$H$304,0)),"Org",IF(ISNUMBER(MATCH(Location!$C$4&amp;"|"&amp;$A30&amp;"|entitle",Market_Data!$K$5:$K$304,0)),"Market-City",IF(ISNUMBER(MATCH(Location!$C$5&amp;"|"&amp;$A30&amp;"|entitle",Market_Data!$K$5:$K$304,0)),"Market-County",IF(ISNUMBER(MATCH(Location!$C$6&amp;"|"&amp;$A30&amp;"|entitle",Market_Data!$K$5:$K$304,0)),"Market-State","Default x index"))))</f>
        <v/>
      </c>
      <c r="S30" s="2">
        <f>IF(ISNUMBER(MATCH(Org_Profile!$C$4&amp;"|"&amp;$A30&amp;"|tilc",Org_Overrides!$H$5:$H$304,0)),"Org",IF(ISNUMBER(MATCH(Location!$C$4&amp;"|"&amp;$A30&amp;"|tilc",Market_Data!$K$5:$K$304,0)),"Market-City",IF(ISNUMBER(MATCH(Location!$C$5&amp;"|"&amp;$A30&amp;"|tilc",Market_Data!$K$5:$K$304,0)),"Market-County",IF(ISNUMBER(MATCH(Location!$C$6&amp;"|"&amp;$A30&amp;"|tilc",Market_Data!$K$5:$K$304,0)),"Market-State","Default x index"))))</f>
        <v/>
      </c>
      <c r="T30" s="2">
        <f>IF(ISNUMBER(MATCH(Org_Profile!$C$4&amp;"|"&amp;$A30&amp;"|opex",Org_Overrides!$H$5:$H$304,0)),"Org",IF(ISNUMBER(MATCH(Location!$C$4&amp;"|"&amp;$A30&amp;"|opex",Market_Data!$K$5:$K$304,0)),"Market-City",IF(ISNUMBER(MATCH(Location!$C$5&amp;"|"&amp;$A30&amp;"|opex",Market_Data!$K$5:$K$304,0)),"Market-County",IF(ISNUMBER(MATCH(Location!$C$6&amp;"|"&amp;$A30&amp;"|opex",Market_Data!$K$5:$K$304,0)),"Market-State","Default x index"))))</f>
        <v/>
      </c>
      <c r="U30" s="2">
        <f>IF(ISNUMBER(MATCH(Org_Profile!$C$4&amp;"|"&amp;$A30&amp;"|devmo",Org_Overrides!$H$5:$H$304,0)),"Org",IF(ISNUMBER(MATCH(Location!$C$4&amp;"|"&amp;$A30&amp;"|devmo",Market_Data!$K$5:$K$304,0)),"Market-City",IF(ISNUMBER(MATCH(Location!$C$5&amp;"|"&amp;$A30&amp;"|devmo",Market_Data!$K$5:$K$304,0)),"Market-County",IF(ISNUMBER(MATCH(Location!$C$6&amp;"|"&amp;$A30&amp;"|devmo",Market_Data!$K$5:$K$304,0)),"Market-State","Default"))))</f>
        <v/>
      </c>
      <c r="V30" s="2">
        <f>IF(ISNUMBER(MATCH(Org_Profile!$C$4&amp;"|"&amp;$A30&amp;"|margin",Org_Overrides!$H$5:$H$304,0)),"Org",IF(INDEX(Org_Profile!$C$9:$C$12,MATCH(Use_Library!$C$30,Org_Profile!$B$9:$B$12,0))&lt;&gt;"","Org engine margin","Default"))</f>
        <v/>
      </c>
      <c r="W30" s="2">
        <f>IF(ISNUMBER(MATCH(Location!$C$4&amp;"|"&amp;$A30&amp;"|lotprice",Market_Data!$K$5:$K$304,0)),"Market-City",IF(ISNUMBER(MATCH(Location!$C$5&amp;"|"&amp;$A30&amp;"|lotprice",Market_Data!$K$5:$K$304,0)),"Market-County",IF(ISNUMBER(MATCH(Location!$C$6&amp;"|"&amp;$A30&amp;"|lotprice",Market_Data!$K$5:$K$304,0)),"Market-State",IF(ISNUMBER(MATCH(Org_Profile!$C$4&amp;"|"&amp;$A30&amp;"|lotprice",Org_Overrides!$H$5:$H$304,0)),"Org","Default x index"))))</f>
        <v/>
      </c>
      <c r="X30" s="2">
        <f>IF(ISNUMBER(MATCH(Location!$C$4&amp;"|"&amp;$A30&amp;"|saleprice",Market_Data!$K$5:$K$304,0)),"Market-City",IF(ISNUMBER(MATCH(Location!$C$5&amp;"|"&amp;$A30&amp;"|saleprice",Market_Data!$K$5:$K$304,0)),"Market-County",IF(ISNUMBER(MATCH(Location!$C$6&amp;"|"&amp;$A30&amp;"|saleprice",Market_Data!$K$5:$K$304,0)),"Market-State",IF(ISNUMBER(MATCH(Org_Profile!$C$4&amp;"|"&amp;$A30&amp;"|saleprice",Org_Overrides!$H$5:$H$304,0)),"Org","Default x index"))))</f>
        <v/>
      </c>
      <c r="Y30" s="2">
        <f>IF(ISNUMBER(MATCH(Location!$C$4&amp;"|"&amp;$A30&amp;"|landac",Market_Data!$K$5:$K$304,0)),"Market-City",IF(ISNUMBER(MATCH(Location!$C$5&amp;"|"&amp;$A30&amp;"|landac",Market_Data!$K$5:$K$304,0)),"Market-County",IF(ISNUMBER(MATCH(Location!$C$6&amp;"|"&amp;$A30&amp;"|landac",Market_Data!$K$5:$K$304,0)),"Market-State",IF(ISNUMBER(MATCH(Org_Profile!$C$4&amp;"|"&amp;$A30&amp;"|landac",Org_Overrides!$H$5:$H$304,0)),"Org","Default x index"))))</f>
        <v/>
      </c>
      <c r="Z30" s="2">
        <f>IF(ISNUMBER(MATCH(Location!$C$4&amp;"|"&amp;$A30&amp;"|rent",Market_Data!$K$5:$K$304,0)),"Market-City",IF(ISNUMBER(MATCH(Location!$C$5&amp;"|"&amp;$A30&amp;"|rent",Market_Data!$K$5:$K$304,0)),"Market-County",IF(ISNUMBER(MATCH(Location!$C$6&amp;"|"&amp;$A30&amp;"|rent",Market_Data!$K$5:$K$304,0)),"Market-State",IF(ISNUMBER(MATCH(Org_Profile!$C$4&amp;"|"&amp;$A30&amp;"|rent",Org_Overrides!$H$5:$H$304,0)),"Org","Default x index"))))</f>
        <v/>
      </c>
      <c r="AA30" s="2">
        <f>IF(ISNUMBER(MATCH(Location!$C$4&amp;"|"&amp;$A30&amp;"|groundrent",Market_Data!$K$5:$K$304,0)),"Market-City",IF(ISNUMBER(MATCH(Location!$C$5&amp;"|"&amp;$A30&amp;"|groundrent",Market_Data!$K$5:$K$304,0)),"Market-County",IF(ISNUMBER(MATCH(Location!$C$6&amp;"|"&amp;$A30&amp;"|groundrent",Market_Data!$K$5:$K$304,0)),"Market-State",IF(ISNUMBER(MATCH(Org_Profile!$C$4&amp;"|"&amp;$A30&amp;"|groundrent",Org_Overrides!$H$5:$H$304,0)),"Org","Default x index"))))</f>
        <v/>
      </c>
      <c r="AB30" s="2">
        <f>IF(ISNUMBER(MATCH(Location!$C$4&amp;"|"&amp;$A30&amp;"|cap",Market_Data!$K$5:$K$304,0)),"Market-City",IF(ISNUMBER(MATCH(Location!$C$5&amp;"|"&amp;$A30&amp;"|cap",Market_Data!$K$5:$K$304,0)),"Market-County",IF(ISNUMBER(MATCH(Location!$C$6&amp;"|"&amp;$A30&amp;"|cap",Market_Data!$K$5:$K$304,0)),"Market-State",IF(ISNUMBER(MATCH(Org_Profile!$C$4&amp;"|"&amp;$A30&amp;"|cap",Org_Overrides!$H$5:$H$304,0)),"Org","Default x index"))))</f>
        <v/>
      </c>
      <c r="AC30" s="2">
        <f>IF(ISNUMBER(MATCH(Location!$C$4&amp;"|"&amp;$A30&amp;"|vac",Market_Data!$K$5:$K$304,0)),"Market-City",IF(ISNUMBER(MATCH(Location!$C$5&amp;"|"&amp;$A30&amp;"|vac",Market_Data!$K$5:$K$304,0)),"Market-County",IF(ISNUMBER(MATCH(Location!$C$6&amp;"|"&amp;$A30&amp;"|vac",Market_Data!$K$5:$K$304,0)),"Market-State",IF(ISNUMBER(MATCH(Org_Profile!$C$4&amp;"|"&amp;$A30&amp;"|vac",Org_Overrides!$H$5:$H$304,0)),"Org","Default"))))</f>
        <v/>
      </c>
      <c r="AD30" s="2">
        <f>IF(ISNUMBER(MATCH(Location!$C$4&amp;"|"&amp;$A30&amp;"|absorb",Market_Data!$K$5:$K$304,0)),"Market-City",IF(ISNUMBER(MATCH(Location!$C$5&amp;"|"&amp;$A30&amp;"|absorb",Market_Data!$K$5:$K$304,0)),"Market-County",IF(ISNUMBER(MATCH(Location!$C$6&amp;"|"&amp;$A30&amp;"|absorb",Market_Data!$K$5:$K$304,0)),"Market-State",IF(ISNUMBER(MATCH(Org_Profile!$C$4&amp;"|"&amp;$A30&amp;"|absorb",Org_Overrides!$H$5:$H$304,0)),"Org","Default"))))</f>
        <v/>
      </c>
      <c r="AE30" s="2">
        <f>IF(ISNUMBER(MATCH(Location!$C$4&amp;"|"&amp;$A30&amp;"|lotabs",Market_Data!$K$5:$K$304,0)),"Market-City",IF(ISNUMBER(MATCH(Location!$C$5&amp;"|"&amp;$A30&amp;"|lotabs",Market_Data!$K$5:$K$304,0)),"Market-County",IF(ISNUMBER(MATCH(Location!$C$6&amp;"|"&amp;$A30&amp;"|lotabs",Market_Data!$K$5:$K$304,0)),"Market-State",IF(ISNUMBER(MATCH(Org_Profile!$C$4&amp;"|"&amp;$A30&amp;"|lotabs",Org_Overrides!$H$5:$H$304,0)),"Org","Default"))))</f>
        <v/>
      </c>
      <c r="AF30" s="15">
        <f>15-COUNTIF(Q30:AE30,"Default*")</f>
        <v/>
      </c>
    </row>
    <row r="31">
      <c r="A31" s="4">
        <f>Use_Library!$A$31</f>
        <v/>
      </c>
      <c r="B31" s="20">
        <f>IFERROR((INDEX(Org_Overrides!$D$5:$D$304,MATCH(Org_Profile!$C$4&amp;"|"&amp;$A31&amp;"|vert",Org_Overrides!$H$5:$H$304,0))*Location!$C$9),IFERROR(INDEX(Market_Data!$D$5:$D$304,MATCH(Location!$C$4&amp;"|"&amp;$A31&amp;"|vert",Market_Data!$K$5:$K$304,0)),IFERROR(INDEX(Market_Data!$D$5:$D$304,MATCH(Location!$C$5&amp;"|"&amp;$A31&amp;"|vert",Market_Data!$K$5:$K$304,0)),IFERROR(INDEX(Market_Data!$D$5:$D$304,MATCH(Location!$C$6&amp;"|"&amp;$A31&amp;"|vert",Market_Data!$K$5:$K$304,0)),(Use_Library!$AF$31*Location!$C$9)))))</f>
        <v/>
      </c>
      <c r="C31" s="20">
        <f>IFERROR((INDEX(Org_Overrides!$D$5:$D$304,MATCH(Org_Profile!$C$4&amp;"|"&amp;$A31&amp;"|entitle",Org_Overrides!$H$5:$H$304,0))*Location!$C$9),IFERROR(INDEX(Market_Data!$D$5:$D$304,MATCH(Location!$C$4&amp;"|"&amp;$A31&amp;"|entitle",Market_Data!$K$5:$K$304,0)),IFERROR(INDEX(Market_Data!$D$5:$D$304,MATCH(Location!$C$5&amp;"|"&amp;$A31&amp;"|entitle",Market_Data!$K$5:$K$304,0)),IFERROR(INDEX(Market_Data!$D$5:$D$304,MATCH(Location!$C$6&amp;"|"&amp;$A31&amp;"|entitle",Market_Data!$K$5:$K$304,0)),(Use_Library!$AE$31*Location!$C$9)))))</f>
        <v/>
      </c>
      <c r="D31" s="20">
        <f>IFERROR((INDEX(Org_Overrides!$D$5:$D$304,MATCH(Org_Profile!$C$4&amp;"|"&amp;$A31&amp;"|tilc",Org_Overrides!$H$5:$H$304,0))*Location!$C$9),IFERROR(INDEX(Market_Data!$D$5:$D$304,MATCH(Location!$C$4&amp;"|"&amp;$A31&amp;"|tilc",Market_Data!$K$5:$K$304,0)),IFERROR(INDEX(Market_Data!$D$5:$D$304,MATCH(Location!$C$5&amp;"|"&amp;$A31&amp;"|tilc",Market_Data!$K$5:$K$304,0)),IFERROR(INDEX(Market_Data!$D$5:$D$304,MATCH(Location!$C$6&amp;"|"&amp;$A31&amp;"|tilc",Market_Data!$K$5:$K$304,0)),(Use_Library!$AG$31*Location!$C$9)))))</f>
        <v/>
      </c>
      <c r="E31" s="20">
        <f>IFERROR((INDEX(Org_Overrides!$D$5:$D$304,MATCH(Org_Profile!$C$4&amp;"|"&amp;$A31&amp;"|opex",Org_Overrides!$H$5:$H$304,0))*Location!$C$13),IFERROR(INDEX(Market_Data!$D$5:$D$304,MATCH(Location!$C$4&amp;"|"&amp;$A31&amp;"|opex",Market_Data!$K$5:$K$304,0)),IFERROR(INDEX(Market_Data!$D$5:$D$304,MATCH(Location!$C$5&amp;"|"&amp;$A31&amp;"|opex",Market_Data!$K$5:$K$304,0)),IFERROR(INDEX(Market_Data!$D$5:$D$304,MATCH(Location!$C$6&amp;"|"&amp;$A31&amp;"|opex",Market_Data!$K$5:$K$304,0)),(Use_Library!$AN$31*Location!$C$13)))))</f>
        <v/>
      </c>
      <c r="F31" s="9">
        <f>IFERROR(INDEX(Org_Overrides!$D$5:$D$304,MATCH(Org_Profile!$C$4&amp;"|"&amp;$A31&amp;"|devmo",Org_Overrides!$H$5:$H$304,0)),IFERROR(INDEX(Market_Data!$D$5:$D$304,MATCH(Location!$C$4&amp;"|"&amp;$A31&amp;"|devmo",Market_Data!$K$5:$K$304,0)),IFERROR(INDEX(Market_Data!$D$5:$D$304,MATCH(Location!$C$5&amp;"|"&amp;$A31&amp;"|devmo",Market_Data!$K$5:$K$304,0)),IFERROR(INDEX(Market_Data!$D$5:$D$304,MATCH(Location!$C$6&amp;"|"&amp;$A31&amp;"|devmo",Market_Data!$K$5:$K$304,0)),Use_Library!$AH$31))))</f>
        <v/>
      </c>
      <c r="G31" s="23">
        <f>IFERROR(INDEX(Org_Overrides!$D$5:$D$304,MATCH(Org_Profile!$C$4&amp;"|"&amp;$A31&amp;"|margin",Org_Overrides!$H$5:$H$304,0)),IF(INDEX(Org_Profile!$C$9:$C$12,MATCH(Use_Library!$C$31,Org_Profile!$B$9:$B$12,0))&lt;&gt;"",INDEX(Org_Profile!$C$9:$C$12,MATCH(Use_Library!$C$31,Org_Profile!$B$9:$B$12,0)),Use_Library!$AU$31))</f>
        <v/>
      </c>
      <c r="H31" s="20">
        <f>IFERROR(INDEX(Market_Data!$D$5:$D$304,MATCH(Location!$C$4&amp;"|"&amp;$A31&amp;"|lotprice",Market_Data!$K$5:$K$304,0)),IFERROR(INDEX(Market_Data!$D$5:$D$304,MATCH(Location!$C$5&amp;"|"&amp;$A31&amp;"|lotprice",Market_Data!$K$5:$K$304,0)),IFERROR(INDEX(Market_Data!$D$5:$D$304,MATCH(Location!$C$6&amp;"|"&amp;$A31&amp;"|lotprice",Market_Data!$K$5:$K$304,0)),IFERROR((INDEX(Org_Overrides!$D$5:$D$304,MATCH(Org_Profile!$C$4&amp;"|"&amp;$A31&amp;"|lotprice",Org_Overrides!$H$5:$H$304,0))*Location!$C$10),(Use_Library!$AI$31*Location!$C$10)))))</f>
        <v/>
      </c>
      <c r="I31" s="20">
        <f>IFERROR(INDEX(Market_Data!$D$5:$D$304,MATCH(Location!$C$4&amp;"|"&amp;$A31&amp;"|saleprice",Market_Data!$K$5:$K$304,0)),IFERROR(INDEX(Market_Data!$D$5:$D$304,MATCH(Location!$C$5&amp;"|"&amp;$A31&amp;"|saleprice",Market_Data!$K$5:$K$304,0)),IFERROR(INDEX(Market_Data!$D$5:$D$304,MATCH(Location!$C$6&amp;"|"&amp;$A31&amp;"|saleprice",Market_Data!$K$5:$K$304,0)),IFERROR((INDEX(Org_Overrides!$D$5:$D$304,MATCH(Org_Profile!$C$4&amp;"|"&amp;$A31&amp;"|saleprice",Org_Overrides!$H$5:$H$304,0))*Location!$C$10),(Use_Library!$AJ$31*Location!$C$10)))))</f>
        <v/>
      </c>
      <c r="J31" s="20">
        <f>IFERROR(INDEX(Market_Data!$D$5:$D$304,MATCH(Location!$C$4&amp;"|"&amp;$A31&amp;"|landac",Market_Data!$K$5:$K$304,0)),IFERROR(INDEX(Market_Data!$D$5:$D$304,MATCH(Location!$C$5&amp;"|"&amp;$A31&amp;"|landac",Market_Data!$K$5:$K$304,0)),IFERROR(INDEX(Market_Data!$D$5:$D$304,MATCH(Location!$C$6&amp;"|"&amp;$A31&amp;"|landac",Market_Data!$K$5:$K$304,0)),IFERROR((INDEX(Org_Overrides!$D$5:$D$304,MATCH(Org_Profile!$C$4&amp;"|"&amp;$A31&amp;"|landac",Org_Overrides!$H$5:$H$304,0))*Location!$C$10),(Use_Library!$AS$31*Location!$C$10)))))</f>
        <v/>
      </c>
      <c r="K31" s="20">
        <f>IFERROR(INDEX(Market_Data!$D$5:$D$304,MATCH(Location!$C$4&amp;"|"&amp;$A31&amp;"|rent",Market_Data!$K$5:$K$304,0)),IFERROR(INDEX(Market_Data!$D$5:$D$304,MATCH(Location!$C$5&amp;"|"&amp;$A31&amp;"|rent",Market_Data!$K$5:$K$304,0)),IFERROR(INDEX(Market_Data!$D$5:$D$304,MATCH(Location!$C$6&amp;"|"&amp;$A31&amp;"|rent",Market_Data!$K$5:$K$304,0)),IFERROR((INDEX(Org_Overrides!$D$5:$D$304,MATCH(Org_Profile!$C$4&amp;"|"&amp;$A31&amp;"|rent",Org_Overrides!$H$5:$H$304,0))*Location!$C$11),(Use_Library!$AK$31*Location!$C$11)))))</f>
        <v/>
      </c>
      <c r="L31" s="20">
        <f>IFERROR(INDEX(Market_Data!$D$5:$D$304,MATCH(Location!$C$4&amp;"|"&amp;$A31&amp;"|groundrent",Market_Data!$K$5:$K$304,0)),IFERROR(INDEX(Market_Data!$D$5:$D$304,MATCH(Location!$C$5&amp;"|"&amp;$A31&amp;"|groundrent",Market_Data!$K$5:$K$304,0)),IFERROR(INDEX(Market_Data!$D$5:$D$304,MATCH(Location!$C$6&amp;"|"&amp;$A31&amp;"|groundrent",Market_Data!$K$5:$K$304,0)),IFERROR((INDEX(Org_Overrides!$D$5:$D$304,MATCH(Org_Profile!$C$4&amp;"|"&amp;$A31&amp;"|groundrent",Org_Overrides!$H$5:$H$304,0))*Location!$C$11),(Use_Library!$AT$31*Location!$C$11)))))</f>
        <v/>
      </c>
      <c r="M31" s="23">
        <f>IFERROR(INDEX(Market_Data!$D$5:$D$304,MATCH(Location!$C$4&amp;"|"&amp;$A31&amp;"|cap",Market_Data!$K$5:$K$304,0)),IFERROR(INDEX(Market_Data!$D$5:$D$304,MATCH(Location!$C$5&amp;"|"&amp;$A31&amp;"|cap",Market_Data!$K$5:$K$304,0)),IFERROR(INDEX(Market_Data!$D$5:$D$304,MATCH(Location!$C$6&amp;"|"&amp;$A31&amp;"|cap",Market_Data!$K$5:$K$304,0)),IFERROR((INDEX(Org_Overrides!$D$5:$D$304,MATCH(Org_Profile!$C$4&amp;"|"&amp;$A31&amp;"|cap",Org_Overrides!$H$5:$H$304,0))+Location!$C$12),(Use_Library!$AR$31+Location!$C$12)))))</f>
        <v/>
      </c>
      <c r="N31" s="23">
        <f>IFERROR(INDEX(Market_Data!$D$5:$D$304,MATCH(Location!$C$4&amp;"|"&amp;$A31&amp;"|vac",Market_Data!$K$5:$K$304,0)),IFERROR(INDEX(Market_Data!$D$5:$D$304,MATCH(Location!$C$5&amp;"|"&amp;$A31&amp;"|vac",Market_Data!$K$5:$K$304,0)),IFERROR(INDEX(Market_Data!$D$5:$D$304,MATCH(Location!$C$6&amp;"|"&amp;$A31&amp;"|vac",Market_Data!$K$5:$K$304,0)),IFERROR(INDEX(Org_Overrides!$D$5:$D$304,MATCH(Org_Profile!$C$4&amp;"|"&amp;$A31&amp;"|vac",Org_Overrides!$H$5:$H$304,0)),Use_Library!$AM$31))))</f>
        <v/>
      </c>
      <c r="O31" s="24">
        <f>IFERROR(INDEX(Market_Data!$D$5:$D$304,MATCH(Location!$C$4&amp;"|"&amp;$A31&amp;"|absorb",Market_Data!$K$5:$K$304,0)),IFERROR(INDEX(Market_Data!$D$5:$D$304,MATCH(Location!$C$5&amp;"|"&amp;$A31&amp;"|absorb",Market_Data!$K$5:$K$304,0)),IFERROR(INDEX(Market_Data!$D$5:$D$304,MATCH(Location!$C$6&amp;"|"&amp;$A31&amp;"|absorb",Market_Data!$K$5:$K$304,0)),IFERROR(INDEX(Org_Overrides!$D$5:$D$304,MATCH(Org_Profile!$C$4&amp;"|"&amp;$A31&amp;"|absorb",Org_Overrides!$H$5:$H$304,0)),Use_Library!$R$31))))</f>
        <v/>
      </c>
      <c r="P31" s="24">
        <f>IFERROR(INDEX(Market_Data!$D$5:$D$304,MATCH(Location!$C$4&amp;"|"&amp;$A31&amp;"|lotabs",Market_Data!$K$5:$K$304,0)),IFERROR(INDEX(Market_Data!$D$5:$D$304,MATCH(Location!$C$5&amp;"|"&amp;$A31&amp;"|lotabs",Market_Data!$K$5:$K$304,0)),IFERROR(INDEX(Market_Data!$D$5:$D$304,MATCH(Location!$C$6&amp;"|"&amp;$A31&amp;"|lotabs",Market_Data!$K$5:$K$304,0)),IFERROR(INDEX(Org_Overrides!$D$5:$D$304,MATCH(Org_Profile!$C$4&amp;"|"&amp;$A31&amp;"|lotabs",Org_Overrides!$H$5:$H$304,0)),Use_Library!$S$31))))</f>
        <v/>
      </c>
      <c r="Q31" s="2">
        <f>IF(ISNUMBER(MATCH(Org_Profile!$C$4&amp;"|"&amp;$A31&amp;"|vert",Org_Overrides!$H$5:$H$304,0)),"Org",IF(ISNUMBER(MATCH(Location!$C$4&amp;"|"&amp;$A31&amp;"|vert",Market_Data!$K$5:$K$304,0)),"Market-City",IF(ISNUMBER(MATCH(Location!$C$5&amp;"|"&amp;$A31&amp;"|vert",Market_Data!$K$5:$K$304,0)),"Market-County",IF(ISNUMBER(MATCH(Location!$C$6&amp;"|"&amp;$A31&amp;"|vert",Market_Data!$K$5:$K$304,0)),"Market-State","Default x index"))))</f>
        <v/>
      </c>
      <c r="R31" s="2">
        <f>IF(ISNUMBER(MATCH(Org_Profile!$C$4&amp;"|"&amp;$A31&amp;"|entitle",Org_Overrides!$H$5:$H$304,0)),"Org",IF(ISNUMBER(MATCH(Location!$C$4&amp;"|"&amp;$A31&amp;"|entitle",Market_Data!$K$5:$K$304,0)),"Market-City",IF(ISNUMBER(MATCH(Location!$C$5&amp;"|"&amp;$A31&amp;"|entitle",Market_Data!$K$5:$K$304,0)),"Market-County",IF(ISNUMBER(MATCH(Location!$C$6&amp;"|"&amp;$A31&amp;"|entitle",Market_Data!$K$5:$K$304,0)),"Market-State","Default x index"))))</f>
        <v/>
      </c>
      <c r="S31" s="2">
        <f>IF(ISNUMBER(MATCH(Org_Profile!$C$4&amp;"|"&amp;$A31&amp;"|tilc",Org_Overrides!$H$5:$H$304,0)),"Org",IF(ISNUMBER(MATCH(Location!$C$4&amp;"|"&amp;$A31&amp;"|tilc",Market_Data!$K$5:$K$304,0)),"Market-City",IF(ISNUMBER(MATCH(Location!$C$5&amp;"|"&amp;$A31&amp;"|tilc",Market_Data!$K$5:$K$304,0)),"Market-County",IF(ISNUMBER(MATCH(Location!$C$6&amp;"|"&amp;$A31&amp;"|tilc",Market_Data!$K$5:$K$304,0)),"Market-State","Default x index"))))</f>
        <v/>
      </c>
      <c r="T31" s="2">
        <f>IF(ISNUMBER(MATCH(Org_Profile!$C$4&amp;"|"&amp;$A31&amp;"|opex",Org_Overrides!$H$5:$H$304,0)),"Org",IF(ISNUMBER(MATCH(Location!$C$4&amp;"|"&amp;$A31&amp;"|opex",Market_Data!$K$5:$K$304,0)),"Market-City",IF(ISNUMBER(MATCH(Location!$C$5&amp;"|"&amp;$A31&amp;"|opex",Market_Data!$K$5:$K$304,0)),"Market-County",IF(ISNUMBER(MATCH(Location!$C$6&amp;"|"&amp;$A31&amp;"|opex",Market_Data!$K$5:$K$304,0)),"Market-State","Default x index"))))</f>
        <v/>
      </c>
      <c r="U31" s="2">
        <f>IF(ISNUMBER(MATCH(Org_Profile!$C$4&amp;"|"&amp;$A31&amp;"|devmo",Org_Overrides!$H$5:$H$304,0)),"Org",IF(ISNUMBER(MATCH(Location!$C$4&amp;"|"&amp;$A31&amp;"|devmo",Market_Data!$K$5:$K$304,0)),"Market-City",IF(ISNUMBER(MATCH(Location!$C$5&amp;"|"&amp;$A31&amp;"|devmo",Market_Data!$K$5:$K$304,0)),"Market-County",IF(ISNUMBER(MATCH(Location!$C$6&amp;"|"&amp;$A31&amp;"|devmo",Market_Data!$K$5:$K$304,0)),"Market-State","Default"))))</f>
        <v/>
      </c>
      <c r="V31" s="2">
        <f>IF(ISNUMBER(MATCH(Org_Profile!$C$4&amp;"|"&amp;$A31&amp;"|margin",Org_Overrides!$H$5:$H$304,0)),"Org",IF(INDEX(Org_Profile!$C$9:$C$12,MATCH(Use_Library!$C$31,Org_Profile!$B$9:$B$12,0))&lt;&gt;"","Org engine margin","Default"))</f>
        <v/>
      </c>
      <c r="W31" s="2">
        <f>IF(ISNUMBER(MATCH(Location!$C$4&amp;"|"&amp;$A31&amp;"|lotprice",Market_Data!$K$5:$K$304,0)),"Market-City",IF(ISNUMBER(MATCH(Location!$C$5&amp;"|"&amp;$A31&amp;"|lotprice",Market_Data!$K$5:$K$304,0)),"Market-County",IF(ISNUMBER(MATCH(Location!$C$6&amp;"|"&amp;$A31&amp;"|lotprice",Market_Data!$K$5:$K$304,0)),"Market-State",IF(ISNUMBER(MATCH(Org_Profile!$C$4&amp;"|"&amp;$A31&amp;"|lotprice",Org_Overrides!$H$5:$H$304,0)),"Org","Default x index"))))</f>
        <v/>
      </c>
      <c r="X31" s="2">
        <f>IF(ISNUMBER(MATCH(Location!$C$4&amp;"|"&amp;$A31&amp;"|saleprice",Market_Data!$K$5:$K$304,0)),"Market-City",IF(ISNUMBER(MATCH(Location!$C$5&amp;"|"&amp;$A31&amp;"|saleprice",Market_Data!$K$5:$K$304,0)),"Market-County",IF(ISNUMBER(MATCH(Location!$C$6&amp;"|"&amp;$A31&amp;"|saleprice",Market_Data!$K$5:$K$304,0)),"Market-State",IF(ISNUMBER(MATCH(Org_Profile!$C$4&amp;"|"&amp;$A31&amp;"|saleprice",Org_Overrides!$H$5:$H$304,0)),"Org","Default x index"))))</f>
        <v/>
      </c>
      <c r="Y31" s="2">
        <f>IF(ISNUMBER(MATCH(Location!$C$4&amp;"|"&amp;$A31&amp;"|landac",Market_Data!$K$5:$K$304,0)),"Market-City",IF(ISNUMBER(MATCH(Location!$C$5&amp;"|"&amp;$A31&amp;"|landac",Market_Data!$K$5:$K$304,0)),"Market-County",IF(ISNUMBER(MATCH(Location!$C$6&amp;"|"&amp;$A31&amp;"|landac",Market_Data!$K$5:$K$304,0)),"Market-State",IF(ISNUMBER(MATCH(Org_Profile!$C$4&amp;"|"&amp;$A31&amp;"|landac",Org_Overrides!$H$5:$H$304,0)),"Org","Default x index"))))</f>
        <v/>
      </c>
      <c r="Z31" s="2">
        <f>IF(ISNUMBER(MATCH(Location!$C$4&amp;"|"&amp;$A31&amp;"|rent",Market_Data!$K$5:$K$304,0)),"Market-City",IF(ISNUMBER(MATCH(Location!$C$5&amp;"|"&amp;$A31&amp;"|rent",Market_Data!$K$5:$K$304,0)),"Market-County",IF(ISNUMBER(MATCH(Location!$C$6&amp;"|"&amp;$A31&amp;"|rent",Market_Data!$K$5:$K$304,0)),"Market-State",IF(ISNUMBER(MATCH(Org_Profile!$C$4&amp;"|"&amp;$A31&amp;"|rent",Org_Overrides!$H$5:$H$304,0)),"Org","Default x index"))))</f>
        <v/>
      </c>
      <c r="AA31" s="2">
        <f>IF(ISNUMBER(MATCH(Location!$C$4&amp;"|"&amp;$A31&amp;"|groundrent",Market_Data!$K$5:$K$304,0)),"Market-City",IF(ISNUMBER(MATCH(Location!$C$5&amp;"|"&amp;$A31&amp;"|groundrent",Market_Data!$K$5:$K$304,0)),"Market-County",IF(ISNUMBER(MATCH(Location!$C$6&amp;"|"&amp;$A31&amp;"|groundrent",Market_Data!$K$5:$K$304,0)),"Market-State",IF(ISNUMBER(MATCH(Org_Profile!$C$4&amp;"|"&amp;$A31&amp;"|groundrent",Org_Overrides!$H$5:$H$304,0)),"Org","Default x index"))))</f>
        <v/>
      </c>
      <c r="AB31" s="2">
        <f>IF(ISNUMBER(MATCH(Location!$C$4&amp;"|"&amp;$A31&amp;"|cap",Market_Data!$K$5:$K$304,0)),"Market-City",IF(ISNUMBER(MATCH(Location!$C$5&amp;"|"&amp;$A31&amp;"|cap",Market_Data!$K$5:$K$304,0)),"Market-County",IF(ISNUMBER(MATCH(Location!$C$6&amp;"|"&amp;$A31&amp;"|cap",Market_Data!$K$5:$K$304,0)),"Market-State",IF(ISNUMBER(MATCH(Org_Profile!$C$4&amp;"|"&amp;$A31&amp;"|cap",Org_Overrides!$H$5:$H$304,0)),"Org","Default x index"))))</f>
        <v/>
      </c>
      <c r="AC31" s="2">
        <f>IF(ISNUMBER(MATCH(Location!$C$4&amp;"|"&amp;$A31&amp;"|vac",Market_Data!$K$5:$K$304,0)),"Market-City",IF(ISNUMBER(MATCH(Location!$C$5&amp;"|"&amp;$A31&amp;"|vac",Market_Data!$K$5:$K$304,0)),"Market-County",IF(ISNUMBER(MATCH(Location!$C$6&amp;"|"&amp;$A31&amp;"|vac",Market_Data!$K$5:$K$304,0)),"Market-State",IF(ISNUMBER(MATCH(Org_Profile!$C$4&amp;"|"&amp;$A31&amp;"|vac",Org_Overrides!$H$5:$H$304,0)),"Org","Default"))))</f>
        <v/>
      </c>
      <c r="AD31" s="2">
        <f>IF(ISNUMBER(MATCH(Location!$C$4&amp;"|"&amp;$A31&amp;"|absorb",Market_Data!$K$5:$K$304,0)),"Market-City",IF(ISNUMBER(MATCH(Location!$C$5&amp;"|"&amp;$A31&amp;"|absorb",Market_Data!$K$5:$K$304,0)),"Market-County",IF(ISNUMBER(MATCH(Location!$C$6&amp;"|"&amp;$A31&amp;"|absorb",Market_Data!$K$5:$K$304,0)),"Market-State",IF(ISNUMBER(MATCH(Org_Profile!$C$4&amp;"|"&amp;$A31&amp;"|absorb",Org_Overrides!$H$5:$H$304,0)),"Org","Default"))))</f>
        <v/>
      </c>
      <c r="AE31" s="2">
        <f>IF(ISNUMBER(MATCH(Location!$C$4&amp;"|"&amp;$A31&amp;"|lotabs",Market_Data!$K$5:$K$304,0)),"Market-City",IF(ISNUMBER(MATCH(Location!$C$5&amp;"|"&amp;$A31&amp;"|lotabs",Market_Data!$K$5:$K$304,0)),"Market-County",IF(ISNUMBER(MATCH(Location!$C$6&amp;"|"&amp;$A31&amp;"|lotabs",Market_Data!$K$5:$K$304,0)),"Market-State",IF(ISNUMBER(MATCH(Org_Profile!$C$4&amp;"|"&amp;$A31&amp;"|lotabs",Org_Overrides!$H$5:$H$304,0)),"Org","Default"))))</f>
        <v/>
      </c>
      <c r="AF31" s="15">
        <f>15-COUNTIF(Q31:AE31,"Default*")</f>
        <v/>
      </c>
    </row>
    <row r="32">
      <c r="A32" s="4">
        <f>Use_Library!$A$32</f>
        <v/>
      </c>
      <c r="B32" s="20">
        <f>IFERROR((INDEX(Org_Overrides!$D$5:$D$304,MATCH(Org_Profile!$C$4&amp;"|"&amp;$A32&amp;"|vert",Org_Overrides!$H$5:$H$304,0))*Location!$C$9),IFERROR(INDEX(Market_Data!$D$5:$D$304,MATCH(Location!$C$4&amp;"|"&amp;$A32&amp;"|vert",Market_Data!$K$5:$K$304,0)),IFERROR(INDEX(Market_Data!$D$5:$D$304,MATCH(Location!$C$5&amp;"|"&amp;$A32&amp;"|vert",Market_Data!$K$5:$K$304,0)),IFERROR(INDEX(Market_Data!$D$5:$D$304,MATCH(Location!$C$6&amp;"|"&amp;$A32&amp;"|vert",Market_Data!$K$5:$K$304,0)),(Use_Library!$AF$32*Location!$C$9)))))</f>
        <v/>
      </c>
      <c r="C32" s="20">
        <f>IFERROR((INDEX(Org_Overrides!$D$5:$D$304,MATCH(Org_Profile!$C$4&amp;"|"&amp;$A32&amp;"|entitle",Org_Overrides!$H$5:$H$304,0))*Location!$C$9),IFERROR(INDEX(Market_Data!$D$5:$D$304,MATCH(Location!$C$4&amp;"|"&amp;$A32&amp;"|entitle",Market_Data!$K$5:$K$304,0)),IFERROR(INDEX(Market_Data!$D$5:$D$304,MATCH(Location!$C$5&amp;"|"&amp;$A32&amp;"|entitle",Market_Data!$K$5:$K$304,0)),IFERROR(INDEX(Market_Data!$D$5:$D$304,MATCH(Location!$C$6&amp;"|"&amp;$A32&amp;"|entitle",Market_Data!$K$5:$K$304,0)),(Use_Library!$AE$32*Location!$C$9)))))</f>
        <v/>
      </c>
      <c r="D32" s="20">
        <f>IFERROR((INDEX(Org_Overrides!$D$5:$D$304,MATCH(Org_Profile!$C$4&amp;"|"&amp;$A32&amp;"|tilc",Org_Overrides!$H$5:$H$304,0))*Location!$C$9),IFERROR(INDEX(Market_Data!$D$5:$D$304,MATCH(Location!$C$4&amp;"|"&amp;$A32&amp;"|tilc",Market_Data!$K$5:$K$304,0)),IFERROR(INDEX(Market_Data!$D$5:$D$304,MATCH(Location!$C$5&amp;"|"&amp;$A32&amp;"|tilc",Market_Data!$K$5:$K$304,0)),IFERROR(INDEX(Market_Data!$D$5:$D$304,MATCH(Location!$C$6&amp;"|"&amp;$A32&amp;"|tilc",Market_Data!$K$5:$K$304,0)),(Use_Library!$AG$32*Location!$C$9)))))</f>
        <v/>
      </c>
      <c r="E32" s="20">
        <f>IFERROR((INDEX(Org_Overrides!$D$5:$D$304,MATCH(Org_Profile!$C$4&amp;"|"&amp;$A32&amp;"|opex",Org_Overrides!$H$5:$H$304,0))*Location!$C$13),IFERROR(INDEX(Market_Data!$D$5:$D$304,MATCH(Location!$C$4&amp;"|"&amp;$A32&amp;"|opex",Market_Data!$K$5:$K$304,0)),IFERROR(INDEX(Market_Data!$D$5:$D$304,MATCH(Location!$C$5&amp;"|"&amp;$A32&amp;"|opex",Market_Data!$K$5:$K$304,0)),IFERROR(INDEX(Market_Data!$D$5:$D$304,MATCH(Location!$C$6&amp;"|"&amp;$A32&amp;"|opex",Market_Data!$K$5:$K$304,0)),(Use_Library!$AN$32*Location!$C$13)))))</f>
        <v/>
      </c>
      <c r="F32" s="9">
        <f>IFERROR(INDEX(Org_Overrides!$D$5:$D$304,MATCH(Org_Profile!$C$4&amp;"|"&amp;$A32&amp;"|devmo",Org_Overrides!$H$5:$H$304,0)),IFERROR(INDEX(Market_Data!$D$5:$D$304,MATCH(Location!$C$4&amp;"|"&amp;$A32&amp;"|devmo",Market_Data!$K$5:$K$304,0)),IFERROR(INDEX(Market_Data!$D$5:$D$304,MATCH(Location!$C$5&amp;"|"&amp;$A32&amp;"|devmo",Market_Data!$K$5:$K$304,0)),IFERROR(INDEX(Market_Data!$D$5:$D$304,MATCH(Location!$C$6&amp;"|"&amp;$A32&amp;"|devmo",Market_Data!$K$5:$K$304,0)),Use_Library!$AH$32))))</f>
        <v/>
      </c>
      <c r="G32" s="23">
        <f>IFERROR(INDEX(Org_Overrides!$D$5:$D$304,MATCH(Org_Profile!$C$4&amp;"|"&amp;$A32&amp;"|margin",Org_Overrides!$H$5:$H$304,0)),IF(INDEX(Org_Profile!$C$9:$C$12,MATCH(Use_Library!$C$32,Org_Profile!$B$9:$B$12,0))&lt;&gt;"",INDEX(Org_Profile!$C$9:$C$12,MATCH(Use_Library!$C$32,Org_Profile!$B$9:$B$12,0)),Use_Library!$AU$32))</f>
        <v/>
      </c>
      <c r="H32" s="20">
        <f>IFERROR(INDEX(Market_Data!$D$5:$D$304,MATCH(Location!$C$4&amp;"|"&amp;$A32&amp;"|lotprice",Market_Data!$K$5:$K$304,0)),IFERROR(INDEX(Market_Data!$D$5:$D$304,MATCH(Location!$C$5&amp;"|"&amp;$A32&amp;"|lotprice",Market_Data!$K$5:$K$304,0)),IFERROR(INDEX(Market_Data!$D$5:$D$304,MATCH(Location!$C$6&amp;"|"&amp;$A32&amp;"|lotprice",Market_Data!$K$5:$K$304,0)),IFERROR((INDEX(Org_Overrides!$D$5:$D$304,MATCH(Org_Profile!$C$4&amp;"|"&amp;$A32&amp;"|lotprice",Org_Overrides!$H$5:$H$304,0))*Location!$C$10),(Use_Library!$AI$32*Location!$C$10)))))</f>
        <v/>
      </c>
      <c r="I32" s="20">
        <f>IFERROR(INDEX(Market_Data!$D$5:$D$304,MATCH(Location!$C$4&amp;"|"&amp;$A32&amp;"|saleprice",Market_Data!$K$5:$K$304,0)),IFERROR(INDEX(Market_Data!$D$5:$D$304,MATCH(Location!$C$5&amp;"|"&amp;$A32&amp;"|saleprice",Market_Data!$K$5:$K$304,0)),IFERROR(INDEX(Market_Data!$D$5:$D$304,MATCH(Location!$C$6&amp;"|"&amp;$A32&amp;"|saleprice",Market_Data!$K$5:$K$304,0)),IFERROR((INDEX(Org_Overrides!$D$5:$D$304,MATCH(Org_Profile!$C$4&amp;"|"&amp;$A32&amp;"|saleprice",Org_Overrides!$H$5:$H$304,0))*Location!$C$10),(Use_Library!$AJ$32*Location!$C$10)))))</f>
        <v/>
      </c>
      <c r="J32" s="20">
        <f>IFERROR(INDEX(Market_Data!$D$5:$D$304,MATCH(Location!$C$4&amp;"|"&amp;$A32&amp;"|landac",Market_Data!$K$5:$K$304,0)),IFERROR(INDEX(Market_Data!$D$5:$D$304,MATCH(Location!$C$5&amp;"|"&amp;$A32&amp;"|landac",Market_Data!$K$5:$K$304,0)),IFERROR(INDEX(Market_Data!$D$5:$D$304,MATCH(Location!$C$6&amp;"|"&amp;$A32&amp;"|landac",Market_Data!$K$5:$K$304,0)),IFERROR((INDEX(Org_Overrides!$D$5:$D$304,MATCH(Org_Profile!$C$4&amp;"|"&amp;$A32&amp;"|landac",Org_Overrides!$H$5:$H$304,0))*Location!$C$10),(Use_Library!$AS$32*Location!$C$10)))))</f>
        <v/>
      </c>
      <c r="K32" s="20">
        <f>IFERROR(INDEX(Market_Data!$D$5:$D$304,MATCH(Location!$C$4&amp;"|"&amp;$A32&amp;"|rent",Market_Data!$K$5:$K$304,0)),IFERROR(INDEX(Market_Data!$D$5:$D$304,MATCH(Location!$C$5&amp;"|"&amp;$A32&amp;"|rent",Market_Data!$K$5:$K$304,0)),IFERROR(INDEX(Market_Data!$D$5:$D$304,MATCH(Location!$C$6&amp;"|"&amp;$A32&amp;"|rent",Market_Data!$K$5:$K$304,0)),IFERROR((INDEX(Org_Overrides!$D$5:$D$304,MATCH(Org_Profile!$C$4&amp;"|"&amp;$A32&amp;"|rent",Org_Overrides!$H$5:$H$304,0))*Location!$C$11),(Use_Library!$AK$32*Location!$C$11)))))</f>
        <v/>
      </c>
      <c r="L32" s="20">
        <f>IFERROR(INDEX(Market_Data!$D$5:$D$304,MATCH(Location!$C$4&amp;"|"&amp;$A32&amp;"|groundrent",Market_Data!$K$5:$K$304,0)),IFERROR(INDEX(Market_Data!$D$5:$D$304,MATCH(Location!$C$5&amp;"|"&amp;$A32&amp;"|groundrent",Market_Data!$K$5:$K$304,0)),IFERROR(INDEX(Market_Data!$D$5:$D$304,MATCH(Location!$C$6&amp;"|"&amp;$A32&amp;"|groundrent",Market_Data!$K$5:$K$304,0)),IFERROR((INDEX(Org_Overrides!$D$5:$D$304,MATCH(Org_Profile!$C$4&amp;"|"&amp;$A32&amp;"|groundrent",Org_Overrides!$H$5:$H$304,0))*Location!$C$11),(Use_Library!$AT$32*Location!$C$11)))))</f>
        <v/>
      </c>
      <c r="M32" s="23">
        <f>IFERROR(INDEX(Market_Data!$D$5:$D$304,MATCH(Location!$C$4&amp;"|"&amp;$A32&amp;"|cap",Market_Data!$K$5:$K$304,0)),IFERROR(INDEX(Market_Data!$D$5:$D$304,MATCH(Location!$C$5&amp;"|"&amp;$A32&amp;"|cap",Market_Data!$K$5:$K$304,0)),IFERROR(INDEX(Market_Data!$D$5:$D$304,MATCH(Location!$C$6&amp;"|"&amp;$A32&amp;"|cap",Market_Data!$K$5:$K$304,0)),IFERROR((INDEX(Org_Overrides!$D$5:$D$304,MATCH(Org_Profile!$C$4&amp;"|"&amp;$A32&amp;"|cap",Org_Overrides!$H$5:$H$304,0))+Location!$C$12),(Use_Library!$AR$32+Location!$C$12)))))</f>
        <v/>
      </c>
      <c r="N32" s="23">
        <f>IFERROR(INDEX(Market_Data!$D$5:$D$304,MATCH(Location!$C$4&amp;"|"&amp;$A32&amp;"|vac",Market_Data!$K$5:$K$304,0)),IFERROR(INDEX(Market_Data!$D$5:$D$304,MATCH(Location!$C$5&amp;"|"&amp;$A32&amp;"|vac",Market_Data!$K$5:$K$304,0)),IFERROR(INDEX(Market_Data!$D$5:$D$304,MATCH(Location!$C$6&amp;"|"&amp;$A32&amp;"|vac",Market_Data!$K$5:$K$304,0)),IFERROR(INDEX(Org_Overrides!$D$5:$D$304,MATCH(Org_Profile!$C$4&amp;"|"&amp;$A32&amp;"|vac",Org_Overrides!$H$5:$H$304,0)),Use_Library!$AM$32))))</f>
        <v/>
      </c>
      <c r="O32" s="24">
        <f>IFERROR(INDEX(Market_Data!$D$5:$D$304,MATCH(Location!$C$4&amp;"|"&amp;$A32&amp;"|absorb",Market_Data!$K$5:$K$304,0)),IFERROR(INDEX(Market_Data!$D$5:$D$304,MATCH(Location!$C$5&amp;"|"&amp;$A32&amp;"|absorb",Market_Data!$K$5:$K$304,0)),IFERROR(INDEX(Market_Data!$D$5:$D$304,MATCH(Location!$C$6&amp;"|"&amp;$A32&amp;"|absorb",Market_Data!$K$5:$K$304,0)),IFERROR(INDEX(Org_Overrides!$D$5:$D$304,MATCH(Org_Profile!$C$4&amp;"|"&amp;$A32&amp;"|absorb",Org_Overrides!$H$5:$H$304,0)),Use_Library!$R$32))))</f>
        <v/>
      </c>
      <c r="P32" s="24">
        <f>IFERROR(INDEX(Market_Data!$D$5:$D$304,MATCH(Location!$C$4&amp;"|"&amp;$A32&amp;"|lotabs",Market_Data!$K$5:$K$304,0)),IFERROR(INDEX(Market_Data!$D$5:$D$304,MATCH(Location!$C$5&amp;"|"&amp;$A32&amp;"|lotabs",Market_Data!$K$5:$K$304,0)),IFERROR(INDEX(Market_Data!$D$5:$D$304,MATCH(Location!$C$6&amp;"|"&amp;$A32&amp;"|lotabs",Market_Data!$K$5:$K$304,0)),IFERROR(INDEX(Org_Overrides!$D$5:$D$304,MATCH(Org_Profile!$C$4&amp;"|"&amp;$A32&amp;"|lotabs",Org_Overrides!$H$5:$H$304,0)),Use_Library!$S$32))))</f>
        <v/>
      </c>
      <c r="Q32" s="2">
        <f>IF(ISNUMBER(MATCH(Org_Profile!$C$4&amp;"|"&amp;$A32&amp;"|vert",Org_Overrides!$H$5:$H$304,0)),"Org",IF(ISNUMBER(MATCH(Location!$C$4&amp;"|"&amp;$A32&amp;"|vert",Market_Data!$K$5:$K$304,0)),"Market-City",IF(ISNUMBER(MATCH(Location!$C$5&amp;"|"&amp;$A32&amp;"|vert",Market_Data!$K$5:$K$304,0)),"Market-County",IF(ISNUMBER(MATCH(Location!$C$6&amp;"|"&amp;$A32&amp;"|vert",Market_Data!$K$5:$K$304,0)),"Market-State","Default x index"))))</f>
        <v/>
      </c>
      <c r="R32" s="2">
        <f>IF(ISNUMBER(MATCH(Org_Profile!$C$4&amp;"|"&amp;$A32&amp;"|entitle",Org_Overrides!$H$5:$H$304,0)),"Org",IF(ISNUMBER(MATCH(Location!$C$4&amp;"|"&amp;$A32&amp;"|entitle",Market_Data!$K$5:$K$304,0)),"Market-City",IF(ISNUMBER(MATCH(Location!$C$5&amp;"|"&amp;$A32&amp;"|entitle",Market_Data!$K$5:$K$304,0)),"Market-County",IF(ISNUMBER(MATCH(Location!$C$6&amp;"|"&amp;$A32&amp;"|entitle",Market_Data!$K$5:$K$304,0)),"Market-State","Default x index"))))</f>
        <v/>
      </c>
      <c r="S32" s="2">
        <f>IF(ISNUMBER(MATCH(Org_Profile!$C$4&amp;"|"&amp;$A32&amp;"|tilc",Org_Overrides!$H$5:$H$304,0)),"Org",IF(ISNUMBER(MATCH(Location!$C$4&amp;"|"&amp;$A32&amp;"|tilc",Market_Data!$K$5:$K$304,0)),"Market-City",IF(ISNUMBER(MATCH(Location!$C$5&amp;"|"&amp;$A32&amp;"|tilc",Market_Data!$K$5:$K$304,0)),"Market-County",IF(ISNUMBER(MATCH(Location!$C$6&amp;"|"&amp;$A32&amp;"|tilc",Market_Data!$K$5:$K$304,0)),"Market-State","Default x index"))))</f>
        <v/>
      </c>
      <c r="T32" s="2">
        <f>IF(ISNUMBER(MATCH(Org_Profile!$C$4&amp;"|"&amp;$A32&amp;"|opex",Org_Overrides!$H$5:$H$304,0)),"Org",IF(ISNUMBER(MATCH(Location!$C$4&amp;"|"&amp;$A32&amp;"|opex",Market_Data!$K$5:$K$304,0)),"Market-City",IF(ISNUMBER(MATCH(Location!$C$5&amp;"|"&amp;$A32&amp;"|opex",Market_Data!$K$5:$K$304,0)),"Market-County",IF(ISNUMBER(MATCH(Location!$C$6&amp;"|"&amp;$A32&amp;"|opex",Market_Data!$K$5:$K$304,0)),"Market-State","Default x index"))))</f>
        <v/>
      </c>
      <c r="U32" s="2">
        <f>IF(ISNUMBER(MATCH(Org_Profile!$C$4&amp;"|"&amp;$A32&amp;"|devmo",Org_Overrides!$H$5:$H$304,0)),"Org",IF(ISNUMBER(MATCH(Location!$C$4&amp;"|"&amp;$A32&amp;"|devmo",Market_Data!$K$5:$K$304,0)),"Market-City",IF(ISNUMBER(MATCH(Location!$C$5&amp;"|"&amp;$A32&amp;"|devmo",Market_Data!$K$5:$K$304,0)),"Market-County",IF(ISNUMBER(MATCH(Location!$C$6&amp;"|"&amp;$A32&amp;"|devmo",Market_Data!$K$5:$K$304,0)),"Market-State","Default"))))</f>
        <v/>
      </c>
      <c r="V32" s="2">
        <f>IF(ISNUMBER(MATCH(Org_Profile!$C$4&amp;"|"&amp;$A32&amp;"|margin",Org_Overrides!$H$5:$H$304,0)),"Org",IF(INDEX(Org_Profile!$C$9:$C$12,MATCH(Use_Library!$C$32,Org_Profile!$B$9:$B$12,0))&lt;&gt;"","Org engine margin","Default"))</f>
        <v/>
      </c>
      <c r="W32" s="2">
        <f>IF(ISNUMBER(MATCH(Location!$C$4&amp;"|"&amp;$A32&amp;"|lotprice",Market_Data!$K$5:$K$304,0)),"Market-City",IF(ISNUMBER(MATCH(Location!$C$5&amp;"|"&amp;$A32&amp;"|lotprice",Market_Data!$K$5:$K$304,0)),"Market-County",IF(ISNUMBER(MATCH(Location!$C$6&amp;"|"&amp;$A32&amp;"|lotprice",Market_Data!$K$5:$K$304,0)),"Market-State",IF(ISNUMBER(MATCH(Org_Profile!$C$4&amp;"|"&amp;$A32&amp;"|lotprice",Org_Overrides!$H$5:$H$304,0)),"Org","Default x index"))))</f>
        <v/>
      </c>
      <c r="X32" s="2">
        <f>IF(ISNUMBER(MATCH(Location!$C$4&amp;"|"&amp;$A32&amp;"|saleprice",Market_Data!$K$5:$K$304,0)),"Market-City",IF(ISNUMBER(MATCH(Location!$C$5&amp;"|"&amp;$A32&amp;"|saleprice",Market_Data!$K$5:$K$304,0)),"Market-County",IF(ISNUMBER(MATCH(Location!$C$6&amp;"|"&amp;$A32&amp;"|saleprice",Market_Data!$K$5:$K$304,0)),"Market-State",IF(ISNUMBER(MATCH(Org_Profile!$C$4&amp;"|"&amp;$A32&amp;"|saleprice",Org_Overrides!$H$5:$H$304,0)),"Org","Default x index"))))</f>
        <v/>
      </c>
      <c r="Y32" s="2">
        <f>IF(ISNUMBER(MATCH(Location!$C$4&amp;"|"&amp;$A32&amp;"|landac",Market_Data!$K$5:$K$304,0)),"Market-City",IF(ISNUMBER(MATCH(Location!$C$5&amp;"|"&amp;$A32&amp;"|landac",Market_Data!$K$5:$K$304,0)),"Market-County",IF(ISNUMBER(MATCH(Location!$C$6&amp;"|"&amp;$A32&amp;"|landac",Market_Data!$K$5:$K$304,0)),"Market-State",IF(ISNUMBER(MATCH(Org_Profile!$C$4&amp;"|"&amp;$A32&amp;"|landac",Org_Overrides!$H$5:$H$304,0)),"Org","Default x index"))))</f>
        <v/>
      </c>
      <c r="Z32" s="2">
        <f>IF(ISNUMBER(MATCH(Location!$C$4&amp;"|"&amp;$A32&amp;"|rent",Market_Data!$K$5:$K$304,0)),"Market-City",IF(ISNUMBER(MATCH(Location!$C$5&amp;"|"&amp;$A32&amp;"|rent",Market_Data!$K$5:$K$304,0)),"Market-County",IF(ISNUMBER(MATCH(Location!$C$6&amp;"|"&amp;$A32&amp;"|rent",Market_Data!$K$5:$K$304,0)),"Market-State",IF(ISNUMBER(MATCH(Org_Profile!$C$4&amp;"|"&amp;$A32&amp;"|rent",Org_Overrides!$H$5:$H$304,0)),"Org","Default x index"))))</f>
        <v/>
      </c>
      <c r="AA32" s="2">
        <f>IF(ISNUMBER(MATCH(Location!$C$4&amp;"|"&amp;$A32&amp;"|groundrent",Market_Data!$K$5:$K$304,0)),"Market-City",IF(ISNUMBER(MATCH(Location!$C$5&amp;"|"&amp;$A32&amp;"|groundrent",Market_Data!$K$5:$K$304,0)),"Market-County",IF(ISNUMBER(MATCH(Location!$C$6&amp;"|"&amp;$A32&amp;"|groundrent",Market_Data!$K$5:$K$304,0)),"Market-State",IF(ISNUMBER(MATCH(Org_Profile!$C$4&amp;"|"&amp;$A32&amp;"|groundrent",Org_Overrides!$H$5:$H$304,0)),"Org","Default x index"))))</f>
        <v/>
      </c>
      <c r="AB32" s="2">
        <f>IF(ISNUMBER(MATCH(Location!$C$4&amp;"|"&amp;$A32&amp;"|cap",Market_Data!$K$5:$K$304,0)),"Market-City",IF(ISNUMBER(MATCH(Location!$C$5&amp;"|"&amp;$A32&amp;"|cap",Market_Data!$K$5:$K$304,0)),"Market-County",IF(ISNUMBER(MATCH(Location!$C$6&amp;"|"&amp;$A32&amp;"|cap",Market_Data!$K$5:$K$304,0)),"Market-State",IF(ISNUMBER(MATCH(Org_Profile!$C$4&amp;"|"&amp;$A32&amp;"|cap",Org_Overrides!$H$5:$H$304,0)),"Org","Default x index"))))</f>
        <v/>
      </c>
      <c r="AC32" s="2">
        <f>IF(ISNUMBER(MATCH(Location!$C$4&amp;"|"&amp;$A32&amp;"|vac",Market_Data!$K$5:$K$304,0)),"Market-City",IF(ISNUMBER(MATCH(Location!$C$5&amp;"|"&amp;$A32&amp;"|vac",Market_Data!$K$5:$K$304,0)),"Market-County",IF(ISNUMBER(MATCH(Location!$C$6&amp;"|"&amp;$A32&amp;"|vac",Market_Data!$K$5:$K$304,0)),"Market-State",IF(ISNUMBER(MATCH(Org_Profile!$C$4&amp;"|"&amp;$A32&amp;"|vac",Org_Overrides!$H$5:$H$304,0)),"Org","Default"))))</f>
        <v/>
      </c>
      <c r="AD32" s="2">
        <f>IF(ISNUMBER(MATCH(Location!$C$4&amp;"|"&amp;$A32&amp;"|absorb",Market_Data!$K$5:$K$304,0)),"Market-City",IF(ISNUMBER(MATCH(Location!$C$5&amp;"|"&amp;$A32&amp;"|absorb",Market_Data!$K$5:$K$304,0)),"Market-County",IF(ISNUMBER(MATCH(Location!$C$6&amp;"|"&amp;$A32&amp;"|absorb",Market_Data!$K$5:$K$304,0)),"Market-State",IF(ISNUMBER(MATCH(Org_Profile!$C$4&amp;"|"&amp;$A32&amp;"|absorb",Org_Overrides!$H$5:$H$304,0)),"Org","Default"))))</f>
        <v/>
      </c>
      <c r="AE32" s="2">
        <f>IF(ISNUMBER(MATCH(Location!$C$4&amp;"|"&amp;$A32&amp;"|lotabs",Market_Data!$K$5:$K$304,0)),"Market-City",IF(ISNUMBER(MATCH(Location!$C$5&amp;"|"&amp;$A32&amp;"|lotabs",Market_Data!$K$5:$K$304,0)),"Market-County",IF(ISNUMBER(MATCH(Location!$C$6&amp;"|"&amp;$A32&amp;"|lotabs",Market_Data!$K$5:$K$304,0)),"Market-State",IF(ISNUMBER(MATCH(Org_Profile!$C$4&amp;"|"&amp;$A32&amp;"|lotabs",Org_Overrides!$H$5:$H$304,0)),"Org","Default"))))</f>
        <v/>
      </c>
      <c r="AF32" s="15">
        <f>15-COUNTIF(Q32:AE32,"Default*")</f>
        <v/>
      </c>
    </row>
    <row r="33">
      <c r="A33" s="4">
        <f>Use_Library!$A$33</f>
        <v/>
      </c>
      <c r="B33" s="20">
        <f>IFERROR((INDEX(Org_Overrides!$D$5:$D$304,MATCH(Org_Profile!$C$4&amp;"|"&amp;$A33&amp;"|vert",Org_Overrides!$H$5:$H$304,0))*Location!$C$9),IFERROR(INDEX(Market_Data!$D$5:$D$304,MATCH(Location!$C$4&amp;"|"&amp;$A33&amp;"|vert",Market_Data!$K$5:$K$304,0)),IFERROR(INDEX(Market_Data!$D$5:$D$304,MATCH(Location!$C$5&amp;"|"&amp;$A33&amp;"|vert",Market_Data!$K$5:$K$304,0)),IFERROR(INDEX(Market_Data!$D$5:$D$304,MATCH(Location!$C$6&amp;"|"&amp;$A33&amp;"|vert",Market_Data!$K$5:$K$304,0)),(Use_Library!$AF$33*Location!$C$9)))))</f>
        <v/>
      </c>
      <c r="C33" s="20">
        <f>IFERROR((INDEX(Org_Overrides!$D$5:$D$304,MATCH(Org_Profile!$C$4&amp;"|"&amp;$A33&amp;"|entitle",Org_Overrides!$H$5:$H$304,0))*Location!$C$9),IFERROR(INDEX(Market_Data!$D$5:$D$304,MATCH(Location!$C$4&amp;"|"&amp;$A33&amp;"|entitle",Market_Data!$K$5:$K$304,0)),IFERROR(INDEX(Market_Data!$D$5:$D$304,MATCH(Location!$C$5&amp;"|"&amp;$A33&amp;"|entitle",Market_Data!$K$5:$K$304,0)),IFERROR(INDEX(Market_Data!$D$5:$D$304,MATCH(Location!$C$6&amp;"|"&amp;$A33&amp;"|entitle",Market_Data!$K$5:$K$304,0)),(Use_Library!$AE$33*Location!$C$9)))))</f>
        <v/>
      </c>
      <c r="D33" s="20">
        <f>IFERROR((INDEX(Org_Overrides!$D$5:$D$304,MATCH(Org_Profile!$C$4&amp;"|"&amp;$A33&amp;"|tilc",Org_Overrides!$H$5:$H$304,0))*Location!$C$9),IFERROR(INDEX(Market_Data!$D$5:$D$304,MATCH(Location!$C$4&amp;"|"&amp;$A33&amp;"|tilc",Market_Data!$K$5:$K$304,0)),IFERROR(INDEX(Market_Data!$D$5:$D$304,MATCH(Location!$C$5&amp;"|"&amp;$A33&amp;"|tilc",Market_Data!$K$5:$K$304,0)),IFERROR(INDEX(Market_Data!$D$5:$D$304,MATCH(Location!$C$6&amp;"|"&amp;$A33&amp;"|tilc",Market_Data!$K$5:$K$304,0)),(Use_Library!$AG$33*Location!$C$9)))))</f>
        <v/>
      </c>
      <c r="E33" s="20">
        <f>IFERROR((INDEX(Org_Overrides!$D$5:$D$304,MATCH(Org_Profile!$C$4&amp;"|"&amp;$A33&amp;"|opex",Org_Overrides!$H$5:$H$304,0))*Location!$C$13),IFERROR(INDEX(Market_Data!$D$5:$D$304,MATCH(Location!$C$4&amp;"|"&amp;$A33&amp;"|opex",Market_Data!$K$5:$K$304,0)),IFERROR(INDEX(Market_Data!$D$5:$D$304,MATCH(Location!$C$5&amp;"|"&amp;$A33&amp;"|opex",Market_Data!$K$5:$K$304,0)),IFERROR(INDEX(Market_Data!$D$5:$D$304,MATCH(Location!$C$6&amp;"|"&amp;$A33&amp;"|opex",Market_Data!$K$5:$K$304,0)),(Use_Library!$AN$33*Location!$C$13)))))</f>
        <v/>
      </c>
      <c r="F33" s="9">
        <f>IFERROR(INDEX(Org_Overrides!$D$5:$D$304,MATCH(Org_Profile!$C$4&amp;"|"&amp;$A33&amp;"|devmo",Org_Overrides!$H$5:$H$304,0)),IFERROR(INDEX(Market_Data!$D$5:$D$304,MATCH(Location!$C$4&amp;"|"&amp;$A33&amp;"|devmo",Market_Data!$K$5:$K$304,0)),IFERROR(INDEX(Market_Data!$D$5:$D$304,MATCH(Location!$C$5&amp;"|"&amp;$A33&amp;"|devmo",Market_Data!$K$5:$K$304,0)),IFERROR(INDEX(Market_Data!$D$5:$D$304,MATCH(Location!$C$6&amp;"|"&amp;$A33&amp;"|devmo",Market_Data!$K$5:$K$304,0)),Use_Library!$AH$33))))</f>
        <v/>
      </c>
      <c r="G33" s="23">
        <f>IFERROR(INDEX(Org_Overrides!$D$5:$D$304,MATCH(Org_Profile!$C$4&amp;"|"&amp;$A33&amp;"|margin",Org_Overrides!$H$5:$H$304,0)),IF(INDEX(Org_Profile!$C$9:$C$12,MATCH(Use_Library!$C$33,Org_Profile!$B$9:$B$12,0))&lt;&gt;"",INDEX(Org_Profile!$C$9:$C$12,MATCH(Use_Library!$C$33,Org_Profile!$B$9:$B$12,0)),Use_Library!$AU$33))</f>
        <v/>
      </c>
      <c r="H33" s="20">
        <f>IFERROR(INDEX(Market_Data!$D$5:$D$304,MATCH(Location!$C$4&amp;"|"&amp;$A33&amp;"|lotprice",Market_Data!$K$5:$K$304,0)),IFERROR(INDEX(Market_Data!$D$5:$D$304,MATCH(Location!$C$5&amp;"|"&amp;$A33&amp;"|lotprice",Market_Data!$K$5:$K$304,0)),IFERROR(INDEX(Market_Data!$D$5:$D$304,MATCH(Location!$C$6&amp;"|"&amp;$A33&amp;"|lotprice",Market_Data!$K$5:$K$304,0)),IFERROR((INDEX(Org_Overrides!$D$5:$D$304,MATCH(Org_Profile!$C$4&amp;"|"&amp;$A33&amp;"|lotprice",Org_Overrides!$H$5:$H$304,0))*Location!$C$10),(Use_Library!$AI$33*Location!$C$10)))))</f>
        <v/>
      </c>
      <c r="I33" s="20">
        <f>IFERROR(INDEX(Market_Data!$D$5:$D$304,MATCH(Location!$C$4&amp;"|"&amp;$A33&amp;"|saleprice",Market_Data!$K$5:$K$304,0)),IFERROR(INDEX(Market_Data!$D$5:$D$304,MATCH(Location!$C$5&amp;"|"&amp;$A33&amp;"|saleprice",Market_Data!$K$5:$K$304,0)),IFERROR(INDEX(Market_Data!$D$5:$D$304,MATCH(Location!$C$6&amp;"|"&amp;$A33&amp;"|saleprice",Market_Data!$K$5:$K$304,0)),IFERROR((INDEX(Org_Overrides!$D$5:$D$304,MATCH(Org_Profile!$C$4&amp;"|"&amp;$A33&amp;"|saleprice",Org_Overrides!$H$5:$H$304,0))*Location!$C$10),(Use_Library!$AJ$33*Location!$C$10)))))</f>
        <v/>
      </c>
      <c r="J33" s="20">
        <f>IFERROR(INDEX(Market_Data!$D$5:$D$304,MATCH(Location!$C$4&amp;"|"&amp;$A33&amp;"|landac",Market_Data!$K$5:$K$304,0)),IFERROR(INDEX(Market_Data!$D$5:$D$304,MATCH(Location!$C$5&amp;"|"&amp;$A33&amp;"|landac",Market_Data!$K$5:$K$304,0)),IFERROR(INDEX(Market_Data!$D$5:$D$304,MATCH(Location!$C$6&amp;"|"&amp;$A33&amp;"|landac",Market_Data!$K$5:$K$304,0)),IFERROR((INDEX(Org_Overrides!$D$5:$D$304,MATCH(Org_Profile!$C$4&amp;"|"&amp;$A33&amp;"|landac",Org_Overrides!$H$5:$H$304,0))*Location!$C$10),(Use_Library!$AS$33*Location!$C$10)))))</f>
        <v/>
      </c>
      <c r="K33" s="20">
        <f>IFERROR(INDEX(Market_Data!$D$5:$D$304,MATCH(Location!$C$4&amp;"|"&amp;$A33&amp;"|rent",Market_Data!$K$5:$K$304,0)),IFERROR(INDEX(Market_Data!$D$5:$D$304,MATCH(Location!$C$5&amp;"|"&amp;$A33&amp;"|rent",Market_Data!$K$5:$K$304,0)),IFERROR(INDEX(Market_Data!$D$5:$D$304,MATCH(Location!$C$6&amp;"|"&amp;$A33&amp;"|rent",Market_Data!$K$5:$K$304,0)),IFERROR((INDEX(Org_Overrides!$D$5:$D$304,MATCH(Org_Profile!$C$4&amp;"|"&amp;$A33&amp;"|rent",Org_Overrides!$H$5:$H$304,0))*Location!$C$11),(Use_Library!$AK$33*Location!$C$11)))))</f>
        <v/>
      </c>
      <c r="L33" s="20">
        <f>IFERROR(INDEX(Market_Data!$D$5:$D$304,MATCH(Location!$C$4&amp;"|"&amp;$A33&amp;"|groundrent",Market_Data!$K$5:$K$304,0)),IFERROR(INDEX(Market_Data!$D$5:$D$304,MATCH(Location!$C$5&amp;"|"&amp;$A33&amp;"|groundrent",Market_Data!$K$5:$K$304,0)),IFERROR(INDEX(Market_Data!$D$5:$D$304,MATCH(Location!$C$6&amp;"|"&amp;$A33&amp;"|groundrent",Market_Data!$K$5:$K$304,0)),IFERROR((INDEX(Org_Overrides!$D$5:$D$304,MATCH(Org_Profile!$C$4&amp;"|"&amp;$A33&amp;"|groundrent",Org_Overrides!$H$5:$H$304,0))*Location!$C$11),(Use_Library!$AT$33*Location!$C$11)))))</f>
        <v/>
      </c>
      <c r="M33" s="23">
        <f>IFERROR(INDEX(Market_Data!$D$5:$D$304,MATCH(Location!$C$4&amp;"|"&amp;$A33&amp;"|cap",Market_Data!$K$5:$K$304,0)),IFERROR(INDEX(Market_Data!$D$5:$D$304,MATCH(Location!$C$5&amp;"|"&amp;$A33&amp;"|cap",Market_Data!$K$5:$K$304,0)),IFERROR(INDEX(Market_Data!$D$5:$D$304,MATCH(Location!$C$6&amp;"|"&amp;$A33&amp;"|cap",Market_Data!$K$5:$K$304,0)),IFERROR((INDEX(Org_Overrides!$D$5:$D$304,MATCH(Org_Profile!$C$4&amp;"|"&amp;$A33&amp;"|cap",Org_Overrides!$H$5:$H$304,0))+Location!$C$12),(Use_Library!$AR$33+Location!$C$12)))))</f>
        <v/>
      </c>
      <c r="N33" s="23">
        <f>IFERROR(INDEX(Market_Data!$D$5:$D$304,MATCH(Location!$C$4&amp;"|"&amp;$A33&amp;"|vac",Market_Data!$K$5:$K$304,0)),IFERROR(INDEX(Market_Data!$D$5:$D$304,MATCH(Location!$C$5&amp;"|"&amp;$A33&amp;"|vac",Market_Data!$K$5:$K$304,0)),IFERROR(INDEX(Market_Data!$D$5:$D$304,MATCH(Location!$C$6&amp;"|"&amp;$A33&amp;"|vac",Market_Data!$K$5:$K$304,0)),IFERROR(INDEX(Org_Overrides!$D$5:$D$304,MATCH(Org_Profile!$C$4&amp;"|"&amp;$A33&amp;"|vac",Org_Overrides!$H$5:$H$304,0)),Use_Library!$AM$33))))</f>
        <v/>
      </c>
      <c r="O33" s="24">
        <f>IFERROR(INDEX(Market_Data!$D$5:$D$304,MATCH(Location!$C$4&amp;"|"&amp;$A33&amp;"|absorb",Market_Data!$K$5:$K$304,0)),IFERROR(INDEX(Market_Data!$D$5:$D$304,MATCH(Location!$C$5&amp;"|"&amp;$A33&amp;"|absorb",Market_Data!$K$5:$K$304,0)),IFERROR(INDEX(Market_Data!$D$5:$D$304,MATCH(Location!$C$6&amp;"|"&amp;$A33&amp;"|absorb",Market_Data!$K$5:$K$304,0)),IFERROR(INDEX(Org_Overrides!$D$5:$D$304,MATCH(Org_Profile!$C$4&amp;"|"&amp;$A33&amp;"|absorb",Org_Overrides!$H$5:$H$304,0)),Use_Library!$R$33))))</f>
        <v/>
      </c>
      <c r="P33" s="24">
        <f>IFERROR(INDEX(Market_Data!$D$5:$D$304,MATCH(Location!$C$4&amp;"|"&amp;$A33&amp;"|lotabs",Market_Data!$K$5:$K$304,0)),IFERROR(INDEX(Market_Data!$D$5:$D$304,MATCH(Location!$C$5&amp;"|"&amp;$A33&amp;"|lotabs",Market_Data!$K$5:$K$304,0)),IFERROR(INDEX(Market_Data!$D$5:$D$304,MATCH(Location!$C$6&amp;"|"&amp;$A33&amp;"|lotabs",Market_Data!$K$5:$K$304,0)),IFERROR(INDEX(Org_Overrides!$D$5:$D$304,MATCH(Org_Profile!$C$4&amp;"|"&amp;$A33&amp;"|lotabs",Org_Overrides!$H$5:$H$304,0)),Use_Library!$S$33))))</f>
        <v/>
      </c>
      <c r="Q33" s="2">
        <f>IF(ISNUMBER(MATCH(Org_Profile!$C$4&amp;"|"&amp;$A33&amp;"|vert",Org_Overrides!$H$5:$H$304,0)),"Org",IF(ISNUMBER(MATCH(Location!$C$4&amp;"|"&amp;$A33&amp;"|vert",Market_Data!$K$5:$K$304,0)),"Market-City",IF(ISNUMBER(MATCH(Location!$C$5&amp;"|"&amp;$A33&amp;"|vert",Market_Data!$K$5:$K$304,0)),"Market-County",IF(ISNUMBER(MATCH(Location!$C$6&amp;"|"&amp;$A33&amp;"|vert",Market_Data!$K$5:$K$304,0)),"Market-State","Default x index"))))</f>
        <v/>
      </c>
      <c r="R33" s="2">
        <f>IF(ISNUMBER(MATCH(Org_Profile!$C$4&amp;"|"&amp;$A33&amp;"|entitle",Org_Overrides!$H$5:$H$304,0)),"Org",IF(ISNUMBER(MATCH(Location!$C$4&amp;"|"&amp;$A33&amp;"|entitle",Market_Data!$K$5:$K$304,0)),"Market-City",IF(ISNUMBER(MATCH(Location!$C$5&amp;"|"&amp;$A33&amp;"|entitle",Market_Data!$K$5:$K$304,0)),"Market-County",IF(ISNUMBER(MATCH(Location!$C$6&amp;"|"&amp;$A33&amp;"|entitle",Market_Data!$K$5:$K$304,0)),"Market-State","Default x index"))))</f>
        <v/>
      </c>
      <c r="S33" s="2">
        <f>IF(ISNUMBER(MATCH(Org_Profile!$C$4&amp;"|"&amp;$A33&amp;"|tilc",Org_Overrides!$H$5:$H$304,0)),"Org",IF(ISNUMBER(MATCH(Location!$C$4&amp;"|"&amp;$A33&amp;"|tilc",Market_Data!$K$5:$K$304,0)),"Market-City",IF(ISNUMBER(MATCH(Location!$C$5&amp;"|"&amp;$A33&amp;"|tilc",Market_Data!$K$5:$K$304,0)),"Market-County",IF(ISNUMBER(MATCH(Location!$C$6&amp;"|"&amp;$A33&amp;"|tilc",Market_Data!$K$5:$K$304,0)),"Market-State","Default x index"))))</f>
        <v/>
      </c>
      <c r="T33" s="2">
        <f>IF(ISNUMBER(MATCH(Org_Profile!$C$4&amp;"|"&amp;$A33&amp;"|opex",Org_Overrides!$H$5:$H$304,0)),"Org",IF(ISNUMBER(MATCH(Location!$C$4&amp;"|"&amp;$A33&amp;"|opex",Market_Data!$K$5:$K$304,0)),"Market-City",IF(ISNUMBER(MATCH(Location!$C$5&amp;"|"&amp;$A33&amp;"|opex",Market_Data!$K$5:$K$304,0)),"Market-County",IF(ISNUMBER(MATCH(Location!$C$6&amp;"|"&amp;$A33&amp;"|opex",Market_Data!$K$5:$K$304,0)),"Market-State","Default x index"))))</f>
        <v/>
      </c>
      <c r="U33" s="2">
        <f>IF(ISNUMBER(MATCH(Org_Profile!$C$4&amp;"|"&amp;$A33&amp;"|devmo",Org_Overrides!$H$5:$H$304,0)),"Org",IF(ISNUMBER(MATCH(Location!$C$4&amp;"|"&amp;$A33&amp;"|devmo",Market_Data!$K$5:$K$304,0)),"Market-City",IF(ISNUMBER(MATCH(Location!$C$5&amp;"|"&amp;$A33&amp;"|devmo",Market_Data!$K$5:$K$304,0)),"Market-County",IF(ISNUMBER(MATCH(Location!$C$6&amp;"|"&amp;$A33&amp;"|devmo",Market_Data!$K$5:$K$304,0)),"Market-State","Default"))))</f>
        <v/>
      </c>
      <c r="V33" s="2">
        <f>IF(ISNUMBER(MATCH(Org_Profile!$C$4&amp;"|"&amp;$A33&amp;"|margin",Org_Overrides!$H$5:$H$304,0)),"Org",IF(INDEX(Org_Profile!$C$9:$C$12,MATCH(Use_Library!$C$33,Org_Profile!$B$9:$B$12,0))&lt;&gt;"","Org engine margin","Default"))</f>
        <v/>
      </c>
      <c r="W33" s="2">
        <f>IF(ISNUMBER(MATCH(Location!$C$4&amp;"|"&amp;$A33&amp;"|lotprice",Market_Data!$K$5:$K$304,0)),"Market-City",IF(ISNUMBER(MATCH(Location!$C$5&amp;"|"&amp;$A33&amp;"|lotprice",Market_Data!$K$5:$K$304,0)),"Market-County",IF(ISNUMBER(MATCH(Location!$C$6&amp;"|"&amp;$A33&amp;"|lotprice",Market_Data!$K$5:$K$304,0)),"Market-State",IF(ISNUMBER(MATCH(Org_Profile!$C$4&amp;"|"&amp;$A33&amp;"|lotprice",Org_Overrides!$H$5:$H$304,0)),"Org","Default x index"))))</f>
        <v/>
      </c>
      <c r="X33" s="2">
        <f>IF(ISNUMBER(MATCH(Location!$C$4&amp;"|"&amp;$A33&amp;"|saleprice",Market_Data!$K$5:$K$304,0)),"Market-City",IF(ISNUMBER(MATCH(Location!$C$5&amp;"|"&amp;$A33&amp;"|saleprice",Market_Data!$K$5:$K$304,0)),"Market-County",IF(ISNUMBER(MATCH(Location!$C$6&amp;"|"&amp;$A33&amp;"|saleprice",Market_Data!$K$5:$K$304,0)),"Market-State",IF(ISNUMBER(MATCH(Org_Profile!$C$4&amp;"|"&amp;$A33&amp;"|saleprice",Org_Overrides!$H$5:$H$304,0)),"Org","Default x index"))))</f>
        <v/>
      </c>
      <c r="Y33" s="2">
        <f>IF(ISNUMBER(MATCH(Location!$C$4&amp;"|"&amp;$A33&amp;"|landac",Market_Data!$K$5:$K$304,0)),"Market-City",IF(ISNUMBER(MATCH(Location!$C$5&amp;"|"&amp;$A33&amp;"|landac",Market_Data!$K$5:$K$304,0)),"Market-County",IF(ISNUMBER(MATCH(Location!$C$6&amp;"|"&amp;$A33&amp;"|landac",Market_Data!$K$5:$K$304,0)),"Market-State",IF(ISNUMBER(MATCH(Org_Profile!$C$4&amp;"|"&amp;$A33&amp;"|landac",Org_Overrides!$H$5:$H$304,0)),"Org","Default x index"))))</f>
        <v/>
      </c>
      <c r="Z33" s="2">
        <f>IF(ISNUMBER(MATCH(Location!$C$4&amp;"|"&amp;$A33&amp;"|rent",Market_Data!$K$5:$K$304,0)),"Market-City",IF(ISNUMBER(MATCH(Location!$C$5&amp;"|"&amp;$A33&amp;"|rent",Market_Data!$K$5:$K$304,0)),"Market-County",IF(ISNUMBER(MATCH(Location!$C$6&amp;"|"&amp;$A33&amp;"|rent",Market_Data!$K$5:$K$304,0)),"Market-State",IF(ISNUMBER(MATCH(Org_Profile!$C$4&amp;"|"&amp;$A33&amp;"|rent",Org_Overrides!$H$5:$H$304,0)),"Org","Default x index"))))</f>
        <v/>
      </c>
      <c r="AA33" s="2">
        <f>IF(ISNUMBER(MATCH(Location!$C$4&amp;"|"&amp;$A33&amp;"|groundrent",Market_Data!$K$5:$K$304,0)),"Market-City",IF(ISNUMBER(MATCH(Location!$C$5&amp;"|"&amp;$A33&amp;"|groundrent",Market_Data!$K$5:$K$304,0)),"Market-County",IF(ISNUMBER(MATCH(Location!$C$6&amp;"|"&amp;$A33&amp;"|groundrent",Market_Data!$K$5:$K$304,0)),"Market-State",IF(ISNUMBER(MATCH(Org_Profile!$C$4&amp;"|"&amp;$A33&amp;"|groundrent",Org_Overrides!$H$5:$H$304,0)),"Org","Default x index"))))</f>
        <v/>
      </c>
      <c r="AB33" s="2">
        <f>IF(ISNUMBER(MATCH(Location!$C$4&amp;"|"&amp;$A33&amp;"|cap",Market_Data!$K$5:$K$304,0)),"Market-City",IF(ISNUMBER(MATCH(Location!$C$5&amp;"|"&amp;$A33&amp;"|cap",Market_Data!$K$5:$K$304,0)),"Market-County",IF(ISNUMBER(MATCH(Location!$C$6&amp;"|"&amp;$A33&amp;"|cap",Market_Data!$K$5:$K$304,0)),"Market-State",IF(ISNUMBER(MATCH(Org_Profile!$C$4&amp;"|"&amp;$A33&amp;"|cap",Org_Overrides!$H$5:$H$304,0)),"Org","Default x index"))))</f>
        <v/>
      </c>
      <c r="AC33" s="2">
        <f>IF(ISNUMBER(MATCH(Location!$C$4&amp;"|"&amp;$A33&amp;"|vac",Market_Data!$K$5:$K$304,0)),"Market-City",IF(ISNUMBER(MATCH(Location!$C$5&amp;"|"&amp;$A33&amp;"|vac",Market_Data!$K$5:$K$304,0)),"Market-County",IF(ISNUMBER(MATCH(Location!$C$6&amp;"|"&amp;$A33&amp;"|vac",Market_Data!$K$5:$K$304,0)),"Market-State",IF(ISNUMBER(MATCH(Org_Profile!$C$4&amp;"|"&amp;$A33&amp;"|vac",Org_Overrides!$H$5:$H$304,0)),"Org","Default"))))</f>
        <v/>
      </c>
      <c r="AD33" s="2">
        <f>IF(ISNUMBER(MATCH(Location!$C$4&amp;"|"&amp;$A33&amp;"|absorb",Market_Data!$K$5:$K$304,0)),"Market-City",IF(ISNUMBER(MATCH(Location!$C$5&amp;"|"&amp;$A33&amp;"|absorb",Market_Data!$K$5:$K$304,0)),"Market-County",IF(ISNUMBER(MATCH(Location!$C$6&amp;"|"&amp;$A33&amp;"|absorb",Market_Data!$K$5:$K$304,0)),"Market-State",IF(ISNUMBER(MATCH(Org_Profile!$C$4&amp;"|"&amp;$A33&amp;"|absorb",Org_Overrides!$H$5:$H$304,0)),"Org","Default"))))</f>
        <v/>
      </c>
      <c r="AE33" s="2">
        <f>IF(ISNUMBER(MATCH(Location!$C$4&amp;"|"&amp;$A33&amp;"|lotabs",Market_Data!$K$5:$K$304,0)),"Market-City",IF(ISNUMBER(MATCH(Location!$C$5&amp;"|"&amp;$A33&amp;"|lotabs",Market_Data!$K$5:$K$304,0)),"Market-County",IF(ISNUMBER(MATCH(Location!$C$6&amp;"|"&amp;$A33&amp;"|lotabs",Market_Data!$K$5:$K$304,0)),"Market-State",IF(ISNUMBER(MATCH(Org_Profile!$C$4&amp;"|"&amp;$A33&amp;"|lotabs",Org_Overrides!$H$5:$H$304,0)),"Org","Default"))))</f>
        <v/>
      </c>
      <c r="AF33" s="15">
        <f>15-COUNTIF(Q33:AE33,"Default*")</f>
        <v/>
      </c>
    </row>
    <row r="34">
      <c r="A34" s="4">
        <f>Use_Library!$A$34</f>
        <v/>
      </c>
      <c r="B34" s="20">
        <f>IFERROR((INDEX(Org_Overrides!$D$5:$D$304,MATCH(Org_Profile!$C$4&amp;"|"&amp;$A34&amp;"|vert",Org_Overrides!$H$5:$H$304,0))*Location!$C$9),IFERROR(INDEX(Market_Data!$D$5:$D$304,MATCH(Location!$C$4&amp;"|"&amp;$A34&amp;"|vert",Market_Data!$K$5:$K$304,0)),IFERROR(INDEX(Market_Data!$D$5:$D$304,MATCH(Location!$C$5&amp;"|"&amp;$A34&amp;"|vert",Market_Data!$K$5:$K$304,0)),IFERROR(INDEX(Market_Data!$D$5:$D$304,MATCH(Location!$C$6&amp;"|"&amp;$A34&amp;"|vert",Market_Data!$K$5:$K$304,0)),(Use_Library!$AF$34*Location!$C$9)))))</f>
        <v/>
      </c>
      <c r="C34" s="20">
        <f>IFERROR((INDEX(Org_Overrides!$D$5:$D$304,MATCH(Org_Profile!$C$4&amp;"|"&amp;$A34&amp;"|entitle",Org_Overrides!$H$5:$H$304,0))*Location!$C$9),IFERROR(INDEX(Market_Data!$D$5:$D$304,MATCH(Location!$C$4&amp;"|"&amp;$A34&amp;"|entitle",Market_Data!$K$5:$K$304,0)),IFERROR(INDEX(Market_Data!$D$5:$D$304,MATCH(Location!$C$5&amp;"|"&amp;$A34&amp;"|entitle",Market_Data!$K$5:$K$304,0)),IFERROR(INDEX(Market_Data!$D$5:$D$304,MATCH(Location!$C$6&amp;"|"&amp;$A34&amp;"|entitle",Market_Data!$K$5:$K$304,0)),(Use_Library!$AE$34*Location!$C$9)))))</f>
        <v/>
      </c>
      <c r="D34" s="20">
        <f>IFERROR((INDEX(Org_Overrides!$D$5:$D$304,MATCH(Org_Profile!$C$4&amp;"|"&amp;$A34&amp;"|tilc",Org_Overrides!$H$5:$H$304,0))*Location!$C$9),IFERROR(INDEX(Market_Data!$D$5:$D$304,MATCH(Location!$C$4&amp;"|"&amp;$A34&amp;"|tilc",Market_Data!$K$5:$K$304,0)),IFERROR(INDEX(Market_Data!$D$5:$D$304,MATCH(Location!$C$5&amp;"|"&amp;$A34&amp;"|tilc",Market_Data!$K$5:$K$304,0)),IFERROR(INDEX(Market_Data!$D$5:$D$304,MATCH(Location!$C$6&amp;"|"&amp;$A34&amp;"|tilc",Market_Data!$K$5:$K$304,0)),(Use_Library!$AG$34*Location!$C$9)))))</f>
        <v/>
      </c>
      <c r="E34" s="20">
        <f>IFERROR((INDEX(Org_Overrides!$D$5:$D$304,MATCH(Org_Profile!$C$4&amp;"|"&amp;$A34&amp;"|opex",Org_Overrides!$H$5:$H$304,0))*Location!$C$13),IFERROR(INDEX(Market_Data!$D$5:$D$304,MATCH(Location!$C$4&amp;"|"&amp;$A34&amp;"|opex",Market_Data!$K$5:$K$304,0)),IFERROR(INDEX(Market_Data!$D$5:$D$304,MATCH(Location!$C$5&amp;"|"&amp;$A34&amp;"|opex",Market_Data!$K$5:$K$304,0)),IFERROR(INDEX(Market_Data!$D$5:$D$304,MATCH(Location!$C$6&amp;"|"&amp;$A34&amp;"|opex",Market_Data!$K$5:$K$304,0)),(Use_Library!$AN$34*Location!$C$13)))))</f>
        <v/>
      </c>
      <c r="F34" s="9">
        <f>IFERROR(INDEX(Org_Overrides!$D$5:$D$304,MATCH(Org_Profile!$C$4&amp;"|"&amp;$A34&amp;"|devmo",Org_Overrides!$H$5:$H$304,0)),IFERROR(INDEX(Market_Data!$D$5:$D$304,MATCH(Location!$C$4&amp;"|"&amp;$A34&amp;"|devmo",Market_Data!$K$5:$K$304,0)),IFERROR(INDEX(Market_Data!$D$5:$D$304,MATCH(Location!$C$5&amp;"|"&amp;$A34&amp;"|devmo",Market_Data!$K$5:$K$304,0)),IFERROR(INDEX(Market_Data!$D$5:$D$304,MATCH(Location!$C$6&amp;"|"&amp;$A34&amp;"|devmo",Market_Data!$K$5:$K$304,0)),Use_Library!$AH$34))))</f>
        <v/>
      </c>
      <c r="G34" s="23">
        <f>IFERROR(INDEX(Org_Overrides!$D$5:$D$304,MATCH(Org_Profile!$C$4&amp;"|"&amp;$A34&amp;"|margin",Org_Overrides!$H$5:$H$304,0)),IF(INDEX(Org_Profile!$C$9:$C$12,MATCH(Use_Library!$C$34,Org_Profile!$B$9:$B$12,0))&lt;&gt;"",INDEX(Org_Profile!$C$9:$C$12,MATCH(Use_Library!$C$34,Org_Profile!$B$9:$B$12,0)),Use_Library!$AU$34))</f>
        <v/>
      </c>
      <c r="H34" s="20">
        <f>IFERROR(INDEX(Market_Data!$D$5:$D$304,MATCH(Location!$C$4&amp;"|"&amp;$A34&amp;"|lotprice",Market_Data!$K$5:$K$304,0)),IFERROR(INDEX(Market_Data!$D$5:$D$304,MATCH(Location!$C$5&amp;"|"&amp;$A34&amp;"|lotprice",Market_Data!$K$5:$K$304,0)),IFERROR(INDEX(Market_Data!$D$5:$D$304,MATCH(Location!$C$6&amp;"|"&amp;$A34&amp;"|lotprice",Market_Data!$K$5:$K$304,0)),IFERROR((INDEX(Org_Overrides!$D$5:$D$304,MATCH(Org_Profile!$C$4&amp;"|"&amp;$A34&amp;"|lotprice",Org_Overrides!$H$5:$H$304,0))*Location!$C$10),(Use_Library!$AI$34*Location!$C$10)))))</f>
        <v/>
      </c>
      <c r="I34" s="20">
        <f>IFERROR(INDEX(Market_Data!$D$5:$D$304,MATCH(Location!$C$4&amp;"|"&amp;$A34&amp;"|saleprice",Market_Data!$K$5:$K$304,0)),IFERROR(INDEX(Market_Data!$D$5:$D$304,MATCH(Location!$C$5&amp;"|"&amp;$A34&amp;"|saleprice",Market_Data!$K$5:$K$304,0)),IFERROR(INDEX(Market_Data!$D$5:$D$304,MATCH(Location!$C$6&amp;"|"&amp;$A34&amp;"|saleprice",Market_Data!$K$5:$K$304,0)),IFERROR((INDEX(Org_Overrides!$D$5:$D$304,MATCH(Org_Profile!$C$4&amp;"|"&amp;$A34&amp;"|saleprice",Org_Overrides!$H$5:$H$304,0))*Location!$C$10),(Use_Library!$AJ$34*Location!$C$10)))))</f>
        <v/>
      </c>
      <c r="J34" s="20">
        <f>IFERROR(INDEX(Market_Data!$D$5:$D$304,MATCH(Location!$C$4&amp;"|"&amp;$A34&amp;"|landac",Market_Data!$K$5:$K$304,0)),IFERROR(INDEX(Market_Data!$D$5:$D$304,MATCH(Location!$C$5&amp;"|"&amp;$A34&amp;"|landac",Market_Data!$K$5:$K$304,0)),IFERROR(INDEX(Market_Data!$D$5:$D$304,MATCH(Location!$C$6&amp;"|"&amp;$A34&amp;"|landac",Market_Data!$K$5:$K$304,0)),IFERROR((INDEX(Org_Overrides!$D$5:$D$304,MATCH(Org_Profile!$C$4&amp;"|"&amp;$A34&amp;"|landac",Org_Overrides!$H$5:$H$304,0))*Location!$C$10),(Use_Library!$AS$34*Location!$C$10)))))</f>
        <v/>
      </c>
      <c r="K34" s="20">
        <f>IFERROR(INDEX(Market_Data!$D$5:$D$304,MATCH(Location!$C$4&amp;"|"&amp;$A34&amp;"|rent",Market_Data!$K$5:$K$304,0)),IFERROR(INDEX(Market_Data!$D$5:$D$304,MATCH(Location!$C$5&amp;"|"&amp;$A34&amp;"|rent",Market_Data!$K$5:$K$304,0)),IFERROR(INDEX(Market_Data!$D$5:$D$304,MATCH(Location!$C$6&amp;"|"&amp;$A34&amp;"|rent",Market_Data!$K$5:$K$304,0)),IFERROR((INDEX(Org_Overrides!$D$5:$D$304,MATCH(Org_Profile!$C$4&amp;"|"&amp;$A34&amp;"|rent",Org_Overrides!$H$5:$H$304,0))*Location!$C$11),(Use_Library!$AK$34*Location!$C$11)))))</f>
        <v/>
      </c>
      <c r="L34" s="20">
        <f>IFERROR(INDEX(Market_Data!$D$5:$D$304,MATCH(Location!$C$4&amp;"|"&amp;$A34&amp;"|groundrent",Market_Data!$K$5:$K$304,0)),IFERROR(INDEX(Market_Data!$D$5:$D$304,MATCH(Location!$C$5&amp;"|"&amp;$A34&amp;"|groundrent",Market_Data!$K$5:$K$304,0)),IFERROR(INDEX(Market_Data!$D$5:$D$304,MATCH(Location!$C$6&amp;"|"&amp;$A34&amp;"|groundrent",Market_Data!$K$5:$K$304,0)),IFERROR((INDEX(Org_Overrides!$D$5:$D$304,MATCH(Org_Profile!$C$4&amp;"|"&amp;$A34&amp;"|groundrent",Org_Overrides!$H$5:$H$304,0))*Location!$C$11),(Use_Library!$AT$34*Location!$C$11)))))</f>
        <v/>
      </c>
      <c r="M34" s="23">
        <f>IFERROR(INDEX(Market_Data!$D$5:$D$304,MATCH(Location!$C$4&amp;"|"&amp;$A34&amp;"|cap",Market_Data!$K$5:$K$304,0)),IFERROR(INDEX(Market_Data!$D$5:$D$304,MATCH(Location!$C$5&amp;"|"&amp;$A34&amp;"|cap",Market_Data!$K$5:$K$304,0)),IFERROR(INDEX(Market_Data!$D$5:$D$304,MATCH(Location!$C$6&amp;"|"&amp;$A34&amp;"|cap",Market_Data!$K$5:$K$304,0)),IFERROR((INDEX(Org_Overrides!$D$5:$D$304,MATCH(Org_Profile!$C$4&amp;"|"&amp;$A34&amp;"|cap",Org_Overrides!$H$5:$H$304,0))+Location!$C$12),(Use_Library!$AR$34+Location!$C$12)))))</f>
        <v/>
      </c>
      <c r="N34" s="23">
        <f>IFERROR(INDEX(Market_Data!$D$5:$D$304,MATCH(Location!$C$4&amp;"|"&amp;$A34&amp;"|vac",Market_Data!$K$5:$K$304,0)),IFERROR(INDEX(Market_Data!$D$5:$D$304,MATCH(Location!$C$5&amp;"|"&amp;$A34&amp;"|vac",Market_Data!$K$5:$K$304,0)),IFERROR(INDEX(Market_Data!$D$5:$D$304,MATCH(Location!$C$6&amp;"|"&amp;$A34&amp;"|vac",Market_Data!$K$5:$K$304,0)),IFERROR(INDEX(Org_Overrides!$D$5:$D$304,MATCH(Org_Profile!$C$4&amp;"|"&amp;$A34&amp;"|vac",Org_Overrides!$H$5:$H$304,0)),Use_Library!$AM$34))))</f>
        <v/>
      </c>
      <c r="O34" s="24">
        <f>IFERROR(INDEX(Market_Data!$D$5:$D$304,MATCH(Location!$C$4&amp;"|"&amp;$A34&amp;"|absorb",Market_Data!$K$5:$K$304,0)),IFERROR(INDEX(Market_Data!$D$5:$D$304,MATCH(Location!$C$5&amp;"|"&amp;$A34&amp;"|absorb",Market_Data!$K$5:$K$304,0)),IFERROR(INDEX(Market_Data!$D$5:$D$304,MATCH(Location!$C$6&amp;"|"&amp;$A34&amp;"|absorb",Market_Data!$K$5:$K$304,0)),IFERROR(INDEX(Org_Overrides!$D$5:$D$304,MATCH(Org_Profile!$C$4&amp;"|"&amp;$A34&amp;"|absorb",Org_Overrides!$H$5:$H$304,0)),Use_Library!$R$34))))</f>
        <v/>
      </c>
      <c r="P34" s="24">
        <f>IFERROR(INDEX(Market_Data!$D$5:$D$304,MATCH(Location!$C$4&amp;"|"&amp;$A34&amp;"|lotabs",Market_Data!$K$5:$K$304,0)),IFERROR(INDEX(Market_Data!$D$5:$D$304,MATCH(Location!$C$5&amp;"|"&amp;$A34&amp;"|lotabs",Market_Data!$K$5:$K$304,0)),IFERROR(INDEX(Market_Data!$D$5:$D$304,MATCH(Location!$C$6&amp;"|"&amp;$A34&amp;"|lotabs",Market_Data!$K$5:$K$304,0)),IFERROR(INDEX(Org_Overrides!$D$5:$D$304,MATCH(Org_Profile!$C$4&amp;"|"&amp;$A34&amp;"|lotabs",Org_Overrides!$H$5:$H$304,0)),Use_Library!$S$34))))</f>
        <v/>
      </c>
      <c r="Q34" s="2">
        <f>IF(ISNUMBER(MATCH(Org_Profile!$C$4&amp;"|"&amp;$A34&amp;"|vert",Org_Overrides!$H$5:$H$304,0)),"Org",IF(ISNUMBER(MATCH(Location!$C$4&amp;"|"&amp;$A34&amp;"|vert",Market_Data!$K$5:$K$304,0)),"Market-City",IF(ISNUMBER(MATCH(Location!$C$5&amp;"|"&amp;$A34&amp;"|vert",Market_Data!$K$5:$K$304,0)),"Market-County",IF(ISNUMBER(MATCH(Location!$C$6&amp;"|"&amp;$A34&amp;"|vert",Market_Data!$K$5:$K$304,0)),"Market-State","Default x index"))))</f>
        <v/>
      </c>
      <c r="R34" s="2">
        <f>IF(ISNUMBER(MATCH(Org_Profile!$C$4&amp;"|"&amp;$A34&amp;"|entitle",Org_Overrides!$H$5:$H$304,0)),"Org",IF(ISNUMBER(MATCH(Location!$C$4&amp;"|"&amp;$A34&amp;"|entitle",Market_Data!$K$5:$K$304,0)),"Market-City",IF(ISNUMBER(MATCH(Location!$C$5&amp;"|"&amp;$A34&amp;"|entitle",Market_Data!$K$5:$K$304,0)),"Market-County",IF(ISNUMBER(MATCH(Location!$C$6&amp;"|"&amp;$A34&amp;"|entitle",Market_Data!$K$5:$K$304,0)),"Market-State","Default x index"))))</f>
        <v/>
      </c>
      <c r="S34" s="2">
        <f>IF(ISNUMBER(MATCH(Org_Profile!$C$4&amp;"|"&amp;$A34&amp;"|tilc",Org_Overrides!$H$5:$H$304,0)),"Org",IF(ISNUMBER(MATCH(Location!$C$4&amp;"|"&amp;$A34&amp;"|tilc",Market_Data!$K$5:$K$304,0)),"Market-City",IF(ISNUMBER(MATCH(Location!$C$5&amp;"|"&amp;$A34&amp;"|tilc",Market_Data!$K$5:$K$304,0)),"Market-County",IF(ISNUMBER(MATCH(Location!$C$6&amp;"|"&amp;$A34&amp;"|tilc",Market_Data!$K$5:$K$304,0)),"Market-State","Default x index"))))</f>
        <v/>
      </c>
      <c r="T34" s="2">
        <f>IF(ISNUMBER(MATCH(Org_Profile!$C$4&amp;"|"&amp;$A34&amp;"|opex",Org_Overrides!$H$5:$H$304,0)),"Org",IF(ISNUMBER(MATCH(Location!$C$4&amp;"|"&amp;$A34&amp;"|opex",Market_Data!$K$5:$K$304,0)),"Market-City",IF(ISNUMBER(MATCH(Location!$C$5&amp;"|"&amp;$A34&amp;"|opex",Market_Data!$K$5:$K$304,0)),"Market-County",IF(ISNUMBER(MATCH(Location!$C$6&amp;"|"&amp;$A34&amp;"|opex",Market_Data!$K$5:$K$304,0)),"Market-State","Default x index"))))</f>
        <v/>
      </c>
      <c r="U34" s="2">
        <f>IF(ISNUMBER(MATCH(Org_Profile!$C$4&amp;"|"&amp;$A34&amp;"|devmo",Org_Overrides!$H$5:$H$304,0)),"Org",IF(ISNUMBER(MATCH(Location!$C$4&amp;"|"&amp;$A34&amp;"|devmo",Market_Data!$K$5:$K$304,0)),"Market-City",IF(ISNUMBER(MATCH(Location!$C$5&amp;"|"&amp;$A34&amp;"|devmo",Market_Data!$K$5:$K$304,0)),"Market-County",IF(ISNUMBER(MATCH(Location!$C$6&amp;"|"&amp;$A34&amp;"|devmo",Market_Data!$K$5:$K$304,0)),"Market-State","Default"))))</f>
        <v/>
      </c>
      <c r="V34" s="2">
        <f>IF(ISNUMBER(MATCH(Org_Profile!$C$4&amp;"|"&amp;$A34&amp;"|margin",Org_Overrides!$H$5:$H$304,0)),"Org",IF(INDEX(Org_Profile!$C$9:$C$12,MATCH(Use_Library!$C$34,Org_Profile!$B$9:$B$12,0))&lt;&gt;"","Org engine margin","Default"))</f>
        <v/>
      </c>
      <c r="W34" s="2">
        <f>IF(ISNUMBER(MATCH(Location!$C$4&amp;"|"&amp;$A34&amp;"|lotprice",Market_Data!$K$5:$K$304,0)),"Market-City",IF(ISNUMBER(MATCH(Location!$C$5&amp;"|"&amp;$A34&amp;"|lotprice",Market_Data!$K$5:$K$304,0)),"Market-County",IF(ISNUMBER(MATCH(Location!$C$6&amp;"|"&amp;$A34&amp;"|lotprice",Market_Data!$K$5:$K$304,0)),"Market-State",IF(ISNUMBER(MATCH(Org_Profile!$C$4&amp;"|"&amp;$A34&amp;"|lotprice",Org_Overrides!$H$5:$H$304,0)),"Org","Default x index"))))</f>
        <v/>
      </c>
      <c r="X34" s="2">
        <f>IF(ISNUMBER(MATCH(Location!$C$4&amp;"|"&amp;$A34&amp;"|saleprice",Market_Data!$K$5:$K$304,0)),"Market-City",IF(ISNUMBER(MATCH(Location!$C$5&amp;"|"&amp;$A34&amp;"|saleprice",Market_Data!$K$5:$K$304,0)),"Market-County",IF(ISNUMBER(MATCH(Location!$C$6&amp;"|"&amp;$A34&amp;"|saleprice",Market_Data!$K$5:$K$304,0)),"Market-State",IF(ISNUMBER(MATCH(Org_Profile!$C$4&amp;"|"&amp;$A34&amp;"|saleprice",Org_Overrides!$H$5:$H$304,0)),"Org","Default x index"))))</f>
        <v/>
      </c>
      <c r="Y34" s="2">
        <f>IF(ISNUMBER(MATCH(Location!$C$4&amp;"|"&amp;$A34&amp;"|landac",Market_Data!$K$5:$K$304,0)),"Market-City",IF(ISNUMBER(MATCH(Location!$C$5&amp;"|"&amp;$A34&amp;"|landac",Market_Data!$K$5:$K$304,0)),"Market-County",IF(ISNUMBER(MATCH(Location!$C$6&amp;"|"&amp;$A34&amp;"|landac",Market_Data!$K$5:$K$304,0)),"Market-State",IF(ISNUMBER(MATCH(Org_Profile!$C$4&amp;"|"&amp;$A34&amp;"|landac",Org_Overrides!$H$5:$H$304,0)),"Org","Default x index"))))</f>
        <v/>
      </c>
      <c r="Z34" s="2">
        <f>IF(ISNUMBER(MATCH(Location!$C$4&amp;"|"&amp;$A34&amp;"|rent",Market_Data!$K$5:$K$304,0)),"Market-City",IF(ISNUMBER(MATCH(Location!$C$5&amp;"|"&amp;$A34&amp;"|rent",Market_Data!$K$5:$K$304,0)),"Market-County",IF(ISNUMBER(MATCH(Location!$C$6&amp;"|"&amp;$A34&amp;"|rent",Market_Data!$K$5:$K$304,0)),"Market-State",IF(ISNUMBER(MATCH(Org_Profile!$C$4&amp;"|"&amp;$A34&amp;"|rent",Org_Overrides!$H$5:$H$304,0)),"Org","Default x index"))))</f>
        <v/>
      </c>
      <c r="AA34" s="2">
        <f>IF(ISNUMBER(MATCH(Location!$C$4&amp;"|"&amp;$A34&amp;"|groundrent",Market_Data!$K$5:$K$304,0)),"Market-City",IF(ISNUMBER(MATCH(Location!$C$5&amp;"|"&amp;$A34&amp;"|groundrent",Market_Data!$K$5:$K$304,0)),"Market-County",IF(ISNUMBER(MATCH(Location!$C$6&amp;"|"&amp;$A34&amp;"|groundrent",Market_Data!$K$5:$K$304,0)),"Market-State",IF(ISNUMBER(MATCH(Org_Profile!$C$4&amp;"|"&amp;$A34&amp;"|groundrent",Org_Overrides!$H$5:$H$304,0)),"Org","Default x index"))))</f>
        <v/>
      </c>
      <c r="AB34" s="2">
        <f>IF(ISNUMBER(MATCH(Location!$C$4&amp;"|"&amp;$A34&amp;"|cap",Market_Data!$K$5:$K$304,0)),"Market-City",IF(ISNUMBER(MATCH(Location!$C$5&amp;"|"&amp;$A34&amp;"|cap",Market_Data!$K$5:$K$304,0)),"Market-County",IF(ISNUMBER(MATCH(Location!$C$6&amp;"|"&amp;$A34&amp;"|cap",Market_Data!$K$5:$K$304,0)),"Market-State",IF(ISNUMBER(MATCH(Org_Profile!$C$4&amp;"|"&amp;$A34&amp;"|cap",Org_Overrides!$H$5:$H$304,0)),"Org","Default x index"))))</f>
        <v/>
      </c>
      <c r="AC34" s="2">
        <f>IF(ISNUMBER(MATCH(Location!$C$4&amp;"|"&amp;$A34&amp;"|vac",Market_Data!$K$5:$K$304,0)),"Market-City",IF(ISNUMBER(MATCH(Location!$C$5&amp;"|"&amp;$A34&amp;"|vac",Market_Data!$K$5:$K$304,0)),"Market-County",IF(ISNUMBER(MATCH(Location!$C$6&amp;"|"&amp;$A34&amp;"|vac",Market_Data!$K$5:$K$304,0)),"Market-State",IF(ISNUMBER(MATCH(Org_Profile!$C$4&amp;"|"&amp;$A34&amp;"|vac",Org_Overrides!$H$5:$H$304,0)),"Org","Default"))))</f>
        <v/>
      </c>
      <c r="AD34" s="2">
        <f>IF(ISNUMBER(MATCH(Location!$C$4&amp;"|"&amp;$A34&amp;"|absorb",Market_Data!$K$5:$K$304,0)),"Market-City",IF(ISNUMBER(MATCH(Location!$C$5&amp;"|"&amp;$A34&amp;"|absorb",Market_Data!$K$5:$K$304,0)),"Market-County",IF(ISNUMBER(MATCH(Location!$C$6&amp;"|"&amp;$A34&amp;"|absorb",Market_Data!$K$5:$K$304,0)),"Market-State",IF(ISNUMBER(MATCH(Org_Profile!$C$4&amp;"|"&amp;$A34&amp;"|absorb",Org_Overrides!$H$5:$H$304,0)),"Org","Default"))))</f>
        <v/>
      </c>
      <c r="AE34" s="2">
        <f>IF(ISNUMBER(MATCH(Location!$C$4&amp;"|"&amp;$A34&amp;"|lotabs",Market_Data!$K$5:$K$304,0)),"Market-City",IF(ISNUMBER(MATCH(Location!$C$5&amp;"|"&amp;$A34&amp;"|lotabs",Market_Data!$K$5:$K$304,0)),"Market-County",IF(ISNUMBER(MATCH(Location!$C$6&amp;"|"&amp;$A34&amp;"|lotabs",Market_Data!$K$5:$K$304,0)),"Market-State",IF(ISNUMBER(MATCH(Org_Profile!$C$4&amp;"|"&amp;$A34&amp;"|lotabs",Org_Overrides!$H$5:$H$304,0)),"Org","Default"))))</f>
        <v/>
      </c>
      <c r="AF34" s="15">
        <f>15-COUNTIF(Q34:AE34,"Default*")</f>
        <v/>
      </c>
    </row>
    <row r="35">
      <c r="A35" s="4">
        <f>Use_Library!$A$35</f>
        <v/>
      </c>
      <c r="B35" s="20">
        <f>IFERROR((INDEX(Org_Overrides!$D$5:$D$304,MATCH(Org_Profile!$C$4&amp;"|"&amp;$A35&amp;"|vert",Org_Overrides!$H$5:$H$304,0))*Location!$C$9),IFERROR(INDEX(Market_Data!$D$5:$D$304,MATCH(Location!$C$4&amp;"|"&amp;$A35&amp;"|vert",Market_Data!$K$5:$K$304,0)),IFERROR(INDEX(Market_Data!$D$5:$D$304,MATCH(Location!$C$5&amp;"|"&amp;$A35&amp;"|vert",Market_Data!$K$5:$K$304,0)),IFERROR(INDEX(Market_Data!$D$5:$D$304,MATCH(Location!$C$6&amp;"|"&amp;$A35&amp;"|vert",Market_Data!$K$5:$K$304,0)),(Use_Library!$AF$35*Location!$C$9)))))</f>
        <v/>
      </c>
      <c r="C35" s="20">
        <f>IFERROR((INDEX(Org_Overrides!$D$5:$D$304,MATCH(Org_Profile!$C$4&amp;"|"&amp;$A35&amp;"|entitle",Org_Overrides!$H$5:$H$304,0))*Location!$C$9),IFERROR(INDEX(Market_Data!$D$5:$D$304,MATCH(Location!$C$4&amp;"|"&amp;$A35&amp;"|entitle",Market_Data!$K$5:$K$304,0)),IFERROR(INDEX(Market_Data!$D$5:$D$304,MATCH(Location!$C$5&amp;"|"&amp;$A35&amp;"|entitle",Market_Data!$K$5:$K$304,0)),IFERROR(INDEX(Market_Data!$D$5:$D$304,MATCH(Location!$C$6&amp;"|"&amp;$A35&amp;"|entitle",Market_Data!$K$5:$K$304,0)),(Use_Library!$AE$35*Location!$C$9)))))</f>
        <v/>
      </c>
      <c r="D35" s="20">
        <f>IFERROR((INDEX(Org_Overrides!$D$5:$D$304,MATCH(Org_Profile!$C$4&amp;"|"&amp;$A35&amp;"|tilc",Org_Overrides!$H$5:$H$304,0))*Location!$C$9),IFERROR(INDEX(Market_Data!$D$5:$D$304,MATCH(Location!$C$4&amp;"|"&amp;$A35&amp;"|tilc",Market_Data!$K$5:$K$304,0)),IFERROR(INDEX(Market_Data!$D$5:$D$304,MATCH(Location!$C$5&amp;"|"&amp;$A35&amp;"|tilc",Market_Data!$K$5:$K$304,0)),IFERROR(INDEX(Market_Data!$D$5:$D$304,MATCH(Location!$C$6&amp;"|"&amp;$A35&amp;"|tilc",Market_Data!$K$5:$K$304,0)),(Use_Library!$AG$35*Location!$C$9)))))</f>
        <v/>
      </c>
      <c r="E35" s="20">
        <f>IFERROR((INDEX(Org_Overrides!$D$5:$D$304,MATCH(Org_Profile!$C$4&amp;"|"&amp;$A35&amp;"|opex",Org_Overrides!$H$5:$H$304,0))*Location!$C$13),IFERROR(INDEX(Market_Data!$D$5:$D$304,MATCH(Location!$C$4&amp;"|"&amp;$A35&amp;"|opex",Market_Data!$K$5:$K$304,0)),IFERROR(INDEX(Market_Data!$D$5:$D$304,MATCH(Location!$C$5&amp;"|"&amp;$A35&amp;"|opex",Market_Data!$K$5:$K$304,0)),IFERROR(INDEX(Market_Data!$D$5:$D$304,MATCH(Location!$C$6&amp;"|"&amp;$A35&amp;"|opex",Market_Data!$K$5:$K$304,0)),(Use_Library!$AN$35*Location!$C$13)))))</f>
        <v/>
      </c>
      <c r="F35" s="9">
        <f>IFERROR(INDEX(Org_Overrides!$D$5:$D$304,MATCH(Org_Profile!$C$4&amp;"|"&amp;$A35&amp;"|devmo",Org_Overrides!$H$5:$H$304,0)),IFERROR(INDEX(Market_Data!$D$5:$D$304,MATCH(Location!$C$4&amp;"|"&amp;$A35&amp;"|devmo",Market_Data!$K$5:$K$304,0)),IFERROR(INDEX(Market_Data!$D$5:$D$304,MATCH(Location!$C$5&amp;"|"&amp;$A35&amp;"|devmo",Market_Data!$K$5:$K$304,0)),IFERROR(INDEX(Market_Data!$D$5:$D$304,MATCH(Location!$C$6&amp;"|"&amp;$A35&amp;"|devmo",Market_Data!$K$5:$K$304,0)),Use_Library!$AH$35))))</f>
        <v/>
      </c>
      <c r="G35" s="23">
        <f>IFERROR(INDEX(Org_Overrides!$D$5:$D$304,MATCH(Org_Profile!$C$4&amp;"|"&amp;$A35&amp;"|margin",Org_Overrides!$H$5:$H$304,0)),IF(INDEX(Org_Profile!$C$9:$C$12,MATCH(Use_Library!$C$35,Org_Profile!$B$9:$B$12,0))&lt;&gt;"",INDEX(Org_Profile!$C$9:$C$12,MATCH(Use_Library!$C$35,Org_Profile!$B$9:$B$12,0)),Use_Library!$AU$35))</f>
        <v/>
      </c>
      <c r="H35" s="20">
        <f>IFERROR(INDEX(Market_Data!$D$5:$D$304,MATCH(Location!$C$4&amp;"|"&amp;$A35&amp;"|lotprice",Market_Data!$K$5:$K$304,0)),IFERROR(INDEX(Market_Data!$D$5:$D$304,MATCH(Location!$C$5&amp;"|"&amp;$A35&amp;"|lotprice",Market_Data!$K$5:$K$304,0)),IFERROR(INDEX(Market_Data!$D$5:$D$304,MATCH(Location!$C$6&amp;"|"&amp;$A35&amp;"|lotprice",Market_Data!$K$5:$K$304,0)),IFERROR((INDEX(Org_Overrides!$D$5:$D$304,MATCH(Org_Profile!$C$4&amp;"|"&amp;$A35&amp;"|lotprice",Org_Overrides!$H$5:$H$304,0))*Location!$C$10),(Use_Library!$AI$35*Location!$C$10)))))</f>
        <v/>
      </c>
      <c r="I35" s="20">
        <f>IFERROR(INDEX(Market_Data!$D$5:$D$304,MATCH(Location!$C$4&amp;"|"&amp;$A35&amp;"|saleprice",Market_Data!$K$5:$K$304,0)),IFERROR(INDEX(Market_Data!$D$5:$D$304,MATCH(Location!$C$5&amp;"|"&amp;$A35&amp;"|saleprice",Market_Data!$K$5:$K$304,0)),IFERROR(INDEX(Market_Data!$D$5:$D$304,MATCH(Location!$C$6&amp;"|"&amp;$A35&amp;"|saleprice",Market_Data!$K$5:$K$304,0)),IFERROR((INDEX(Org_Overrides!$D$5:$D$304,MATCH(Org_Profile!$C$4&amp;"|"&amp;$A35&amp;"|saleprice",Org_Overrides!$H$5:$H$304,0))*Location!$C$10),(Use_Library!$AJ$35*Location!$C$10)))))</f>
        <v/>
      </c>
      <c r="J35" s="20">
        <f>IFERROR(INDEX(Market_Data!$D$5:$D$304,MATCH(Location!$C$4&amp;"|"&amp;$A35&amp;"|landac",Market_Data!$K$5:$K$304,0)),IFERROR(INDEX(Market_Data!$D$5:$D$304,MATCH(Location!$C$5&amp;"|"&amp;$A35&amp;"|landac",Market_Data!$K$5:$K$304,0)),IFERROR(INDEX(Market_Data!$D$5:$D$304,MATCH(Location!$C$6&amp;"|"&amp;$A35&amp;"|landac",Market_Data!$K$5:$K$304,0)),IFERROR((INDEX(Org_Overrides!$D$5:$D$304,MATCH(Org_Profile!$C$4&amp;"|"&amp;$A35&amp;"|landac",Org_Overrides!$H$5:$H$304,0))*Location!$C$10),(Use_Library!$AS$35*Location!$C$10)))))</f>
        <v/>
      </c>
      <c r="K35" s="20">
        <f>IFERROR(INDEX(Market_Data!$D$5:$D$304,MATCH(Location!$C$4&amp;"|"&amp;$A35&amp;"|rent",Market_Data!$K$5:$K$304,0)),IFERROR(INDEX(Market_Data!$D$5:$D$304,MATCH(Location!$C$5&amp;"|"&amp;$A35&amp;"|rent",Market_Data!$K$5:$K$304,0)),IFERROR(INDEX(Market_Data!$D$5:$D$304,MATCH(Location!$C$6&amp;"|"&amp;$A35&amp;"|rent",Market_Data!$K$5:$K$304,0)),IFERROR((INDEX(Org_Overrides!$D$5:$D$304,MATCH(Org_Profile!$C$4&amp;"|"&amp;$A35&amp;"|rent",Org_Overrides!$H$5:$H$304,0))*Location!$C$11),(Use_Library!$AK$35*Location!$C$11)))))</f>
        <v/>
      </c>
      <c r="L35" s="20">
        <f>IFERROR(INDEX(Market_Data!$D$5:$D$304,MATCH(Location!$C$4&amp;"|"&amp;$A35&amp;"|groundrent",Market_Data!$K$5:$K$304,0)),IFERROR(INDEX(Market_Data!$D$5:$D$304,MATCH(Location!$C$5&amp;"|"&amp;$A35&amp;"|groundrent",Market_Data!$K$5:$K$304,0)),IFERROR(INDEX(Market_Data!$D$5:$D$304,MATCH(Location!$C$6&amp;"|"&amp;$A35&amp;"|groundrent",Market_Data!$K$5:$K$304,0)),IFERROR((INDEX(Org_Overrides!$D$5:$D$304,MATCH(Org_Profile!$C$4&amp;"|"&amp;$A35&amp;"|groundrent",Org_Overrides!$H$5:$H$304,0))*Location!$C$11),(Use_Library!$AT$35*Location!$C$11)))))</f>
        <v/>
      </c>
      <c r="M35" s="23">
        <f>IFERROR(INDEX(Market_Data!$D$5:$D$304,MATCH(Location!$C$4&amp;"|"&amp;$A35&amp;"|cap",Market_Data!$K$5:$K$304,0)),IFERROR(INDEX(Market_Data!$D$5:$D$304,MATCH(Location!$C$5&amp;"|"&amp;$A35&amp;"|cap",Market_Data!$K$5:$K$304,0)),IFERROR(INDEX(Market_Data!$D$5:$D$304,MATCH(Location!$C$6&amp;"|"&amp;$A35&amp;"|cap",Market_Data!$K$5:$K$304,0)),IFERROR((INDEX(Org_Overrides!$D$5:$D$304,MATCH(Org_Profile!$C$4&amp;"|"&amp;$A35&amp;"|cap",Org_Overrides!$H$5:$H$304,0))+Location!$C$12),(Use_Library!$AR$35+Location!$C$12)))))</f>
        <v/>
      </c>
      <c r="N35" s="23">
        <f>IFERROR(INDEX(Market_Data!$D$5:$D$304,MATCH(Location!$C$4&amp;"|"&amp;$A35&amp;"|vac",Market_Data!$K$5:$K$304,0)),IFERROR(INDEX(Market_Data!$D$5:$D$304,MATCH(Location!$C$5&amp;"|"&amp;$A35&amp;"|vac",Market_Data!$K$5:$K$304,0)),IFERROR(INDEX(Market_Data!$D$5:$D$304,MATCH(Location!$C$6&amp;"|"&amp;$A35&amp;"|vac",Market_Data!$K$5:$K$304,0)),IFERROR(INDEX(Org_Overrides!$D$5:$D$304,MATCH(Org_Profile!$C$4&amp;"|"&amp;$A35&amp;"|vac",Org_Overrides!$H$5:$H$304,0)),Use_Library!$AM$35))))</f>
        <v/>
      </c>
      <c r="O35" s="24">
        <f>IFERROR(INDEX(Market_Data!$D$5:$D$304,MATCH(Location!$C$4&amp;"|"&amp;$A35&amp;"|absorb",Market_Data!$K$5:$K$304,0)),IFERROR(INDEX(Market_Data!$D$5:$D$304,MATCH(Location!$C$5&amp;"|"&amp;$A35&amp;"|absorb",Market_Data!$K$5:$K$304,0)),IFERROR(INDEX(Market_Data!$D$5:$D$304,MATCH(Location!$C$6&amp;"|"&amp;$A35&amp;"|absorb",Market_Data!$K$5:$K$304,0)),IFERROR(INDEX(Org_Overrides!$D$5:$D$304,MATCH(Org_Profile!$C$4&amp;"|"&amp;$A35&amp;"|absorb",Org_Overrides!$H$5:$H$304,0)),Use_Library!$R$35))))</f>
        <v/>
      </c>
      <c r="P35" s="24">
        <f>IFERROR(INDEX(Market_Data!$D$5:$D$304,MATCH(Location!$C$4&amp;"|"&amp;$A35&amp;"|lotabs",Market_Data!$K$5:$K$304,0)),IFERROR(INDEX(Market_Data!$D$5:$D$304,MATCH(Location!$C$5&amp;"|"&amp;$A35&amp;"|lotabs",Market_Data!$K$5:$K$304,0)),IFERROR(INDEX(Market_Data!$D$5:$D$304,MATCH(Location!$C$6&amp;"|"&amp;$A35&amp;"|lotabs",Market_Data!$K$5:$K$304,0)),IFERROR(INDEX(Org_Overrides!$D$5:$D$304,MATCH(Org_Profile!$C$4&amp;"|"&amp;$A35&amp;"|lotabs",Org_Overrides!$H$5:$H$304,0)),Use_Library!$S$35))))</f>
        <v/>
      </c>
      <c r="Q35" s="2">
        <f>IF(ISNUMBER(MATCH(Org_Profile!$C$4&amp;"|"&amp;$A35&amp;"|vert",Org_Overrides!$H$5:$H$304,0)),"Org",IF(ISNUMBER(MATCH(Location!$C$4&amp;"|"&amp;$A35&amp;"|vert",Market_Data!$K$5:$K$304,0)),"Market-City",IF(ISNUMBER(MATCH(Location!$C$5&amp;"|"&amp;$A35&amp;"|vert",Market_Data!$K$5:$K$304,0)),"Market-County",IF(ISNUMBER(MATCH(Location!$C$6&amp;"|"&amp;$A35&amp;"|vert",Market_Data!$K$5:$K$304,0)),"Market-State","Default x index"))))</f>
        <v/>
      </c>
      <c r="R35" s="2">
        <f>IF(ISNUMBER(MATCH(Org_Profile!$C$4&amp;"|"&amp;$A35&amp;"|entitle",Org_Overrides!$H$5:$H$304,0)),"Org",IF(ISNUMBER(MATCH(Location!$C$4&amp;"|"&amp;$A35&amp;"|entitle",Market_Data!$K$5:$K$304,0)),"Market-City",IF(ISNUMBER(MATCH(Location!$C$5&amp;"|"&amp;$A35&amp;"|entitle",Market_Data!$K$5:$K$304,0)),"Market-County",IF(ISNUMBER(MATCH(Location!$C$6&amp;"|"&amp;$A35&amp;"|entitle",Market_Data!$K$5:$K$304,0)),"Market-State","Default x index"))))</f>
        <v/>
      </c>
      <c r="S35" s="2">
        <f>IF(ISNUMBER(MATCH(Org_Profile!$C$4&amp;"|"&amp;$A35&amp;"|tilc",Org_Overrides!$H$5:$H$304,0)),"Org",IF(ISNUMBER(MATCH(Location!$C$4&amp;"|"&amp;$A35&amp;"|tilc",Market_Data!$K$5:$K$304,0)),"Market-City",IF(ISNUMBER(MATCH(Location!$C$5&amp;"|"&amp;$A35&amp;"|tilc",Market_Data!$K$5:$K$304,0)),"Market-County",IF(ISNUMBER(MATCH(Location!$C$6&amp;"|"&amp;$A35&amp;"|tilc",Market_Data!$K$5:$K$304,0)),"Market-State","Default x index"))))</f>
        <v/>
      </c>
      <c r="T35" s="2">
        <f>IF(ISNUMBER(MATCH(Org_Profile!$C$4&amp;"|"&amp;$A35&amp;"|opex",Org_Overrides!$H$5:$H$304,0)),"Org",IF(ISNUMBER(MATCH(Location!$C$4&amp;"|"&amp;$A35&amp;"|opex",Market_Data!$K$5:$K$304,0)),"Market-City",IF(ISNUMBER(MATCH(Location!$C$5&amp;"|"&amp;$A35&amp;"|opex",Market_Data!$K$5:$K$304,0)),"Market-County",IF(ISNUMBER(MATCH(Location!$C$6&amp;"|"&amp;$A35&amp;"|opex",Market_Data!$K$5:$K$304,0)),"Market-State","Default x index"))))</f>
        <v/>
      </c>
      <c r="U35" s="2">
        <f>IF(ISNUMBER(MATCH(Org_Profile!$C$4&amp;"|"&amp;$A35&amp;"|devmo",Org_Overrides!$H$5:$H$304,0)),"Org",IF(ISNUMBER(MATCH(Location!$C$4&amp;"|"&amp;$A35&amp;"|devmo",Market_Data!$K$5:$K$304,0)),"Market-City",IF(ISNUMBER(MATCH(Location!$C$5&amp;"|"&amp;$A35&amp;"|devmo",Market_Data!$K$5:$K$304,0)),"Market-County",IF(ISNUMBER(MATCH(Location!$C$6&amp;"|"&amp;$A35&amp;"|devmo",Market_Data!$K$5:$K$304,0)),"Market-State","Default"))))</f>
        <v/>
      </c>
      <c r="V35" s="2">
        <f>IF(ISNUMBER(MATCH(Org_Profile!$C$4&amp;"|"&amp;$A35&amp;"|margin",Org_Overrides!$H$5:$H$304,0)),"Org",IF(INDEX(Org_Profile!$C$9:$C$12,MATCH(Use_Library!$C$35,Org_Profile!$B$9:$B$12,0))&lt;&gt;"","Org engine margin","Default"))</f>
        <v/>
      </c>
      <c r="W35" s="2">
        <f>IF(ISNUMBER(MATCH(Location!$C$4&amp;"|"&amp;$A35&amp;"|lotprice",Market_Data!$K$5:$K$304,0)),"Market-City",IF(ISNUMBER(MATCH(Location!$C$5&amp;"|"&amp;$A35&amp;"|lotprice",Market_Data!$K$5:$K$304,0)),"Market-County",IF(ISNUMBER(MATCH(Location!$C$6&amp;"|"&amp;$A35&amp;"|lotprice",Market_Data!$K$5:$K$304,0)),"Market-State",IF(ISNUMBER(MATCH(Org_Profile!$C$4&amp;"|"&amp;$A35&amp;"|lotprice",Org_Overrides!$H$5:$H$304,0)),"Org","Default x index"))))</f>
        <v/>
      </c>
      <c r="X35" s="2">
        <f>IF(ISNUMBER(MATCH(Location!$C$4&amp;"|"&amp;$A35&amp;"|saleprice",Market_Data!$K$5:$K$304,0)),"Market-City",IF(ISNUMBER(MATCH(Location!$C$5&amp;"|"&amp;$A35&amp;"|saleprice",Market_Data!$K$5:$K$304,0)),"Market-County",IF(ISNUMBER(MATCH(Location!$C$6&amp;"|"&amp;$A35&amp;"|saleprice",Market_Data!$K$5:$K$304,0)),"Market-State",IF(ISNUMBER(MATCH(Org_Profile!$C$4&amp;"|"&amp;$A35&amp;"|saleprice",Org_Overrides!$H$5:$H$304,0)),"Org","Default x index"))))</f>
        <v/>
      </c>
      <c r="Y35" s="2">
        <f>IF(ISNUMBER(MATCH(Location!$C$4&amp;"|"&amp;$A35&amp;"|landac",Market_Data!$K$5:$K$304,0)),"Market-City",IF(ISNUMBER(MATCH(Location!$C$5&amp;"|"&amp;$A35&amp;"|landac",Market_Data!$K$5:$K$304,0)),"Market-County",IF(ISNUMBER(MATCH(Location!$C$6&amp;"|"&amp;$A35&amp;"|landac",Market_Data!$K$5:$K$304,0)),"Market-State",IF(ISNUMBER(MATCH(Org_Profile!$C$4&amp;"|"&amp;$A35&amp;"|landac",Org_Overrides!$H$5:$H$304,0)),"Org","Default x index"))))</f>
        <v/>
      </c>
      <c r="Z35" s="2">
        <f>IF(ISNUMBER(MATCH(Location!$C$4&amp;"|"&amp;$A35&amp;"|rent",Market_Data!$K$5:$K$304,0)),"Market-City",IF(ISNUMBER(MATCH(Location!$C$5&amp;"|"&amp;$A35&amp;"|rent",Market_Data!$K$5:$K$304,0)),"Market-County",IF(ISNUMBER(MATCH(Location!$C$6&amp;"|"&amp;$A35&amp;"|rent",Market_Data!$K$5:$K$304,0)),"Market-State",IF(ISNUMBER(MATCH(Org_Profile!$C$4&amp;"|"&amp;$A35&amp;"|rent",Org_Overrides!$H$5:$H$304,0)),"Org","Default x index"))))</f>
        <v/>
      </c>
      <c r="AA35" s="2">
        <f>IF(ISNUMBER(MATCH(Location!$C$4&amp;"|"&amp;$A35&amp;"|groundrent",Market_Data!$K$5:$K$304,0)),"Market-City",IF(ISNUMBER(MATCH(Location!$C$5&amp;"|"&amp;$A35&amp;"|groundrent",Market_Data!$K$5:$K$304,0)),"Market-County",IF(ISNUMBER(MATCH(Location!$C$6&amp;"|"&amp;$A35&amp;"|groundrent",Market_Data!$K$5:$K$304,0)),"Market-State",IF(ISNUMBER(MATCH(Org_Profile!$C$4&amp;"|"&amp;$A35&amp;"|groundrent",Org_Overrides!$H$5:$H$304,0)),"Org","Default x index"))))</f>
        <v/>
      </c>
      <c r="AB35" s="2">
        <f>IF(ISNUMBER(MATCH(Location!$C$4&amp;"|"&amp;$A35&amp;"|cap",Market_Data!$K$5:$K$304,0)),"Market-City",IF(ISNUMBER(MATCH(Location!$C$5&amp;"|"&amp;$A35&amp;"|cap",Market_Data!$K$5:$K$304,0)),"Market-County",IF(ISNUMBER(MATCH(Location!$C$6&amp;"|"&amp;$A35&amp;"|cap",Market_Data!$K$5:$K$304,0)),"Market-State",IF(ISNUMBER(MATCH(Org_Profile!$C$4&amp;"|"&amp;$A35&amp;"|cap",Org_Overrides!$H$5:$H$304,0)),"Org","Default x index"))))</f>
        <v/>
      </c>
      <c r="AC35" s="2">
        <f>IF(ISNUMBER(MATCH(Location!$C$4&amp;"|"&amp;$A35&amp;"|vac",Market_Data!$K$5:$K$304,0)),"Market-City",IF(ISNUMBER(MATCH(Location!$C$5&amp;"|"&amp;$A35&amp;"|vac",Market_Data!$K$5:$K$304,0)),"Market-County",IF(ISNUMBER(MATCH(Location!$C$6&amp;"|"&amp;$A35&amp;"|vac",Market_Data!$K$5:$K$304,0)),"Market-State",IF(ISNUMBER(MATCH(Org_Profile!$C$4&amp;"|"&amp;$A35&amp;"|vac",Org_Overrides!$H$5:$H$304,0)),"Org","Default"))))</f>
        <v/>
      </c>
      <c r="AD35" s="2">
        <f>IF(ISNUMBER(MATCH(Location!$C$4&amp;"|"&amp;$A35&amp;"|absorb",Market_Data!$K$5:$K$304,0)),"Market-City",IF(ISNUMBER(MATCH(Location!$C$5&amp;"|"&amp;$A35&amp;"|absorb",Market_Data!$K$5:$K$304,0)),"Market-County",IF(ISNUMBER(MATCH(Location!$C$6&amp;"|"&amp;$A35&amp;"|absorb",Market_Data!$K$5:$K$304,0)),"Market-State",IF(ISNUMBER(MATCH(Org_Profile!$C$4&amp;"|"&amp;$A35&amp;"|absorb",Org_Overrides!$H$5:$H$304,0)),"Org","Default"))))</f>
        <v/>
      </c>
      <c r="AE35" s="2">
        <f>IF(ISNUMBER(MATCH(Location!$C$4&amp;"|"&amp;$A35&amp;"|lotabs",Market_Data!$K$5:$K$304,0)),"Market-City",IF(ISNUMBER(MATCH(Location!$C$5&amp;"|"&amp;$A35&amp;"|lotabs",Market_Data!$K$5:$K$304,0)),"Market-County",IF(ISNUMBER(MATCH(Location!$C$6&amp;"|"&amp;$A35&amp;"|lotabs",Market_Data!$K$5:$K$304,0)),"Market-State",IF(ISNUMBER(MATCH(Org_Profile!$C$4&amp;"|"&amp;$A35&amp;"|lotabs",Org_Overrides!$H$5:$H$304,0)),"Org","Default"))))</f>
        <v/>
      </c>
      <c r="AF35" s="15">
        <f>15-COUNTIF(Q35:AE35,"Default*")</f>
        <v/>
      </c>
    </row>
    <row r="36">
      <c r="A36" s="4">
        <f>Use_Library!$A$36</f>
        <v/>
      </c>
      <c r="B36" s="20">
        <f>IFERROR((INDEX(Org_Overrides!$D$5:$D$304,MATCH(Org_Profile!$C$4&amp;"|"&amp;$A36&amp;"|vert",Org_Overrides!$H$5:$H$304,0))*Location!$C$9),IFERROR(INDEX(Market_Data!$D$5:$D$304,MATCH(Location!$C$4&amp;"|"&amp;$A36&amp;"|vert",Market_Data!$K$5:$K$304,0)),IFERROR(INDEX(Market_Data!$D$5:$D$304,MATCH(Location!$C$5&amp;"|"&amp;$A36&amp;"|vert",Market_Data!$K$5:$K$304,0)),IFERROR(INDEX(Market_Data!$D$5:$D$304,MATCH(Location!$C$6&amp;"|"&amp;$A36&amp;"|vert",Market_Data!$K$5:$K$304,0)),(Use_Library!$AF$36*Location!$C$9)))))</f>
        <v/>
      </c>
      <c r="C36" s="20">
        <f>IFERROR((INDEX(Org_Overrides!$D$5:$D$304,MATCH(Org_Profile!$C$4&amp;"|"&amp;$A36&amp;"|entitle",Org_Overrides!$H$5:$H$304,0))*Location!$C$9),IFERROR(INDEX(Market_Data!$D$5:$D$304,MATCH(Location!$C$4&amp;"|"&amp;$A36&amp;"|entitle",Market_Data!$K$5:$K$304,0)),IFERROR(INDEX(Market_Data!$D$5:$D$304,MATCH(Location!$C$5&amp;"|"&amp;$A36&amp;"|entitle",Market_Data!$K$5:$K$304,0)),IFERROR(INDEX(Market_Data!$D$5:$D$304,MATCH(Location!$C$6&amp;"|"&amp;$A36&amp;"|entitle",Market_Data!$K$5:$K$304,0)),(Use_Library!$AE$36*Location!$C$9)))))</f>
        <v/>
      </c>
      <c r="D36" s="20">
        <f>IFERROR((INDEX(Org_Overrides!$D$5:$D$304,MATCH(Org_Profile!$C$4&amp;"|"&amp;$A36&amp;"|tilc",Org_Overrides!$H$5:$H$304,0))*Location!$C$9),IFERROR(INDEX(Market_Data!$D$5:$D$304,MATCH(Location!$C$4&amp;"|"&amp;$A36&amp;"|tilc",Market_Data!$K$5:$K$304,0)),IFERROR(INDEX(Market_Data!$D$5:$D$304,MATCH(Location!$C$5&amp;"|"&amp;$A36&amp;"|tilc",Market_Data!$K$5:$K$304,0)),IFERROR(INDEX(Market_Data!$D$5:$D$304,MATCH(Location!$C$6&amp;"|"&amp;$A36&amp;"|tilc",Market_Data!$K$5:$K$304,0)),(Use_Library!$AG$36*Location!$C$9)))))</f>
        <v/>
      </c>
      <c r="E36" s="20">
        <f>IFERROR((INDEX(Org_Overrides!$D$5:$D$304,MATCH(Org_Profile!$C$4&amp;"|"&amp;$A36&amp;"|opex",Org_Overrides!$H$5:$H$304,0))*Location!$C$13),IFERROR(INDEX(Market_Data!$D$5:$D$304,MATCH(Location!$C$4&amp;"|"&amp;$A36&amp;"|opex",Market_Data!$K$5:$K$304,0)),IFERROR(INDEX(Market_Data!$D$5:$D$304,MATCH(Location!$C$5&amp;"|"&amp;$A36&amp;"|opex",Market_Data!$K$5:$K$304,0)),IFERROR(INDEX(Market_Data!$D$5:$D$304,MATCH(Location!$C$6&amp;"|"&amp;$A36&amp;"|opex",Market_Data!$K$5:$K$304,0)),(Use_Library!$AN$36*Location!$C$13)))))</f>
        <v/>
      </c>
      <c r="F36" s="9">
        <f>IFERROR(INDEX(Org_Overrides!$D$5:$D$304,MATCH(Org_Profile!$C$4&amp;"|"&amp;$A36&amp;"|devmo",Org_Overrides!$H$5:$H$304,0)),IFERROR(INDEX(Market_Data!$D$5:$D$304,MATCH(Location!$C$4&amp;"|"&amp;$A36&amp;"|devmo",Market_Data!$K$5:$K$304,0)),IFERROR(INDEX(Market_Data!$D$5:$D$304,MATCH(Location!$C$5&amp;"|"&amp;$A36&amp;"|devmo",Market_Data!$K$5:$K$304,0)),IFERROR(INDEX(Market_Data!$D$5:$D$304,MATCH(Location!$C$6&amp;"|"&amp;$A36&amp;"|devmo",Market_Data!$K$5:$K$304,0)),Use_Library!$AH$36))))</f>
        <v/>
      </c>
      <c r="G36" s="23">
        <f>IFERROR(INDEX(Org_Overrides!$D$5:$D$304,MATCH(Org_Profile!$C$4&amp;"|"&amp;$A36&amp;"|margin",Org_Overrides!$H$5:$H$304,0)),IF(INDEX(Org_Profile!$C$9:$C$12,MATCH(Use_Library!$C$36,Org_Profile!$B$9:$B$12,0))&lt;&gt;"",INDEX(Org_Profile!$C$9:$C$12,MATCH(Use_Library!$C$36,Org_Profile!$B$9:$B$12,0)),Use_Library!$AU$36))</f>
        <v/>
      </c>
      <c r="H36" s="20">
        <f>IFERROR(INDEX(Market_Data!$D$5:$D$304,MATCH(Location!$C$4&amp;"|"&amp;$A36&amp;"|lotprice",Market_Data!$K$5:$K$304,0)),IFERROR(INDEX(Market_Data!$D$5:$D$304,MATCH(Location!$C$5&amp;"|"&amp;$A36&amp;"|lotprice",Market_Data!$K$5:$K$304,0)),IFERROR(INDEX(Market_Data!$D$5:$D$304,MATCH(Location!$C$6&amp;"|"&amp;$A36&amp;"|lotprice",Market_Data!$K$5:$K$304,0)),IFERROR((INDEX(Org_Overrides!$D$5:$D$304,MATCH(Org_Profile!$C$4&amp;"|"&amp;$A36&amp;"|lotprice",Org_Overrides!$H$5:$H$304,0))*Location!$C$10),(Use_Library!$AI$36*Location!$C$10)))))</f>
        <v/>
      </c>
      <c r="I36" s="20">
        <f>IFERROR(INDEX(Market_Data!$D$5:$D$304,MATCH(Location!$C$4&amp;"|"&amp;$A36&amp;"|saleprice",Market_Data!$K$5:$K$304,0)),IFERROR(INDEX(Market_Data!$D$5:$D$304,MATCH(Location!$C$5&amp;"|"&amp;$A36&amp;"|saleprice",Market_Data!$K$5:$K$304,0)),IFERROR(INDEX(Market_Data!$D$5:$D$304,MATCH(Location!$C$6&amp;"|"&amp;$A36&amp;"|saleprice",Market_Data!$K$5:$K$304,0)),IFERROR((INDEX(Org_Overrides!$D$5:$D$304,MATCH(Org_Profile!$C$4&amp;"|"&amp;$A36&amp;"|saleprice",Org_Overrides!$H$5:$H$304,0))*Location!$C$10),(Use_Library!$AJ$36*Location!$C$10)))))</f>
        <v/>
      </c>
      <c r="J36" s="20">
        <f>IFERROR(INDEX(Market_Data!$D$5:$D$304,MATCH(Location!$C$4&amp;"|"&amp;$A36&amp;"|landac",Market_Data!$K$5:$K$304,0)),IFERROR(INDEX(Market_Data!$D$5:$D$304,MATCH(Location!$C$5&amp;"|"&amp;$A36&amp;"|landac",Market_Data!$K$5:$K$304,0)),IFERROR(INDEX(Market_Data!$D$5:$D$304,MATCH(Location!$C$6&amp;"|"&amp;$A36&amp;"|landac",Market_Data!$K$5:$K$304,0)),IFERROR((INDEX(Org_Overrides!$D$5:$D$304,MATCH(Org_Profile!$C$4&amp;"|"&amp;$A36&amp;"|landac",Org_Overrides!$H$5:$H$304,0))*Location!$C$10),(Use_Library!$AS$36*Location!$C$10)))))</f>
        <v/>
      </c>
      <c r="K36" s="20">
        <f>IFERROR(INDEX(Market_Data!$D$5:$D$304,MATCH(Location!$C$4&amp;"|"&amp;$A36&amp;"|rent",Market_Data!$K$5:$K$304,0)),IFERROR(INDEX(Market_Data!$D$5:$D$304,MATCH(Location!$C$5&amp;"|"&amp;$A36&amp;"|rent",Market_Data!$K$5:$K$304,0)),IFERROR(INDEX(Market_Data!$D$5:$D$304,MATCH(Location!$C$6&amp;"|"&amp;$A36&amp;"|rent",Market_Data!$K$5:$K$304,0)),IFERROR((INDEX(Org_Overrides!$D$5:$D$304,MATCH(Org_Profile!$C$4&amp;"|"&amp;$A36&amp;"|rent",Org_Overrides!$H$5:$H$304,0))*Location!$C$11),(Use_Library!$AK$36*Location!$C$11)))))</f>
        <v/>
      </c>
      <c r="L36" s="20">
        <f>IFERROR(INDEX(Market_Data!$D$5:$D$304,MATCH(Location!$C$4&amp;"|"&amp;$A36&amp;"|groundrent",Market_Data!$K$5:$K$304,0)),IFERROR(INDEX(Market_Data!$D$5:$D$304,MATCH(Location!$C$5&amp;"|"&amp;$A36&amp;"|groundrent",Market_Data!$K$5:$K$304,0)),IFERROR(INDEX(Market_Data!$D$5:$D$304,MATCH(Location!$C$6&amp;"|"&amp;$A36&amp;"|groundrent",Market_Data!$K$5:$K$304,0)),IFERROR((INDEX(Org_Overrides!$D$5:$D$304,MATCH(Org_Profile!$C$4&amp;"|"&amp;$A36&amp;"|groundrent",Org_Overrides!$H$5:$H$304,0))*Location!$C$11),(Use_Library!$AT$36*Location!$C$11)))))</f>
        <v/>
      </c>
      <c r="M36" s="23">
        <f>IFERROR(INDEX(Market_Data!$D$5:$D$304,MATCH(Location!$C$4&amp;"|"&amp;$A36&amp;"|cap",Market_Data!$K$5:$K$304,0)),IFERROR(INDEX(Market_Data!$D$5:$D$304,MATCH(Location!$C$5&amp;"|"&amp;$A36&amp;"|cap",Market_Data!$K$5:$K$304,0)),IFERROR(INDEX(Market_Data!$D$5:$D$304,MATCH(Location!$C$6&amp;"|"&amp;$A36&amp;"|cap",Market_Data!$K$5:$K$304,0)),IFERROR((INDEX(Org_Overrides!$D$5:$D$304,MATCH(Org_Profile!$C$4&amp;"|"&amp;$A36&amp;"|cap",Org_Overrides!$H$5:$H$304,0))+Location!$C$12),(Use_Library!$AR$36+Location!$C$12)))))</f>
        <v/>
      </c>
      <c r="N36" s="23">
        <f>IFERROR(INDEX(Market_Data!$D$5:$D$304,MATCH(Location!$C$4&amp;"|"&amp;$A36&amp;"|vac",Market_Data!$K$5:$K$304,0)),IFERROR(INDEX(Market_Data!$D$5:$D$304,MATCH(Location!$C$5&amp;"|"&amp;$A36&amp;"|vac",Market_Data!$K$5:$K$304,0)),IFERROR(INDEX(Market_Data!$D$5:$D$304,MATCH(Location!$C$6&amp;"|"&amp;$A36&amp;"|vac",Market_Data!$K$5:$K$304,0)),IFERROR(INDEX(Org_Overrides!$D$5:$D$304,MATCH(Org_Profile!$C$4&amp;"|"&amp;$A36&amp;"|vac",Org_Overrides!$H$5:$H$304,0)),Use_Library!$AM$36))))</f>
        <v/>
      </c>
      <c r="O36" s="24">
        <f>IFERROR(INDEX(Market_Data!$D$5:$D$304,MATCH(Location!$C$4&amp;"|"&amp;$A36&amp;"|absorb",Market_Data!$K$5:$K$304,0)),IFERROR(INDEX(Market_Data!$D$5:$D$304,MATCH(Location!$C$5&amp;"|"&amp;$A36&amp;"|absorb",Market_Data!$K$5:$K$304,0)),IFERROR(INDEX(Market_Data!$D$5:$D$304,MATCH(Location!$C$6&amp;"|"&amp;$A36&amp;"|absorb",Market_Data!$K$5:$K$304,0)),IFERROR(INDEX(Org_Overrides!$D$5:$D$304,MATCH(Org_Profile!$C$4&amp;"|"&amp;$A36&amp;"|absorb",Org_Overrides!$H$5:$H$304,0)),Use_Library!$R$36))))</f>
        <v/>
      </c>
      <c r="P36" s="24">
        <f>IFERROR(INDEX(Market_Data!$D$5:$D$304,MATCH(Location!$C$4&amp;"|"&amp;$A36&amp;"|lotabs",Market_Data!$K$5:$K$304,0)),IFERROR(INDEX(Market_Data!$D$5:$D$304,MATCH(Location!$C$5&amp;"|"&amp;$A36&amp;"|lotabs",Market_Data!$K$5:$K$304,0)),IFERROR(INDEX(Market_Data!$D$5:$D$304,MATCH(Location!$C$6&amp;"|"&amp;$A36&amp;"|lotabs",Market_Data!$K$5:$K$304,0)),IFERROR(INDEX(Org_Overrides!$D$5:$D$304,MATCH(Org_Profile!$C$4&amp;"|"&amp;$A36&amp;"|lotabs",Org_Overrides!$H$5:$H$304,0)),Use_Library!$S$36))))</f>
        <v/>
      </c>
      <c r="Q36" s="2">
        <f>IF(ISNUMBER(MATCH(Org_Profile!$C$4&amp;"|"&amp;$A36&amp;"|vert",Org_Overrides!$H$5:$H$304,0)),"Org",IF(ISNUMBER(MATCH(Location!$C$4&amp;"|"&amp;$A36&amp;"|vert",Market_Data!$K$5:$K$304,0)),"Market-City",IF(ISNUMBER(MATCH(Location!$C$5&amp;"|"&amp;$A36&amp;"|vert",Market_Data!$K$5:$K$304,0)),"Market-County",IF(ISNUMBER(MATCH(Location!$C$6&amp;"|"&amp;$A36&amp;"|vert",Market_Data!$K$5:$K$304,0)),"Market-State","Default x index"))))</f>
        <v/>
      </c>
      <c r="R36" s="2">
        <f>IF(ISNUMBER(MATCH(Org_Profile!$C$4&amp;"|"&amp;$A36&amp;"|entitle",Org_Overrides!$H$5:$H$304,0)),"Org",IF(ISNUMBER(MATCH(Location!$C$4&amp;"|"&amp;$A36&amp;"|entitle",Market_Data!$K$5:$K$304,0)),"Market-City",IF(ISNUMBER(MATCH(Location!$C$5&amp;"|"&amp;$A36&amp;"|entitle",Market_Data!$K$5:$K$304,0)),"Market-County",IF(ISNUMBER(MATCH(Location!$C$6&amp;"|"&amp;$A36&amp;"|entitle",Market_Data!$K$5:$K$304,0)),"Market-State","Default x index"))))</f>
        <v/>
      </c>
      <c r="S36" s="2">
        <f>IF(ISNUMBER(MATCH(Org_Profile!$C$4&amp;"|"&amp;$A36&amp;"|tilc",Org_Overrides!$H$5:$H$304,0)),"Org",IF(ISNUMBER(MATCH(Location!$C$4&amp;"|"&amp;$A36&amp;"|tilc",Market_Data!$K$5:$K$304,0)),"Market-City",IF(ISNUMBER(MATCH(Location!$C$5&amp;"|"&amp;$A36&amp;"|tilc",Market_Data!$K$5:$K$304,0)),"Market-County",IF(ISNUMBER(MATCH(Location!$C$6&amp;"|"&amp;$A36&amp;"|tilc",Market_Data!$K$5:$K$304,0)),"Market-State","Default x index"))))</f>
        <v/>
      </c>
      <c r="T36" s="2">
        <f>IF(ISNUMBER(MATCH(Org_Profile!$C$4&amp;"|"&amp;$A36&amp;"|opex",Org_Overrides!$H$5:$H$304,0)),"Org",IF(ISNUMBER(MATCH(Location!$C$4&amp;"|"&amp;$A36&amp;"|opex",Market_Data!$K$5:$K$304,0)),"Market-City",IF(ISNUMBER(MATCH(Location!$C$5&amp;"|"&amp;$A36&amp;"|opex",Market_Data!$K$5:$K$304,0)),"Market-County",IF(ISNUMBER(MATCH(Location!$C$6&amp;"|"&amp;$A36&amp;"|opex",Market_Data!$K$5:$K$304,0)),"Market-State","Default x index"))))</f>
        <v/>
      </c>
      <c r="U36" s="2">
        <f>IF(ISNUMBER(MATCH(Org_Profile!$C$4&amp;"|"&amp;$A36&amp;"|devmo",Org_Overrides!$H$5:$H$304,0)),"Org",IF(ISNUMBER(MATCH(Location!$C$4&amp;"|"&amp;$A36&amp;"|devmo",Market_Data!$K$5:$K$304,0)),"Market-City",IF(ISNUMBER(MATCH(Location!$C$5&amp;"|"&amp;$A36&amp;"|devmo",Market_Data!$K$5:$K$304,0)),"Market-County",IF(ISNUMBER(MATCH(Location!$C$6&amp;"|"&amp;$A36&amp;"|devmo",Market_Data!$K$5:$K$304,0)),"Market-State","Default"))))</f>
        <v/>
      </c>
      <c r="V36" s="2">
        <f>IF(ISNUMBER(MATCH(Org_Profile!$C$4&amp;"|"&amp;$A36&amp;"|margin",Org_Overrides!$H$5:$H$304,0)),"Org",IF(INDEX(Org_Profile!$C$9:$C$12,MATCH(Use_Library!$C$36,Org_Profile!$B$9:$B$12,0))&lt;&gt;"","Org engine margin","Default"))</f>
        <v/>
      </c>
      <c r="W36" s="2">
        <f>IF(ISNUMBER(MATCH(Location!$C$4&amp;"|"&amp;$A36&amp;"|lotprice",Market_Data!$K$5:$K$304,0)),"Market-City",IF(ISNUMBER(MATCH(Location!$C$5&amp;"|"&amp;$A36&amp;"|lotprice",Market_Data!$K$5:$K$304,0)),"Market-County",IF(ISNUMBER(MATCH(Location!$C$6&amp;"|"&amp;$A36&amp;"|lotprice",Market_Data!$K$5:$K$304,0)),"Market-State",IF(ISNUMBER(MATCH(Org_Profile!$C$4&amp;"|"&amp;$A36&amp;"|lotprice",Org_Overrides!$H$5:$H$304,0)),"Org","Default x index"))))</f>
        <v/>
      </c>
      <c r="X36" s="2">
        <f>IF(ISNUMBER(MATCH(Location!$C$4&amp;"|"&amp;$A36&amp;"|saleprice",Market_Data!$K$5:$K$304,0)),"Market-City",IF(ISNUMBER(MATCH(Location!$C$5&amp;"|"&amp;$A36&amp;"|saleprice",Market_Data!$K$5:$K$304,0)),"Market-County",IF(ISNUMBER(MATCH(Location!$C$6&amp;"|"&amp;$A36&amp;"|saleprice",Market_Data!$K$5:$K$304,0)),"Market-State",IF(ISNUMBER(MATCH(Org_Profile!$C$4&amp;"|"&amp;$A36&amp;"|saleprice",Org_Overrides!$H$5:$H$304,0)),"Org","Default x index"))))</f>
        <v/>
      </c>
      <c r="Y36" s="2">
        <f>IF(ISNUMBER(MATCH(Location!$C$4&amp;"|"&amp;$A36&amp;"|landac",Market_Data!$K$5:$K$304,0)),"Market-City",IF(ISNUMBER(MATCH(Location!$C$5&amp;"|"&amp;$A36&amp;"|landac",Market_Data!$K$5:$K$304,0)),"Market-County",IF(ISNUMBER(MATCH(Location!$C$6&amp;"|"&amp;$A36&amp;"|landac",Market_Data!$K$5:$K$304,0)),"Market-State",IF(ISNUMBER(MATCH(Org_Profile!$C$4&amp;"|"&amp;$A36&amp;"|landac",Org_Overrides!$H$5:$H$304,0)),"Org","Default x index"))))</f>
        <v/>
      </c>
      <c r="Z36" s="2">
        <f>IF(ISNUMBER(MATCH(Location!$C$4&amp;"|"&amp;$A36&amp;"|rent",Market_Data!$K$5:$K$304,0)),"Market-City",IF(ISNUMBER(MATCH(Location!$C$5&amp;"|"&amp;$A36&amp;"|rent",Market_Data!$K$5:$K$304,0)),"Market-County",IF(ISNUMBER(MATCH(Location!$C$6&amp;"|"&amp;$A36&amp;"|rent",Market_Data!$K$5:$K$304,0)),"Market-State",IF(ISNUMBER(MATCH(Org_Profile!$C$4&amp;"|"&amp;$A36&amp;"|rent",Org_Overrides!$H$5:$H$304,0)),"Org","Default x index"))))</f>
        <v/>
      </c>
      <c r="AA36" s="2">
        <f>IF(ISNUMBER(MATCH(Location!$C$4&amp;"|"&amp;$A36&amp;"|groundrent",Market_Data!$K$5:$K$304,0)),"Market-City",IF(ISNUMBER(MATCH(Location!$C$5&amp;"|"&amp;$A36&amp;"|groundrent",Market_Data!$K$5:$K$304,0)),"Market-County",IF(ISNUMBER(MATCH(Location!$C$6&amp;"|"&amp;$A36&amp;"|groundrent",Market_Data!$K$5:$K$304,0)),"Market-State",IF(ISNUMBER(MATCH(Org_Profile!$C$4&amp;"|"&amp;$A36&amp;"|groundrent",Org_Overrides!$H$5:$H$304,0)),"Org","Default x index"))))</f>
        <v/>
      </c>
      <c r="AB36" s="2">
        <f>IF(ISNUMBER(MATCH(Location!$C$4&amp;"|"&amp;$A36&amp;"|cap",Market_Data!$K$5:$K$304,0)),"Market-City",IF(ISNUMBER(MATCH(Location!$C$5&amp;"|"&amp;$A36&amp;"|cap",Market_Data!$K$5:$K$304,0)),"Market-County",IF(ISNUMBER(MATCH(Location!$C$6&amp;"|"&amp;$A36&amp;"|cap",Market_Data!$K$5:$K$304,0)),"Market-State",IF(ISNUMBER(MATCH(Org_Profile!$C$4&amp;"|"&amp;$A36&amp;"|cap",Org_Overrides!$H$5:$H$304,0)),"Org","Default x index"))))</f>
        <v/>
      </c>
      <c r="AC36" s="2">
        <f>IF(ISNUMBER(MATCH(Location!$C$4&amp;"|"&amp;$A36&amp;"|vac",Market_Data!$K$5:$K$304,0)),"Market-City",IF(ISNUMBER(MATCH(Location!$C$5&amp;"|"&amp;$A36&amp;"|vac",Market_Data!$K$5:$K$304,0)),"Market-County",IF(ISNUMBER(MATCH(Location!$C$6&amp;"|"&amp;$A36&amp;"|vac",Market_Data!$K$5:$K$304,0)),"Market-State",IF(ISNUMBER(MATCH(Org_Profile!$C$4&amp;"|"&amp;$A36&amp;"|vac",Org_Overrides!$H$5:$H$304,0)),"Org","Default"))))</f>
        <v/>
      </c>
      <c r="AD36" s="2">
        <f>IF(ISNUMBER(MATCH(Location!$C$4&amp;"|"&amp;$A36&amp;"|absorb",Market_Data!$K$5:$K$304,0)),"Market-City",IF(ISNUMBER(MATCH(Location!$C$5&amp;"|"&amp;$A36&amp;"|absorb",Market_Data!$K$5:$K$304,0)),"Market-County",IF(ISNUMBER(MATCH(Location!$C$6&amp;"|"&amp;$A36&amp;"|absorb",Market_Data!$K$5:$K$304,0)),"Market-State",IF(ISNUMBER(MATCH(Org_Profile!$C$4&amp;"|"&amp;$A36&amp;"|absorb",Org_Overrides!$H$5:$H$304,0)),"Org","Default"))))</f>
        <v/>
      </c>
      <c r="AE36" s="2">
        <f>IF(ISNUMBER(MATCH(Location!$C$4&amp;"|"&amp;$A36&amp;"|lotabs",Market_Data!$K$5:$K$304,0)),"Market-City",IF(ISNUMBER(MATCH(Location!$C$5&amp;"|"&amp;$A36&amp;"|lotabs",Market_Data!$K$5:$K$304,0)),"Market-County",IF(ISNUMBER(MATCH(Location!$C$6&amp;"|"&amp;$A36&amp;"|lotabs",Market_Data!$K$5:$K$304,0)),"Market-State",IF(ISNUMBER(MATCH(Org_Profile!$C$4&amp;"|"&amp;$A36&amp;"|lotabs",Org_Overrides!$H$5:$H$304,0)),"Org","Default"))))</f>
        <v/>
      </c>
      <c r="AF36" s="15">
        <f>15-COUNTIF(Q36:AE36,"Default*")</f>
        <v/>
      </c>
    </row>
    <row r="37">
      <c r="A37" s="4">
        <f>Use_Library!$A$37</f>
        <v/>
      </c>
      <c r="B37" s="20">
        <f>IFERROR((INDEX(Org_Overrides!$D$5:$D$304,MATCH(Org_Profile!$C$4&amp;"|"&amp;$A37&amp;"|vert",Org_Overrides!$H$5:$H$304,0))*Location!$C$9),IFERROR(INDEX(Market_Data!$D$5:$D$304,MATCH(Location!$C$4&amp;"|"&amp;$A37&amp;"|vert",Market_Data!$K$5:$K$304,0)),IFERROR(INDEX(Market_Data!$D$5:$D$304,MATCH(Location!$C$5&amp;"|"&amp;$A37&amp;"|vert",Market_Data!$K$5:$K$304,0)),IFERROR(INDEX(Market_Data!$D$5:$D$304,MATCH(Location!$C$6&amp;"|"&amp;$A37&amp;"|vert",Market_Data!$K$5:$K$304,0)),(Use_Library!$AF$37*Location!$C$9)))))</f>
        <v/>
      </c>
      <c r="C37" s="20">
        <f>IFERROR((INDEX(Org_Overrides!$D$5:$D$304,MATCH(Org_Profile!$C$4&amp;"|"&amp;$A37&amp;"|entitle",Org_Overrides!$H$5:$H$304,0))*Location!$C$9),IFERROR(INDEX(Market_Data!$D$5:$D$304,MATCH(Location!$C$4&amp;"|"&amp;$A37&amp;"|entitle",Market_Data!$K$5:$K$304,0)),IFERROR(INDEX(Market_Data!$D$5:$D$304,MATCH(Location!$C$5&amp;"|"&amp;$A37&amp;"|entitle",Market_Data!$K$5:$K$304,0)),IFERROR(INDEX(Market_Data!$D$5:$D$304,MATCH(Location!$C$6&amp;"|"&amp;$A37&amp;"|entitle",Market_Data!$K$5:$K$304,0)),(Use_Library!$AE$37*Location!$C$9)))))</f>
        <v/>
      </c>
      <c r="D37" s="20">
        <f>IFERROR((INDEX(Org_Overrides!$D$5:$D$304,MATCH(Org_Profile!$C$4&amp;"|"&amp;$A37&amp;"|tilc",Org_Overrides!$H$5:$H$304,0))*Location!$C$9),IFERROR(INDEX(Market_Data!$D$5:$D$304,MATCH(Location!$C$4&amp;"|"&amp;$A37&amp;"|tilc",Market_Data!$K$5:$K$304,0)),IFERROR(INDEX(Market_Data!$D$5:$D$304,MATCH(Location!$C$5&amp;"|"&amp;$A37&amp;"|tilc",Market_Data!$K$5:$K$304,0)),IFERROR(INDEX(Market_Data!$D$5:$D$304,MATCH(Location!$C$6&amp;"|"&amp;$A37&amp;"|tilc",Market_Data!$K$5:$K$304,0)),(Use_Library!$AG$37*Location!$C$9)))))</f>
        <v/>
      </c>
      <c r="E37" s="20">
        <f>IFERROR((INDEX(Org_Overrides!$D$5:$D$304,MATCH(Org_Profile!$C$4&amp;"|"&amp;$A37&amp;"|opex",Org_Overrides!$H$5:$H$304,0))*Location!$C$13),IFERROR(INDEX(Market_Data!$D$5:$D$304,MATCH(Location!$C$4&amp;"|"&amp;$A37&amp;"|opex",Market_Data!$K$5:$K$304,0)),IFERROR(INDEX(Market_Data!$D$5:$D$304,MATCH(Location!$C$5&amp;"|"&amp;$A37&amp;"|opex",Market_Data!$K$5:$K$304,0)),IFERROR(INDEX(Market_Data!$D$5:$D$304,MATCH(Location!$C$6&amp;"|"&amp;$A37&amp;"|opex",Market_Data!$K$5:$K$304,0)),(Use_Library!$AN$37*Location!$C$13)))))</f>
        <v/>
      </c>
      <c r="F37" s="9">
        <f>IFERROR(INDEX(Org_Overrides!$D$5:$D$304,MATCH(Org_Profile!$C$4&amp;"|"&amp;$A37&amp;"|devmo",Org_Overrides!$H$5:$H$304,0)),IFERROR(INDEX(Market_Data!$D$5:$D$304,MATCH(Location!$C$4&amp;"|"&amp;$A37&amp;"|devmo",Market_Data!$K$5:$K$304,0)),IFERROR(INDEX(Market_Data!$D$5:$D$304,MATCH(Location!$C$5&amp;"|"&amp;$A37&amp;"|devmo",Market_Data!$K$5:$K$304,0)),IFERROR(INDEX(Market_Data!$D$5:$D$304,MATCH(Location!$C$6&amp;"|"&amp;$A37&amp;"|devmo",Market_Data!$K$5:$K$304,0)),Use_Library!$AH$37))))</f>
        <v/>
      </c>
      <c r="G37" s="23">
        <f>IFERROR(INDEX(Org_Overrides!$D$5:$D$304,MATCH(Org_Profile!$C$4&amp;"|"&amp;$A37&amp;"|margin",Org_Overrides!$H$5:$H$304,0)),IF(INDEX(Org_Profile!$C$9:$C$12,MATCH(Use_Library!$C$37,Org_Profile!$B$9:$B$12,0))&lt;&gt;"",INDEX(Org_Profile!$C$9:$C$12,MATCH(Use_Library!$C$37,Org_Profile!$B$9:$B$12,0)),Use_Library!$AU$37))</f>
        <v/>
      </c>
      <c r="H37" s="20">
        <f>IFERROR(INDEX(Market_Data!$D$5:$D$304,MATCH(Location!$C$4&amp;"|"&amp;$A37&amp;"|lotprice",Market_Data!$K$5:$K$304,0)),IFERROR(INDEX(Market_Data!$D$5:$D$304,MATCH(Location!$C$5&amp;"|"&amp;$A37&amp;"|lotprice",Market_Data!$K$5:$K$304,0)),IFERROR(INDEX(Market_Data!$D$5:$D$304,MATCH(Location!$C$6&amp;"|"&amp;$A37&amp;"|lotprice",Market_Data!$K$5:$K$304,0)),IFERROR((INDEX(Org_Overrides!$D$5:$D$304,MATCH(Org_Profile!$C$4&amp;"|"&amp;$A37&amp;"|lotprice",Org_Overrides!$H$5:$H$304,0))*Location!$C$10),(Use_Library!$AI$37*Location!$C$10)))))</f>
        <v/>
      </c>
      <c r="I37" s="20">
        <f>IFERROR(INDEX(Market_Data!$D$5:$D$304,MATCH(Location!$C$4&amp;"|"&amp;$A37&amp;"|saleprice",Market_Data!$K$5:$K$304,0)),IFERROR(INDEX(Market_Data!$D$5:$D$304,MATCH(Location!$C$5&amp;"|"&amp;$A37&amp;"|saleprice",Market_Data!$K$5:$K$304,0)),IFERROR(INDEX(Market_Data!$D$5:$D$304,MATCH(Location!$C$6&amp;"|"&amp;$A37&amp;"|saleprice",Market_Data!$K$5:$K$304,0)),IFERROR((INDEX(Org_Overrides!$D$5:$D$304,MATCH(Org_Profile!$C$4&amp;"|"&amp;$A37&amp;"|saleprice",Org_Overrides!$H$5:$H$304,0))*Location!$C$10),(Use_Library!$AJ$37*Location!$C$10)))))</f>
        <v/>
      </c>
      <c r="J37" s="20">
        <f>IFERROR(INDEX(Market_Data!$D$5:$D$304,MATCH(Location!$C$4&amp;"|"&amp;$A37&amp;"|landac",Market_Data!$K$5:$K$304,0)),IFERROR(INDEX(Market_Data!$D$5:$D$304,MATCH(Location!$C$5&amp;"|"&amp;$A37&amp;"|landac",Market_Data!$K$5:$K$304,0)),IFERROR(INDEX(Market_Data!$D$5:$D$304,MATCH(Location!$C$6&amp;"|"&amp;$A37&amp;"|landac",Market_Data!$K$5:$K$304,0)),IFERROR((INDEX(Org_Overrides!$D$5:$D$304,MATCH(Org_Profile!$C$4&amp;"|"&amp;$A37&amp;"|landac",Org_Overrides!$H$5:$H$304,0))*Location!$C$10),(Use_Library!$AS$37*Location!$C$10)))))</f>
        <v/>
      </c>
      <c r="K37" s="20">
        <f>IFERROR(INDEX(Market_Data!$D$5:$D$304,MATCH(Location!$C$4&amp;"|"&amp;$A37&amp;"|rent",Market_Data!$K$5:$K$304,0)),IFERROR(INDEX(Market_Data!$D$5:$D$304,MATCH(Location!$C$5&amp;"|"&amp;$A37&amp;"|rent",Market_Data!$K$5:$K$304,0)),IFERROR(INDEX(Market_Data!$D$5:$D$304,MATCH(Location!$C$6&amp;"|"&amp;$A37&amp;"|rent",Market_Data!$K$5:$K$304,0)),IFERROR((INDEX(Org_Overrides!$D$5:$D$304,MATCH(Org_Profile!$C$4&amp;"|"&amp;$A37&amp;"|rent",Org_Overrides!$H$5:$H$304,0))*Location!$C$11),(Use_Library!$AK$37*Location!$C$11)))))</f>
        <v/>
      </c>
      <c r="L37" s="20">
        <f>IFERROR(INDEX(Market_Data!$D$5:$D$304,MATCH(Location!$C$4&amp;"|"&amp;$A37&amp;"|groundrent",Market_Data!$K$5:$K$304,0)),IFERROR(INDEX(Market_Data!$D$5:$D$304,MATCH(Location!$C$5&amp;"|"&amp;$A37&amp;"|groundrent",Market_Data!$K$5:$K$304,0)),IFERROR(INDEX(Market_Data!$D$5:$D$304,MATCH(Location!$C$6&amp;"|"&amp;$A37&amp;"|groundrent",Market_Data!$K$5:$K$304,0)),IFERROR((INDEX(Org_Overrides!$D$5:$D$304,MATCH(Org_Profile!$C$4&amp;"|"&amp;$A37&amp;"|groundrent",Org_Overrides!$H$5:$H$304,0))*Location!$C$11),(Use_Library!$AT$37*Location!$C$11)))))</f>
        <v/>
      </c>
      <c r="M37" s="23">
        <f>IFERROR(INDEX(Market_Data!$D$5:$D$304,MATCH(Location!$C$4&amp;"|"&amp;$A37&amp;"|cap",Market_Data!$K$5:$K$304,0)),IFERROR(INDEX(Market_Data!$D$5:$D$304,MATCH(Location!$C$5&amp;"|"&amp;$A37&amp;"|cap",Market_Data!$K$5:$K$304,0)),IFERROR(INDEX(Market_Data!$D$5:$D$304,MATCH(Location!$C$6&amp;"|"&amp;$A37&amp;"|cap",Market_Data!$K$5:$K$304,0)),IFERROR((INDEX(Org_Overrides!$D$5:$D$304,MATCH(Org_Profile!$C$4&amp;"|"&amp;$A37&amp;"|cap",Org_Overrides!$H$5:$H$304,0))+Location!$C$12),(Use_Library!$AR$37+Location!$C$12)))))</f>
        <v/>
      </c>
      <c r="N37" s="23">
        <f>IFERROR(INDEX(Market_Data!$D$5:$D$304,MATCH(Location!$C$4&amp;"|"&amp;$A37&amp;"|vac",Market_Data!$K$5:$K$304,0)),IFERROR(INDEX(Market_Data!$D$5:$D$304,MATCH(Location!$C$5&amp;"|"&amp;$A37&amp;"|vac",Market_Data!$K$5:$K$304,0)),IFERROR(INDEX(Market_Data!$D$5:$D$304,MATCH(Location!$C$6&amp;"|"&amp;$A37&amp;"|vac",Market_Data!$K$5:$K$304,0)),IFERROR(INDEX(Org_Overrides!$D$5:$D$304,MATCH(Org_Profile!$C$4&amp;"|"&amp;$A37&amp;"|vac",Org_Overrides!$H$5:$H$304,0)),Use_Library!$AM$37))))</f>
        <v/>
      </c>
      <c r="O37" s="24">
        <f>IFERROR(INDEX(Market_Data!$D$5:$D$304,MATCH(Location!$C$4&amp;"|"&amp;$A37&amp;"|absorb",Market_Data!$K$5:$K$304,0)),IFERROR(INDEX(Market_Data!$D$5:$D$304,MATCH(Location!$C$5&amp;"|"&amp;$A37&amp;"|absorb",Market_Data!$K$5:$K$304,0)),IFERROR(INDEX(Market_Data!$D$5:$D$304,MATCH(Location!$C$6&amp;"|"&amp;$A37&amp;"|absorb",Market_Data!$K$5:$K$304,0)),IFERROR(INDEX(Org_Overrides!$D$5:$D$304,MATCH(Org_Profile!$C$4&amp;"|"&amp;$A37&amp;"|absorb",Org_Overrides!$H$5:$H$304,0)),Use_Library!$R$37))))</f>
        <v/>
      </c>
      <c r="P37" s="24">
        <f>IFERROR(INDEX(Market_Data!$D$5:$D$304,MATCH(Location!$C$4&amp;"|"&amp;$A37&amp;"|lotabs",Market_Data!$K$5:$K$304,0)),IFERROR(INDEX(Market_Data!$D$5:$D$304,MATCH(Location!$C$5&amp;"|"&amp;$A37&amp;"|lotabs",Market_Data!$K$5:$K$304,0)),IFERROR(INDEX(Market_Data!$D$5:$D$304,MATCH(Location!$C$6&amp;"|"&amp;$A37&amp;"|lotabs",Market_Data!$K$5:$K$304,0)),IFERROR(INDEX(Org_Overrides!$D$5:$D$304,MATCH(Org_Profile!$C$4&amp;"|"&amp;$A37&amp;"|lotabs",Org_Overrides!$H$5:$H$304,0)),Use_Library!$S$37))))</f>
        <v/>
      </c>
      <c r="Q37" s="2">
        <f>IF(ISNUMBER(MATCH(Org_Profile!$C$4&amp;"|"&amp;$A37&amp;"|vert",Org_Overrides!$H$5:$H$304,0)),"Org",IF(ISNUMBER(MATCH(Location!$C$4&amp;"|"&amp;$A37&amp;"|vert",Market_Data!$K$5:$K$304,0)),"Market-City",IF(ISNUMBER(MATCH(Location!$C$5&amp;"|"&amp;$A37&amp;"|vert",Market_Data!$K$5:$K$304,0)),"Market-County",IF(ISNUMBER(MATCH(Location!$C$6&amp;"|"&amp;$A37&amp;"|vert",Market_Data!$K$5:$K$304,0)),"Market-State","Default x index"))))</f>
        <v/>
      </c>
      <c r="R37" s="2">
        <f>IF(ISNUMBER(MATCH(Org_Profile!$C$4&amp;"|"&amp;$A37&amp;"|entitle",Org_Overrides!$H$5:$H$304,0)),"Org",IF(ISNUMBER(MATCH(Location!$C$4&amp;"|"&amp;$A37&amp;"|entitle",Market_Data!$K$5:$K$304,0)),"Market-City",IF(ISNUMBER(MATCH(Location!$C$5&amp;"|"&amp;$A37&amp;"|entitle",Market_Data!$K$5:$K$304,0)),"Market-County",IF(ISNUMBER(MATCH(Location!$C$6&amp;"|"&amp;$A37&amp;"|entitle",Market_Data!$K$5:$K$304,0)),"Market-State","Default x index"))))</f>
        <v/>
      </c>
      <c r="S37" s="2">
        <f>IF(ISNUMBER(MATCH(Org_Profile!$C$4&amp;"|"&amp;$A37&amp;"|tilc",Org_Overrides!$H$5:$H$304,0)),"Org",IF(ISNUMBER(MATCH(Location!$C$4&amp;"|"&amp;$A37&amp;"|tilc",Market_Data!$K$5:$K$304,0)),"Market-City",IF(ISNUMBER(MATCH(Location!$C$5&amp;"|"&amp;$A37&amp;"|tilc",Market_Data!$K$5:$K$304,0)),"Market-County",IF(ISNUMBER(MATCH(Location!$C$6&amp;"|"&amp;$A37&amp;"|tilc",Market_Data!$K$5:$K$304,0)),"Market-State","Default x index"))))</f>
        <v/>
      </c>
      <c r="T37" s="2">
        <f>IF(ISNUMBER(MATCH(Org_Profile!$C$4&amp;"|"&amp;$A37&amp;"|opex",Org_Overrides!$H$5:$H$304,0)),"Org",IF(ISNUMBER(MATCH(Location!$C$4&amp;"|"&amp;$A37&amp;"|opex",Market_Data!$K$5:$K$304,0)),"Market-City",IF(ISNUMBER(MATCH(Location!$C$5&amp;"|"&amp;$A37&amp;"|opex",Market_Data!$K$5:$K$304,0)),"Market-County",IF(ISNUMBER(MATCH(Location!$C$6&amp;"|"&amp;$A37&amp;"|opex",Market_Data!$K$5:$K$304,0)),"Market-State","Default x index"))))</f>
        <v/>
      </c>
      <c r="U37" s="2">
        <f>IF(ISNUMBER(MATCH(Org_Profile!$C$4&amp;"|"&amp;$A37&amp;"|devmo",Org_Overrides!$H$5:$H$304,0)),"Org",IF(ISNUMBER(MATCH(Location!$C$4&amp;"|"&amp;$A37&amp;"|devmo",Market_Data!$K$5:$K$304,0)),"Market-City",IF(ISNUMBER(MATCH(Location!$C$5&amp;"|"&amp;$A37&amp;"|devmo",Market_Data!$K$5:$K$304,0)),"Market-County",IF(ISNUMBER(MATCH(Location!$C$6&amp;"|"&amp;$A37&amp;"|devmo",Market_Data!$K$5:$K$304,0)),"Market-State","Default"))))</f>
        <v/>
      </c>
      <c r="V37" s="2">
        <f>IF(ISNUMBER(MATCH(Org_Profile!$C$4&amp;"|"&amp;$A37&amp;"|margin",Org_Overrides!$H$5:$H$304,0)),"Org",IF(INDEX(Org_Profile!$C$9:$C$12,MATCH(Use_Library!$C$37,Org_Profile!$B$9:$B$12,0))&lt;&gt;"","Org engine margin","Default"))</f>
        <v/>
      </c>
      <c r="W37" s="2">
        <f>IF(ISNUMBER(MATCH(Location!$C$4&amp;"|"&amp;$A37&amp;"|lotprice",Market_Data!$K$5:$K$304,0)),"Market-City",IF(ISNUMBER(MATCH(Location!$C$5&amp;"|"&amp;$A37&amp;"|lotprice",Market_Data!$K$5:$K$304,0)),"Market-County",IF(ISNUMBER(MATCH(Location!$C$6&amp;"|"&amp;$A37&amp;"|lotprice",Market_Data!$K$5:$K$304,0)),"Market-State",IF(ISNUMBER(MATCH(Org_Profile!$C$4&amp;"|"&amp;$A37&amp;"|lotprice",Org_Overrides!$H$5:$H$304,0)),"Org","Default x index"))))</f>
        <v/>
      </c>
      <c r="X37" s="2">
        <f>IF(ISNUMBER(MATCH(Location!$C$4&amp;"|"&amp;$A37&amp;"|saleprice",Market_Data!$K$5:$K$304,0)),"Market-City",IF(ISNUMBER(MATCH(Location!$C$5&amp;"|"&amp;$A37&amp;"|saleprice",Market_Data!$K$5:$K$304,0)),"Market-County",IF(ISNUMBER(MATCH(Location!$C$6&amp;"|"&amp;$A37&amp;"|saleprice",Market_Data!$K$5:$K$304,0)),"Market-State",IF(ISNUMBER(MATCH(Org_Profile!$C$4&amp;"|"&amp;$A37&amp;"|saleprice",Org_Overrides!$H$5:$H$304,0)),"Org","Default x index"))))</f>
        <v/>
      </c>
      <c r="Y37" s="2">
        <f>IF(ISNUMBER(MATCH(Location!$C$4&amp;"|"&amp;$A37&amp;"|landac",Market_Data!$K$5:$K$304,0)),"Market-City",IF(ISNUMBER(MATCH(Location!$C$5&amp;"|"&amp;$A37&amp;"|landac",Market_Data!$K$5:$K$304,0)),"Market-County",IF(ISNUMBER(MATCH(Location!$C$6&amp;"|"&amp;$A37&amp;"|landac",Market_Data!$K$5:$K$304,0)),"Market-State",IF(ISNUMBER(MATCH(Org_Profile!$C$4&amp;"|"&amp;$A37&amp;"|landac",Org_Overrides!$H$5:$H$304,0)),"Org","Default x index"))))</f>
        <v/>
      </c>
      <c r="Z37" s="2">
        <f>IF(ISNUMBER(MATCH(Location!$C$4&amp;"|"&amp;$A37&amp;"|rent",Market_Data!$K$5:$K$304,0)),"Market-City",IF(ISNUMBER(MATCH(Location!$C$5&amp;"|"&amp;$A37&amp;"|rent",Market_Data!$K$5:$K$304,0)),"Market-County",IF(ISNUMBER(MATCH(Location!$C$6&amp;"|"&amp;$A37&amp;"|rent",Market_Data!$K$5:$K$304,0)),"Market-State",IF(ISNUMBER(MATCH(Org_Profile!$C$4&amp;"|"&amp;$A37&amp;"|rent",Org_Overrides!$H$5:$H$304,0)),"Org","Default x index"))))</f>
        <v/>
      </c>
      <c r="AA37" s="2">
        <f>IF(ISNUMBER(MATCH(Location!$C$4&amp;"|"&amp;$A37&amp;"|groundrent",Market_Data!$K$5:$K$304,0)),"Market-City",IF(ISNUMBER(MATCH(Location!$C$5&amp;"|"&amp;$A37&amp;"|groundrent",Market_Data!$K$5:$K$304,0)),"Market-County",IF(ISNUMBER(MATCH(Location!$C$6&amp;"|"&amp;$A37&amp;"|groundrent",Market_Data!$K$5:$K$304,0)),"Market-State",IF(ISNUMBER(MATCH(Org_Profile!$C$4&amp;"|"&amp;$A37&amp;"|groundrent",Org_Overrides!$H$5:$H$304,0)),"Org","Default x index"))))</f>
        <v/>
      </c>
      <c r="AB37" s="2">
        <f>IF(ISNUMBER(MATCH(Location!$C$4&amp;"|"&amp;$A37&amp;"|cap",Market_Data!$K$5:$K$304,0)),"Market-City",IF(ISNUMBER(MATCH(Location!$C$5&amp;"|"&amp;$A37&amp;"|cap",Market_Data!$K$5:$K$304,0)),"Market-County",IF(ISNUMBER(MATCH(Location!$C$6&amp;"|"&amp;$A37&amp;"|cap",Market_Data!$K$5:$K$304,0)),"Market-State",IF(ISNUMBER(MATCH(Org_Profile!$C$4&amp;"|"&amp;$A37&amp;"|cap",Org_Overrides!$H$5:$H$304,0)),"Org","Default x index"))))</f>
        <v/>
      </c>
      <c r="AC37" s="2">
        <f>IF(ISNUMBER(MATCH(Location!$C$4&amp;"|"&amp;$A37&amp;"|vac",Market_Data!$K$5:$K$304,0)),"Market-City",IF(ISNUMBER(MATCH(Location!$C$5&amp;"|"&amp;$A37&amp;"|vac",Market_Data!$K$5:$K$304,0)),"Market-County",IF(ISNUMBER(MATCH(Location!$C$6&amp;"|"&amp;$A37&amp;"|vac",Market_Data!$K$5:$K$304,0)),"Market-State",IF(ISNUMBER(MATCH(Org_Profile!$C$4&amp;"|"&amp;$A37&amp;"|vac",Org_Overrides!$H$5:$H$304,0)),"Org","Default"))))</f>
        <v/>
      </c>
      <c r="AD37" s="2">
        <f>IF(ISNUMBER(MATCH(Location!$C$4&amp;"|"&amp;$A37&amp;"|absorb",Market_Data!$K$5:$K$304,0)),"Market-City",IF(ISNUMBER(MATCH(Location!$C$5&amp;"|"&amp;$A37&amp;"|absorb",Market_Data!$K$5:$K$304,0)),"Market-County",IF(ISNUMBER(MATCH(Location!$C$6&amp;"|"&amp;$A37&amp;"|absorb",Market_Data!$K$5:$K$304,0)),"Market-State",IF(ISNUMBER(MATCH(Org_Profile!$C$4&amp;"|"&amp;$A37&amp;"|absorb",Org_Overrides!$H$5:$H$304,0)),"Org","Default"))))</f>
        <v/>
      </c>
      <c r="AE37" s="2">
        <f>IF(ISNUMBER(MATCH(Location!$C$4&amp;"|"&amp;$A37&amp;"|lotabs",Market_Data!$K$5:$K$304,0)),"Market-City",IF(ISNUMBER(MATCH(Location!$C$5&amp;"|"&amp;$A37&amp;"|lotabs",Market_Data!$K$5:$K$304,0)),"Market-County",IF(ISNUMBER(MATCH(Location!$C$6&amp;"|"&amp;$A37&amp;"|lotabs",Market_Data!$K$5:$K$304,0)),"Market-State",IF(ISNUMBER(MATCH(Org_Profile!$C$4&amp;"|"&amp;$A37&amp;"|lotabs",Org_Overrides!$H$5:$H$304,0)),"Org","Default"))))</f>
        <v/>
      </c>
      <c r="AF37" s="15">
        <f>15-COUNTIF(Q37:AE37,"Default*")</f>
        <v/>
      </c>
    </row>
    <row r="38">
      <c r="A38" s="4">
        <f>Use_Library!$A$38</f>
        <v/>
      </c>
      <c r="B38" s="20">
        <f>IFERROR((INDEX(Org_Overrides!$D$5:$D$304,MATCH(Org_Profile!$C$4&amp;"|"&amp;$A38&amp;"|vert",Org_Overrides!$H$5:$H$304,0))*Location!$C$9),IFERROR(INDEX(Market_Data!$D$5:$D$304,MATCH(Location!$C$4&amp;"|"&amp;$A38&amp;"|vert",Market_Data!$K$5:$K$304,0)),IFERROR(INDEX(Market_Data!$D$5:$D$304,MATCH(Location!$C$5&amp;"|"&amp;$A38&amp;"|vert",Market_Data!$K$5:$K$304,0)),IFERROR(INDEX(Market_Data!$D$5:$D$304,MATCH(Location!$C$6&amp;"|"&amp;$A38&amp;"|vert",Market_Data!$K$5:$K$304,0)),(Use_Library!$AF$38*Location!$C$9)))))</f>
        <v/>
      </c>
      <c r="C38" s="20">
        <f>IFERROR((INDEX(Org_Overrides!$D$5:$D$304,MATCH(Org_Profile!$C$4&amp;"|"&amp;$A38&amp;"|entitle",Org_Overrides!$H$5:$H$304,0))*Location!$C$9),IFERROR(INDEX(Market_Data!$D$5:$D$304,MATCH(Location!$C$4&amp;"|"&amp;$A38&amp;"|entitle",Market_Data!$K$5:$K$304,0)),IFERROR(INDEX(Market_Data!$D$5:$D$304,MATCH(Location!$C$5&amp;"|"&amp;$A38&amp;"|entitle",Market_Data!$K$5:$K$304,0)),IFERROR(INDEX(Market_Data!$D$5:$D$304,MATCH(Location!$C$6&amp;"|"&amp;$A38&amp;"|entitle",Market_Data!$K$5:$K$304,0)),(Use_Library!$AE$38*Location!$C$9)))))</f>
        <v/>
      </c>
      <c r="D38" s="20">
        <f>IFERROR((INDEX(Org_Overrides!$D$5:$D$304,MATCH(Org_Profile!$C$4&amp;"|"&amp;$A38&amp;"|tilc",Org_Overrides!$H$5:$H$304,0))*Location!$C$9),IFERROR(INDEX(Market_Data!$D$5:$D$304,MATCH(Location!$C$4&amp;"|"&amp;$A38&amp;"|tilc",Market_Data!$K$5:$K$304,0)),IFERROR(INDEX(Market_Data!$D$5:$D$304,MATCH(Location!$C$5&amp;"|"&amp;$A38&amp;"|tilc",Market_Data!$K$5:$K$304,0)),IFERROR(INDEX(Market_Data!$D$5:$D$304,MATCH(Location!$C$6&amp;"|"&amp;$A38&amp;"|tilc",Market_Data!$K$5:$K$304,0)),(Use_Library!$AG$38*Location!$C$9)))))</f>
        <v/>
      </c>
      <c r="E38" s="20">
        <f>IFERROR((INDEX(Org_Overrides!$D$5:$D$304,MATCH(Org_Profile!$C$4&amp;"|"&amp;$A38&amp;"|opex",Org_Overrides!$H$5:$H$304,0))*Location!$C$13),IFERROR(INDEX(Market_Data!$D$5:$D$304,MATCH(Location!$C$4&amp;"|"&amp;$A38&amp;"|opex",Market_Data!$K$5:$K$304,0)),IFERROR(INDEX(Market_Data!$D$5:$D$304,MATCH(Location!$C$5&amp;"|"&amp;$A38&amp;"|opex",Market_Data!$K$5:$K$304,0)),IFERROR(INDEX(Market_Data!$D$5:$D$304,MATCH(Location!$C$6&amp;"|"&amp;$A38&amp;"|opex",Market_Data!$K$5:$K$304,0)),(Use_Library!$AN$38*Location!$C$13)))))</f>
        <v/>
      </c>
      <c r="F38" s="9">
        <f>IFERROR(INDEX(Org_Overrides!$D$5:$D$304,MATCH(Org_Profile!$C$4&amp;"|"&amp;$A38&amp;"|devmo",Org_Overrides!$H$5:$H$304,0)),IFERROR(INDEX(Market_Data!$D$5:$D$304,MATCH(Location!$C$4&amp;"|"&amp;$A38&amp;"|devmo",Market_Data!$K$5:$K$304,0)),IFERROR(INDEX(Market_Data!$D$5:$D$304,MATCH(Location!$C$5&amp;"|"&amp;$A38&amp;"|devmo",Market_Data!$K$5:$K$304,0)),IFERROR(INDEX(Market_Data!$D$5:$D$304,MATCH(Location!$C$6&amp;"|"&amp;$A38&amp;"|devmo",Market_Data!$K$5:$K$304,0)),Use_Library!$AH$38))))</f>
        <v/>
      </c>
      <c r="G38" s="23">
        <f>IFERROR(INDEX(Org_Overrides!$D$5:$D$304,MATCH(Org_Profile!$C$4&amp;"|"&amp;$A38&amp;"|margin",Org_Overrides!$H$5:$H$304,0)),IF(INDEX(Org_Profile!$C$9:$C$12,MATCH(Use_Library!$C$38,Org_Profile!$B$9:$B$12,0))&lt;&gt;"",INDEX(Org_Profile!$C$9:$C$12,MATCH(Use_Library!$C$38,Org_Profile!$B$9:$B$12,0)),Use_Library!$AU$38))</f>
        <v/>
      </c>
      <c r="H38" s="20">
        <f>IFERROR(INDEX(Market_Data!$D$5:$D$304,MATCH(Location!$C$4&amp;"|"&amp;$A38&amp;"|lotprice",Market_Data!$K$5:$K$304,0)),IFERROR(INDEX(Market_Data!$D$5:$D$304,MATCH(Location!$C$5&amp;"|"&amp;$A38&amp;"|lotprice",Market_Data!$K$5:$K$304,0)),IFERROR(INDEX(Market_Data!$D$5:$D$304,MATCH(Location!$C$6&amp;"|"&amp;$A38&amp;"|lotprice",Market_Data!$K$5:$K$304,0)),IFERROR((INDEX(Org_Overrides!$D$5:$D$304,MATCH(Org_Profile!$C$4&amp;"|"&amp;$A38&amp;"|lotprice",Org_Overrides!$H$5:$H$304,0))*Location!$C$10),(Use_Library!$AI$38*Location!$C$10)))))</f>
        <v/>
      </c>
      <c r="I38" s="20">
        <f>IFERROR(INDEX(Market_Data!$D$5:$D$304,MATCH(Location!$C$4&amp;"|"&amp;$A38&amp;"|saleprice",Market_Data!$K$5:$K$304,0)),IFERROR(INDEX(Market_Data!$D$5:$D$304,MATCH(Location!$C$5&amp;"|"&amp;$A38&amp;"|saleprice",Market_Data!$K$5:$K$304,0)),IFERROR(INDEX(Market_Data!$D$5:$D$304,MATCH(Location!$C$6&amp;"|"&amp;$A38&amp;"|saleprice",Market_Data!$K$5:$K$304,0)),IFERROR((INDEX(Org_Overrides!$D$5:$D$304,MATCH(Org_Profile!$C$4&amp;"|"&amp;$A38&amp;"|saleprice",Org_Overrides!$H$5:$H$304,0))*Location!$C$10),(Use_Library!$AJ$38*Location!$C$10)))))</f>
        <v/>
      </c>
      <c r="J38" s="20">
        <f>IFERROR(INDEX(Market_Data!$D$5:$D$304,MATCH(Location!$C$4&amp;"|"&amp;$A38&amp;"|landac",Market_Data!$K$5:$K$304,0)),IFERROR(INDEX(Market_Data!$D$5:$D$304,MATCH(Location!$C$5&amp;"|"&amp;$A38&amp;"|landac",Market_Data!$K$5:$K$304,0)),IFERROR(INDEX(Market_Data!$D$5:$D$304,MATCH(Location!$C$6&amp;"|"&amp;$A38&amp;"|landac",Market_Data!$K$5:$K$304,0)),IFERROR((INDEX(Org_Overrides!$D$5:$D$304,MATCH(Org_Profile!$C$4&amp;"|"&amp;$A38&amp;"|landac",Org_Overrides!$H$5:$H$304,0))*Location!$C$10),(Use_Library!$AS$38*Location!$C$10)))))</f>
        <v/>
      </c>
      <c r="K38" s="20">
        <f>IFERROR(INDEX(Market_Data!$D$5:$D$304,MATCH(Location!$C$4&amp;"|"&amp;$A38&amp;"|rent",Market_Data!$K$5:$K$304,0)),IFERROR(INDEX(Market_Data!$D$5:$D$304,MATCH(Location!$C$5&amp;"|"&amp;$A38&amp;"|rent",Market_Data!$K$5:$K$304,0)),IFERROR(INDEX(Market_Data!$D$5:$D$304,MATCH(Location!$C$6&amp;"|"&amp;$A38&amp;"|rent",Market_Data!$K$5:$K$304,0)),IFERROR((INDEX(Org_Overrides!$D$5:$D$304,MATCH(Org_Profile!$C$4&amp;"|"&amp;$A38&amp;"|rent",Org_Overrides!$H$5:$H$304,0))*Location!$C$11),(Use_Library!$AK$38*Location!$C$11)))))</f>
        <v/>
      </c>
      <c r="L38" s="20">
        <f>IFERROR(INDEX(Market_Data!$D$5:$D$304,MATCH(Location!$C$4&amp;"|"&amp;$A38&amp;"|groundrent",Market_Data!$K$5:$K$304,0)),IFERROR(INDEX(Market_Data!$D$5:$D$304,MATCH(Location!$C$5&amp;"|"&amp;$A38&amp;"|groundrent",Market_Data!$K$5:$K$304,0)),IFERROR(INDEX(Market_Data!$D$5:$D$304,MATCH(Location!$C$6&amp;"|"&amp;$A38&amp;"|groundrent",Market_Data!$K$5:$K$304,0)),IFERROR((INDEX(Org_Overrides!$D$5:$D$304,MATCH(Org_Profile!$C$4&amp;"|"&amp;$A38&amp;"|groundrent",Org_Overrides!$H$5:$H$304,0))*Location!$C$11),(Use_Library!$AT$38*Location!$C$11)))))</f>
        <v/>
      </c>
      <c r="M38" s="23">
        <f>IFERROR(INDEX(Market_Data!$D$5:$D$304,MATCH(Location!$C$4&amp;"|"&amp;$A38&amp;"|cap",Market_Data!$K$5:$K$304,0)),IFERROR(INDEX(Market_Data!$D$5:$D$304,MATCH(Location!$C$5&amp;"|"&amp;$A38&amp;"|cap",Market_Data!$K$5:$K$304,0)),IFERROR(INDEX(Market_Data!$D$5:$D$304,MATCH(Location!$C$6&amp;"|"&amp;$A38&amp;"|cap",Market_Data!$K$5:$K$304,0)),IFERROR((INDEX(Org_Overrides!$D$5:$D$304,MATCH(Org_Profile!$C$4&amp;"|"&amp;$A38&amp;"|cap",Org_Overrides!$H$5:$H$304,0))+Location!$C$12),(Use_Library!$AR$38+Location!$C$12)))))</f>
        <v/>
      </c>
      <c r="N38" s="23">
        <f>IFERROR(INDEX(Market_Data!$D$5:$D$304,MATCH(Location!$C$4&amp;"|"&amp;$A38&amp;"|vac",Market_Data!$K$5:$K$304,0)),IFERROR(INDEX(Market_Data!$D$5:$D$304,MATCH(Location!$C$5&amp;"|"&amp;$A38&amp;"|vac",Market_Data!$K$5:$K$304,0)),IFERROR(INDEX(Market_Data!$D$5:$D$304,MATCH(Location!$C$6&amp;"|"&amp;$A38&amp;"|vac",Market_Data!$K$5:$K$304,0)),IFERROR(INDEX(Org_Overrides!$D$5:$D$304,MATCH(Org_Profile!$C$4&amp;"|"&amp;$A38&amp;"|vac",Org_Overrides!$H$5:$H$304,0)),Use_Library!$AM$38))))</f>
        <v/>
      </c>
      <c r="O38" s="24">
        <f>IFERROR(INDEX(Market_Data!$D$5:$D$304,MATCH(Location!$C$4&amp;"|"&amp;$A38&amp;"|absorb",Market_Data!$K$5:$K$304,0)),IFERROR(INDEX(Market_Data!$D$5:$D$304,MATCH(Location!$C$5&amp;"|"&amp;$A38&amp;"|absorb",Market_Data!$K$5:$K$304,0)),IFERROR(INDEX(Market_Data!$D$5:$D$304,MATCH(Location!$C$6&amp;"|"&amp;$A38&amp;"|absorb",Market_Data!$K$5:$K$304,0)),IFERROR(INDEX(Org_Overrides!$D$5:$D$304,MATCH(Org_Profile!$C$4&amp;"|"&amp;$A38&amp;"|absorb",Org_Overrides!$H$5:$H$304,0)),Use_Library!$R$38))))</f>
        <v/>
      </c>
      <c r="P38" s="24">
        <f>IFERROR(INDEX(Market_Data!$D$5:$D$304,MATCH(Location!$C$4&amp;"|"&amp;$A38&amp;"|lotabs",Market_Data!$K$5:$K$304,0)),IFERROR(INDEX(Market_Data!$D$5:$D$304,MATCH(Location!$C$5&amp;"|"&amp;$A38&amp;"|lotabs",Market_Data!$K$5:$K$304,0)),IFERROR(INDEX(Market_Data!$D$5:$D$304,MATCH(Location!$C$6&amp;"|"&amp;$A38&amp;"|lotabs",Market_Data!$K$5:$K$304,0)),IFERROR(INDEX(Org_Overrides!$D$5:$D$304,MATCH(Org_Profile!$C$4&amp;"|"&amp;$A38&amp;"|lotabs",Org_Overrides!$H$5:$H$304,0)),Use_Library!$S$38))))</f>
        <v/>
      </c>
      <c r="Q38" s="2">
        <f>IF(ISNUMBER(MATCH(Org_Profile!$C$4&amp;"|"&amp;$A38&amp;"|vert",Org_Overrides!$H$5:$H$304,0)),"Org",IF(ISNUMBER(MATCH(Location!$C$4&amp;"|"&amp;$A38&amp;"|vert",Market_Data!$K$5:$K$304,0)),"Market-City",IF(ISNUMBER(MATCH(Location!$C$5&amp;"|"&amp;$A38&amp;"|vert",Market_Data!$K$5:$K$304,0)),"Market-County",IF(ISNUMBER(MATCH(Location!$C$6&amp;"|"&amp;$A38&amp;"|vert",Market_Data!$K$5:$K$304,0)),"Market-State","Default x index"))))</f>
        <v/>
      </c>
      <c r="R38" s="2">
        <f>IF(ISNUMBER(MATCH(Org_Profile!$C$4&amp;"|"&amp;$A38&amp;"|entitle",Org_Overrides!$H$5:$H$304,0)),"Org",IF(ISNUMBER(MATCH(Location!$C$4&amp;"|"&amp;$A38&amp;"|entitle",Market_Data!$K$5:$K$304,0)),"Market-City",IF(ISNUMBER(MATCH(Location!$C$5&amp;"|"&amp;$A38&amp;"|entitle",Market_Data!$K$5:$K$304,0)),"Market-County",IF(ISNUMBER(MATCH(Location!$C$6&amp;"|"&amp;$A38&amp;"|entitle",Market_Data!$K$5:$K$304,0)),"Market-State","Default x index"))))</f>
        <v/>
      </c>
      <c r="S38" s="2">
        <f>IF(ISNUMBER(MATCH(Org_Profile!$C$4&amp;"|"&amp;$A38&amp;"|tilc",Org_Overrides!$H$5:$H$304,0)),"Org",IF(ISNUMBER(MATCH(Location!$C$4&amp;"|"&amp;$A38&amp;"|tilc",Market_Data!$K$5:$K$304,0)),"Market-City",IF(ISNUMBER(MATCH(Location!$C$5&amp;"|"&amp;$A38&amp;"|tilc",Market_Data!$K$5:$K$304,0)),"Market-County",IF(ISNUMBER(MATCH(Location!$C$6&amp;"|"&amp;$A38&amp;"|tilc",Market_Data!$K$5:$K$304,0)),"Market-State","Default x index"))))</f>
        <v/>
      </c>
      <c r="T38" s="2">
        <f>IF(ISNUMBER(MATCH(Org_Profile!$C$4&amp;"|"&amp;$A38&amp;"|opex",Org_Overrides!$H$5:$H$304,0)),"Org",IF(ISNUMBER(MATCH(Location!$C$4&amp;"|"&amp;$A38&amp;"|opex",Market_Data!$K$5:$K$304,0)),"Market-City",IF(ISNUMBER(MATCH(Location!$C$5&amp;"|"&amp;$A38&amp;"|opex",Market_Data!$K$5:$K$304,0)),"Market-County",IF(ISNUMBER(MATCH(Location!$C$6&amp;"|"&amp;$A38&amp;"|opex",Market_Data!$K$5:$K$304,0)),"Market-State","Default x index"))))</f>
        <v/>
      </c>
      <c r="U38" s="2">
        <f>IF(ISNUMBER(MATCH(Org_Profile!$C$4&amp;"|"&amp;$A38&amp;"|devmo",Org_Overrides!$H$5:$H$304,0)),"Org",IF(ISNUMBER(MATCH(Location!$C$4&amp;"|"&amp;$A38&amp;"|devmo",Market_Data!$K$5:$K$304,0)),"Market-City",IF(ISNUMBER(MATCH(Location!$C$5&amp;"|"&amp;$A38&amp;"|devmo",Market_Data!$K$5:$K$304,0)),"Market-County",IF(ISNUMBER(MATCH(Location!$C$6&amp;"|"&amp;$A38&amp;"|devmo",Market_Data!$K$5:$K$304,0)),"Market-State","Default"))))</f>
        <v/>
      </c>
      <c r="V38" s="2">
        <f>IF(ISNUMBER(MATCH(Org_Profile!$C$4&amp;"|"&amp;$A38&amp;"|margin",Org_Overrides!$H$5:$H$304,0)),"Org",IF(INDEX(Org_Profile!$C$9:$C$12,MATCH(Use_Library!$C$38,Org_Profile!$B$9:$B$12,0))&lt;&gt;"","Org engine margin","Default"))</f>
        <v/>
      </c>
      <c r="W38" s="2">
        <f>IF(ISNUMBER(MATCH(Location!$C$4&amp;"|"&amp;$A38&amp;"|lotprice",Market_Data!$K$5:$K$304,0)),"Market-City",IF(ISNUMBER(MATCH(Location!$C$5&amp;"|"&amp;$A38&amp;"|lotprice",Market_Data!$K$5:$K$304,0)),"Market-County",IF(ISNUMBER(MATCH(Location!$C$6&amp;"|"&amp;$A38&amp;"|lotprice",Market_Data!$K$5:$K$304,0)),"Market-State",IF(ISNUMBER(MATCH(Org_Profile!$C$4&amp;"|"&amp;$A38&amp;"|lotprice",Org_Overrides!$H$5:$H$304,0)),"Org","Default x index"))))</f>
        <v/>
      </c>
      <c r="X38" s="2">
        <f>IF(ISNUMBER(MATCH(Location!$C$4&amp;"|"&amp;$A38&amp;"|saleprice",Market_Data!$K$5:$K$304,0)),"Market-City",IF(ISNUMBER(MATCH(Location!$C$5&amp;"|"&amp;$A38&amp;"|saleprice",Market_Data!$K$5:$K$304,0)),"Market-County",IF(ISNUMBER(MATCH(Location!$C$6&amp;"|"&amp;$A38&amp;"|saleprice",Market_Data!$K$5:$K$304,0)),"Market-State",IF(ISNUMBER(MATCH(Org_Profile!$C$4&amp;"|"&amp;$A38&amp;"|saleprice",Org_Overrides!$H$5:$H$304,0)),"Org","Default x index"))))</f>
        <v/>
      </c>
      <c r="Y38" s="2">
        <f>IF(ISNUMBER(MATCH(Location!$C$4&amp;"|"&amp;$A38&amp;"|landac",Market_Data!$K$5:$K$304,0)),"Market-City",IF(ISNUMBER(MATCH(Location!$C$5&amp;"|"&amp;$A38&amp;"|landac",Market_Data!$K$5:$K$304,0)),"Market-County",IF(ISNUMBER(MATCH(Location!$C$6&amp;"|"&amp;$A38&amp;"|landac",Market_Data!$K$5:$K$304,0)),"Market-State",IF(ISNUMBER(MATCH(Org_Profile!$C$4&amp;"|"&amp;$A38&amp;"|landac",Org_Overrides!$H$5:$H$304,0)),"Org","Default x index"))))</f>
        <v/>
      </c>
      <c r="Z38" s="2">
        <f>IF(ISNUMBER(MATCH(Location!$C$4&amp;"|"&amp;$A38&amp;"|rent",Market_Data!$K$5:$K$304,0)),"Market-City",IF(ISNUMBER(MATCH(Location!$C$5&amp;"|"&amp;$A38&amp;"|rent",Market_Data!$K$5:$K$304,0)),"Market-County",IF(ISNUMBER(MATCH(Location!$C$6&amp;"|"&amp;$A38&amp;"|rent",Market_Data!$K$5:$K$304,0)),"Market-State",IF(ISNUMBER(MATCH(Org_Profile!$C$4&amp;"|"&amp;$A38&amp;"|rent",Org_Overrides!$H$5:$H$304,0)),"Org","Default x index"))))</f>
        <v/>
      </c>
      <c r="AA38" s="2">
        <f>IF(ISNUMBER(MATCH(Location!$C$4&amp;"|"&amp;$A38&amp;"|groundrent",Market_Data!$K$5:$K$304,0)),"Market-City",IF(ISNUMBER(MATCH(Location!$C$5&amp;"|"&amp;$A38&amp;"|groundrent",Market_Data!$K$5:$K$304,0)),"Market-County",IF(ISNUMBER(MATCH(Location!$C$6&amp;"|"&amp;$A38&amp;"|groundrent",Market_Data!$K$5:$K$304,0)),"Market-State",IF(ISNUMBER(MATCH(Org_Profile!$C$4&amp;"|"&amp;$A38&amp;"|groundrent",Org_Overrides!$H$5:$H$304,0)),"Org","Default x index"))))</f>
        <v/>
      </c>
      <c r="AB38" s="2">
        <f>IF(ISNUMBER(MATCH(Location!$C$4&amp;"|"&amp;$A38&amp;"|cap",Market_Data!$K$5:$K$304,0)),"Market-City",IF(ISNUMBER(MATCH(Location!$C$5&amp;"|"&amp;$A38&amp;"|cap",Market_Data!$K$5:$K$304,0)),"Market-County",IF(ISNUMBER(MATCH(Location!$C$6&amp;"|"&amp;$A38&amp;"|cap",Market_Data!$K$5:$K$304,0)),"Market-State",IF(ISNUMBER(MATCH(Org_Profile!$C$4&amp;"|"&amp;$A38&amp;"|cap",Org_Overrides!$H$5:$H$304,0)),"Org","Default x index"))))</f>
        <v/>
      </c>
      <c r="AC38" s="2">
        <f>IF(ISNUMBER(MATCH(Location!$C$4&amp;"|"&amp;$A38&amp;"|vac",Market_Data!$K$5:$K$304,0)),"Market-City",IF(ISNUMBER(MATCH(Location!$C$5&amp;"|"&amp;$A38&amp;"|vac",Market_Data!$K$5:$K$304,0)),"Market-County",IF(ISNUMBER(MATCH(Location!$C$6&amp;"|"&amp;$A38&amp;"|vac",Market_Data!$K$5:$K$304,0)),"Market-State",IF(ISNUMBER(MATCH(Org_Profile!$C$4&amp;"|"&amp;$A38&amp;"|vac",Org_Overrides!$H$5:$H$304,0)),"Org","Default"))))</f>
        <v/>
      </c>
      <c r="AD38" s="2">
        <f>IF(ISNUMBER(MATCH(Location!$C$4&amp;"|"&amp;$A38&amp;"|absorb",Market_Data!$K$5:$K$304,0)),"Market-City",IF(ISNUMBER(MATCH(Location!$C$5&amp;"|"&amp;$A38&amp;"|absorb",Market_Data!$K$5:$K$304,0)),"Market-County",IF(ISNUMBER(MATCH(Location!$C$6&amp;"|"&amp;$A38&amp;"|absorb",Market_Data!$K$5:$K$304,0)),"Market-State",IF(ISNUMBER(MATCH(Org_Profile!$C$4&amp;"|"&amp;$A38&amp;"|absorb",Org_Overrides!$H$5:$H$304,0)),"Org","Default"))))</f>
        <v/>
      </c>
      <c r="AE38" s="2">
        <f>IF(ISNUMBER(MATCH(Location!$C$4&amp;"|"&amp;$A38&amp;"|lotabs",Market_Data!$K$5:$K$304,0)),"Market-City",IF(ISNUMBER(MATCH(Location!$C$5&amp;"|"&amp;$A38&amp;"|lotabs",Market_Data!$K$5:$K$304,0)),"Market-County",IF(ISNUMBER(MATCH(Location!$C$6&amp;"|"&amp;$A38&amp;"|lotabs",Market_Data!$K$5:$K$304,0)),"Market-State",IF(ISNUMBER(MATCH(Org_Profile!$C$4&amp;"|"&amp;$A38&amp;"|lotabs",Org_Overrides!$H$5:$H$304,0)),"Org","Default"))))</f>
        <v/>
      </c>
      <c r="AF38" s="15">
        <f>15-COUNTIF(Q38:AE38,"Default*")</f>
        <v/>
      </c>
    </row>
    <row r="39">
      <c r="A39" s="4">
        <f>Use_Library!$A$39</f>
        <v/>
      </c>
      <c r="B39" s="20">
        <f>IFERROR((INDEX(Org_Overrides!$D$5:$D$304,MATCH(Org_Profile!$C$4&amp;"|"&amp;$A39&amp;"|vert",Org_Overrides!$H$5:$H$304,0))*Location!$C$9),IFERROR(INDEX(Market_Data!$D$5:$D$304,MATCH(Location!$C$4&amp;"|"&amp;$A39&amp;"|vert",Market_Data!$K$5:$K$304,0)),IFERROR(INDEX(Market_Data!$D$5:$D$304,MATCH(Location!$C$5&amp;"|"&amp;$A39&amp;"|vert",Market_Data!$K$5:$K$304,0)),IFERROR(INDEX(Market_Data!$D$5:$D$304,MATCH(Location!$C$6&amp;"|"&amp;$A39&amp;"|vert",Market_Data!$K$5:$K$304,0)),(Use_Library!$AF$39*Location!$C$9)))))</f>
        <v/>
      </c>
      <c r="C39" s="20">
        <f>IFERROR((INDEX(Org_Overrides!$D$5:$D$304,MATCH(Org_Profile!$C$4&amp;"|"&amp;$A39&amp;"|entitle",Org_Overrides!$H$5:$H$304,0))*Location!$C$9),IFERROR(INDEX(Market_Data!$D$5:$D$304,MATCH(Location!$C$4&amp;"|"&amp;$A39&amp;"|entitle",Market_Data!$K$5:$K$304,0)),IFERROR(INDEX(Market_Data!$D$5:$D$304,MATCH(Location!$C$5&amp;"|"&amp;$A39&amp;"|entitle",Market_Data!$K$5:$K$304,0)),IFERROR(INDEX(Market_Data!$D$5:$D$304,MATCH(Location!$C$6&amp;"|"&amp;$A39&amp;"|entitle",Market_Data!$K$5:$K$304,0)),(Use_Library!$AE$39*Location!$C$9)))))</f>
        <v/>
      </c>
      <c r="D39" s="20">
        <f>IFERROR((INDEX(Org_Overrides!$D$5:$D$304,MATCH(Org_Profile!$C$4&amp;"|"&amp;$A39&amp;"|tilc",Org_Overrides!$H$5:$H$304,0))*Location!$C$9),IFERROR(INDEX(Market_Data!$D$5:$D$304,MATCH(Location!$C$4&amp;"|"&amp;$A39&amp;"|tilc",Market_Data!$K$5:$K$304,0)),IFERROR(INDEX(Market_Data!$D$5:$D$304,MATCH(Location!$C$5&amp;"|"&amp;$A39&amp;"|tilc",Market_Data!$K$5:$K$304,0)),IFERROR(INDEX(Market_Data!$D$5:$D$304,MATCH(Location!$C$6&amp;"|"&amp;$A39&amp;"|tilc",Market_Data!$K$5:$K$304,0)),(Use_Library!$AG$39*Location!$C$9)))))</f>
        <v/>
      </c>
      <c r="E39" s="20">
        <f>IFERROR((INDEX(Org_Overrides!$D$5:$D$304,MATCH(Org_Profile!$C$4&amp;"|"&amp;$A39&amp;"|opex",Org_Overrides!$H$5:$H$304,0))*Location!$C$13),IFERROR(INDEX(Market_Data!$D$5:$D$304,MATCH(Location!$C$4&amp;"|"&amp;$A39&amp;"|opex",Market_Data!$K$5:$K$304,0)),IFERROR(INDEX(Market_Data!$D$5:$D$304,MATCH(Location!$C$5&amp;"|"&amp;$A39&amp;"|opex",Market_Data!$K$5:$K$304,0)),IFERROR(INDEX(Market_Data!$D$5:$D$304,MATCH(Location!$C$6&amp;"|"&amp;$A39&amp;"|opex",Market_Data!$K$5:$K$304,0)),(Use_Library!$AN$39*Location!$C$13)))))</f>
        <v/>
      </c>
      <c r="F39" s="9">
        <f>IFERROR(INDEX(Org_Overrides!$D$5:$D$304,MATCH(Org_Profile!$C$4&amp;"|"&amp;$A39&amp;"|devmo",Org_Overrides!$H$5:$H$304,0)),IFERROR(INDEX(Market_Data!$D$5:$D$304,MATCH(Location!$C$4&amp;"|"&amp;$A39&amp;"|devmo",Market_Data!$K$5:$K$304,0)),IFERROR(INDEX(Market_Data!$D$5:$D$304,MATCH(Location!$C$5&amp;"|"&amp;$A39&amp;"|devmo",Market_Data!$K$5:$K$304,0)),IFERROR(INDEX(Market_Data!$D$5:$D$304,MATCH(Location!$C$6&amp;"|"&amp;$A39&amp;"|devmo",Market_Data!$K$5:$K$304,0)),Use_Library!$AH$39))))</f>
        <v/>
      </c>
      <c r="G39" s="23">
        <f>IFERROR(INDEX(Org_Overrides!$D$5:$D$304,MATCH(Org_Profile!$C$4&amp;"|"&amp;$A39&amp;"|margin",Org_Overrides!$H$5:$H$304,0)),IF(INDEX(Org_Profile!$C$9:$C$12,MATCH(Use_Library!$C$39,Org_Profile!$B$9:$B$12,0))&lt;&gt;"",INDEX(Org_Profile!$C$9:$C$12,MATCH(Use_Library!$C$39,Org_Profile!$B$9:$B$12,0)),Use_Library!$AU$39))</f>
        <v/>
      </c>
      <c r="H39" s="20">
        <f>IFERROR(INDEX(Market_Data!$D$5:$D$304,MATCH(Location!$C$4&amp;"|"&amp;$A39&amp;"|lotprice",Market_Data!$K$5:$K$304,0)),IFERROR(INDEX(Market_Data!$D$5:$D$304,MATCH(Location!$C$5&amp;"|"&amp;$A39&amp;"|lotprice",Market_Data!$K$5:$K$304,0)),IFERROR(INDEX(Market_Data!$D$5:$D$304,MATCH(Location!$C$6&amp;"|"&amp;$A39&amp;"|lotprice",Market_Data!$K$5:$K$304,0)),IFERROR((INDEX(Org_Overrides!$D$5:$D$304,MATCH(Org_Profile!$C$4&amp;"|"&amp;$A39&amp;"|lotprice",Org_Overrides!$H$5:$H$304,0))*Location!$C$10),(Use_Library!$AI$39*Location!$C$10)))))</f>
        <v/>
      </c>
      <c r="I39" s="20">
        <f>IFERROR(INDEX(Market_Data!$D$5:$D$304,MATCH(Location!$C$4&amp;"|"&amp;$A39&amp;"|saleprice",Market_Data!$K$5:$K$304,0)),IFERROR(INDEX(Market_Data!$D$5:$D$304,MATCH(Location!$C$5&amp;"|"&amp;$A39&amp;"|saleprice",Market_Data!$K$5:$K$304,0)),IFERROR(INDEX(Market_Data!$D$5:$D$304,MATCH(Location!$C$6&amp;"|"&amp;$A39&amp;"|saleprice",Market_Data!$K$5:$K$304,0)),IFERROR((INDEX(Org_Overrides!$D$5:$D$304,MATCH(Org_Profile!$C$4&amp;"|"&amp;$A39&amp;"|saleprice",Org_Overrides!$H$5:$H$304,0))*Location!$C$10),(Use_Library!$AJ$39*Location!$C$10)))))</f>
        <v/>
      </c>
      <c r="J39" s="20">
        <f>IFERROR(INDEX(Market_Data!$D$5:$D$304,MATCH(Location!$C$4&amp;"|"&amp;$A39&amp;"|landac",Market_Data!$K$5:$K$304,0)),IFERROR(INDEX(Market_Data!$D$5:$D$304,MATCH(Location!$C$5&amp;"|"&amp;$A39&amp;"|landac",Market_Data!$K$5:$K$304,0)),IFERROR(INDEX(Market_Data!$D$5:$D$304,MATCH(Location!$C$6&amp;"|"&amp;$A39&amp;"|landac",Market_Data!$K$5:$K$304,0)),IFERROR((INDEX(Org_Overrides!$D$5:$D$304,MATCH(Org_Profile!$C$4&amp;"|"&amp;$A39&amp;"|landac",Org_Overrides!$H$5:$H$304,0))*Location!$C$10),(Use_Library!$AS$39*Location!$C$10)))))</f>
        <v/>
      </c>
      <c r="K39" s="36">
        <f>IFERROR(INDEX(Market_Data!$D$5:$D$304,MATCH(Location!$C$4&amp;"|"&amp;$A39&amp;"|rent",Market_Data!$K$5:$K$304,0)),IFERROR(INDEX(Market_Data!$D$5:$D$304,MATCH(Location!$C$5&amp;"|"&amp;$A39&amp;"|rent",Market_Data!$K$5:$K$304,0)),IFERROR(INDEX(Market_Data!$D$5:$D$304,MATCH(Location!$C$6&amp;"|"&amp;$A39&amp;"|rent",Market_Data!$K$5:$K$304,0)),IFERROR((INDEX(Org_Overrides!$D$5:$D$304,MATCH(Org_Profile!$C$4&amp;"|"&amp;$A39&amp;"|rent",Org_Overrides!$H$5:$H$304,0))*Location!$C$11),(Use_Library!$AK$39*Location!$C$11)))))</f>
        <v/>
      </c>
      <c r="L39" s="20">
        <f>IFERROR(INDEX(Market_Data!$D$5:$D$304,MATCH(Location!$C$4&amp;"|"&amp;$A39&amp;"|groundrent",Market_Data!$K$5:$K$304,0)),IFERROR(INDEX(Market_Data!$D$5:$D$304,MATCH(Location!$C$5&amp;"|"&amp;$A39&amp;"|groundrent",Market_Data!$K$5:$K$304,0)),IFERROR(INDEX(Market_Data!$D$5:$D$304,MATCH(Location!$C$6&amp;"|"&amp;$A39&amp;"|groundrent",Market_Data!$K$5:$K$304,0)),IFERROR((INDEX(Org_Overrides!$D$5:$D$304,MATCH(Org_Profile!$C$4&amp;"|"&amp;$A39&amp;"|groundrent",Org_Overrides!$H$5:$H$304,0))*Location!$C$11),(Use_Library!$AT$39*Location!$C$11)))))</f>
        <v/>
      </c>
      <c r="M39" s="23">
        <f>IFERROR(INDEX(Market_Data!$D$5:$D$304,MATCH(Location!$C$4&amp;"|"&amp;$A39&amp;"|cap",Market_Data!$K$5:$K$304,0)),IFERROR(INDEX(Market_Data!$D$5:$D$304,MATCH(Location!$C$5&amp;"|"&amp;$A39&amp;"|cap",Market_Data!$K$5:$K$304,0)),IFERROR(INDEX(Market_Data!$D$5:$D$304,MATCH(Location!$C$6&amp;"|"&amp;$A39&amp;"|cap",Market_Data!$K$5:$K$304,0)),IFERROR((INDEX(Org_Overrides!$D$5:$D$304,MATCH(Org_Profile!$C$4&amp;"|"&amp;$A39&amp;"|cap",Org_Overrides!$H$5:$H$304,0))+Location!$C$12),(Use_Library!$AR$39+Location!$C$12)))))</f>
        <v/>
      </c>
      <c r="N39" s="23">
        <f>IFERROR(INDEX(Market_Data!$D$5:$D$304,MATCH(Location!$C$4&amp;"|"&amp;$A39&amp;"|vac",Market_Data!$K$5:$K$304,0)),IFERROR(INDEX(Market_Data!$D$5:$D$304,MATCH(Location!$C$5&amp;"|"&amp;$A39&amp;"|vac",Market_Data!$K$5:$K$304,0)),IFERROR(INDEX(Market_Data!$D$5:$D$304,MATCH(Location!$C$6&amp;"|"&amp;$A39&amp;"|vac",Market_Data!$K$5:$K$304,0)),IFERROR(INDEX(Org_Overrides!$D$5:$D$304,MATCH(Org_Profile!$C$4&amp;"|"&amp;$A39&amp;"|vac",Org_Overrides!$H$5:$H$304,0)),Use_Library!$AM$39))))</f>
        <v/>
      </c>
      <c r="O39" s="24">
        <f>IFERROR(INDEX(Market_Data!$D$5:$D$304,MATCH(Location!$C$4&amp;"|"&amp;$A39&amp;"|absorb",Market_Data!$K$5:$K$304,0)),IFERROR(INDEX(Market_Data!$D$5:$D$304,MATCH(Location!$C$5&amp;"|"&amp;$A39&amp;"|absorb",Market_Data!$K$5:$K$304,0)),IFERROR(INDEX(Market_Data!$D$5:$D$304,MATCH(Location!$C$6&amp;"|"&amp;$A39&amp;"|absorb",Market_Data!$K$5:$K$304,0)),IFERROR(INDEX(Org_Overrides!$D$5:$D$304,MATCH(Org_Profile!$C$4&amp;"|"&amp;$A39&amp;"|absorb",Org_Overrides!$H$5:$H$304,0)),Use_Library!$R$39))))</f>
        <v/>
      </c>
      <c r="P39" s="24">
        <f>IFERROR(INDEX(Market_Data!$D$5:$D$304,MATCH(Location!$C$4&amp;"|"&amp;$A39&amp;"|lotabs",Market_Data!$K$5:$K$304,0)),IFERROR(INDEX(Market_Data!$D$5:$D$304,MATCH(Location!$C$5&amp;"|"&amp;$A39&amp;"|lotabs",Market_Data!$K$5:$K$304,0)),IFERROR(INDEX(Market_Data!$D$5:$D$304,MATCH(Location!$C$6&amp;"|"&amp;$A39&amp;"|lotabs",Market_Data!$K$5:$K$304,0)),IFERROR(INDEX(Org_Overrides!$D$5:$D$304,MATCH(Org_Profile!$C$4&amp;"|"&amp;$A39&amp;"|lotabs",Org_Overrides!$H$5:$H$304,0)),Use_Library!$S$39))))</f>
        <v/>
      </c>
      <c r="Q39" s="2">
        <f>IF(ISNUMBER(MATCH(Org_Profile!$C$4&amp;"|"&amp;$A39&amp;"|vert",Org_Overrides!$H$5:$H$304,0)),"Org",IF(ISNUMBER(MATCH(Location!$C$4&amp;"|"&amp;$A39&amp;"|vert",Market_Data!$K$5:$K$304,0)),"Market-City",IF(ISNUMBER(MATCH(Location!$C$5&amp;"|"&amp;$A39&amp;"|vert",Market_Data!$K$5:$K$304,0)),"Market-County",IF(ISNUMBER(MATCH(Location!$C$6&amp;"|"&amp;$A39&amp;"|vert",Market_Data!$K$5:$K$304,0)),"Market-State","Default x index"))))</f>
        <v/>
      </c>
      <c r="R39" s="2">
        <f>IF(ISNUMBER(MATCH(Org_Profile!$C$4&amp;"|"&amp;$A39&amp;"|entitle",Org_Overrides!$H$5:$H$304,0)),"Org",IF(ISNUMBER(MATCH(Location!$C$4&amp;"|"&amp;$A39&amp;"|entitle",Market_Data!$K$5:$K$304,0)),"Market-City",IF(ISNUMBER(MATCH(Location!$C$5&amp;"|"&amp;$A39&amp;"|entitle",Market_Data!$K$5:$K$304,0)),"Market-County",IF(ISNUMBER(MATCH(Location!$C$6&amp;"|"&amp;$A39&amp;"|entitle",Market_Data!$K$5:$K$304,0)),"Market-State","Default x index"))))</f>
        <v/>
      </c>
      <c r="S39" s="2">
        <f>IF(ISNUMBER(MATCH(Org_Profile!$C$4&amp;"|"&amp;$A39&amp;"|tilc",Org_Overrides!$H$5:$H$304,0)),"Org",IF(ISNUMBER(MATCH(Location!$C$4&amp;"|"&amp;$A39&amp;"|tilc",Market_Data!$K$5:$K$304,0)),"Market-City",IF(ISNUMBER(MATCH(Location!$C$5&amp;"|"&amp;$A39&amp;"|tilc",Market_Data!$K$5:$K$304,0)),"Market-County",IF(ISNUMBER(MATCH(Location!$C$6&amp;"|"&amp;$A39&amp;"|tilc",Market_Data!$K$5:$K$304,0)),"Market-State","Default x index"))))</f>
        <v/>
      </c>
      <c r="T39" s="2">
        <f>IF(ISNUMBER(MATCH(Org_Profile!$C$4&amp;"|"&amp;$A39&amp;"|opex",Org_Overrides!$H$5:$H$304,0)),"Org",IF(ISNUMBER(MATCH(Location!$C$4&amp;"|"&amp;$A39&amp;"|opex",Market_Data!$K$5:$K$304,0)),"Market-City",IF(ISNUMBER(MATCH(Location!$C$5&amp;"|"&amp;$A39&amp;"|opex",Market_Data!$K$5:$K$304,0)),"Market-County",IF(ISNUMBER(MATCH(Location!$C$6&amp;"|"&amp;$A39&amp;"|opex",Market_Data!$K$5:$K$304,0)),"Market-State","Default x index"))))</f>
        <v/>
      </c>
      <c r="U39" s="2">
        <f>IF(ISNUMBER(MATCH(Org_Profile!$C$4&amp;"|"&amp;$A39&amp;"|devmo",Org_Overrides!$H$5:$H$304,0)),"Org",IF(ISNUMBER(MATCH(Location!$C$4&amp;"|"&amp;$A39&amp;"|devmo",Market_Data!$K$5:$K$304,0)),"Market-City",IF(ISNUMBER(MATCH(Location!$C$5&amp;"|"&amp;$A39&amp;"|devmo",Market_Data!$K$5:$K$304,0)),"Market-County",IF(ISNUMBER(MATCH(Location!$C$6&amp;"|"&amp;$A39&amp;"|devmo",Market_Data!$K$5:$K$304,0)),"Market-State","Default"))))</f>
        <v/>
      </c>
      <c r="V39" s="2">
        <f>IF(ISNUMBER(MATCH(Org_Profile!$C$4&amp;"|"&amp;$A39&amp;"|margin",Org_Overrides!$H$5:$H$304,0)),"Org",IF(INDEX(Org_Profile!$C$9:$C$12,MATCH(Use_Library!$C$39,Org_Profile!$B$9:$B$12,0))&lt;&gt;"","Org engine margin","Default"))</f>
        <v/>
      </c>
      <c r="W39" s="2">
        <f>IF(ISNUMBER(MATCH(Location!$C$4&amp;"|"&amp;$A39&amp;"|lotprice",Market_Data!$K$5:$K$304,0)),"Market-City",IF(ISNUMBER(MATCH(Location!$C$5&amp;"|"&amp;$A39&amp;"|lotprice",Market_Data!$K$5:$K$304,0)),"Market-County",IF(ISNUMBER(MATCH(Location!$C$6&amp;"|"&amp;$A39&amp;"|lotprice",Market_Data!$K$5:$K$304,0)),"Market-State",IF(ISNUMBER(MATCH(Org_Profile!$C$4&amp;"|"&amp;$A39&amp;"|lotprice",Org_Overrides!$H$5:$H$304,0)),"Org","Default x index"))))</f>
        <v/>
      </c>
      <c r="X39" s="2">
        <f>IF(ISNUMBER(MATCH(Location!$C$4&amp;"|"&amp;$A39&amp;"|saleprice",Market_Data!$K$5:$K$304,0)),"Market-City",IF(ISNUMBER(MATCH(Location!$C$5&amp;"|"&amp;$A39&amp;"|saleprice",Market_Data!$K$5:$K$304,0)),"Market-County",IF(ISNUMBER(MATCH(Location!$C$6&amp;"|"&amp;$A39&amp;"|saleprice",Market_Data!$K$5:$K$304,0)),"Market-State",IF(ISNUMBER(MATCH(Org_Profile!$C$4&amp;"|"&amp;$A39&amp;"|saleprice",Org_Overrides!$H$5:$H$304,0)),"Org","Default x index"))))</f>
        <v/>
      </c>
      <c r="Y39" s="2">
        <f>IF(ISNUMBER(MATCH(Location!$C$4&amp;"|"&amp;$A39&amp;"|landac",Market_Data!$K$5:$K$304,0)),"Market-City",IF(ISNUMBER(MATCH(Location!$C$5&amp;"|"&amp;$A39&amp;"|landac",Market_Data!$K$5:$K$304,0)),"Market-County",IF(ISNUMBER(MATCH(Location!$C$6&amp;"|"&amp;$A39&amp;"|landac",Market_Data!$K$5:$K$304,0)),"Market-State",IF(ISNUMBER(MATCH(Org_Profile!$C$4&amp;"|"&amp;$A39&amp;"|landac",Org_Overrides!$H$5:$H$304,0)),"Org","Default x index"))))</f>
        <v/>
      </c>
      <c r="Z39" s="2">
        <f>IF(ISNUMBER(MATCH(Location!$C$4&amp;"|"&amp;$A39&amp;"|rent",Market_Data!$K$5:$K$304,0)),"Market-City",IF(ISNUMBER(MATCH(Location!$C$5&amp;"|"&amp;$A39&amp;"|rent",Market_Data!$K$5:$K$304,0)),"Market-County",IF(ISNUMBER(MATCH(Location!$C$6&amp;"|"&amp;$A39&amp;"|rent",Market_Data!$K$5:$K$304,0)),"Market-State",IF(ISNUMBER(MATCH(Org_Profile!$C$4&amp;"|"&amp;$A39&amp;"|rent",Org_Overrides!$H$5:$H$304,0)),"Org","Default x index"))))</f>
        <v/>
      </c>
      <c r="AA39" s="2">
        <f>IF(ISNUMBER(MATCH(Location!$C$4&amp;"|"&amp;$A39&amp;"|groundrent",Market_Data!$K$5:$K$304,0)),"Market-City",IF(ISNUMBER(MATCH(Location!$C$5&amp;"|"&amp;$A39&amp;"|groundrent",Market_Data!$K$5:$K$304,0)),"Market-County",IF(ISNUMBER(MATCH(Location!$C$6&amp;"|"&amp;$A39&amp;"|groundrent",Market_Data!$K$5:$K$304,0)),"Market-State",IF(ISNUMBER(MATCH(Org_Profile!$C$4&amp;"|"&amp;$A39&amp;"|groundrent",Org_Overrides!$H$5:$H$304,0)),"Org","Default x index"))))</f>
        <v/>
      </c>
      <c r="AB39" s="2">
        <f>IF(ISNUMBER(MATCH(Location!$C$4&amp;"|"&amp;$A39&amp;"|cap",Market_Data!$K$5:$K$304,0)),"Market-City",IF(ISNUMBER(MATCH(Location!$C$5&amp;"|"&amp;$A39&amp;"|cap",Market_Data!$K$5:$K$304,0)),"Market-County",IF(ISNUMBER(MATCH(Location!$C$6&amp;"|"&amp;$A39&amp;"|cap",Market_Data!$K$5:$K$304,0)),"Market-State",IF(ISNUMBER(MATCH(Org_Profile!$C$4&amp;"|"&amp;$A39&amp;"|cap",Org_Overrides!$H$5:$H$304,0)),"Org","Default x index"))))</f>
        <v/>
      </c>
      <c r="AC39" s="2">
        <f>IF(ISNUMBER(MATCH(Location!$C$4&amp;"|"&amp;$A39&amp;"|vac",Market_Data!$K$5:$K$304,0)),"Market-City",IF(ISNUMBER(MATCH(Location!$C$5&amp;"|"&amp;$A39&amp;"|vac",Market_Data!$K$5:$K$304,0)),"Market-County",IF(ISNUMBER(MATCH(Location!$C$6&amp;"|"&amp;$A39&amp;"|vac",Market_Data!$K$5:$K$304,0)),"Market-State",IF(ISNUMBER(MATCH(Org_Profile!$C$4&amp;"|"&amp;$A39&amp;"|vac",Org_Overrides!$H$5:$H$304,0)),"Org","Default"))))</f>
        <v/>
      </c>
      <c r="AD39" s="2">
        <f>IF(ISNUMBER(MATCH(Location!$C$4&amp;"|"&amp;$A39&amp;"|absorb",Market_Data!$K$5:$K$304,0)),"Market-City",IF(ISNUMBER(MATCH(Location!$C$5&amp;"|"&amp;$A39&amp;"|absorb",Market_Data!$K$5:$K$304,0)),"Market-County",IF(ISNUMBER(MATCH(Location!$C$6&amp;"|"&amp;$A39&amp;"|absorb",Market_Data!$K$5:$K$304,0)),"Market-State",IF(ISNUMBER(MATCH(Org_Profile!$C$4&amp;"|"&amp;$A39&amp;"|absorb",Org_Overrides!$H$5:$H$304,0)),"Org","Default"))))</f>
        <v/>
      </c>
      <c r="AE39" s="2">
        <f>IF(ISNUMBER(MATCH(Location!$C$4&amp;"|"&amp;$A39&amp;"|lotabs",Market_Data!$K$5:$K$304,0)),"Market-City",IF(ISNUMBER(MATCH(Location!$C$5&amp;"|"&amp;$A39&amp;"|lotabs",Market_Data!$K$5:$K$304,0)),"Market-County",IF(ISNUMBER(MATCH(Location!$C$6&amp;"|"&amp;$A39&amp;"|lotabs",Market_Data!$K$5:$K$304,0)),"Market-State",IF(ISNUMBER(MATCH(Org_Profile!$C$4&amp;"|"&amp;$A39&amp;"|lotabs",Org_Overrides!$H$5:$H$304,0)),"Org","Default"))))</f>
        <v/>
      </c>
      <c r="AF39" s="15">
        <f>15-COUNTIF(Q39:AE39,"Default*")</f>
        <v/>
      </c>
    </row>
    <row r="40">
      <c r="A40" s="4">
        <f>Use_Library!$A$40</f>
        <v/>
      </c>
      <c r="B40" s="20">
        <f>IFERROR((INDEX(Org_Overrides!$D$5:$D$304,MATCH(Org_Profile!$C$4&amp;"|"&amp;$A40&amp;"|vert",Org_Overrides!$H$5:$H$304,0))*Location!$C$9),IFERROR(INDEX(Market_Data!$D$5:$D$304,MATCH(Location!$C$4&amp;"|"&amp;$A40&amp;"|vert",Market_Data!$K$5:$K$304,0)),IFERROR(INDEX(Market_Data!$D$5:$D$304,MATCH(Location!$C$5&amp;"|"&amp;$A40&amp;"|vert",Market_Data!$K$5:$K$304,0)),IFERROR(INDEX(Market_Data!$D$5:$D$304,MATCH(Location!$C$6&amp;"|"&amp;$A40&amp;"|vert",Market_Data!$K$5:$K$304,0)),(Use_Library!$AF$40*Location!$C$9)))))</f>
        <v/>
      </c>
      <c r="C40" s="20">
        <f>IFERROR((INDEX(Org_Overrides!$D$5:$D$304,MATCH(Org_Profile!$C$4&amp;"|"&amp;$A40&amp;"|entitle",Org_Overrides!$H$5:$H$304,0))*Location!$C$9),IFERROR(INDEX(Market_Data!$D$5:$D$304,MATCH(Location!$C$4&amp;"|"&amp;$A40&amp;"|entitle",Market_Data!$K$5:$K$304,0)),IFERROR(INDEX(Market_Data!$D$5:$D$304,MATCH(Location!$C$5&amp;"|"&amp;$A40&amp;"|entitle",Market_Data!$K$5:$K$304,0)),IFERROR(INDEX(Market_Data!$D$5:$D$304,MATCH(Location!$C$6&amp;"|"&amp;$A40&amp;"|entitle",Market_Data!$K$5:$K$304,0)),(Use_Library!$AE$40*Location!$C$9)))))</f>
        <v/>
      </c>
      <c r="D40" s="20">
        <f>IFERROR((INDEX(Org_Overrides!$D$5:$D$304,MATCH(Org_Profile!$C$4&amp;"|"&amp;$A40&amp;"|tilc",Org_Overrides!$H$5:$H$304,0))*Location!$C$9),IFERROR(INDEX(Market_Data!$D$5:$D$304,MATCH(Location!$C$4&amp;"|"&amp;$A40&amp;"|tilc",Market_Data!$K$5:$K$304,0)),IFERROR(INDEX(Market_Data!$D$5:$D$304,MATCH(Location!$C$5&amp;"|"&amp;$A40&amp;"|tilc",Market_Data!$K$5:$K$304,0)),IFERROR(INDEX(Market_Data!$D$5:$D$304,MATCH(Location!$C$6&amp;"|"&amp;$A40&amp;"|tilc",Market_Data!$K$5:$K$304,0)),(Use_Library!$AG$40*Location!$C$9)))))</f>
        <v/>
      </c>
      <c r="E40" s="20">
        <f>IFERROR((INDEX(Org_Overrides!$D$5:$D$304,MATCH(Org_Profile!$C$4&amp;"|"&amp;$A40&amp;"|opex",Org_Overrides!$H$5:$H$304,0))*Location!$C$13),IFERROR(INDEX(Market_Data!$D$5:$D$304,MATCH(Location!$C$4&amp;"|"&amp;$A40&amp;"|opex",Market_Data!$K$5:$K$304,0)),IFERROR(INDEX(Market_Data!$D$5:$D$304,MATCH(Location!$C$5&amp;"|"&amp;$A40&amp;"|opex",Market_Data!$K$5:$K$304,0)),IFERROR(INDEX(Market_Data!$D$5:$D$304,MATCH(Location!$C$6&amp;"|"&amp;$A40&amp;"|opex",Market_Data!$K$5:$K$304,0)),(Use_Library!$AN$40*Location!$C$13)))))</f>
        <v/>
      </c>
      <c r="F40" s="9">
        <f>IFERROR(INDEX(Org_Overrides!$D$5:$D$304,MATCH(Org_Profile!$C$4&amp;"|"&amp;$A40&amp;"|devmo",Org_Overrides!$H$5:$H$304,0)),IFERROR(INDEX(Market_Data!$D$5:$D$304,MATCH(Location!$C$4&amp;"|"&amp;$A40&amp;"|devmo",Market_Data!$K$5:$K$304,0)),IFERROR(INDEX(Market_Data!$D$5:$D$304,MATCH(Location!$C$5&amp;"|"&amp;$A40&amp;"|devmo",Market_Data!$K$5:$K$304,0)),IFERROR(INDEX(Market_Data!$D$5:$D$304,MATCH(Location!$C$6&amp;"|"&amp;$A40&amp;"|devmo",Market_Data!$K$5:$K$304,0)),Use_Library!$AH$40))))</f>
        <v/>
      </c>
      <c r="G40" s="23">
        <f>IFERROR(INDEX(Org_Overrides!$D$5:$D$304,MATCH(Org_Profile!$C$4&amp;"|"&amp;$A40&amp;"|margin",Org_Overrides!$H$5:$H$304,0)),IF(INDEX(Org_Profile!$C$9:$C$12,MATCH(Use_Library!$C$40,Org_Profile!$B$9:$B$12,0))&lt;&gt;"",INDEX(Org_Profile!$C$9:$C$12,MATCH(Use_Library!$C$40,Org_Profile!$B$9:$B$12,0)),Use_Library!$AU$40))</f>
        <v/>
      </c>
      <c r="H40" s="20">
        <f>IFERROR(INDEX(Market_Data!$D$5:$D$304,MATCH(Location!$C$4&amp;"|"&amp;$A40&amp;"|lotprice",Market_Data!$K$5:$K$304,0)),IFERROR(INDEX(Market_Data!$D$5:$D$304,MATCH(Location!$C$5&amp;"|"&amp;$A40&amp;"|lotprice",Market_Data!$K$5:$K$304,0)),IFERROR(INDEX(Market_Data!$D$5:$D$304,MATCH(Location!$C$6&amp;"|"&amp;$A40&amp;"|lotprice",Market_Data!$K$5:$K$304,0)),IFERROR((INDEX(Org_Overrides!$D$5:$D$304,MATCH(Org_Profile!$C$4&amp;"|"&amp;$A40&amp;"|lotprice",Org_Overrides!$H$5:$H$304,0))*Location!$C$10),(Use_Library!$AI$40*Location!$C$10)))))</f>
        <v/>
      </c>
      <c r="I40" s="20">
        <f>IFERROR(INDEX(Market_Data!$D$5:$D$304,MATCH(Location!$C$4&amp;"|"&amp;$A40&amp;"|saleprice",Market_Data!$K$5:$K$304,0)),IFERROR(INDEX(Market_Data!$D$5:$D$304,MATCH(Location!$C$5&amp;"|"&amp;$A40&amp;"|saleprice",Market_Data!$K$5:$K$304,0)),IFERROR(INDEX(Market_Data!$D$5:$D$304,MATCH(Location!$C$6&amp;"|"&amp;$A40&amp;"|saleprice",Market_Data!$K$5:$K$304,0)),IFERROR((INDEX(Org_Overrides!$D$5:$D$304,MATCH(Org_Profile!$C$4&amp;"|"&amp;$A40&amp;"|saleprice",Org_Overrides!$H$5:$H$304,0))*Location!$C$10),(Use_Library!$AJ$40*Location!$C$10)))))</f>
        <v/>
      </c>
      <c r="J40" s="20">
        <f>IFERROR(INDEX(Market_Data!$D$5:$D$304,MATCH(Location!$C$4&amp;"|"&amp;$A40&amp;"|landac",Market_Data!$K$5:$K$304,0)),IFERROR(INDEX(Market_Data!$D$5:$D$304,MATCH(Location!$C$5&amp;"|"&amp;$A40&amp;"|landac",Market_Data!$K$5:$K$304,0)),IFERROR(INDEX(Market_Data!$D$5:$D$304,MATCH(Location!$C$6&amp;"|"&amp;$A40&amp;"|landac",Market_Data!$K$5:$K$304,0)),IFERROR((INDEX(Org_Overrides!$D$5:$D$304,MATCH(Org_Profile!$C$4&amp;"|"&amp;$A40&amp;"|landac",Org_Overrides!$H$5:$H$304,0))*Location!$C$10),(Use_Library!$AS$40*Location!$C$10)))))</f>
        <v/>
      </c>
      <c r="K40" s="20">
        <f>IFERROR(INDEX(Market_Data!$D$5:$D$304,MATCH(Location!$C$4&amp;"|"&amp;$A40&amp;"|rent",Market_Data!$K$5:$K$304,0)),IFERROR(INDEX(Market_Data!$D$5:$D$304,MATCH(Location!$C$5&amp;"|"&amp;$A40&amp;"|rent",Market_Data!$K$5:$K$304,0)),IFERROR(INDEX(Market_Data!$D$5:$D$304,MATCH(Location!$C$6&amp;"|"&amp;$A40&amp;"|rent",Market_Data!$K$5:$K$304,0)),IFERROR((INDEX(Org_Overrides!$D$5:$D$304,MATCH(Org_Profile!$C$4&amp;"|"&amp;$A40&amp;"|rent",Org_Overrides!$H$5:$H$304,0))*Location!$C$11),(Use_Library!$AK$40*Location!$C$11)))))</f>
        <v/>
      </c>
      <c r="L40" s="20">
        <f>IFERROR(INDEX(Market_Data!$D$5:$D$304,MATCH(Location!$C$4&amp;"|"&amp;$A40&amp;"|groundrent",Market_Data!$K$5:$K$304,0)),IFERROR(INDEX(Market_Data!$D$5:$D$304,MATCH(Location!$C$5&amp;"|"&amp;$A40&amp;"|groundrent",Market_Data!$K$5:$K$304,0)),IFERROR(INDEX(Market_Data!$D$5:$D$304,MATCH(Location!$C$6&amp;"|"&amp;$A40&amp;"|groundrent",Market_Data!$K$5:$K$304,0)),IFERROR((INDEX(Org_Overrides!$D$5:$D$304,MATCH(Org_Profile!$C$4&amp;"|"&amp;$A40&amp;"|groundrent",Org_Overrides!$H$5:$H$304,0))*Location!$C$11),(Use_Library!$AT$40*Location!$C$11)))))</f>
        <v/>
      </c>
      <c r="M40" s="23">
        <f>IFERROR(INDEX(Market_Data!$D$5:$D$304,MATCH(Location!$C$4&amp;"|"&amp;$A40&amp;"|cap",Market_Data!$K$5:$K$304,0)),IFERROR(INDEX(Market_Data!$D$5:$D$304,MATCH(Location!$C$5&amp;"|"&amp;$A40&amp;"|cap",Market_Data!$K$5:$K$304,0)),IFERROR(INDEX(Market_Data!$D$5:$D$304,MATCH(Location!$C$6&amp;"|"&amp;$A40&amp;"|cap",Market_Data!$K$5:$K$304,0)),IFERROR((INDEX(Org_Overrides!$D$5:$D$304,MATCH(Org_Profile!$C$4&amp;"|"&amp;$A40&amp;"|cap",Org_Overrides!$H$5:$H$304,0))+Location!$C$12),(Use_Library!$AR$40+Location!$C$12)))))</f>
        <v/>
      </c>
      <c r="N40" s="23">
        <f>IFERROR(INDEX(Market_Data!$D$5:$D$304,MATCH(Location!$C$4&amp;"|"&amp;$A40&amp;"|vac",Market_Data!$K$5:$K$304,0)),IFERROR(INDEX(Market_Data!$D$5:$D$304,MATCH(Location!$C$5&amp;"|"&amp;$A40&amp;"|vac",Market_Data!$K$5:$K$304,0)),IFERROR(INDEX(Market_Data!$D$5:$D$304,MATCH(Location!$C$6&amp;"|"&amp;$A40&amp;"|vac",Market_Data!$K$5:$K$304,0)),IFERROR(INDEX(Org_Overrides!$D$5:$D$304,MATCH(Org_Profile!$C$4&amp;"|"&amp;$A40&amp;"|vac",Org_Overrides!$H$5:$H$304,0)),Use_Library!$AM$40))))</f>
        <v/>
      </c>
      <c r="O40" s="24">
        <f>IFERROR(INDEX(Market_Data!$D$5:$D$304,MATCH(Location!$C$4&amp;"|"&amp;$A40&amp;"|absorb",Market_Data!$K$5:$K$304,0)),IFERROR(INDEX(Market_Data!$D$5:$D$304,MATCH(Location!$C$5&amp;"|"&amp;$A40&amp;"|absorb",Market_Data!$K$5:$K$304,0)),IFERROR(INDEX(Market_Data!$D$5:$D$304,MATCH(Location!$C$6&amp;"|"&amp;$A40&amp;"|absorb",Market_Data!$K$5:$K$304,0)),IFERROR(INDEX(Org_Overrides!$D$5:$D$304,MATCH(Org_Profile!$C$4&amp;"|"&amp;$A40&amp;"|absorb",Org_Overrides!$H$5:$H$304,0)),Use_Library!$R$40))))</f>
        <v/>
      </c>
      <c r="P40" s="24">
        <f>IFERROR(INDEX(Market_Data!$D$5:$D$304,MATCH(Location!$C$4&amp;"|"&amp;$A40&amp;"|lotabs",Market_Data!$K$5:$K$304,0)),IFERROR(INDEX(Market_Data!$D$5:$D$304,MATCH(Location!$C$5&amp;"|"&amp;$A40&amp;"|lotabs",Market_Data!$K$5:$K$304,0)),IFERROR(INDEX(Market_Data!$D$5:$D$304,MATCH(Location!$C$6&amp;"|"&amp;$A40&amp;"|lotabs",Market_Data!$K$5:$K$304,0)),IFERROR(INDEX(Org_Overrides!$D$5:$D$304,MATCH(Org_Profile!$C$4&amp;"|"&amp;$A40&amp;"|lotabs",Org_Overrides!$H$5:$H$304,0)),Use_Library!$S$40))))</f>
        <v/>
      </c>
      <c r="Q40" s="2">
        <f>IF(ISNUMBER(MATCH(Org_Profile!$C$4&amp;"|"&amp;$A40&amp;"|vert",Org_Overrides!$H$5:$H$304,0)),"Org",IF(ISNUMBER(MATCH(Location!$C$4&amp;"|"&amp;$A40&amp;"|vert",Market_Data!$K$5:$K$304,0)),"Market-City",IF(ISNUMBER(MATCH(Location!$C$5&amp;"|"&amp;$A40&amp;"|vert",Market_Data!$K$5:$K$304,0)),"Market-County",IF(ISNUMBER(MATCH(Location!$C$6&amp;"|"&amp;$A40&amp;"|vert",Market_Data!$K$5:$K$304,0)),"Market-State","Default x index"))))</f>
        <v/>
      </c>
      <c r="R40" s="2">
        <f>IF(ISNUMBER(MATCH(Org_Profile!$C$4&amp;"|"&amp;$A40&amp;"|entitle",Org_Overrides!$H$5:$H$304,0)),"Org",IF(ISNUMBER(MATCH(Location!$C$4&amp;"|"&amp;$A40&amp;"|entitle",Market_Data!$K$5:$K$304,0)),"Market-City",IF(ISNUMBER(MATCH(Location!$C$5&amp;"|"&amp;$A40&amp;"|entitle",Market_Data!$K$5:$K$304,0)),"Market-County",IF(ISNUMBER(MATCH(Location!$C$6&amp;"|"&amp;$A40&amp;"|entitle",Market_Data!$K$5:$K$304,0)),"Market-State","Default x index"))))</f>
        <v/>
      </c>
      <c r="S40" s="2">
        <f>IF(ISNUMBER(MATCH(Org_Profile!$C$4&amp;"|"&amp;$A40&amp;"|tilc",Org_Overrides!$H$5:$H$304,0)),"Org",IF(ISNUMBER(MATCH(Location!$C$4&amp;"|"&amp;$A40&amp;"|tilc",Market_Data!$K$5:$K$304,0)),"Market-City",IF(ISNUMBER(MATCH(Location!$C$5&amp;"|"&amp;$A40&amp;"|tilc",Market_Data!$K$5:$K$304,0)),"Market-County",IF(ISNUMBER(MATCH(Location!$C$6&amp;"|"&amp;$A40&amp;"|tilc",Market_Data!$K$5:$K$304,0)),"Market-State","Default x index"))))</f>
        <v/>
      </c>
      <c r="T40" s="2">
        <f>IF(ISNUMBER(MATCH(Org_Profile!$C$4&amp;"|"&amp;$A40&amp;"|opex",Org_Overrides!$H$5:$H$304,0)),"Org",IF(ISNUMBER(MATCH(Location!$C$4&amp;"|"&amp;$A40&amp;"|opex",Market_Data!$K$5:$K$304,0)),"Market-City",IF(ISNUMBER(MATCH(Location!$C$5&amp;"|"&amp;$A40&amp;"|opex",Market_Data!$K$5:$K$304,0)),"Market-County",IF(ISNUMBER(MATCH(Location!$C$6&amp;"|"&amp;$A40&amp;"|opex",Market_Data!$K$5:$K$304,0)),"Market-State","Default x index"))))</f>
        <v/>
      </c>
      <c r="U40" s="2">
        <f>IF(ISNUMBER(MATCH(Org_Profile!$C$4&amp;"|"&amp;$A40&amp;"|devmo",Org_Overrides!$H$5:$H$304,0)),"Org",IF(ISNUMBER(MATCH(Location!$C$4&amp;"|"&amp;$A40&amp;"|devmo",Market_Data!$K$5:$K$304,0)),"Market-City",IF(ISNUMBER(MATCH(Location!$C$5&amp;"|"&amp;$A40&amp;"|devmo",Market_Data!$K$5:$K$304,0)),"Market-County",IF(ISNUMBER(MATCH(Location!$C$6&amp;"|"&amp;$A40&amp;"|devmo",Market_Data!$K$5:$K$304,0)),"Market-State","Default"))))</f>
        <v/>
      </c>
      <c r="V40" s="2">
        <f>IF(ISNUMBER(MATCH(Org_Profile!$C$4&amp;"|"&amp;$A40&amp;"|margin",Org_Overrides!$H$5:$H$304,0)),"Org",IF(INDEX(Org_Profile!$C$9:$C$12,MATCH(Use_Library!$C$40,Org_Profile!$B$9:$B$12,0))&lt;&gt;"","Org engine margin","Default"))</f>
        <v/>
      </c>
      <c r="W40" s="2">
        <f>IF(ISNUMBER(MATCH(Location!$C$4&amp;"|"&amp;$A40&amp;"|lotprice",Market_Data!$K$5:$K$304,0)),"Market-City",IF(ISNUMBER(MATCH(Location!$C$5&amp;"|"&amp;$A40&amp;"|lotprice",Market_Data!$K$5:$K$304,0)),"Market-County",IF(ISNUMBER(MATCH(Location!$C$6&amp;"|"&amp;$A40&amp;"|lotprice",Market_Data!$K$5:$K$304,0)),"Market-State",IF(ISNUMBER(MATCH(Org_Profile!$C$4&amp;"|"&amp;$A40&amp;"|lotprice",Org_Overrides!$H$5:$H$304,0)),"Org","Default x index"))))</f>
        <v/>
      </c>
      <c r="X40" s="2">
        <f>IF(ISNUMBER(MATCH(Location!$C$4&amp;"|"&amp;$A40&amp;"|saleprice",Market_Data!$K$5:$K$304,0)),"Market-City",IF(ISNUMBER(MATCH(Location!$C$5&amp;"|"&amp;$A40&amp;"|saleprice",Market_Data!$K$5:$K$304,0)),"Market-County",IF(ISNUMBER(MATCH(Location!$C$6&amp;"|"&amp;$A40&amp;"|saleprice",Market_Data!$K$5:$K$304,0)),"Market-State",IF(ISNUMBER(MATCH(Org_Profile!$C$4&amp;"|"&amp;$A40&amp;"|saleprice",Org_Overrides!$H$5:$H$304,0)),"Org","Default x index"))))</f>
        <v/>
      </c>
      <c r="Y40" s="2">
        <f>IF(ISNUMBER(MATCH(Location!$C$4&amp;"|"&amp;$A40&amp;"|landac",Market_Data!$K$5:$K$304,0)),"Market-City",IF(ISNUMBER(MATCH(Location!$C$5&amp;"|"&amp;$A40&amp;"|landac",Market_Data!$K$5:$K$304,0)),"Market-County",IF(ISNUMBER(MATCH(Location!$C$6&amp;"|"&amp;$A40&amp;"|landac",Market_Data!$K$5:$K$304,0)),"Market-State",IF(ISNUMBER(MATCH(Org_Profile!$C$4&amp;"|"&amp;$A40&amp;"|landac",Org_Overrides!$H$5:$H$304,0)),"Org","Default x index"))))</f>
        <v/>
      </c>
      <c r="Z40" s="2">
        <f>IF(ISNUMBER(MATCH(Location!$C$4&amp;"|"&amp;$A40&amp;"|rent",Market_Data!$K$5:$K$304,0)),"Market-City",IF(ISNUMBER(MATCH(Location!$C$5&amp;"|"&amp;$A40&amp;"|rent",Market_Data!$K$5:$K$304,0)),"Market-County",IF(ISNUMBER(MATCH(Location!$C$6&amp;"|"&amp;$A40&amp;"|rent",Market_Data!$K$5:$K$304,0)),"Market-State",IF(ISNUMBER(MATCH(Org_Profile!$C$4&amp;"|"&amp;$A40&amp;"|rent",Org_Overrides!$H$5:$H$304,0)),"Org","Default x index"))))</f>
        <v/>
      </c>
      <c r="AA40" s="2">
        <f>IF(ISNUMBER(MATCH(Location!$C$4&amp;"|"&amp;$A40&amp;"|groundrent",Market_Data!$K$5:$K$304,0)),"Market-City",IF(ISNUMBER(MATCH(Location!$C$5&amp;"|"&amp;$A40&amp;"|groundrent",Market_Data!$K$5:$K$304,0)),"Market-County",IF(ISNUMBER(MATCH(Location!$C$6&amp;"|"&amp;$A40&amp;"|groundrent",Market_Data!$K$5:$K$304,0)),"Market-State",IF(ISNUMBER(MATCH(Org_Profile!$C$4&amp;"|"&amp;$A40&amp;"|groundrent",Org_Overrides!$H$5:$H$304,0)),"Org","Default x index"))))</f>
        <v/>
      </c>
      <c r="AB40" s="2">
        <f>IF(ISNUMBER(MATCH(Location!$C$4&amp;"|"&amp;$A40&amp;"|cap",Market_Data!$K$5:$K$304,0)),"Market-City",IF(ISNUMBER(MATCH(Location!$C$5&amp;"|"&amp;$A40&amp;"|cap",Market_Data!$K$5:$K$304,0)),"Market-County",IF(ISNUMBER(MATCH(Location!$C$6&amp;"|"&amp;$A40&amp;"|cap",Market_Data!$K$5:$K$304,0)),"Market-State",IF(ISNUMBER(MATCH(Org_Profile!$C$4&amp;"|"&amp;$A40&amp;"|cap",Org_Overrides!$H$5:$H$304,0)),"Org","Default x index"))))</f>
        <v/>
      </c>
      <c r="AC40" s="2">
        <f>IF(ISNUMBER(MATCH(Location!$C$4&amp;"|"&amp;$A40&amp;"|vac",Market_Data!$K$5:$K$304,0)),"Market-City",IF(ISNUMBER(MATCH(Location!$C$5&amp;"|"&amp;$A40&amp;"|vac",Market_Data!$K$5:$K$304,0)),"Market-County",IF(ISNUMBER(MATCH(Location!$C$6&amp;"|"&amp;$A40&amp;"|vac",Market_Data!$K$5:$K$304,0)),"Market-State",IF(ISNUMBER(MATCH(Org_Profile!$C$4&amp;"|"&amp;$A40&amp;"|vac",Org_Overrides!$H$5:$H$304,0)),"Org","Default"))))</f>
        <v/>
      </c>
      <c r="AD40" s="2">
        <f>IF(ISNUMBER(MATCH(Location!$C$4&amp;"|"&amp;$A40&amp;"|absorb",Market_Data!$K$5:$K$304,0)),"Market-City",IF(ISNUMBER(MATCH(Location!$C$5&amp;"|"&amp;$A40&amp;"|absorb",Market_Data!$K$5:$K$304,0)),"Market-County",IF(ISNUMBER(MATCH(Location!$C$6&amp;"|"&amp;$A40&amp;"|absorb",Market_Data!$K$5:$K$304,0)),"Market-State",IF(ISNUMBER(MATCH(Org_Profile!$C$4&amp;"|"&amp;$A40&amp;"|absorb",Org_Overrides!$H$5:$H$304,0)),"Org","Default"))))</f>
        <v/>
      </c>
      <c r="AE40" s="2">
        <f>IF(ISNUMBER(MATCH(Location!$C$4&amp;"|"&amp;$A40&amp;"|lotabs",Market_Data!$K$5:$K$304,0)),"Market-City",IF(ISNUMBER(MATCH(Location!$C$5&amp;"|"&amp;$A40&amp;"|lotabs",Market_Data!$K$5:$K$304,0)),"Market-County",IF(ISNUMBER(MATCH(Location!$C$6&amp;"|"&amp;$A40&amp;"|lotabs",Market_Data!$K$5:$K$304,0)),"Market-State",IF(ISNUMBER(MATCH(Org_Profile!$C$4&amp;"|"&amp;$A40&amp;"|lotabs",Org_Overrides!$H$5:$H$304,0)),"Org","Default"))))</f>
        <v/>
      </c>
      <c r="AF40" s="15">
        <f>15-COUNTIF(Q40:AE40,"Default*")</f>
        <v/>
      </c>
    </row>
    <row r="41">
      <c r="A41" s="4">
        <f>Use_Library!$A$41</f>
        <v/>
      </c>
      <c r="B41" s="20">
        <f>IFERROR((INDEX(Org_Overrides!$D$5:$D$304,MATCH(Org_Profile!$C$4&amp;"|"&amp;$A41&amp;"|vert",Org_Overrides!$H$5:$H$304,0))*Location!$C$9),IFERROR(INDEX(Market_Data!$D$5:$D$304,MATCH(Location!$C$4&amp;"|"&amp;$A41&amp;"|vert",Market_Data!$K$5:$K$304,0)),IFERROR(INDEX(Market_Data!$D$5:$D$304,MATCH(Location!$C$5&amp;"|"&amp;$A41&amp;"|vert",Market_Data!$K$5:$K$304,0)),IFERROR(INDEX(Market_Data!$D$5:$D$304,MATCH(Location!$C$6&amp;"|"&amp;$A41&amp;"|vert",Market_Data!$K$5:$K$304,0)),(Use_Library!$AF$41*Location!$C$9)))))</f>
        <v/>
      </c>
      <c r="C41" s="20">
        <f>IFERROR((INDEX(Org_Overrides!$D$5:$D$304,MATCH(Org_Profile!$C$4&amp;"|"&amp;$A41&amp;"|entitle",Org_Overrides!$H$5:$H$304,0))*Location!$C$9),IFERROR(INDEX(Market_Data!$D$5:$D$304,MATCH(Location!$C$4&amp;"|"&amp;$A41&amp;"|entitle",Market_Data!$K$5:$K$304,0)),IFERROR(INDEX(Market_Data!$D$5:$D$304,MATCH(Location!$C$5&amp;"|"&amp;$A41&amp;"|entitle",Market_Data!$K$5:$K$304,0)),IFERROR(INDEX(Market_Data!$D$5:$D$304,MATCH(Location!$C$6&amp;"|"&amp;$A41&amp;"|entitle",Market_Data!$K$5:$K$304,0)),(Use_Library!$AE$41*Location!$C$9)))))</f>
        <v/>
      </c>
      <c r="D41" s="20">
        <f>IFERROR((INDEX(Org_Overrides!$D$5:$D$304,MATCH(Org_Profile!$C$4&amp;"|"&amp;$A41&amp;"|tilc",Org_Overrides!$H$5:$H$304,0))*Location!$C$9),IFERROR(INDEX(Market_Data!$D$5:$D$304,MATCH(Location!$C$4&amp;"|"&amp;$A41&amp;"|tilc",Market_Data!$K$5:$K$304,0)),IFERROR(INDEX(Market_Data!$D$5:$D$304,MATCH(Location!$C$5&amp;"|"&amp;$A41&amp;"|tilc",Market_Data!$K$5:$K$304,0)),IFERROR(INDEX(Market_Data!$D$5:$D$304,MATCH(Location!$C$6&amp;"|"&amp;$A41&amp;"|tilc",Market_Data!$K$5:$K$304,0)),(Use_Library!$AG$41*Location!$C$9)))))</f>
        <v/>
      </c>
      <c r="E41" s="20">
        <f>IFERROR((INDEX(Org_Overrides!$D$5:$D$304,MATCH(Org_Profile!$C$4&amp;"|"&amp;$A41&amp;"|opex",Org_Overrides!$H$5:$H$304,0))*Location!$C$13),IFERROR(INDEX(Market_Data!$D$5:$D$304,MATCH(Location!$C$4&amp;"|"&amp;$A41&amp;"|opex",Market_Data!$K$5:$K$304,0)),IFERROR(INDEX(Market_Data!$D$5:$D$304,MATCH(Location!$C$5&amp;"|"&amp;$A41&amp;"|opex",Market_Data!$K$5:$K$304,0)),IFERROR(INDEX(Market_Data!$D$5:$D$304,MATCH(Location!$C$6&amp;"|"&amp;$A41&amp;"|opex",Market_Data!$K$5:$K$304,0)),(Use_Library!$AN$41*Location!$C$13)))))</f>
        <v/>
      </c>
      <c r="F41" s="9">
        <f>IFERROR(INDEX(Org_Overrides!$D$5:$D$304,MATCH(Org_Profile!$C$4&amp;"|"&amp;$A41&amp;"|devmo",Org_Overrides!$H$5:$H$304,0)),IFERROR(INDEX(Market_Data!$D$5:$D$304,MATCH(Location!$C$4&amp;"|"&amp;$A41&amp;"|devmo",Market_Data!$K$5:$K$304,0)),IFERROR(INDEX(Market_Data!$D$5:$D$304,MATCH(Location!$C$5&amp;"|"&amp;$A41&amp;"|devmo",Market_Data!$K$5:$K$304,0)),IFERROR(INDEX(Market_Data!$D$5:$D$304,MATCH(Location!$C$6&amp;"|"&amp;$A41&amp;"|devmo",Market_Data!$K$5:$K$304,0)),Use_Library!$AH$41))))</f>
        <v/>
      </c>
      <c r="G41" s="23">
        <f>IFERROR(INDEX(Org_Overrides!$D$5:$D$304,MATCH(Org_Profile!$C$4&amp;"|"&amp;$A41&amp;"|margin",Org_Overrides!$H$5:$H$304,0)),IF(INDEX(Org_Profile!$C$9:$C$12,MATCH(Use_Library!$C$41,Org_Profile!$B$9:$B$12,0))&lt;&gt;"",INDEX(Org_Profile!$C$9:$C$12,MATCH(Use_Library!$C$41,Org_Profile!$B$9:$B$12,0)),Use_Library!$AU$41))</f>
        <v/>
      </c>
      <c r="H41" s="20">
        <f>IFERROR(INDEX(Market_Data!$D$5:$D$304,MATCH(Location!$C$4&amp;"|"&amp;$A41&amp;"|lotprice",Market_Data!$K$5:$K$304,0)),IFERROR(INDEX(Market_Data!$D$5:$D$304,MATCH(Location!$C$5&amp;"|"&amp;$A41&amp;"|lotprice",Market_Data!$K$5:$K$304,0)),IFERROR(INDEX(Market_Data!$D$5:$D$304,MATCH(Location!$C$6&amp;"|"&amp;$A41&amp;"|lotprice",Market_Data!$K$5:$K$304,0)),IFERROR((INDEX(Org_Overrides!$D$5:$D$304,MATCH(Org_Profile!$C$4&amp;"|"&amp;$A41&amp;"|lotprice",Org_Overrides!$H$5:$H$304,0))*Location!$C$10),(Use_Library!$AI$41*Location!$C$10)))))</f>
        <v/>
      </c>
      <c r="I41" s="20">
        <f>IFERROR(INDEX(Market_Data!$D$5:$D$304,MATCH(Location!$C$4&amp;"|"&amp;$A41&amp;"|saleprice",Market_Data!$K$5:$K$304,0)),IFERROR(INDEX(Market_Data!$D$5:$D$304,MATCH(Location!$C$5&amp;"|"&amp;$A41&amp;"|saleprice",Market_Data!$K$5:$K$304,0)),IFERROR(INDEX(Market_Data!$D$5:$D$304,MATCH(Location!$C$6&amp;"|"&amp;$A41&amp;"|saleprice",Market_Data!$K$5:$K$304,0)),IFERROR((INDEX(Org_Overrides!$D$5:$D$304,MATCH(Org_Profile!$C$4&amp;"|"&amp;$A41&amp;"|saleprice",Org_Overrides!$H$5:$H$304,0))*Location!$C$10),(Use_Library!$AJ$41*Location!$C$10)))))</f>
        <v/>
      </c>
      <c r="J41" s="20">
        <f>IFERROR(INDEX(Market_Data!$D$5:$D$304,MATCH(Location!$C$4&amp;"|"&amp;$A41&amp;"|landac",Market_Data!$K$5:$K$304,0)),IFERROR(INDEX(Market_Data!$D$5:$D$304,MATCH(Location!$C$5&amp;"|"&amp;$A41&amp;"|landac",Market_Data!$K$5:$K$304,0)),IFERROR(INDEX(Market_Data!$D$5:$D$304,MATCH(Location!$C$6&amp;"|"&amp;$A41&amp;"|landac",Market_Data!$K$5:$K$304,0)),IFERROR((INDEX(Org_Overrides!$D$5:$D$304,MATCH(Org_Profile!$C$4&amp;"|"&amp;$A41&amp;"|landac",Org_Overrides!$H$5:$H$304,0))*Location!$C$10),(Use_Library!$AS$41*Location!$C$10)))))</f>
        <v/>
      </c>
      <c r="K41" s="20">
        <f>IFERROR(INDEX(Market_Data!$D$5:$D$304,MATCH(Location!$C$4&amp;"|"&amp;$A41&amp;"|rent",Market_Data!$K$5:$K$304,0)),IFERROR(INDEX(Market_Data!$D$5:$D$304,MATCH(Location!$C$5&amp;"|"&amp;$A41&amp;"|rent",Market_Data!$K$5:$K$304,0)),IFERROR(INDEX(Market_Data!$D$5:$D$304,MATCH(Location!$C$6&amp;"|"&amp;$A41&amp;"|rent",Market_Data!$K$5:$K$304,0)),IFERROR((INDEX(Org_Overrides!$D$5:$D$304,MATCH(Org_Profile!$C$4&amp;"|"&amp;$A41&amp;"|rent",Org_Overrides!$H$5:$H$304,0))*Location!$C$11),(Use_Library!$AK$41*Location!$C$11)))))</f>
        <v/>
      </c>
      <c r="L41" s="20">
        <f>IFERROR(INDEX(Market_Data!$D$5:$D$304,MATCH(Location!$C$4&amp;"|"&amp;$A41&amp;"|groundrent",Market_Data!$K$5:$K$304,0)),IFERROR(INDEX(Market_Data!$D$5:$D$304,MATCH(Location!$C$5&amp;"|"&amp;$A41&amp;"|groundrent",Market_Data!$K$5:$K$304,0)),IFERROR(INDEX(Market_Data!$D$5:$D$304,MATCH(Location!$C$6&amp;"|"&amp;$A41&amp;"|groundrent",Market_Data!$K$5:$K$304,0)),IFERROR((INDEX(Org_Overrides!$D$5:$D$304,MATCH(Org_Profile!$C$4&amp;"|"&amp;$A41&amp;"|groundrent",Org_Overrides!$H$5:$H$304,0))*Location!$C$11),(Use_Library!$AT$41*Location!$C$11)))))</f>
        <v/>
      </c>
      <c r="M41" s="23">
        <f>IFERROR(INDEX(Market_Data!$D$5:$D$304,MATCH(Location!$C$4&amp;"|"&amp;$A41&amp;"|cap",Market_Data!$K$5:$K$304,0)),IFERROR(INDEX(Market_Data!$D$5:$D$304,MATCH(Location!$C$5&amp;"|"&amp;$A41&amp;"|cap",Market_Data!$K$5:$K$304,0)),IFERROR(INDEX(Market_Data!$D$5:$D$304,MATCH(Location!$C$6&amp;"|"&amp;$A41&amp;"|cap",Market_Data!$K$5:$K$304,0)),IFERROR((INDEX(Org_Overrides!$D$5:$D$304,MATCH(Org_Profile!$C$4&amp;"|"&amp;$A41&amp;"|cap",Org_Overrides!$H$5:$H$304,0))+Location!$C$12),(Use_Library!$AR$41+Location!$C$12)))))</f>
        <v/>
      </c>
      <c r="N41" s="23">
        <f>IFERROR(INDEX(Market_Data!$D$5:$D$304,MATCH(Location!$C$4&amp;"|"&amp;$A41&amp;"|vac",Market_Data!$K$5:$K$304,0)),IFERROR(INDEX(Market_Data!$D$5:$D$304,MATCH(Location!$C$5&amp;"|"&amp;$A41&amp;"|vac",Market_Data!$K$5:$K$304,0)),IFERROR(INDEX(Market_Data!$D$5:$D$304,MATCH(Location!$C$6&amp;"|"&amp;$A41&amp;"|vac",Market_Data!$K$5:$K$304,0)),IFERROR(INDEX(Org_Overrides!$D$5:$D$304,MATCH(Org_Profile!$C$4&amp;"|"&amp;$A41&amp;"|vac",Org_Overrides!$H$5:$H$304,0)),Use_Library!$AM$41))))</f>
        <v/>
      </c>
      <c r="O41" s="24">
        <f>IFERROR(INDEX(Market_Data!$D$5:$D$304,MATCH(Location!$C$4&amp;"|"&amp;$A41&amp;"|absorb",Market_Data!$K$5:$K$304,0)),IFERROR(INDEX(Market_Data!$D$5:$D$304,MATCH(Location!$C$5&amp;"|"&amp;$A41&amp;"|absorb",Market_Data!$K$5:$K$304,0)),IFERROR(INDEX(Market_Data!$D$5:$D$304,MATCH(Location!$C$6&amp;"|"&amp;$A41&amp;"|absorb",Market_Data!$K$5:$K$304,0)),IFERROR(INDEX(Org_Overrides!$D$5:$D$304,MATCH(Org_Profile!$C$4&amp;"|"&amp;$A41&amp;"|absorb",Org_Overrides!$H$5:$H$304,0)),Use_Library!$R$41))))</f>
        <v/>
      </c>
      <c r="P41" s="24">
        <f>IFERROR(INDEX(Market_Data!$D$5:$D$304,MATCH(Location!$C$4&amp;"|"&amp;$A41&amp;"|lotabs",Market_Data!$K$5:$K$304,0)),IFERROR(INDEX(Market_Data!$D$5:$D$304,MATCH(Location!$C$5&amp;"|"&amp;$A41&amp;"|lotabs",Market_Data!$K$5:$K$304,0)),IFERROR(INDEX(Market_Data!$D$5:$D$304,MATCH(Location!$C$6&amp;"|"&amp;$A41&amp;"|lotabs",Market_Data!$K$5:$K$304,0)),IFERROR(INDEX(Org_Overrides!$D$5:$D$304,MATCH(Org_Profile!$C$4&amp;"|"&amp;$A41&amp;"|lotabs",Org_Overrides!$H$5:$H$304,0)),Use_Library!$S$41))))</f>
        <v/>
      </c>
      <c r="Q41" s="2">
        <f>IF(ISNUMBER(MATCH(Org_Profile!$C$4&amp;"|"&amp;$A41&amp;"|vert",Org_Overrides!$H$5:$H$304,0)),"Org",IF(ISNUMBER(MATCH(Location!$C$4&amp;"|"&amp;$A41&amp;"|vert",Market_Data!$K$5:$K$304,0)),"Market-City",IF(ISNUMBER(MATCH(Location!$C$5&amp;"|"&amp;$A41&amp;"|vert",Market_Data!$K$5:$K$304,0)),"Market-County",IF(ISNUMBER(MATCH(Location!$C$6&amp;"|"&amp;$A41&amp;"|vert",Market_Data!$K$5:$K$304,0)),"Market-State","Default x index"))))</f>
        <v/>
      </c>
      <c r="R41" s="2">
        <f>IF(ISNUMBER(MATCH(Org_Profile!$C$4&amp;"|"&amp;$A41&amp;"|entitle",Org_Overrides!$H$5:$H$304,0)),"Org",IF(ISNUMBER(MATCH(Location!$C$4&amp;"|"&amp;$A41&amp;"|entitle",Market_Data!$K$5:$K$304,0)),"Market-City",IF(ISNUMBER(MATCH(Location!$C$5&amp;"|"&amp;$A41&amp;"|entitle",Market_Data!$K$5:$K$304,0)),"Market-County",IF(ISNUMBER(MATCH(Location!$C$6&amp;"|"&amp;$A41&amp;"|entitle",Market_Data!$K$5:$K$304,0)),"Market-State","Default x index"))))</f>
        <v/>
      </c>
      <c r="S41" s="2">
        <f>IF(ISNUMBER(MATCH(Org_Profile!$C$4&amp;"|"&amp;$A41&amp;"|tilc",Org_Overrides!$H$5:$H$304,0)),"Org",IF(ISNUMBER(MATCH(Location!$C$4&amp;"|"&amp;$A41&amp;"|tilc",Market_Data!$K$5:$K$304,0)),"Market-City",IF(ISNUMBER(MATCH(Location!$C$5&amp;"|"&amp;$A41&amp;"|tilc",Market_Data!$K$5:$K$304,0)),"Market-County",IF(ISNUMBER(MATCH(Location!$C$6&amp;"|"&amp;$A41&amp;"|tilc",Market_Data!$K$5:$K$304,0)),"Market-State","Default x index"))))</f>
        <v/>
      </c>
      <c r="T41" s="2">
        <f>IF(ISNUMBER(MATCH(Org_Profile!$C$4&amp;"|"&amp;$A41&amp;"|opex",Org_Overrides!$H$5:$H$304,0)),"Org",IF(ISNUMBER(MATCH(Location!$C$4&amp;"|"&amp;$A41&amp;"|opex",Market_Data!$K$5:$K$304,0)),"Market-City",IF(ISNUMBER(MATCH(Location!$C$5&amp;"|"&amp;$A41&amp;"|opex",Market_Data!$K$5:$K$304,0)),"Market-County",IF(ISNUMBER(MATCH(Location!$C$6&amp;"|"&amp;$A41&amp;"|opex",Market_Data!$K$5:$K$304,0)),"Market-State","Default x index"))))</f>
        <v/>
      </c>
      <c r="U41" s="2">
        <f>IF(ISNUMBER(MATCH(Org_Profile!$C$4&amp;"|"&amp;$A41&amp;"|devmo",Org_Overrides!$H$5:$H$304,0)),"Org",IF(ISNUMBER(MATCH(Location!$C$4&amp;"|"&amp;$A41&amp;"|devmo",Market_Data!$K$5:$K$304,0)),"Market-City",IF(ISNUMBER(MATCH(Location!$C$5&amp;"|"&amp;$A41&amp;"|devmo",Market_Data!$K$5:$K$304,0)),"Market-County",IF(ISNUMBER(MATCH(Location!$C$6&amp;"|"&amp;$A41&amp;"|devmo",Market_Data!$K$5:$K$304,0)),"Market-State","Default"))))</f>
        <v/>
      </c>
      <c r="V41" s="2">
        <f>IF(ISNUMBER(MATCH(Org_Profile!$C$4&amp;"|"&amp;$A41&amp;"|margin",Org_Overrides!$H$5:$H$304,0)),"Org",IF(INDEX(Org_Profile!$C$9:$C$12,MATCH(Use_Library!$C$41,Org_Profile!$B$9:$B$12,0))&lt;&gt;"","Org engine margin","Default"))</f>
        <v/>
      </c>
      <c r="W41" s="2">
        <f>IF(ISNUMBER(MATCH(Location!$C$4&amp;"|"&amp;$A41&amp;"|lotprice",Market_Data!$K$5:$K$304,0)),"Market-City",IF(ISNUMBER(MATCH(Location!$C$5&amp;"|"&amp;$A41&amp;"|lotprice",Market_Data!$K$5:$K$304,0)),"Market-County",IF(ISNUMBER(MATCH(Location!$C$6&amp;"|"&amp;$A41&amp;"|lotprice",Market_Data!$K$5:$K$304,0)),"Market-State",IF(ISNUMBER(MATCH(Org_Profile!$C$4&amp;"|"&amp;$A41&amp;"|lotprice",Org_Overrides!$H$5:$H$304,0)),"Org","Default x index"))))</f>
        <v/>
      </c>
      <c r="X41" s="2">
        <f>IF(ISNUMBER(MATCH(Location!$C$4&amp;"|"&amp;$A41&amp;"|saleprice",Market_Data!$K$5:$K$304,0)),"Market-City",IF(ISNUMBER(MATCH(Location!$C$5&amp;"|"&amp;$A41&amp;"|saleprice",Market_Data!$K$5:$K$304,0)),"Market-County",IF(ISNUMBER(MATCH(Location!$C$6&amp;"|"&amp;$A41&amp;"|saleprice",Market_Data!$K$5:$K$304,0)),"Market-State",IF(ISNUMBER(MATCH(Org_Profile!$C$4&amp;"|"&amp;$A41&amp;"|saleprice",Org_Overrides!$H$5:$H$304,0)),"Org","Default x index"))))</f>
        <v/>
      </c>
      <c r="Y41" s="2">
        <f>IF(ISNUMBER(MATCH(Location!$C$4&amp;"|"&amp;$A41&amp;"|landac",Market_Data!$K$5:$K$304,0)),"Market-City",IF(ISNUMBER(MATCH(Location!$C$5&amp;"|"&amp;$A41&amp;"|landac",Market_Data!$K$5:$K$304,0)),"Market-County",IF(ISNUMBER(MATCH(Location!$C$6&amp;"|"&amp;$A41&amp;"|landac",Market_Data!$K$5:$K$304,0)),"Market-State",IF(ISNUMBER(MATCH(Org_Profile!$C$4&amp;"|"&amp;$A41&amp;"|landac",Org_Overrides!$H$5:$H$304,0)),"Org","Default x index"))))</f>
        <v/>
      </c>
      <c r="Z41" s="2">
        <f>IF(ISNUMBER(MATCH(Location!$C$4&amp;"|"&amp;$A41&amp;"|rent",Market_Data!$K$5:$K$304,0)),"Market-City",IF(ISNUMBER(MATCH(Location!$C$5&amp;"|"&amp;$A41&amp;"|rent",Market_Data!$K$5:$K$304,0)),"Market-County",IF(ISNUMBER(MATCH(Location!$C$6&amp;"|"&amp;$A41&amp;"|rent",Market_Data!$K$5:$K$304,0)),"Market-State",IF(ISNUMBER(MATCH(Org_Profile!$C$4&amp;"|"&amp;$A41&amp;"|rent",Org_Overrides!$H$5:$H$304,0)),"Org","Default x index"))))</f>
        <v/>
      </c>
      <c r="AA41" s="2">
        <f>IF(ISNUMBER(MATCH(Location!$C$4&amp;"|"&amp;$A41&amp;"|groundrent",Market_Data!$K$5:$K$304,0)),"Market-City",IF(ISNUMBER(MATCH(Location!$C$5&amp;"|"&amp;$A41&amp;"|groundrent",Market_Data!$K$5:$K$304,0)),"Market-County",IF(ISNUMBER(MATCH(Location!$C$6&amp;"|"&amp;$A41&amp;"|groundrent",Market_Data!$K$5:$K$304,0)),"Market-State",IF(ISNUMBER(MATCH(Org_Profile!$C$4&amp;"|"&amp;$A41&amp;"|groundrent",Org_Overrides!$H$5:$H$304,0)),"Org","Default x index"))))</f>
        <v/>
      </c>
      <c r="AB41" s="2">
        <f>IF(ISNUMBER(MATCH(Location!$C$4&amp;"|"&amp;$A41&amp;"|cap",Market_Data!$K$5:$K$304,0)),"Market-City",IF(ISNUMBER(MATCH(Location!$C$5&amp;"|"&amp;$A41&amp;"|cap",Market_Data!$K$5:$K$304,0)),"Market-County",IF(ISNUMBER(MATCH(Location!$C$6&amp;"|"&amp;$A41&amp;"|cap",Market_Data!$K$5:$K$304,0)),"Market-State",IF(ISNUMBER(MATCH(Org_Profile!$C$4&amp;"|"&amp;$A41&amp;"|cap",Org_Overrides!$H$5:$H$304,0)),"Org","Default x index"))))</f>
        <v/>
      </c>
      <c r="AC41" s="2">
        <f>IF(ISNUMBER(MATCH(Location!$C$4&amp;"|"&amp;$A41&amp;"|vac",Market_Data!$K$5:$K$304,0)),"Market-City",IF(ISNUMBER(MATCH(Location!$C$5&amp;"|"&amp;$A41&amp;"|vac",Market_Data!$K$5:$K$304,0)),"Market-County",IF(ISNUMBER(MATCH(Location!$C$6&amp;"|"&amp;$A41&amp;"|vac",Market_Data!$K$5:$K$304,0)),"Market-State",IF(ISNUMBER(MATCH(Org_Profile!$C$4&amp;"|"&amp;$A41&amp;"|vac",Org_Overrides!$H$5:$H$304,0)),"Org","Default"))))</f>
        <v/>
      </c>
      <c r="AD41" s="2">
        <f>IF(ISNUMBER(MATCH(Location!$C$4&amp;"|"&amp;$A41&amp;"|absorb",Market_Data!$K$5:$K$304,0)),"Market-City",IF(ISNUMBER(MATCH(Location!$C$5&amp;"|"&amp;$A41&amp;"|absorb",Market_Data!$K$5:$K$304,0)),"Market-County",IF(ISNUMBER(MATCH(Location!$C$6&amp;"|"&amp;$A41&amp;"|absorb",Market_Data!$K$5:$K$304,0)),"Market-State",IF(ISNUMBER(MATCH(Org_Profile!$C$4&amp;"|"&amp;$A41&amp;"|absorb",Org_Overrides!$H$5:$H$304,0)),"Org","Default"))))</f>
        <v/>
      </c>
      <c r="AE41" s="2">
        <f>IF(ISNUMBER(MATCH(Location!$C$4&amp;"|"&amp;$A41&amp;"|lotabs",Market_Data!$K$5:$K$304,0)),"Market-City",IF(ISNUMBER(MATCH(Location!$C$5&amp;"|"&amp;$A41&amp;"|lotabs",Market_Data!$K$5:$K$304,0)),"Market-County",IF(ISNUMBER(MATCH(Location!$C$6&amp;"|"&amp;$A41&amp;"|lotabs",Market_Data!$K$5:$K$304,0)),"Market-State",IF(ISNUMBER(MATCH(Org_Profile!$C$4&amp;"|"&amp;$A41&amp;"|lotabs",Org_Overrides!$H$5:$H$304,0)),"Org","Default"))))</f>
        <v/>
      </c>
      <c r="AF41" s="15">
        <f>15-COUNTIF(Q41:AE41,"Default*")</f>
        <v/>
      </c>
    </row>
    <row r="42">
      <c r="A42" s="4">
        <f>Use_Library!$A$42</f>
        <v/>
      </c>
      <c r="B42" s="20">
        <f>IFERROR((INDEX(Org_Overrides!$D$5:$D$304,MATCH(Org_Profile!$C$4&amp;"|"&amp;$A42&amp;"|vert",Org_Overrides!$H$5:$H$304,0))*Location!$C$9),IFERROR(INDEX(Market_Data!$D$5:$D$304,MATCH(Location!$C$4&amp;"|"&amp;$A42&amp;"|vert",Market_Data!$K$5:$K$304,0)),IFERROR(INDEX(Market_Data!$D$5:$D$304,MATCH(Location!$C$5&amp;"|"&amp;$A42&amp;"|vert",Market_Data!$K$5:$K$304,0)),IFERROR(INDEX(Market_Data!$D$5:$D$304,MATCH(Location!$C$6&amp;"|"&amp;$A42&amp;"|vert",Market_Data!$K$5:$K$304,0)),(Use_Library!$AF$42*Location!$C$9)))))</f>
        <v/>
      </c>
      <c r="C42" s="20">
        <f>IFERROR((INDEX(Org_Overrides!$D$5:$D$304,MATCH(Org_Profile!$C$4&amp;"|"&amp;$A42&amp;"|entitle",Org_Overrides!$H$5:$H$304,0))*Location!$C$9),IFERROR(INDEX(Market_Data!$D$5:$D$304,MATCH(Location!$C$4&amp;"|"&amp;$A42&amp;"|entitle",Market_Data!$K$5:$K$304,0)),IFERROR(INDEX(Market_Data!$D$5:$D$304,MATCH(Location!$C$5&amp;"|"&amp;$A42&amp;"|entitle",Market_Data!$K$5:$K$304,0)),IFERROR(INDEX(Market_Data!$D$5:$D$304,MATCH(Location!$C$6&amp;"|"&amp;$A42&amp;"|entitle",Market_Data!$K$5:$K$304,0)),(Use_Library!$AE$42*Location!$C$9)))))</f>
        <v/>
      </c>
      <c r="D42" s="20">
        <f>IFERROR((INDEX(Org_Overrides!$D$5:$D$304,MATCH(Org_Profile!$C$4&amp;"|"&amp;$A42&amp;"|tilc",Org_Overrides!$H$5:$H$304,0))*Location!$C$9),IFERROR(INDEX(Market_Data!$D$5:$D$304,MATCH(Location!$C$4&amp;"|"&amp;$A42&amp;"|tilc",Market_Data!$K$5:$K$304,0)),IFERROR(INDEX(Market_Data!$D$5:$D$304,MATCH(Location!$C$5&amp;"|"&amp;$A42&amp;"|tilc",Market_Data!$K$5:$K$304,0)),IFERROR(INDEX(Market_Data!$D$5:$D$304,MATCH(Location!$C$6&amp;"|"&amp;$A42&amp;"|tilc",Market_Data!$K$5:$K$304,0)),(Use_Library!$AG$42*Location!$C$9)))))</f>
        <v/>
      </c>
      <c r="E42" s="20">
        <f>IFERROR((INDEX(Org_Overrides!$D$5:$D$304,MATCH(Org_Profile!$C$4&amp;"|"&amp;$A42&amp;"|opex",Org_Overrides!$H$5:$H$304,0))*Location!$C$13),IFERROR(INDEX(Market_Data!$D$5:$D$304,MATCH(Location!$C$4&amp;"|"&amp;$A42&amp;"|opex",Market_Data!$K$5:$K$304,0)),IFERROR(INDEX(Market_Data!$D$5:$D$304,MATCH(Location!$C$5&amp;"|"&amp;$A42&amp;"|opex",Market_Data!$K$5:$K$304,0)),IFERROR(INDEX(Market_Data!$D$5:$D$304,MATCH(Location!$C$6&amp;"|"&amp;$A42&amp;"|opex",Market_Data!$K$5:$K$304,0)),(Use_Library!$AN$42*Location!$C$13)))))</f>
        <v/>
      </c>
      <c r="F42" s="9">
        <f>IFERROR(INDEX(Org_Overrides!$D$5:$D$304,MATCH(Org_Profile!$C$4&amp;"|"&amp;$A42&amp;"|devmo",Org_Overrides!$H$5:$H$304,0)),IFERROR(INDEX(Market_Data!$D$5:$D$304,MATCH(Location!$C$4&amp;"|"&amp;$A42&amp;"|devmo",Market_Data!$K$5:$K$304,0)),IFERROR(INDEX(Market_Data!$D$5:$D$304,MATCH(Location!$C$5&amp;"|"&amp;$A42&amp;"|devmo",Market_Data!$K$5:$K$304,0)),IFERROR(INDEX(Market_Data!$D$5:$D$304,MATCH(Location!$C$6&amp;"|"&amp;$A42&amp;"|devmo",Market_Data!$K$5:$K$304,0)),Use_Library!$AH$42))))</f>
        <v/>
      </c>
      <c r="G42" s="23">
        <f>IFERROR(INDEX(Org_Overrides!$D$5:$D$304,MATCH(Org_Profile!$C$4&amp;"|"&amp;$A42&amp;"|margin",Org_Overrides!$H$5:$H$304,0)),IF(INDEX(Org_Profile!$C$9:$C$12,MATCH(Use_Library!$C$42,Org_Profile!$B$9:$B$12,0))&lt;&gt;"",INDEX(Org_Profile!$C$9:$C$12,MATCH(Use_Library!$C$42,Org_Profile!$B$9:$B$12,0)),Use_Library!$AU$42))</f>
        <v/>
      </c>
      <c r="H42" s="20">
        <f>IFERROR(INDEX(Market_Data!$D$5:$D$304,MATCH(Location!$C$4&amp;"|"&amp;$A42&amp;"|lotprice",Market_Data!$K$5:$K$304,0)),IFERROR(INDEX(Market_Data!$D$5:$D$304,MATCH(Location!$C$5&amp;"|"&amp;$A42&amp;"|lotprice",Market_Data!$K$5:$K$304,0)),IFERROR(INDEX(Market_Data!$D$5:$D$304,MATCH(Location!$C$6&amp;"|"&amp;$A42&amp;"|lotprice",Market_Data!$K$5:$K$304,0)),IFERROR((INDEX(Org_Overrides!$D$5:$D$304,MATCH(Org_Profile!$C$4&amp;"|"&amp;$A42&amp;"|lotprice",Org_Overrides!$H$5:$H$304,0))*Location!$C$10),(Use_Library!$AI$42*Location!$C$10)))))</f>
        <v/>
      </c>
      <c r="I42" s="20">
        <f>IFERROR(INDEX(Market_Data!$D$5:$D$304,MATCH(Location!$C$4&amp;"|"&amp;$A42&amp;"|saleprice",Market_Data!$K$5:$K$304,0)),IFERROR(INDEX(Market_Data!$D$5:$D$304,MATCH(Location!$C$5&amp;"|"&amp;$A42&amp;"|saleprice",Market_Data!$K$5:$K$304,0)),IFERROR(INDEX(Market_Data!$D$5:$D$304,MATCH(Location!$C$6&amp;"|"&amp;$A42&amp;"|saleprice",Market_Data!$K$5:$K$304,0)),IFERROR((INDEX(Org_Overrides!$D$5:$D$304,MATCH(Org_Profile!$C$4&amp;"|"&amp;$A42&amp;"|saleprice",Org_Overrides!$H$5:$H$304,0))*Location!$C$10),(Use_Library!$AJ$42*Location!$C$10)))))</f>
        <v/>
      </c>
      <c r="J42" s="20">
        <f>IFERROR(INDEX(Market_Data!$D$5:$D$304,MATCH(Location!$C$4&amp;"|"&amp;$A42&amp;"|landac",Market_Data!$K$5:$K$304,0)),IFERROR(INDEX(Market_Data!$D$5:$D$304,MATCH(Location!$C$5&amp;"|"&amp;$A42&amp;"|landac",Market_Data!$K$5:$K$304,0)),IFERROR(INDEX(Market_Data!$D$5:$D$304,MATCH(Location!$C$6&amp;"|"&amp;$A42&amp;"|landac",Market_Data!$K$5:$K$304,0)),IFERROR((INDEX(Org_Overrides!$D$5:$D$304,MATCH(Org_Profile!$C$4&amp;"|"&amp;$A42&amp;"|landac",Org_Overrides!$H$5:$H$304,0))*Location!$C$10),(Use_Library!$AS$42*Location!$C$10)))))</f>
        <v/>
      </c>
      <c r="K42" s="20">
        <f>IFERROR(INDEX(Market_Data!$D$5:$D$304,MATCH(Location!$C$4&amp;"|"&amp;$A42&amp;"|rent",Market_Data!$K$5:$K$304,0)),IFERROR(INDEX(Market_Data!$D$5:$D$304,MATCH(Location!$C$5&amp;"|"&amp;$A42&amp;"|rent",Market_Data!$K$5:$K$304,0)),IFERROR(INDEX(Market_Data!$D$5:$D$304,MATCH(Location!$C$6&amp;"|"&amp;$A42&amp;"|rent",Market_Data!$K$5:$K$304,0)),IFERROR((INDEX(Org_Overrides!$D$5:$D$304,MATCH(Org_Profile!$C$4&amp;"|"&amp;$A42&amp;"|rent",Org_Overrides!$H$5:$H$304,0))*Location!$C$11),(Use_Library!$AK$42*Location!$C$11)))))</f>
        <v/>
      </c>
      <c r="L42" s="20">
        <f>IFERROR(INDEX(Market_Data!$D$5:$D$304,MATCH(Location!$C$4&amp;"|"&amp;$A42&amp;"|groundrent",Market_Data!$K$5:$K$304,0)),IFERROR(INDEX(Market_Data!$D$5:$D$304,MATCH(Location!$C$5&amp;"|"&amp;$A42&amp;"|groundrent",Market_Data!$K$5:$K$304,0)),IFERROR(INDEX(Market_Data!$D$5:$D$304,MATCH(Location!$C$6&amp;"|"&amp;$A42&amp;"|groundrent",Market_Data!$K$5:$K$304,0)),IFERROR((INDEX(Org_Overrides!$D$5:$D$304,MATCH(Org_Profile!$C$4&amp;"|"&amp;$A42&amp;"|groundrent",Org_Overrides!$H$5:$H$304,0))*Location!$C$11),(Use_Library!$AT$42*Location!$C$11)))))</f>
        <v/>
      </c>
      <c r="M42" s="23">
        <f>IFERROR(INDEX(Market_Data!$D$5:$D$304,MATCH(Location!$C$4&amp;"|"&amp;$A42&amp;"|cap",Market_Data!$K$5:$K$304,0)),IFERROR(INDEX(Market_Data!$D$5:$D$304,MATCH(Location!$C$5&amp;"|"&amp;$A42&amp;"|cap",Market_Data!$K$5:$K$304,0)),IFERROR(INDEX(Market_Data!$D$5:$D$304,MATCH(Location!$C$6&amp;"|"&amp;$A42&amp;"|cap",Market_Data!$K$5:$K$304,0)),IFERROR((INDEX(Org_Overrides!$D$5:$D$304,MATCH(Org_Profile!$C$4&amp;"|"&amp;$A42&amp;"|cap",Org_Overrides!$H$5:$H$304,0))+Location!$C$12),(Use_Library!$AR$42+Location!$C$12)))))</f>
        <v/>
      </c>
      <c r="N42" s="23">
        <f>IFERROR(INDEX(Market_Data!$D$5:$D$304,MATCH(Location!$C$4&amp;"|"&amp;$A42&amp;"|vac",Market_Data!$K$5:$K$304,0)),IFERROR(INDEX(Market_Data!$D$5:$D$304,MATCH(Location!$C$5&amp;"|"&amp;$A42&amp;"|vac",Market_Data!$K$5:$K$304,0)),IFERROR(INDEX(Market_Data!$D$5:$D$304,MATCH(Location!$C$6&amp;"|"&amp;$A42&amp;"|vac",Market_Data!$K$5:$K$304,0)),IFERROR(INDEX(Org_Overrides!$D$5:$D$304,MATCH(Org_Profile!$C$4&amp;"|"&amp;$A42&amp;"|vac",Org_Overrides!$H$5:$H$304,0)),Use_Library!$AM$42))))</f>
        <v/>
      </c>
      <c r="O42" s="24">
        <f>IFERROR(INDEX(Market_Data!$D$5:$D$304,MATCH(Location!$C$4&amp;"|"&amp;$A42&amp;"|absorb",Market_Data!$K$5:$K$304,0)),IFERROR(INDEX(Market_Data!$D$5:$D$304,MATCH(Location!$C$5&amp;"|"&amp;$A42&amp;"|absorb",Market_Data!$K$5:$K$304,0)),IFERROR(INDEX(Market_Data!$D$5:$D$304,MATCH(Location!$C$6&amp;"|"&amp;$A42&amp;"|absorb",Market_Data!$K$5:$K$304,0)),IFERROR(INDEX(Org_Overrides!$D$5:$D$304,MATCH(Org_Profile!$C$4&amp;"|"&amp;$A42&amp;"|absorb",Org_Overrides!$H$5:$H$304,0)),Use_Library!$R$42))))</f>
        <v/>
      </c>
      <c r="P42" s="24">
        <f>IFERROR(INDEX(Market_Data!$D$5:$D$304,MATCH(Location!$C$4&amp;"|"&amp;$A42&amp;"|lotabs",Market_Data!$K$5:$K$304,0)),IFERROR(INDEX(Market_Data!$D$5:$D$304,MATCH(Location!$C$5&amp;"|"&amp;$A42&amp;"|lotabs",Market_Data!$K$5:$K$304,0)),IFERROR(INDEX(Market_Data!$D$5:$D$304,MATCH(Location!$C$6&amp;"|"&amp;$A42&amp;"|lotabs",Market_Data!$K$5:$K$304,0)),IFERROR(INDEX(Org_Overrides!$D$5:$D$304,MATCH(Org_Profile!$C$4&amp;"|"&amp;$A42&amp;"|lotabs",Org_Overrides!$H$5:$H$304,0)),Use_Library!$S$42))))</f>
        <v/>
      </c>
      <c r="Q42" s="2">
        <f>IF(ISNUMBER(MATCH(Org_Profile!$C$4&amp;"|"&amp;$A42&amp;"|vert",Org_Overrides!$H$5:$H$304,0)),"Org",IF(ISNUMBER(MATCH(Location!$C$4&amp;"|"&amp;$A42&amp;"|vert",Market_Data!$K$5:$K$304,0)),"Market-City",IF(ISNUMBER(MATCH(Location!$C$5&amp;"|"&amp;$A42&amp;"|vert",Market_Data!$K$5:$K$304,0)),"Market-County",IF(ISNUMBER(MATCH(Location!$C$6&amp;"|"&amp;$A42&amp;"|vert",Market_Data!$K$5:$K$304,0)),"Market-State","Default x index"))))</f>
        <v/>
      </c>
      <c r="R42" s="2">
        <f>IF(ISNUMBER(MATCH(Org_Profile!$C$4&amp;"|"&amp;$A42&amp;"|entitle",Org_Overrides!$H$5:$H$304,0)),"Org",IF(ISNUMBER(MATCH(Location!$C$4&amp;"|"&amp;$A42&amp;"|entitle",Market_Data!$K$5:$K$304,0)),"Market-City",IF(ISNUMBER(MATCH(Location!$C$5&amp;"|"&amp;$A42&amp;"|entitle",Market_Data!$K$5:$K$304,0)),"Market-County",IF(ISNUMBER(MATCH(Location!$C$6&amp;"|"&amp;$A42&amp;"|entitle",Market_Data!$K$5:$K$304,0)),"Market-State","Default x index"))))</f>
        <v/>
      </c>
      <c r="S42" s="2">
        <f>IF(ISNUMBER(MATCH(Org_Profile!$C$4&amp;"|"&amp;$A42&amp;"|tilc",Org_Overrides!$H$5:$H$304,0)),"Org",IF(ISNUMBER(MATCH(Location!$C$4&amp;"|"&amp;$A42&amp;"|tilc",Market_Data!$K$5:$K$304,0)),"Market-City",IF(ISNUMBER(MATCH(Location!$C$5&amp;"|"&amp;$A42&amp;"|tilc",Market_Data!$K$5:$K$304,0)),"Market-County",IF(ISNUMBER(MATCH(Location!$C$6&amp;"|"&amp;$A42&amp;"|tilc",Market_Data!$K$5:$K$304,0)),"Market-State","Default x index"))))</f>
        <v/>
      </c>
      <c r="T42" s="2">
        <f>IF(ISNUMBER(MATCH(Org_Profile!$C$4&amp;"|"&amp;$A42&amp;"|opex",Org_Overrides!$H$5:$H$304,0)),"Org",IF(ISNUMBER(MATCH(Location!$C$4&amp;"|"&amp;$A42&amp;"|opex",Market_Data!$K$5:$K$304,0)),"Market-City",IF(ISNUMBER(MATCH(Location!$C$5&amp;"|"&amp;$A42&amp;"|opex",Market_Data!$K$5:$K$304,0)),"Market-County",IF(ISNUMBER(MATCH(Location!$C$6&amp;"|"&amp;$A42&amp;"|opex",Market_Data!$K$5:$K$304,0)),"Market-State","Default x index"))))</f>
        <v/>
      </c>
      <c r="U42" s="2">
        <f>IF(ISNUMBER(MATCH(Org_Profile!$C$4&amp;"|"&amp;$A42&amp;"|devmo",Org_Overrides!$H$5:$H$304,0)),"Org",IF(ISNUMBER(MATCH(Location!$C$4&amp;"|"&amp;$A42&amp;"|devmo",Market_Data!$K$5:$K$304,0)),"Market-City",IF(ISNUMBER(MATCH(Location!$C$5&amp;"|"&amp;$A42&amp;"|devmo",Market_Data!$K$5:$K$304,0)),"Market-County",IF(ISNUMBER(MATCH(Location!$C$6&amp;"|"&amp;$A42&amp;"|devmo",Market_Data!$K$5:$K$304,0)),"Market-State","Default"))))</f>
        <v/>
      </c>
      <c r="V42" s="2">
        <f>IF(ISNUMBER(MATCH(Org_Profile!$C$4&amp;"|"&amp;$A42&amp;"|margin",Org_Overrides!$H$5:$H$304,0)),"Org",IF(INDEX(Org_Profile!$C$9:$C$12,MATCH(Use_Library!$C$42,Org_Profile!$B$9:$B$12,0))&lt;&gt;"","Org engine margin","Default"))</f>
        <v/>
      </c>
      <c r="W42" s="2">
        <f>IF(ISNUMBER(MATCH(Location!$C$4&amp;"|"&amp;$A42&amp;"|lotprice",Market_Data!$K$5:$K$304,0)),"Market-City",IF(ISNUMBER(MATCH(Location!$C$5&amp;"|"&amp;$A42&amp;"|lotprice",Market_Data!$K$5:$K$304,0)),"Market-County",IF(ISNUMBER(MATCH(Location!$C$6&amp;"|"&amp;$A42&amp;"|lotprice",Market_Data!$K$5:$K$304,0)),"Market-State",IF(ISNUMBER(MATCH(Org_Profile!$C$4&amp;"|"&amp;$A42&amp;"|lotprice",Org_Overrides!$H$5:$H$304,0)),"Org","Default x index"))))</f>
        <v/>
      </c>
      <c r="X42" s="2">
        <f>IF(ISNUMBER(MATCH(Location!$C$4&amp;"|"&amp;$A42&amp;"|saleprice",Market_Data!$K$5:$K$304,0)),"Market-City",IF(ISNUMBER(MATCH(Location!$C$5&amp;"|"&amp;$A42&amp;"|saleprice",Market_Data!$K$5:$K$304,0)),"Market-County",IF(ISNUMBER(MATCH(Location!$C$6&amp;"|"&amp;$A42&amp;"|saleprice",Market_Data!$K$5:$K$304,0)),"Market-State",IF(ISNUMBER(MATCH(Org_Profile!$C$4&amp;"|"&amp;$A42&amp;"|saleprice",Org_Overrides!$H$5:$H$304,0)),"Org","Default x index"))))</f>
        <v/>
      </c>
      <c r="Y42" s="2">
        <f>IF(ISNUMBER(MATCH(Location!$C$4&amp;"|"&amp;$A42&amp;"|landac",Market_Data!$K$5:$K$304,0)),"Market-City",IF(ISNUMBER(MATCH(Location!$C$5&amp;"|"&amp;$A42&amp;"|landac",Market_Data!$K$5:$K$304,0)),"Market-County",IF(ISNUMBER(MATCH(Location!$C$6&amp;"|"&amp;$A42&amp;"|landac",Market_Data!$K$5:$K$304,0)),"Market-State",IF(ISNUMBER(MATCH(Org_Profile!$C$4&amp;"|"&amp;$A42&amp;"|landac",Org_Overrides!$H$5:$H$304,0)),"Org","Default x index"))))</f>
        <v/>
      </c>
      <c r="Z42" s="2">
        <f>IF(ISNUMBER(MATCH(Location!$C$4&amp;"|"&amp;$A42&amp;"|rent",Market_Data!$K$5:$K$304,0)),"Market-City",IF(ISNUMBER(MATCH(Location!$C$5&amp;"|"&amp;$A42&amp;"|rent",Market_Data!$K$5:$K$304,0)),"Market-County",IF(ISNUMBER(MATCH(Location!$C$6&amp;"|"&amp;$A42&amp;"|rent",Market_Data!$K$5:$K$304,0)),"Market-State",IF(ISNUMBER(MATCH(Org_Profile!$C$4&amp;"|"&amp;$A42&amp;"|rent",Org_Overrides!$H$5:$H$304,0)),"Org","Default x index"))))</f>
        <v/>
      </c>
      <c r="AA42" s="2">
        <f>IF(ISNUMBER(MATCH(Location!$C$4&amp;"|"&amp;$A42&amp;"|groundrent",Market_Data!$K$5:$K$304,0)),"Market-City",IF(ISNUMBER(MATCH(Location!$C$5&amp;"|"&amp;$A42&amp;"|groundrent",Market_Data!$K$5:$K$304,0)),"Market-County",IF(ISNUMBER(MATCH(Location!$C$6&amp;"|"&amp;$A42&amp;"|groundrent",Market_Data!$K$5:$K$304,0)),"Market-State",IF(ISNUMBER(MATCH(Org_Profile!$C$4&amp;"|"&amp;$A42&amp;"|groundrent",Org_Overrides!$H$5:$H$304,0)),"Org","Default x index"))))</f>
        <v/>
      </c>
      <c r="AB42" s="2">
        <f>IF(ISNUMBER(MATCH(Location!$C$4&amp;"|"&amp;$A42&amp;"|cap",Market_Data!$K$5:$K$304,0)),"Market-City",IF(ISNUMBER(MATCH(Location!$C$5&amp;"|"&amp;$A42&amp;"|cap",Market_Data!$K$5:$K$304,0)),"Market-County",IF(ISNUMBER(MATCH(Location!$C$6&amp;"|"&amp;$A42&amp;"|cap",Market_Data!$K$5:$K$304,0)),"Market-State",IF(ISNUMBER(MATCH(Org_Profile!$C$4&amp;"|"&amp;$A42&amp;"|cap",Org_Overrides!$H$5:$H$304,0)),"Org","Default x index"))))</f>
        <v/>
      </c>
      <c r="AC42" s="2">
        <f>IF(ISNUMBER(MATCH(Location!$C$4&amp;"|"&amp;$A42&amp;"|vac",Market_Data!$K$5:$K$304,0)),"Market-City",IF(ISNUMBER(MATCH(Location!$C$5&amp;"|"&amp;$A42&amp;"|vac",Market_Data!$K$5:$K$304,0)),"Market-County",IF(ISNUMBER(MATCH(Location!$C$6&amp;"|"&amp;$A42&amp;"|vac",Market_Data!$K$5:$K$304,0)),"Market-State",IF(ISNUMBER(MATCH(Org_Profile!$C$4&amp;"|"&amp;$A42&amp;"|vac",Org_Overrides!$H$5:$H$304,0)),"Org","Default"))))</f>
        <v/>
      </c>
      <c r="AD42" s="2">
        <f>IF(ISNUMBER(MATCH(Location!$C$4&amp;"|"&amp;$A42&amp;"|absorb",Market_Data!$K$5:$K$304,0)),"Market-City",IF(ISNUMBER(MATCH(Location!$C$5&amp;"|"&amp;$A42&amp;"|absorb",Market_Data!$K$5:$K$304,0)),"Market-County",IF(ISNUMBER(MATCH(Location!$C$6&amp;"|"&amp;$A42&amp;"|absorb",Market_Data!$K$5:$K$304,0)),"Market-State",IF(ISNUMBER(MATCH(Org_Profile!$C$4&amp;"|"&amp;$A42&amp;"|absorb",Org_Overrides!$H$5:$H$304,0)),"Org","Default"))))</f>
        <v/>
      </c>
      <c r="AE42" s="2">
        <f>IF(ISNUMBER(MATCH(Location!$C$4&amp;"|"&amp;$A42&amp;"|lotabs",Market_Data!$K$5:$K$304,0)),"Market-City",IF(ISNUMBER(MATCH(Location!$C$5&amp;"|"&amp;$A42&amp;"|lotabs",Market_Data!$K$5:$K$304,0)),"Market-County",IF(ISNUMBER(MATCH(Location!$C$6&amp;"|"&amp;$A42&amp;"|lotabs",Market_Data!$K$5:$K$304,0)),"Market-State",IF(ISNUMBER(MATCH(Org_Profile!$C$4&amp;"|"&amp;$A42&amp;"|lotabs",Org_Overrides!$H$5:$H$304,0)),"Org","Default"))))</f>
        <v/>
      </c>
      <c r="AF42" s="15">
        <f>15-COUNTIF(Q42:AE42,"Default*")</f>
        <v/>
      </c>
    </row>
    <row r="43">
      <c r="A43" s="4">
        <f>Use_Library!$A$43</f>
        <v/>
      </c>
      <c r="B43" s="20">
        <f>IFERROR((INDEX(Org_Overrides!$D$5:$D$304,MATCH(Org_Profile!$C$4&amp;"|"&amp;$A43&amp;"|vert",Org_Overrides!$H$5:$H$304,0))*Location!$C$9),IFERROR(INDEX(Market_Data!$D$5:$D$304,MATCH(Location!$C$4&amp;"|"&amp;$A43&amp;"|vert",Market_Data!$K$5:$K$304,0)),IFERROR(INDEX(Market_Data!$D$5:$D$304,MATCH(Location!$C$5&amp;"|"&amp;$A43&amp;"|vert",Market_Data!$K$5:$K$304,0)),IFERROR(INDEX(Market_Data!$D$5:$D$304,MATCH(Location!$C$6&amp;"|"&amp;$A43&amp;"|vert",Market_Data!$K$5:$K$304,0)),(Use_Library!$AF$43*Location!$C$9)))))</f>
        <v/>
      </c>
      <c r="C43" s="20">
        <f>IFERROR((INDEX(Org_Overrides!$D$5:$D$304,MATCH(Org_Profile!$C$4&amp;"|"&amp;$A43&amp;"|entitle",Org_Overrides!$H$5:$H$304,0))*Location!$C$9),IFERROR(INDEX(Market_Data!$D$5:$D$304,MATCH(Location!$C$4&amp;"|"&amp;$A43&amp;"|entitle",Market_Data!$K$5:$K$304,0)),IFERROR(INDEX(Market_Data!$D$5:$D$304,MATCH(Location!$C$5&amp;"|"&amp;$A43&amp;"|entitle",Market_Data!$K$5:$K$304,0)),IFERROR(INDEX(Market_Data!$D$5:$D$304,MATCH(Location!$C$6&amp;"|"&amp;$A43&amp;"|entitle",Market_Data!$K$5:$K$304,0)),(Use_Library!$AE$43*Location!$C$9)))))</f>
        <v/>
      </c>
      <c r="D43" s="20">
        <f>IFERROR((INDEX(Org_Overrides!$D$5:$D$304,MATCH(Org_Profile!$C$4&amp;"|"&amp;$A43&amp;"|tilc",Org_Overrides!$H$5:$H$304,0))*Location!$C$9),IFERROR(INDEX(Market_Data!$D$5:$D$304,MATCH(Location!$C$4&amp;"|"&amp;$A43&amp;"|tilc",Market_Data!$K$5:$K$304,0)),IFERROR(INDEX(Market_Data!$D$5:$D$304,MATCH(Location!$C$5&amp;"|"&amp;$A43&amp;"|tilc",Market_Data!$K$5:$K$304,0)),IFERROR(INDEX(Market_Data!$D$5:$D$304,MATCH(Location!$C$6&amp;"|"&amp;$A43&amp;"|tilc",Market_Data!$K$5:$K$304,0)),(Use_Library!$AG$43*Location!$C$9)))))</f>
        <v/>
      </c>
      <c r="E43" s="20">
        <f>IFERROR((INDEX(Org_Overrides!$D$5:$D$304,MATCH(Org_Profile!$C$4&amp;"|"&amp;$A43&amp;"|opex",Org_Overrides!$H$5:$H$304,0))*Location!$C$13),IFERROR(INDEX(Market_Data!$D$5:$D$304,MATCH(Location!$C$4&amp;"|"&amp;$A43&amp;"|opex",Market_Data!$K$5:$K$304,0)),IFERROR(INDEX(Market_Data!$D$5:$D$304,MATCH(Location!$C$5&amp;"|"&amp;$A43&amp;"|opex",Market_Data!$K$5:$K$304,0)),IFERROR(INDEX(Market_Data!$D$5:$D$304,MATCH(Location!$C$6&amp;"|"&amp;$A43&amp;"|opex",Market_Data!$K$5:$K$304,0)),(Use_Library!$AN$43*Location!$C$13)))))</f>
        <v/>
      </c>
      <c r="F43" s="9">
        <f>IFERROR(INDEX(Org_Overrides!$D$5:$D$304,MATCH(Org_Profile!$C$4&amp;"|"&amp;$A43&amp;"|devmo",Org_Overrides!$H$5:$H$304,0)),IFERROR(INDEX(Market_Data!$D$5:$D$304,MATCH(Location!$C$4&amp;"|"&amp;$A43&amp;"|devmo",Market_Data!$K$5:$K$304,0)),IFERROR(INDEX(Market_Data!$D$5:$D$304,MATCH(Location!$C$5&amp;"|"&amp;$A43&amp;"|devmo",Market_Data!$K$5:$K$304,0)),IFERROR(INDEX(Market_Data!$D$5:$D$304,MATCH(Location!$C$6&amp;"|"&amp;$A43&amp;"|devmo",Market_Data!$K$5:$K$304,0)),Use_Library!$AH$43))))</f>
        <v/>
      </c>
      <c r="G43" s="23">
        <f>IFERROR(INDEX(Org_Overrides!$D$5:$D$304,MATCH(Org_Profile!$C$4&amp;"|"&amp;$A43&amp;"|margin",Org_Overrides!$H$5:$H$304,0)),IF(INDEX(Org_Profile!$C$9:$C$12,MATCH(Use_Library!$C$43,Org_Profile!$B$9:$B$12,0))&lt;&gt;"",INDEX(Org_Profile!$C$9:$C$12,MATCH(Use_Library!$C$43,Org_Profile!$B$9:$B$12,0)),Use_Library!$AU$43))</f>
        <v/>
      </c>
      <c r="H43" s="20">
        <f>IFERROR(INDEX(Market_Data!$D$5:$D$304,MATCH(Location!$C$4&amp;"|"&amp;$A43&amp;"|lotprice",Market_Data!$K$5:$K$304,0)),IFERROR(INDEX(Market_Data!$D$5:$D$304,MATCH(Location!$C$5&amp;"|"&amp;$A43&amp;"|lotprice",Market_Data!$K$5:$K$304,0)),IFERROR(INDEX(Market_Data!$D$5:$D$304,MATCH(Location!$C$6&amp;"|"&amp;$A43&amp;"|lotprice",Market_Data!$K$5:$K$304,0)),IFERROR((INDEX(Org_Overrides!$D$5:$D$304,MATCH(Org_Profile!$C$4&amp;"|"&amp;$A43&amp;"|lotprice",Org_Overrides!$H$5:$H$304,0))*Location!$C$10),(Use_Library!$AI$43*Location!$C$10)))))</f>
        <v/>
      </c>
      <c r="I43" s="20">
        <f>IFERROR(INDEX(Market_Data!$D$5:$D$304,MATCH(Location!$C$4&amp;"|"&amp;$A43&amp;"|saleprice",Market_Data!$K$5:$K$304,0)),IFERROR(INDEX(Market_Data!$D$5:$D$304,MATCH(Location!$C$5&amp;"|"&amp;$A43&amp;"|saleprice",Market_Data!$K$5:$K$304,0)),IFERROR(INDEX(Market_Data!$D$5:$D$304,MATCH(Location!$C$6&amp;"|"&amp;$A43&amp;"|saleprice",Market_Data!$K$5:$K$304,0)),IFERROR((INDEX(Org_Overrides!$D$5:$D$304,MATCH(Org_Profile!$C$4&amp;"|"&amp;$A43&amp;"|saleprice",Org_Overrides!$H$5:$H$304,0))*Location!$C$10),(Use_Library!$AJ$43*Location!$C$10)))))</f>
        <v/>
      </c>
      <c r="J43" s="20">
        <f>IFERROR(INDEX(Market_Data!$D$5:$D$304,MATCH(Location!$C$4&amp;"|"&amp;$A43&amp;"|landac",Market_Data!$K$5:$K$304,0)),IFERROR(INDEX(Market_Data!$D$5:$D$304,MATCH(Location!$C$5&amp;"|"&amp;$A43&amp;"|landac",Market_Data!$K$5:$K$304,0)),IFERROR(INDEX(Market_Data!$D$5:$D$304,MATCH(Location!$C$6&amp;"|"&amp;$A43&amp;"|landac",Market_Data!$K$5:$K$304,0)),IFERROR((INDEX(Org_Overrides!$D$5:$D$304,MATCH(Org_Profile!$C$4&amp;"|"&amp;$A43&amp;"|landac",Org_Overrides!$H$5:$H$304,0))*Location!$C$10),(Use_Library!$AS$43*Location!$C$10)))))</f>
        <v/>
      </c>
      <c r="K43" s="20">
        <f>IFERROR(INDEX(Market_Data!$D$5:$D$304,MATCH(Location!$C$4&amp;"|"&amp;$A43&amp;"|rent",Market_Data!$K$5:$K$304,0)),IFERROR(INDEX(Market_Data!$D$5:$D$304,MATCH(Location!$C$5&amp;"|"&amp;$A43&amp;"|rent",Market_Data!$K$5:$K$304,0)),IFERROR(INDEX(Market_Data!$D$5:$D$304,MATCH(Location!$C$6&amp;"|"&amp;$A43&amp;"|rent",Market_Data!$K$5:$K$304,0)),IFERROR((INDEX(Org_Overrides!$D$5:$D$304,MATCH(Org_Profile!$C$4&amp;"|"&amp;$A43&amp;"|rent",Org_Overrides!$H$5:$H$304,0))*Location!$C$11),(Use_Library!$AK$43*Location!$C$11)))))</f>
        <v/>
      </c>
      <c r="L43" s="20">
        <f>IFERROR(INDEX(Market_Data!$D$5:$D$304,MATCH(Location!$C$4&amp;"|"&amp;$A43&amp;"|groundrent",Market_Data!$K$5:$K$304,0)),IFERROR(INDEX(Market_Data!$D$5:$D$304,MATCH(Location!$C$5&amp;"|"&amp;$A43&amp;"|groundrent",Market_Data!$K$5:$K$304,0)),IFERROR(INDEX(Market_Data!$D$5:$D$304,MATCH(Location!$C$6&amp;"|"&amp;$A43&amp;"|groundrent",Market_Data!$K$5:$K$304,0)),IFERROR((INDEX(Org_Overrides!$D$5:$D$304,MATCH(Org_Profile!$C$4&amp;"|"&amp;$A43&amp;"|groundrent",Org_Overrides!$H$5:$H$304,0))*Location!$C$11),(Use_Library!$AT$43*Location!$C$11)))))</f>
        <v/>
      </c>
      <c r="M43" s="23">
        <f>IFERROR(INDEX(Market_Data!$D$5:$D$304,MATCH(Location!$C$4&amp;"|"&amp;$A43&amp;"|cap",Market_Data!$K$5:$K$304,0)),IFERROR(INDEX(Market_Data!$D$5:$D$304,MATCH(Location!$C$5&amp;"|"&amp;$A43&amp;"|cap",Market_Data!$K$5:$K$304,0)),IFERROR(INDEX(Market_Data!$D$5:$D$304,MATCH(Location!$C$6&amp;"|"&amp;$A43&amp;"|cap",Market_Data!$K$5:$K$304,0)),IFERROR((INDEX(Org_Overrides!$D$5:$D$304,MATCH(Org_Profile!$C$4&amp;"|"&amp;$A43&amp;"|cap",Org_Overrides!$H$5:$H$304,0))+Location!$C$12),(Use_Library!$AR$43+Location!$C$12)))))</f>
        <v/>
      </c>
      <c r="N43" s="23">
        <f>IFERROR(INDEX(Market_Data!$D$5:$D$304,MATCH(Location!$C$4&amp;"|"&amp;$A43&amp;"|vac",Market_Data!$K$5:$K$304,0)),IFERROR(INDEX(Market_Data!$D$5:$D$304,MATCH(Location!$C$5&amp;"|"&amp;$A43&amp;"|vac",Market_Data!$K$5:$K$304,0)),IFERROR(INDEX(Market_Data!$D$5:$D$304,MATCH(Location!$C$6&amp;"|"&amp;$A43&amp;"|vac",Market_Data!$K$5:$K$304,0)),IFERROR(INDEX(Org_Overrides!$D$5:$D$304,MATCH(Org_Profile!$C$4&amp;"|"&amp;$A43&amp;"|vac",Org_Overrides!$H$5:$H$304,0)),Use_Library!$AM$43))))</f>
        <v/>
      </c>
      <c r="O43" s="24">
        <f>IFERROR(INDEX(Market_Data!$D$5:$D$304,MATCH(Location!$C$4&amp;"|"&amp;$A43&amp;"|absorb",Market_Data!$K$5:$K$304,0)),IFERROR(INDEX(Market_Data!$D$5:$D$304,MATCH(Location!$C$5&amp;"|"&amp;$A43&amp;"|absorb",Market_Data!$K$5:$K$304,0)),IFERROR(INDEX(Market_Data!$D$5:$D$304,MATCH(Location!$C$6&amp;"|"&amp;$A43&amp;"|absorb",Market_Data!$K$5:$K$304,0)),IFERROR(INDEX(Org_Overrides!$D$5:$D$304,MATCH(Org_Profile!$C$4&amp;"|"&amp;$A43&amp;"|absorb",Org_Overrides!$H$5:$H$304,0)),Use_Library!$R$43))))</f>
        <v/>
      </c>
      <c r="P43" s="24">
        <f>IFERROR(INDEX(Market_Data!$D$5:$D$304,MATCH(Location!$C$4&amp;"|"&amp;$A43&amp;"|lotabs",Market_Data!$K$5:$K$304,0)),IFERROR(INDEX(Market_Data!$D$5:$D$304,MATCH(Location!$C$5&amp;"|"&amp;$A43&amp;"|lotabs",Market_Data!$K$5:$K$304,0)),IFERROR(INDEX(Market_Data!$D$5:$D$304,MATCH(Location!$C$6&amp;"|"&amp;$A43&amp;"|lotabs",Market_Data!$K$5:$K$304,0)),IFERROR(INDEX(Org_Overrides!$D$5:$D$304,MATCH(Org_Profile!$C$4&amp;"|"&amp;$A43&amp;"|lotabs",Org_Overrides!$H$5:$H$304,0)),Use_Library!$S$43))))</f>
        <v/>
      </c>
      <c r="Q43" s="2">
        <f>IF(ISNUMBER(MATCH(Org_Profile!$C$4&amp;"|"&amp;$A43&amp;"|vert",Org_Overrides!$H$5:$H$304,0)),"Org",IF(ISNUMBER(MATCH(Location!$C$4&amp;"|"&amp;$A43&amp;"|vert",Market_Data!$K$5:$K$304,0)),"Market-City",IF(ISNUMBER(MATCH(Location!$C$5&amp;"|"&amp;$A43&amp;"|vert",Market_Data!$K$5:$K$304,0)),"Market-County",IF(ISNUMBER(MATCH(Location!$C$6&amp;"|"&amp;$A43&amp;"|vert",Market_Data!$K$5:$K$304,0)),"Market-State","Default x index"))))</f>
        <v/>
      </c>
      <c r="R43" s="2">
        <f>IF(ISNUMBER(MATCH(Org_Profile!$C$4&amp;"|"&amp;$A43&amp;"|entitle",Org_Overrides!$H$5:$H$304,0)),"Org",IF(ISNUMBER(MATCH(Location!$C$4&amp;"|"&amp;$A43&amp;"|entitle",Market_Data!$K$5:$K$304,0)),"Market-City",IF(ISNUMBER(MATCH(Location!$C$5&amp;"|"&amp;$A43&amp;"|entitle",Market_Data!$K$5:$K$304,0)),"Market-County",IF(ISNUMBER(MATCH(Location!$C$6&amp;"|"&amp;$A43&amp;"|entitle",Market_Data!$K$5:$K$304,0)),"Market-State","Default x index"))))</f>
        <v/>
      </c>
      <c r="S43" s="2">
        <f>IF(ISNUMBER(MATCH(Org_Profile!$C$4&amp;"|"&amp;$A43&amp;"|tilc",Org_Overrides!$H$5:$H$304,0)),"Org",IF(ISNUMBER(MATCH(Location!$C$4&amp;"|"&amp;$A43&amp;"|tilc",Market_Data!$K$5:$K$304,0)),"Market-City",IF(ISNUMBER(MATCH(Location!$C$5&amp;"|"&amp;$A43&amp;"|tilc",Market_Data!$K$5:$K$304,0)),"Market-County",IF(ISNUMBER(MATCH(Location!$C$6&amp;"|"&amp;$A43&amp;"|tilc",Market_Data!$K$5:$K$304,0)),"Market-State","Default x index"))))</f>
        <v/>
      </c>
      <c r="T43" s="2">
        <f>IF(ISNUMBER(MATCH(Org_Profile!$C$4&amp;"|"&amp;$A43&amp;"|opex",Org_Overrides!$H$5:$H$304,0)),"Org",IF(ISNUMBER(MATCH(Location!$C$4&amp;"|"&amp;$A43&amp;"|opex",Market_Data!$K$5:$K$304,0)),"Market-City",IF(ISNUMBER(MATCH(Location!$C$5&amp;"|"&amp;$A43&amp;"|opex",Market_Data!$K$5:$K$304,0)),"Market-County",IF(ISNUMBER(MATCH(Location!$C$6&amp;"|"&amp;$A43&amp;"|opex",Market_Data!$K$5:$K$304,0)),"Market-State","Default x index"))))</f>
        <v/>
      </c>
      <c r="U43" s="2">
        <f>IF(ISNUMBER(MATCH(Org_Profile!$C$4&amp;"|"&amp;$A43&amp;"|devmo",Org_Overrides!$H$5:$H$304,0)),"Org",IF(ISNUMBER(MATCH(Location!$C$4&amp;"|"&amp;$A43&amp;"|devmo",Market_Data!$K$5:$K$304,0)),"Market-City",IF(ISNUMBER(MATCH(Location!$C$5&amp;"|"&amp;$A43&amp;"|devmo",Market_Data!$K$5:$K$304,0)),"Market-County",IF(ISNUMBER(MATCH(Location!$C$6&amp;"|"&amp;$A43&amp;"|devmo",Market_Data!$K$5:$K$304,0)),"Market-State","Default"))))</f>
        <v/>
      </c>
      <c r="V43" s="2">
        <f>IF(ISNUMBER(MATCH(Org_Profile!$C$4&amp;"|"&amp;$A43&amp;"|margin",Org_Overrides!$H$5:$H$304,0)),"Org",IF(INDEX(Org_Profile!$C$9:$C$12,MATCH(Use_Library!$C$43,Org_Profile!$B$9:$B$12,0))&lt;&gt;"","Org engine margin","Default"))</f>
        <v/>
      </c>
      <c r="W43" s="2">
        <f>IF(ISNUMBER(MATCH(Location!$C$4&amp;"|"&amp;$A43&amp;"|lotprice",Market_Data!$K$5:$K$304,0)),"Market-City",IF(ISNUMBER(MATCH(Location!$C$5&amp;"|"&amp;$A43&amp;"|lotprice",Market_Data!$K$5:$K$304,0)),"Market-County",IF(ISNUMBER(MATCH(Location!$C$6&amp;"|"&amp;$A43&amp;"|lotprice",Market_Data!$K$5:$K$304,0)),"Market-State",IF(ISNUMBER(MATCH(Org_Profile!$C$4&amp;"|"&amp;$A43&amp;"|lotprice",Org_Overrides!$H$5:$H$304,0)),"Org","Default x index"))))</f>
        <v/>
      </c>
      <c r="X43" s="2">
        <f>IF(ISNUMBER(MATCH(Location!$C$4&amp;"|"&amp;$A43&amp;"|saleprice",Market_Data!$K$5:$K$304,0)),"Market-City",IF(ISNUMBER(MATCH(Location!$C$5&amp;"|"&amp;$A43&amp;"|saleprice",Market_Data!$K$5:$K$304,0)),"Market-County",IF(ISNUMBER(MATCH(Location!$C$6&amp;"|"&amp;$A43&amp;"|saleprice",Market_Data!$K$5:$K$304,0)),"Market-State",IF(ISNUMBER(MATCH(Org_Profile!$C$4&amp;"|"&amp;$A43&amp;"|saleprice",Org_Overrides!$H$5:$H$304,0)),"Org","Default x index"))))</f>
        <v/>
      </c>
      <c r="Y43" s="2">
        <f>IF(ISNUMBER(MATCH(Location!$C$4&amp;"|"&amp;$A43&amp;"|landac",Market_Data!$K$5:$K$304,0)),"Market-City",IF(ISNUMBER(MATCH(Location!$C$5&amp;"|"&amp;$A43&amp;"|landac",Market_Data!$K$5:$K$304,0)),"Market-County",IF(ISNUMBER(MATCH(Location!$C$6&amp;"|"&amp;$A43&amp;"|landac",Market_Data!$K$5:$K$304,0)),"Market-State",IF(ISNUMBER(MATCH(Org_Profile!$C$4&amp;"|"&amp;$A43&amp;"|landac",Org_Overrides!$H$5:$H$304,0)),"Org","Default x index"))))</f>
        <v/>
      </c>
      <c r="Z43" s="2">
        <f>IF(ISNUMBER(MATCH(Location!$C$4&amp;"|"&amp;$A43&amp;"|rent",Market_Data!$K$5:$K$304,0)),"Market-City",IF(ISNUMBER(MATCH(Location!$C$5&amp;"|"&amp;$A43&amp;"|rent",Market_Data!$K$5:$K$304,0)),"Market-County",IF(ISNUMBER(MATCH(Location!$C$6&amp;"|"&amp;$A43&amp;"|rent",Market_Data!$K$5:$K$304,0)),"Market-State",IF(ISNUMBER(MATCH(Org_Profile!$C$4&amp;"|"&amp;$A43&amp;"|rent",Org_Overrides!$H$5:$H$304,0)),"Org","Default x index"))))</f>
        <v/>
      </c>
      <c r="AA43" s="2">
        <f>IF(ISNUMBER(MATCH(Location!$C$4&amp;"|"&amp;$A43&amp;"|groundrent",Market_Data!$K$5:$K$304,0)),"Market-City",IF(ISNUMBER(MATCH(Location!$C$5&amp;"|"&amp;$A43&amp;"|groundrent",Market_Data!$K$5:$K$304,0)),"Market-County",IF(ISNUMBER(MATCH(Location!$C$6&amp;"|"&amp;$A43&amp;"|groundrent",Market_Data!$K$5:$K$304,0)),"Market-State",IF(ISNUMBER(MATCH(Org_Profile!$C$4&amp;"|"&amp;$A43&amp;"|groundrent",Org_Overrides!$H$5:$H$304,0)),"Org","Default x index"))))</f>
        <v/>
      </c>
      <c r="AB43" s="2">
        <f>IF(ISNUMBER(MATCH(Location!$C$4&amp;"|"&amp;$A43&amp;"|cap",Market_Data!$K$5:$K$304,0)),"Market-City",IF(ISNUMBER(MATCH(Location!$C$5&amp;"|"&amp;$A43&amp;"|cap",Market_Data!$K$5:$K$304,0)),"Market-County",IF(ISNUMBER(MATCH(Location!$C$6&amp;"|"&amp;$A43&amp;"|cap",Market_Data!$K$5:$K$304,0)),"Market-State",IF(ISNUMBER(MATCH(Org_Profile!$C$4&amp;"|"&amp;$A43&amp;"|cap",Org_Overrides!$H$5:$H$304,0)),"Org","Default x index"))))</f>
        <v/>
      </c>
      <c r="AC43" s="2">
        <f>IF(ISNUMBER(MATCH(Location!$C$4&amp;"|"&amp;$A43&amp;"|vac",Market_Data!$K$5:$K$304,0)),"Market-City",IF(ISNUMBER(MATCH(Location!$C$5&amp;"|"&amp;$A43&amp;"|vac",Market_Data!$K$5:$K$304,0)),"Market-County",IF(ISNUMBER(MATCH(Location!$C$6&amp;"|"&amp;$A43&amp;"|vac",Market_Data!$K$5:$K$304,0)),"Market-State",IF(ISNUMBER(MATCH(Org_Profile!$C$4&amp;"|"&amp;$A43&amp;"|vac",Org_Overrides!$H$5:$H$304,0)),"Org","Default"))))</f>
        <v/>
      </c>
      <c r="AD43" s="2">
        <f>IF(ISNUMBER(MATCH(Location!$C$4&amp;"|"&amp;$A43&amp;"|absorb",Market_Data!$K$5:$K$304,0)),"Market-City",IF(ISNUMBER(MATCH(Location!$C$5&amp;"|"&amp;$A43&amp;"|absorb",Market_Data!$K$5:$K$304,0)),"Market-County",IF(ISNUMBER(MATCH(Location!$C$6&amp;"|"&amp;$A43&amp;"|absorb",Market_Data!$K$5:$K$304,0)),"Market-State",IF(ISNUMBER(MATCH(Org_Profile!$C$4&amp;"|"&amp;$A43&amp;"|absorb",Org_Overrides!$H$5:$H$304,0)),"Org","Default"))))</f>
        <v/>
      </c>
      <c r="AE43" s="2">
        <f>IF(ISNUMBER(MATCH(Location!$C$4&amp;"|"&amp;$A43&amp;"|lotabs",Market_Data!$K$5:$K$304,0)),"Market-City",IF(ISNUMBER(MATCH(Location!$C$5&amp;"|"&amp;$A43&amp;"|lotabs",Market_Data!$K$5:$K$304,0)),"Market-County",IF(ISNUMBER(MATCH(Location!$C$6&amp;"|"&amp;$A43&amp;"|lotabs",Market_Data!$K$5:$K$304,0)),"Market-State",IF(ISNUMBER(MATCH(Org_Profile!$C$4&amp;"|"&amp;$A43&amp;"|lotabs",Org_Overrides!$H$5:$H$304,0)),"Org","Default"))))</f>
        <v/>
      </c>
      <c r="AF43" s="15">
        <f>15-COUNTIF(Q43:AE43,"Default*")</f>
        <v/>
      </c>
    </row>
    <row r="44">
      <c r="A44" s="4">
        <f>Use_Library!$A$44</f>
        <v/>
      </c>
      <c r="B44" s="20">
        <f>IFERROR((INDEX(Org_Overrides!$D$5:$D$304,MATCH(Org_Profile!$C$4&amp;"|"&amp;$A44&amp;"|vert",Org_Overrides!$H$5:$H$304,0))*Location!$C$9),IFERROR(INDEX(Market_Data!$D$5:$D$304,MATCH(Location!$C$4&amp;"|"&amp;$A44&amp;"|vert",Market_Data!$K$5:$K$304,0)),IFERROR(INDEX(Market_Data!$D$5:$D$304,MATCH(Location!$C$5&amp;"|"&amp;$A44&amp;"|vert",Market_Data!$K$5:$K$304,0)),IFERROR(INDEX(Market_Data!$D$5:$D$304,MATCH(Location!$C$6&amp;"|"&amp;$A44&amp;"|vert",Market_Data!$K$5:$K$304,0)),(Use_Library!$AF$44*Location!$C$9)))))</f>
        <v/>
      </c>
      <c r="C44" s="20">
        <f>IFERROR((INDEX(Org_Overrides!$D$5:$D$304,MATCH(Org_Profile!$C$4&amp;"|"&amp;$A44&amp;"|entitle",Org_Overrides!$H$5:$H$304,0))*Location!$C$9),IFERROR(INDEX(Market_Data!$D$5:$D$304,MATCH(Location!$C$4&amp;"|"&amp;$A44&amp;"|entitle",Market_Data!$K$5:$K$304,0)),IFERROR(INDEX(Market_Data!$D$5:$D$304,MATCH(Location!$C$5&amp;"|"&amp;$A44&amp;"|entitle",Market_Data!$K$5:$K$304,0)),IFERROR(INDEX(Market_Data!$D$5:$D$304,MATCH(Location!$C$6&amp;"|"&amp;$A44&amp;"|entitle",Market_Data!$K$5:$K$304,0)),(Use_Library!$AE$44*Location!$C$9)))))</f>
        <v/>
      </c>
      <c r="D44" s="20">
        <f>IFERROR((INDEX(Org_Overrides!$D$5:$D$304,MATCH(Org_Profile!$C$4&amp;"|"&amp;$A44&amp;"|tilc",Org_Overrides!$H$5:$H$304,0))*Location!$C$9),IFERROR(INDEX(Market_Data!$D$5:$D$304,MATCH(Location!$C$4&amp;"|"&amp;$A44&amp;"|tilc",Market_Data!$K$5:$K$304,0)),IFERROR(INDEX(Market_Data!$D$5:$D$304,MATCH(Location!$C$5&amp;"|"&amp;$A44&amp;"|tilc",Market_Data!$K$5:$K$304,0)),IFERROR(INDEX(Market_Data!$D$5:$D$304,MATCH(Location!$C$6&amp;"|"&amp;$A44&amp;"|tilc",Market_Data!$K$5:$K$304,0)),(Use_Library!$AG$44*Location!$C$9)))))</f>
        <v/>
      </c>
      <c r="E44" s="20">
        <f>IFERROR((INDEX(Org_Overrides!$D$5:$D$304,MATCH(Org_Profile!$C$4&amp;"|"&amp;$A44&amp;"|opex",Org_Overrides!$H$5:$H$304,0))*Location!$C$13),IFERROR(INDEX(Market_Data!$D$5:$D$304,MATCH(Location!$C$4&amp;"|"&amp;$A44&amp;"|opex",Market_Data!$K$5:$K$304,0)),IFERROR(INDEX(Market_Data!$D$5:$D$304,MATCH(Location!$C$5&amp;"|"&amp;$A44&amp;"|opex",Market_Data!$K$5:$K$304,0)),IFERROR(INDEX(Market_Data!$D$5:$D$304,MATCH(Location!$C$6&amp;"|"&amp;$A44&amp;"|opex",Market_Data!$K$5:$K$304,0)),(Use_Library!$AN$44*Location!$C$13)))))</f>
        <v/>
      </c>
      <c r="F44" s="9">
        <f>IFERROR(INDEX(Org_Overrides!$D$5:$D$304,MATCH(Org_Profile!$C$4&amp;"|"&amp;$A44&amp;"|devmo",Org_Overrides!$H$5:$H$304,0)),IFERROR(INDEX(Market_Data!$D$5:$D$304,MATCH(Location!$C$4&amp;"|"&amp;$A44&amp;"|devmo",Market_Data!$K$5:$K$304,0)),IFERROR(INDEX(Market_Data!$D$5:$D$304,MATCH(Location!$C$5&amp;"|"&amp;$A44&amp;"|devmo",Market_Data!$K$5:$K$304,0)),IFERROR(INDEX(Market_Data!$D$5:$D$304,MATCH(Location!$C$6&amp;"|"&amp;$A44&amp;"|devmo",Market_Data!$K$5:$K$304,0)),Use_Library!$AH$44))))</f>
        <v/>
      </c>
      <c r="G44" s="23">
        <f>IFERROR(INDEX(Org_Overrides!$D$5:$D$304,MATCH(Org_Profile!$C$4&amp;"|"&amp;$A44&amp;"|margin",Org_Overrides!$H$5:$H$304,0)),IF(INDEX(Org_Profile!$C$9:$C$12,MATCH(Use_Library!$C$44,Org_Profile!$B$9:$B$12,0))&lt;&gt;"",INDEX(Org_Profile!$C$9:$C$12,MATCH(Use_Library!$C$44,Org_Profile!$B$9:$B$12,0)),Use_Library!$AU$44))</f>
        <v/>
      </c>
      <c r="H44" s="20">
        <f>IFERROR(INDEX(Market_Data!$D$5:$D$304,MATCH(Location!$C$4&amp;"|"&amp;$A44&amp;"|lotprice",Market_Data!$K$5:$K$304,0)),IFERROR(INDEX(Market_Data!$D$5:$D$304,MATCH(Location!$C$5&amp;"|"&amp;$A44&amp;"|lotprice",Market_Data!$K$5:$K$304,0)),IFERROR(INDEX(Market_Data!$D$5:$D$304,MATCH(Location!$C$6&amp;"|"&amp;$A44&amp;"|lotprice",Market_Data!$K$5:$K$304,0)),IFERROR((INDEX(Org_Overrides!$D$5:$D$304,MATCH(Org_Profile!$C$4&amp;"|"&amp;$A44&amp;"|lotprice",Org_Overrides!$H$5:$H$304,0))*Location!$C$10),(Use_Library!$AI$44*Location!$C$10)))))</f>
        <v/>
      </c>
      <c r="I44" s="20">
        <f>IFERROR(INDEX(Market_Data!$D$5:$D$304,MATCH(Location!$C$4&amp;"|"&amp;$A44&amp;"|saleprice",Market_Data!$K$5:$K$304,0)),IFERROR(INDEX(Market_Data!$D$5:$D$304,MATCH(Location!$C$5&amp;"|"&amp;$A44&amp;"|saleprice",Market_Data!$K$5:$K$304,0)),IFERROR(INDEX(Market_Data!$D$5:$D$304,MATCH(Location!$C$6&amp;"|"&amp;$A44&amp;"|saleprice",Market_Data!$K$5:$K$304,0)),IFERROR((INDEX(Org_Overrides!$D$5:$D$304,MATCH(Org_Profile!$C$4&amp;"|"&amp;$A44&amp;"|saleprice",Org_Overrides!$H$5:$H$304,0))*Location!$C$10),(Use_Library!$AJ$44*Location!$C$10)))))</f>
        <v/>
      </c>
      <c r="J44" s="20">
        <f>IFERROR(INDEX(Market_Data!$D$5:$D$304,MATCH(Location!$C$4&amp;"|"&amp;$A44&amp;"|landac",Market_Data!$K$5:$K$304,0)),IFERROR(INDEX(Market_Data!$D$5:$D$304,MATCH(Location!$C$5&amp;"|"&amp;$A44&amp;"|landac",Market_Data!$K$5:$K$304,0)),IFERROR(INDEX(Market_Data!$D$5:$D$304,MATCH(Location!$C$6&amp;"|"&amp;$A44&amp;"|landac",Market_Data!$K$5:$K$304,0)),IFERROR((INDEX(Org_Overrides!$D$5:$D$304,MATCH(Org_Profile!$C$4&amp;"|"&amp;$A44&amp;"|landac",Org_Overrides!$H$5:$H$304,0))*Location!$C$10),(Use_Library!$AS$44*Location!$C$10)))))</f>
        <v/>
      </c>
      <c r="K44" s="20">
        <f>IFERROR(INDEX(Market_Data!$D$5:$D$304,MATCH(Location!$C$4&amp;"|"&amp;$A44&amp;"|rent",Market_Data!$K$5:$K$304,0)),IFERROR(INDEX(Market_Data!$D$5:$D$304,MATCH(Location!$C$5&amp;"|"&amp;$A44&amp;"|rent",Market_Data!$K$5:$K$304,0)),IFERROR(INDEX(Market_Data!$D$5:$D$304,MATCH(Location!$C$6&amp;"|"&amp;$A44&amp;"|rent",Market_Data!$K$5:$K$304,0)),IFERROR((INDEX(Org_Overrides!$D$5:$D$304,MATCH(Org_Profile!$C$4&amp;"|"&amp;$A44&amp;"|rent",Org_Overrides!$H$5:$H$304,0))*Location!$C$11),(Use_Library!$AK$44*Location!$C$11)))))</f>
        <v/>
      </c>
      <c r="L44" s="20">
        <f>IFERROR(INDEX(Market_Data!$D$5:$D$304,MATCH(Location!$C$4&amp;"|"&amp;$A44&amp;"|groundrent",Market_Data!$K$5:$K$304,0)),IFERROR(INDEX(Market_Data!$D$5:$D$304,MATCH(Location!$C$5&amp;"|"&amp;$A44&amp;"|groundrent",Market_Data!$K$5:$K$304,0)),IFERROR(INDEX(Market_Data!$D$5:$D$304,MATCH(Location!$C$6&amp;"|"&amp;$A44&amp;"|groundrent",Market_Data!$K$5:$K$304,0)),IFERROR((INDEX(Org_Overrides!$D$5:$D$304,MATCH(Org_Profile!$C$4&amp;"|"&amp;$A44&amp;"|groundrent",Org_Overrides!$H$5:$H$304,0))*Location!$C$11),(Use_Library!$AT$44*Location!$C$11)))))</f>
        <v/>
      </c>
      <c r="M44" s="23">
        <f>IFERROR(INDEX(Market_Data!$D$5:$D$304,MATCH(Location!$C$4&amp;"|"&amp;$A44&amp;"|cap",Market_Data!$K$5:$K$304,0)),IFERROR(INDEX(Market_Data!$D$5:$D$304,MATCH(Location!$C$5&amp;"|"&amp;$A44&amp;"|cap",Market_Data!$K$5:$K$304,0)),IFERROR(INDEX(Market_Data!$D$5:$D$304,MATCH(Location!$C$6&amp;"|"&amp;$A44&amp;"|cap",Market_Data!$K$5:$K$304,0)),IFERROR((INDEX(Org_Overrides!$D$5:$D$304,MATCH(Org_Profile!$C$4&amp;"|"&amp;$A44&amp;"|cap",Org_Overrides!$H$5:$H$304,0))+Location!$C$12),(Use_Library!$AR$44+Location!$C$12)))))</f>
        <v/>
      </c>
      <c r="N44" s="23">
        <f>IFERROR(INDEX(Market_Data!$D$5:$D$304,MATCH(Location!$C$4&amp;"|"&amp;$A44&amp;"|vac",Market_Data!$K$5:$K$304,0)),IFERROR(INDEX(Market_Data!$D$5:$D$304,MATCH(Location!$C$5&amp;"|"&amp;$A44&amp;"|vac",Market_Data!$K$5:$K$304,0)),IFERROR(INDEX(Market_Data!$D$5:$D$304,MATCH(Location!$C$6&amp;"|"&amp;$A44&amp;"|vac",Market_Data!$K$5:$K$304,0)),IFERROR(INDEX(Org_Overrides!$D$5:$D$304,MATCH(Org_Profile!$C$4&amp;"|"&amp;$A44&amp;"|vac",Org_Overrides!$H$5:$H$304,0)),Use_Library!$AM$44))))</f>
        <v/>
      </c>
      <c r="O44" s="24">
        <f>IFERROR(INDEX(Market_Data!$D$5:$D$304,MATCH(Location!$C$4&amp;"|"&amp;$A44&amp;"|absorb",Market_Data!$K$5:$K$304,0)),IFERROR(INDEX(Market_Data!$D$5:$D$304,MATCH(Location!$C$5&amp;"|"&amp;$A44&amp;"|absorb",Market_Data!$K$5:$K$304,0)),IFERROR(INDEX(Market_Data!$D$5:$D$304,MATCH(Location!$C$6&amp;"|"&amp;$A44&amp;"|absorb",Market_Data!$K$5:$K$304,0)),IFERROR(INDEX(Org_Overrides!$D$5:$D$304,MATCH(Org_Profile!$C$4&amp;"|"&amp;$A44&amp;"|absorb",Org_Overrides!$H$5:$H$304,0)),Use_Library!$R$44))))</f>
        <v/>
      </c>
      <c r="P44" s="24">
        <f>IFERROR(INDEX(Market_Data!$D$5:$D$304,MATCH(Location!$C$4&amp;"|"&amp;$A44&amp;"|lotabs",Market_Data!$K$5:$K$304,0)),IFERROR(INDEX(Market_Data!$D$5:$D$304,MATCH(Location!$C$5&amp;"|"&amp;$A44&amp;"|lotabs",Market_Data!$K$5:$K$304,0)),IFERROR(INDEX(Market_Data!$D$5:$D$304,MATCH(Location!$C$6&amp;"|"&amp;$A44&amp;"|lotabs",Market_Data!$K$5:$K$304,0)),IFERROR(INDEX(Org_Overrides!$D$5:$D$304,MATCH(Org_Profile!$C$4&amp;"|"&amp;$A44&amp;"|lotabs",Org_Overrides!$H$5:$H$304,0)),Use_Library!$S$44))))</f>
        <v/>
      </c>
      <c r="Q44" s="2">
        <f>IF(ISNUMBER(MATCH(Org_Profile!$C$4&amp;"|"&amp;$A44&amp;"|vert",Org_Overrides!$H$5:$H$304,0)),"Org",IF(ISNUMBER(MATCH(Location!$C$4&amp;"|"&amp;$A44&amp;"|vert",Market_Data!$K$5:$K$304,0)),"Market-City",IF(ISNUMBER(MATCH(Location!$C$5&amp;"|"&amp;$A44&amp;"|vert",Market_Data!$K$5:$K$304,0)),"Market-County",IF(ISNUMBER(MATCH(Location!$C$6&amp;"|"&amp;$A44&amp;"|vert",Market_Data!$K$5:$K$304,0)),"Market-State","Default x index"))))</f>
        <v/>
      </c>
      <c r="R44" s="2">
        <f>IF(ISNUMBER(MATCH(Org_Profile!$C$4&amp;"|"&amp;$A44&amp;"|entitle",Org_Overrides!$H$5:$H$304,0)),"Org",IF(ISNUMBER(MATCH(Location!$C$4&amp;"|"&amp;$A44&amp;"|entitle",Market_Data!$K$5:$K$304,0)),"Market-City",IF(ISNUMBER(MATCH(Location!$C$5&amp;"|"&amp;$A44&amp;"|entitle",Market_Data!$K$5:$K$304,0)),"Market-County",IF(ISNUMBER(MATCH(Location!$C$6&amp;"|"&amp;$A44&amp;"|entitle",Market_Data!$K$5:$K$304,0)),"Market-State","Default x index"))))</f>
        <v/>
      </c>
      <c r="S44" s="2">
        <f>IF(ISNUMBER(MATCH(Org_Profile!$C$4&amp;"|"&amp;$A44&amp;"|tilc",Org_Overrides!$H$5:$H$304,0)),"Org",IF(ISNUMBER(MATCH(Location!$C$4&amp;"|"&amp;$A44&amp;"|tilc",Market_Data!$K$5:$K$304,0)),"Market-City",IF(ISNUMBER(MATCH(Location!$C$5&amp;"|"&amp;$A44&amp;"|tilc",Market_Data!$K$5:$K$304,0)),"Market-County",IF(ISNUMBER(MATCH(Location!$C$6&amp;"|"&amp;$A44&amp;"|tilc",Market_Data!$K$5:$K$304,0)),"Market-State","Default x index"))))</f>
        <v/>
      </c>
      <c r="T44" s="2">
        <f>IF(ISNUMBER(MATCH(Org_Profile!$C$4&amp;"|"&amp;$A44&amp;"|opex",Org_Overrides!$H$5:$H$304,0)),"Org",IF(ISNUMBER(MATCH(Location!$C$4&amp;"|"&amp;$A44&amp;"|opex",Market_Data!$K$5:$K$304,0)),"Market-City",IF(ISNUMBER(MATCH(Location!$C$5&amp;"|"&amp;$A44&amp;"|opex",Market_Data!$K$5:$K$304,0)),"Market-County",IF(ISNUMBER(MATCH(Location!$C$6&amp;"|"&amp;$A44&amp;"|opex",Market_Data!$K$5:$K$304,0)),"Market-State","Default x index"))))</f>
        <v/>
      </c>
      <c r="U44" s="2">
        <f>IF(ISNUMBER(MATCH(Org_Profile!$C$4&amp;"|"&amp;$A44&amp;"|devmo",Org_Overrides!$H$5:$H$304,0)),"Org",IF(ISNUMBER(MATCH(Location!$C$4&amp;"|"&amp;$A44&amp;"|devmo",Market_Data!$K$5:$K$304,0)),"Market-City",IF(ISNUMBER(MATCH(Location!$C$5&amp;"|"&amp;$A44&amp;"|devmo",Market_Data!$K$5:$K$304,0)),"Market-County",IF(ISNUMBER(MATCH(Location!$C$6&amp;"|"&amp;$A44&amp;"|devmo",Market_Data!$K$5:$K$304,0)),"Market-State","Default"))))</f>
        <v/>
      </c>
      <c r="V44" s="2">
        <f>IF(ISNUMBER(MATCH(Org_Profile!$C$4&amp;"|"&amp;$A44&amp;"|margin",Org_Overrides!$H$5:$H$304,0)),"Org",IF(INDEX(Org_Profile!$C$9:$C$12,MATCH(Use_Library!$C$44,Org_Profile!$B$9:$B$12,0))&lt;&gt;"","Org engine margin","Default"))</f>
        <v/>
      </c>
      <c r="W44" s="2">
        <f>IF(ISNUMBER(MATCH(Location!$C$4&amp;"|"&amp;$A44&amp;"|lotprice",Market_Data!$K$5:$K$304,0)),"Market-City",IF(ISNUMBER(MATCH(Location!$C$5&amp;"|"&amp;$A44&amp;"|lotprice",Market_Data!$K$5:$K$304,0)),"Market-County",IF(ISNUMBER(MATCH(Location!$C$6&amp;"|"&amp;$A44&amp;"|lotprice",Market_Data!$K$5:$K$304,0)),"Market-State",IF(ISNUMBER(MATCH(Org_Profile!$C$4&amp;"|"&amp;$A44&amp;"|lotprice",Org_Overrides!$H$5:$H$304,0)),"Org","Default x index"))))</f>
        <v/>
      </c>
      <c r="X44" s="2">
        <f>IF(ISNUMBER(MATCH(Location!$C$4&amp;"|"&amp;$A44&amp;"|saleprice",Market_Data!$K$5:$K$304,0)),"Market-City",IF(ISNUMBER(MATCH(Location!$C$5&amp;"|"&amp;$A44&amp;"|saleprice",Market_Data!$K$5:$K$304,0)),"Market-County",IF(ISNUMBER(MATCH(Location!$C$6&amp;"|"&amp;$A44&amp;"|saleprice",Market_Data!$K$5:$K$304,0)),"Market-State",IF(ISNUMBER(MATCH(Org_Profile!$C$4&amp;"|"&amp;$A44&amp;"|saleprice",Org_Overrides!$H$5:$H$304,0)),"Org","Default x index"))))</f>
        <v/>
      </c>
      <c r="Y44" s="2">
        <f>IF(ISNUMBER(MATCH(Location!$C$4&amp;"|"&amp;$A44&amp;"|landac",Market_Data!$K$5:$K$304,0)),"Market-City",IF(ISNUMBER(MATCH(Location!$C$5&amp;"|"&amp;$A44&amp;"|landac",Market_Data!$K$5:$K$304,0)),"Market-County",IF(ISNUMBER(MATCH(Location!$C$6&amp;"|"&amp;$A44&amp;"|landac",Market_Data!$K$5:$K$304,0)),"Market-State",IF(ISNUMBER(MATCH(Org_Profile!$C$4&amp;"|"&amp;$A44&amp;"|landac",Org_Overrides!$H$5:$H$304,0)),"Org","Default x index"))))</f>
        <v/>
      </c>
      <c r="Z44" s="2">
        <f>IF(ISNUMBER(MATCH(Location!$C$4&amp;"|"&amp;$A44&amp;"|rent",Market_Data!$K$5:$K$304,0)),"Market-City",IF(ISNUMBER(MATCH(Location!$C$5&amp;"|"&amp;$A44&amp;"|rent",Market_Data!$K$5:$K$304,0)),"Market-County",IF(ISNUMBER(MATCH(Location!$C$6&amp;"|"&amp;$A44&amp;"|rent",Market_Data!$K$5:$K$304,0)),"Market-State",IF(ISNUMBER(MATCH(Org_Profile!$C$4&amp;"|"&amp;$A44&amp;"|rent",Org_Overrides!$H$5:$H$304,0)),"Org","Default x index"))))</f>
        <v/>
      </c>
      <c r="AA44" s="2">
        <f>IF(ISNUMBER(MATCH(Location!$C$4&amp;"|"&amp;$A44&amp;"|groundrent",Market_Data!$K$5:$K$304,0)),"Market-City",IF(ISNUMBER(MATCH(Location!$C$5&amp;"|"&amp;$A44&amp;"|groundrent",Market_Data!$K$5:$K$304,0)),"Market-County",IF(ISNUMBER(MATCH(Location!$C$6&amp;"|"&amp;$A44&amp;"|groundrent",Market_Data!$K$5:$K$304,0)),"Market-State",IF(ISNUMBER(MATCH(Org_Profile!$C$4&amp;"|"&amp;$A44&amp;"|groundrent",Org_Overrides!$H$5:$H$304,0)),"Org","Default x index"))))</f>
        <v/>
      </c>
      <c r="AB44" s="2">
        <f>IF(ISNUMBER(MATCH(Location!$C$4&amp;"|"&amp;$A44&amp;"|cap",Market_Data!$K$5:$K$304,0)),"Market-City",IF(ISNUMBER(MATCH(Location!$C$5&amp;"|"&amp;$A44&amp;"|cap",Market_Data!$K$5:$K$304,0)),"Market-County",IF(ISNUMBER(MATCH(Location!$C$6&amp;"|"&amp;$A44&amp;"|cap",Market_Data!$K$5:$K$304,0)),"Market-State",IF(ISNUMBER(MATCH(Org_Profile!$C$4&amp;"|"&amp;$A44&amp;"|cap",Org_Overrides!$H$5:$H$304,0)),"Org","Default x index"))))</f>
        <v/>
      </c>
      <c r="AC44" s="2">
        <f>IF(ISNUMBER(MATCH(Location!$C$4&amp;"|"&amp;$A44&amp;"|vac",Market_Data!$K$5:$K$304,0)),"Market-City",IF(ISNUMBER(MATCH(Location!$C$5&amp;"|"&amp;$A44&amp;"|vac",Market_Data!$K$5:$K$304,0)),"Market-County",IF(ISNUMBER(MATCH(Location!$C$6&amp;"|"&amp;$A44&amp;"|vac",Market_Data!$K$5:$K$304,0)),"Market-State",IF(ISNUMBER(MATCH(Org_Profile!$C$4&amp;"|"&amp;$A44&amp;"|vac",Org_Overrides!$H$5:$H$304,0)),"Org","Default"))))</f>
        <v/>
      </c>
      <c r="AD44" s="2">
        <f>IF(ISNUMBER(MATCH(Location!$C$4&amp;"|"&amp;$A44&amp;"|absorb",Market_Data!$K$5:$K$304,0)),"Market-City",IF(ISNUMBER(MATCH(Location!$C$5&amp;"|"&amp;$A44&amp;"|absorb",Market_Data!$K$5:$K$304,0)),"Market-County",IF(ISNUMBER(MATCH(Location!$C$6&amp;"|"&amp;$A44&amp;"|absorb",Market_Data!$K$5:$K$304,0)),"Market-State",IF(ISNUMBER(MATCH(Org_Profile!$C$4&amp;"|"&amp;$A44&amp;"|absorb",Org_Overrides!$H$5:$H$304,0)),"Org","Default"))))</f>
        <v/>
      </c>
      <c r="AE44" s="2">
        <f>IF(ISNUMBER(MATCH(Location!$C$4&amp;"|"&amp;$A44&amp;"|lotabs",Market_Data!$K$5:$K$304,0)),"Market-City",IF(ISNUMBER(MATCH(Location!$C$5&amp;"|"&amp;$A44&amp;"|lotabs",Market_Data!$K$5:$K$304,0)),"Market-County",IF(ISNUMBER(MATCH(Location!$C$6&amp;"|"&amp;$A44&amp;"|lotabs",Market_Data!$K$5:$K$304,0)),"Market-State",IF(ISNUMBER(MATCH(Org_Profile!$C$4&amp;"|"&amp;$A44&amp;"|lotabs",Org_Overrides!$H$5:$H$304,0)),"Org","Default"))))</f>
        <v/>
      </c>
      <c r="AF44" s="15">
        <f>15-COUNTIF(Q44:AE44,"Default*")</f>
        <v/>
      </c>
    </row>
    <row r="45">
      <c r="A45" s="4">
        <f>Use_Library!$A$45</f>
        <v/>
      </c>
      <c r="B45" s="20">
        <f>IFERROR((INDEX(Org_Overrides!$D$5:$D$304,MATCH(Org_Profile!$C$4&amp;"|"&amp;$A45&amp;"|vert",Org_Overrides!$H$5:$H$304,0))*Location!$C$9),IFERROR(INDEX(Market_Data!$D$5:$D$304,MATCH(Location!$C$4&amp;"|"&amp;$A45&amp;"|vert",Market_Data!$K$5:$K$304,0)),IFERROR(INDEX(Market_Data!$D$5:$D$304,MATCH(Location!$C$5&amp;"|"&amp;$A45&amp;"|vert",Market_Data!$K$5:$K$304,0)),IFERROR(INDEX(Market_Data!$D$5:$D$304,MATCH(Location!$C$6&amp;"|"&amp;$A45&amp;"|vert",Market_Data!$K$5:$K$304,0)),(Use_Library!$AF$45*Location!$C$9)))))</f>
        <v/>
      </c>
      <c r="C45" s="20">
        <f>IFERROR((INDEX(Org_Overrides!$D$5:$D$304,MATCH(Org_Profile!$C$4&amp;"|"&amp;$A45&amp;"|entitle",Org_Overrides!$H$5:$H$304,0))*Location!$C$9),IFERROR(INDEX(Market_Data!$D$5:$D$304,MATCH(Location!$C$4&amp;"|"&amp;$A45&amp;"|entitle",Market_Data!$K$5:$K$304,0)),IFERROR(INDEX(Market_Data!$D$5:$D$304,MATCH(Location!$C$5&amp;"|"&amp;$A45&amp;"|entitle",Market_Data!$K$5:$K$304,0)),IFERROR(INDEX(Market_Data!$D$5:$D$304,MATCH(Location!$C$6&amp;"|"&amp;$A45&amp;"|entitle",Market_Data!$K$5:$K$304,0)),(Use_Library!$AE$45*Location!$C$9)))))</f>
        <v/>
      </c>
      <c r="D45" s="20">
        <f>IFERROR((INDEX(Org_Overrides!$D$5:$D$304,MATCH(Org_Profile!$C$4&amp;"|"&amp;$A45&amp;"|tilc",Org_Overrides!$H$5:$H$304,0))*Location!$C$9),IFERROR(INDEX(Market_Data!$D$5:$D$304,MATCH(Location!$C$4&amp;"|"&amp;$A45&amp;"|tilc",Market_Data!$K$5:$K$304,0)),IFERROR(INDEX(Market_Data!$D$5:$D$304,MATCH(Location!$C$5&amp;"|"&amp;$A45&amp;"|tilc",Market_Data!$K$5:$K$304,0)),IFERROR(INDEX(Market_Data!$D$5:$D$304,MATCH(Location!$C$6&amp;"|"&amp;$A45&amp;"|tilc",Market_Data!$K$5:$K$304,0)),(Use_Library!$AG$45*Location!$C$9)))))</f>
        <v/>
      </c>
      <c r="E45" s="20">
        <f>IFERROR((INDEX(Org_Overrides!$D$5:$D$304,MATCH(Org_Profile!$C$4&amp;"|"&amp;$A45&amp;"|opex",Org_Overrides!$H$5:$H$304,0))*Location!$C$13),IFERROR(INDEX(Market_Data!$D$5:$D$304,MATCH(Location!$C$4&amp;"|"&amp;$A45&amp;"|opex",Market_Data!$K$5:$K$304,0)),IFERROR(INDEX(Market_Data!$D$5:$D$304,MATCH(Location!$C$5&amp;"|"&amp;$A45&amp;"|opex",Market_Data!$K$5:$K$304,0)),IFERROR(INDEX(Market_Data!$D$5:$D$304,MATCH(Location!$C$6&amp;"|"&amp;$A45&amp;"|opex",Market_Data!$K$5:$K$304,0)),(Use_Library!$AN$45*Location!$C$13)))))</f>
        <v/>
      </c>
      <c r="F45" s="9">
        <f>IFERROR(INDEX(Org_Overrides!$D$5:$D$304,MATCH(Org_Profile!$C$4&amp;"|"&amp;$A45&amp;"|devmo",Org_Overrides!$H$5:$H$304,0)),IFERROR(INDEX(Market_Data!$D$5:$D$304,MATCH(Location!$C$4&amp;"|"&amp;$A45&amp;"|devmo",Market_Data!$K$5:$K$304,0)),IFERROR(INDEX(Market_Data!$D$5:$D$304,MATCH(Location!$C$5&amp;"|"&amp;$A45&amp;"|devmo",Market_Data!$K$5:$K$304,0)),IFERROR(INDEX(Market_Data!$D$5:$D$304,MATCH(Location!$C$6&amp;"|"&amp;$A45&amp;"|devmo",Market_Data!$K$5:$K$304,0)),Use_Library!$AH$45))))</f>
        <v/>
      </c>
      <c r="G45" s="23">
        <f>IFERROR(INDEX(Org_Overrides!$D$5:$D$304,MATCH(Org_Profile!$C$4&amp;"|"&amp;$A45&amp;"|margin",Org_Overrides!$H$5:$H$304,0)),IF(INDEX(Org_Profile!$C$9:$C$12,MATCH(Use_Library!$C$45,Org_Profile!$B$9:$B$12,0))&lt;&gt;"",INDEX(Org_Profile!$C$9:$C$12,MATCH(Use_Library!$C$45,Org_Profile!$B$9:$B$12,0)),Use_Library!$AU$45))</f>
        <v/>
      </c>
      <c r="H45" s="20">
        <f>IFERROR(INDEX(Market_Data!$D$5:$D$304,MATCH(Location!$C$4&amp;"|"&amp;$A45&amp;"|lotprice",Market_Data!$K$5:$K$304,0)),IFERROR(INDEX(Market_Data!$D$5:$D$304,MATCH(Location!$C$5&amp;"|"&amp;$A45&amp;"|lotprice",Market_Data!$K$5:$K$304,0)),IFERROR(INDEX(Market_Data!$D$5:$D$304,MATCH(Location!$C$6&amp;"|"&amp;$A45&amp;"|lotprice",Market_Data!$K$5:$K$304,0)),IFERROR((INDEX(Org_Overrides!$D$5:$D$304,MATCH(Org_Profile!$C$4&amp;"|"&amp;$A45&amp;"|lotprice",Org_Overrides!$H$5:$H$304,0))*Location!$C$10),(Use_Library!$AI$45*Location!$C$10)))))</f>
        <v/>
      </c>
      <c r="I45" s="20">
        <f>IFERROR(INDEX(Market_Data!$D$5:$D$304,MATCH(Location!$C$4&amp;"|"&amp;$A45&amp;"|saleprice",Market_Data!$K$5:$K$304,0)),IFERROR(INDEX(Market_Data!$D$5:$D$304,MATCH(Location!$C$5&amp;"|"&amp;$A45&amp;"|saleprice",Market_Data!$K$5:$K$304,0)),IFERROR(INDEX(Market_Data!$D$5:$D$304,MATCH(Location!$C$6&amp;"|"&amp;$A45&amp;"|saleprice",Market_Data!$K$5:$K$304,0)),IFERROR((INDEX(Org_Overrides!$D$5:$D$304,MATCH(Org_Profile!$C$4&amp;"|"&amp;$A45&amp;"|saleprice",Org_Overrides!$H$5:$H$304,0))*Location!$C$10),(Use_Library!$AJ$45*Location!$C$10)))))</f>
        <v/>
      </c>
      <c r="J45" s="20">
        <f>IFERROR(INDEX(Market_Data!$D$5:$D$304,MATCH(Location!$C$4&amp;"|"&amp;$A45&amp;"|landac",Market_Data!$K$5:$K$304,0)),IFERROR(INDEX(Market_Data!$D$5:$D$304,MATCH(Location!$C$5&amp;"|"&amp;$A45&amp;"|landac",Market_Data!$K$5:$K$304,0)),IFERROR(INDEX(Market_Data!$D$5:$D$304,MATCH(Location!$C$6&amp;"|"&amp;$A45&amp;"|landac",Market_Data!$K$5:$K$304,0)),IFERROR((INDEX(Org_Overrides!$D$5:$D$304,MATCH(Org_Profile!$C$4&amp;"|"&amp;$A45&amp;"|landac",Org_Overrides!$H$5:$H$304,0))*Location!$C$10),(Use_Library!$AS$45*Location!$C$10)))))</f>
        <v/>
      </c>
      <c r="K45" s="20">
        <f>IFERROR(INDEX(Market_Data!$D$5:$D$304,MATCH(Location!$C$4&amp;"|"&amp;$A45&amp;"|rent",Market_Data!$K$5:$K$304,0)),IFERROR(INDEX(Market_Data!$D$5:$D$304,MATCH(Location!$C$5&amp;"|"&amp;$A45&amp;"|rent",Market_Data!$K$5:$K$304,0)),IFERROR(INDEX(Market_Data!$D$5:$D$304,MATCH(Location!$C$6&amp;"|"&amp;$A45&amp;"|rent",Market_Data!$K$5:$K$304,0)),IFERROR((INDEX(Org_Overrides!$D$5:$D$304,MATCH(Org_Profile!$C$4&amp;"|"&amp;$A45&amp;"|rent",Org_Overrides!$H$5:$H$304,0))*Location!$C$11),(Use_Library!$AK$45*Location!$C$11)))))</f>
        <v/>
      </c>
      <c r="L45" s="20">
        <f>IFERROR(INDEX(Market_Data!$D$5:$D$304,MATCH(Location!$C$4&amp;"|"&amp;$A45&amp;"|groundrent",Market_Data!$K$5:$K$304,0)),IFERROR(INDEX(Market_Data!$D$5:$D$304,MATCH(Location!$C$5&amp;"|"&amp;$A45&amp;"|groundrent",Market_Data!$K$5:$K$304,0)),IFERROR(INDEX(Market_Data!$D$5:$D$304,MATCH(Location!$C$6&amp;"|"&amp;$A45&amp;"|groundrent",Market_Data!$K$5:$K$304,0)),IFERROR((INDEX(Org_Overrides!$D$5:$D$304,MATCH(Org_Profile!$C$4&amp;"|"&amp;$A45&amp;"|groundrent",Org_Overrides!$H$5:$H$304,0))*Location!$C$11),(Use_Library!$AT$45*Location!$C$11)))))</f>
        <v/>
      </c>
      <c r="M45" s="23">
        <f>IFERROR(INDEX(Market_Data!$D$5:$D$304,MATCH(Location!$C$4&amp;"|"&amp;$A45&amp;"|cap",Market_Data!$K$5:$K$304,0)),IFERROR(INDEX(Market_Data!$D$5:$D$304,MATCH(Location!$C$5&amp;"|"&amp;$A45&amp;"|cap",Market_Data!$K$5:$K$304,0)),IFERROR(INDEX(Market_Data!$D$5:$D$304,MATCH(Location!$C$6&amp;"|"&amp;$A45&amp;"|cap",Market_Data!$K$5:$K$304,0)),IFERROR((INDEX(Org_Overrides!$D$5:$D$304,MATCH(Org_Profile!$C$4&amp;"|"&amp;$A45&amp;"|cap",Org_Overrides!$H$5:$H$304,0))+Location!$C$12),(Use_Library!$AR$45+Location!$C$12)))))</f>
        <v/>
      </c>
      <c r="N45" s="23">
        <f>IFERROR(INDEX(Market_Data!$D$5:$D$304,MATCH(Location!$C$4&amp;"|"&amp;$A45&amp;"|vac",Market_Data!$K$5:$K$304,0)),IFERROR(INDEX(Market_Data!$D$5:$D$304,MATCH(Location!$C$5&amp;"|"&amp;$A45&amp;"|vac",Market_Data!$K$5:$K$304,0)),IFERROR(INDEX(Market_Data!$D$5:$D$304,MATCH(Location!$C$6&amp;"|"&amp;$A45&amp;"|vac",Market_Data!$K$5:$K$304,0)),IFERROR(INDEX(Org_Overrides!$D$5:$D$304,MATCH(Org_Profile!$C$4&amp;"|"&amp;$A45&amp;"|vac",Org_Overrides!$H$5:$H$304,0)),Use_Library!$AM$45))))</f>
        <v/>
      </c>
      <c r="O45" s="24">
        <f>IFERROR(INDEX(Market_Data!$D$5:$D$304,MATCH(Location!$C$4&amp;"|"&amp;$A45&amp;"|absorb",Market_Data!$K$5:$K$304,0)),IFERROR(INDEX(Market_Data!$D$5:$D$304,MATCH(Location!$C$5&amp;"|"&amp;$A45&amp;"|absorb",Market_Data!$K$5:$K$304,0)),IFERROR(INDEX(Market_Data!$D$5:$D$304,MATCH(Location!$C$6&amp;"|"&amp;$A45&amp;"|absorb",Market_Data!$K$5:$K$304,0)),IFERROR(INDEX(Org_Overrides!$D$5:$D$304,MATCH(Org_Profile!$C$4&amp;"|"&amp;$A45&amp;"|absorb",Org_Overrides!$H$5:$H$304,0)),Use_Library!$R$45))))</f>
        <v/>
      </c>
      <c r="P45" s="24">
        <f>IFERROR(INDEX(Market_Data!$D$5:$D$304,MATCH(Location!$C$4&amp;"|"&amp;$A45&amp;"|lotabs",Market_Data!$K$5:$K$304,0)),IFERROR(INDEX(Market_Data!$D$5:$D$304,MATCH(Location!$C$5&amp;"|"&amp;$A45&amp;"|lotabs",Market_Data!$K$5:$K$304,0)),IFERROR(INDEX(Market_Data!$D$5:$D$304,MATCH(Location!$C$6&amp;"|"&amp;$A45&amp;"|lotabs",Market_Data!$K$5:$K$304,0)),IFERROR(INDEX(Org_Overrides!$D$5:$D$304,MATCH(Org_Profile!$C$4&amp;"|"&amp;$A45&amp;"|lotabs",Org_Overrides!$H$5:$H$304,0)),Use_Library!$S$45))))</f>
        <v/>
      </c>
      <c r="Q45" s="2">
        <f>IF(ISNUMBER(MATCH(Org_Profile!$C$4&amp;"|"&amp;$A45&amp;"|vert",Org_Overrides!$H$5:$H$304,0)),"Org",IF(ISNUMBER(MATCH(Location!$C$4&amp;"|"&amp;$A45&amp;"|vert",Market_Data!$K$5:$K$304,0)),"Market-City",IF(ISNUMBER(MATCH(Location!$C$5&amp;"|"&amp;$A45&amp;"|vert",Market_Data!$K$5:$K$304,0)),"Market-County",IF(ISNUMBER(MATCH(Location!$C$6&amp;"|"&amp;$A45&amp;"|vert",Market_Data!$K$5:$K$304,0)),"Market-State","Default x index"))))</f>
        <v/>
      </c>
      <c r="R45" s="2">
        <f>IF(ISNUMBER(MATCH(Org_Profile!$C$4&amp;"|"&amp;$A45&amp;"|entitle",Org_Overrides!$H$5:$H$304,0)),"Org",IF(ISNUMBER(MATCH(Location!$C$4&amp;"|"&amp;$A45&amp;"|entitle",Market_Data!$K$5:$K$304,0)),"Market-City",IF(ISNUMBER(MATCH(Location!$C$5&amp;"|"&amp;$A45&amp;"|entitle",Market_Data!$K$5:$K$304,0)),"Market-County",IF(ISNUMBER(MATCH(Location!$C$6&amp;"|"&amp;$A45&amp;"|entitle",Market_Data!$K$5:$K$304,0)),"Market-State","Default x index"))))</f>
        <v/>
      </c>
      <c r="S45" s="2">
        <f>IF(ISNUMBER(MATCH(Org_Profile!$C$4&amp;"|"&amp;$A45&amp;"|tilc",Org_Overrides!$H$5:$H$304,0)),"Org",IF(ISNUMBER(MATCH(Location!$C$4&amp;"|"&amp;$A45&amp;"|tilc",Market_Data!$K$5:$K$304,0)),"Market-City",IF(ISNUMBER(MATCH(Location!$C$5&amp;"|"&amp;$A45&amp;"|tilc",Market_Data!$K$5:$K$304,0)),"Market-County",IF(ISNUMBER(MATCH(Location!$C$6&amp;"|"&amp;$A45&amp;"|tilc",Market_Data!$K$5:$K$304,0)),"Market-State","Default x index"))))</f>
        <v/>
      </c>
      <c r="T45" s="2">
        <f>IF(ISNUMBER(MATCH(Org_Profile!$C$4&amp;"|"&amp;$A45&amp;"|opex",Org_Overrides!$H$5:$H$304,0)),"Org",IF(ISNUMBER(MATCH(Location!$C$4&amp;"|"&amp;$A45&amp;"|opex",Market_Data!$K$5:$K$304,0)),"Market-City",IF(ISNUMBER(MATCH(Location!$C$5&amp;"|"&amp;$A45&amp;"|opex",Market_Data!$K$5:$K$304,0)),"Market-County",IF(ISNUMBER(MATCH(Location!$C$6&amp;"|"&amp;$A45&amp;"|opex",Market_Data!$K$5:$K$304,0)),"Market-State","Default x index"))))</f>
        <v/>
      </c>
      <c r="U45" s="2">
        <f>IF(ISNUMBER(MATCH(Org_Profile!$C$4&amp;"|"&amp;$A45&amp;"|devmo",Org_Overrides!$H$5:$H$304,0)),"Org",IF(ISNUMBER(MATCH(Location!$C$4&amp;"|"&amp;$A45&amp;"|devmo",Market_Data!$K$5:$K$304,0)),"Market-City",IF(ISNUMBER(MATCH(Location!$C$5&amp;"|"&amp;$A45&amp;"|devmo",Market_Data!$K$5:$K$304,0)),"Market-County",IF(ISNUMBER(MATCH(Location!$C$6&amp;"|"&amp;$A45&amp;"|devmo",Market_Data!$K$5:$K$304,0)),"Market-State","Default"))))</f>
        <v/>
      </c>
      <c r="V45" s="2">
        <f>IF(ISNUMBER(MATCH(Org_Profile!$C$4&amp;"|"&amp;$A45&amp;"|margin",Org_Overrides!$H$5:$H$304,0)),"Org",IF(INDEX(Org_Profile!$C$9:$C$12,MATCH(Use_Library!$C$45,Org_Profile!$B$9:$B$12,0))&lt;&gt;"","Org engine margin","Default"))</f>
        <v/>
      </c>
      <c r="W45" s="2">
        <f>IF(ISNUMBER(MATCH(Location!$C$4&amp;"|"&amp;$A45&amp;"|lotprice",Market_Data!$K$5:$K$304,0)),"Market-City",IF(ISNUMBER(MATCH(Location!$C$5&amp;"|"&amp;$A45&amp;"|lotprice",Market_Data!$K$5:$K$304,0)),"Market-County",IF(ISNUMBER(MATCH(Location!$C$6&amp;"|"&amp;$A45&amp;"|lotprice",Market_Data!$K$5:$K$304,0)),"Market-State",IF(ISNUMBER(MATCH(Org_Profile!$C$4&amp;"|"&amp;$A45&amp;"|lotprice",Org_Overrides!$H$5:$H$304,0)),"Org","Default x index"))))</f>
        <v/>
      </c>
      <c r="X45" s="2">
        <f>IF(ISNUMBER(MATCH(Location!$C$4&amp;"|"&amp;$A45&amp;"|saleprice",Market_Data!$K$5:$K$304,0)),"Market-City",IF(ISNUMBER(MATCH(Location!$C$5&amp;"|"&amp;$A45&amp;"|saleprice",Market_Data!$K$5:$K$304,0)),"Market-County",IF(ISNUMBER(MATCH(Location!$C$6&amp;"|"&amp;$A45&amp;"|saleprice",Market_Data!$K$5:$K$304,0)),"Market-State",IF(ISNUMBER(MATCH(Org_Profile!$C$4&amp;"|"&amp;$A45&amp;"|saleprice",Org_Overrides!$H$5:$H$304,0)),"Org","Default x index"))))</f>
        <v/>
      </c>
      <c r="Y45" s="2">
        <f>IF(ISNUMBER(MATCH(Location!$C$4&amp;"|"&amp;$A45&amp;"|landac",Market_Data!$K$5:$K$304,0)),"Market-City",IF(ISNUMBER(MATCH(Location!$C$5&amp;"|"&amp;$A45&amp;"|landac",Market_Data!$K$5:$K$304,0)),"Market-County",IF(ISNUMBER(MATCH(Location!$C$6&amp;"|"&amp;$A45&amp;"|landac",Market_Data!$K$5:$K$304,0)),"Market-State",IF(ISNUMBER(MATCH(Org_Profile!$C$4&amp;"|"&amp;$A45&amp;"|landac",Org_Overrides!$H$5:$H$304,0)),"Org","Default x index"))))</f>
        <v/>
      </c>
      <c r="Z45" s="2">
        <f>IF(ISNUMBER(MATCH(Location!$C$4&amp;"|"&amp;$A45&amp;"|rent",Market_Data!$K$5:$K$304,0)),"Market-City",IF(ISNUMBER(MATCH(Location!$C$5&amp;"|"&amp;$A45&amp;"|rent",Market_Data!$K$5:$K$304,0)),"Market-County",IF(ISNUMBER(MATCH(Location!$C$6&amp;"|"&amp;$A45&amp;"|rent",Market_Data!$K$5:$K$304,0)),"Market-State",IF(ISNUMBER(MATCH(Org_Profile!$C$4&amp;"|"&amp;$A45&amp;"|rent",Org_Overrides!$H$5:$H$304,0)),"Org","Default x index"))))</f>
        <v/>
      </c>
      <c r="AA45" s="2">
        <f>IF(ISNUMBER(MATCH(Location!$C$4&amp;"|"&amp;$A45&amp;"|groundrent",Market_Data!$K$5:$K$304,0)),"Market-City",IF(ISNUMBER(MATCH(Location!$C$5&amp;"|"&amp;$A45&amp;"|groundrent",Market_Data!$K$5:$K$304,0)),"Market-County",IF(ISNUMBER(MATCH(Location!$C$6&amp;"|"&amp;$A45&amp;"|groundrent",Market_Data!$K$5:$K$304,0)),"Market-State",IF(ISNUMBER(MATCH(Org_Profile!$C$4&amp;"|"&amp;$A45&amp;"|groundrent",Org_Overrides!$H$5:$H$304,0)),"Org","Default x index"))))</f>
        <v/>
      </c>
      <c r="AB45" s="2">
        <f>IF(ISNUMBER(MATCH(Location!$C$4&amp;"|"&amp;$A45&amp;"|cap",Market_Data!$K$5:$K$304,0)),"Market-City",IF(ISNUMBER(MATCH(Location!$C$5&amp;"|"&amp;$A45&amp;"|cap",Market_Data!$K$5:$K$304,0)),"Market-County",IF(ISNUMBER(MATCH(Location!$C$6&amp;"|"&amp;$A45&amp;"|cap",Market_Data!$K$5:$K$304,0)),"Market-State",IF(ISNUMBER(MATCH(Org_Profile!$C$4&amp;"|"&amp;$A45&amp;"|cap",Org_Overrides!$H$5:$H$304,0)),"Org","Default x index"))))</f>
        <v/>
      </c>
      <c r="AC45" s="2">
        <f>IF(ISNUMBER(MATCH(Location!$C$4&amp;"|"&amp;$A45&amp;"|vac",Market_Data!$K$5:$K$304,0)),"Market-City",IF(ISNUMBER(MATCH(Location!$C$5&amp;"|"&amp;$A45&amp;"|vac",Market_Data!$K$5:$K$304,0)),"Market-County",IF(ISNUMBER(MATCH(Location!$C$6&amp;"|"&amp;$A45&amp;"|vac",Market_Data!$K$5:$K$304,0)),"Market-State",IF(ISNUMBER(MATCH(Org_Profile!$C$4&amp;"|"&amp;$A45&amp;"|vac",Org_Overrides!$H$5:$H$304,0)),"Org","Default"))))</f>
        <v/>
      </c>
      <c r="AD45" s="2">
        <f>IF(ISNUMBER(MATCH(Location!$C$4&amp;"|"&amp;$A45&amp;"|absorb",Market_Data!$K$5:$K$304,0)),"Market-City",IF(ISNUMBER(MATCH(Location!$C$5&amp;"|"&amp;$A45&amp;"|absorb",Market_Data!$K$5:$K$304,0)),"Market-County",IF(ISNUMBER(MATCH(Location!$C$6&amp;"|"&amp;$A45&amp;"|absorb",Market_Data!$K$5:$K$304,0)),"Market-State",IF(ISNUMBER(MATCH(Org_Profile!$C$4&amp;"|"&amp;$A45&amp;"|absorb",Org_Overrides!$H$5:$H$304,0)),"Org","Default"))))</f>
        <v/>
      </c>
      <c r="AE45" s="2">
        <f>IF(ISNUMBER(MATCH(Location!$C$4&amp;"|"&amp;$A45&amp;"|lotabs",Market_Data!$K$5:$K$304,0)),"Market-City",IF(ISNUMBER(MATCH(Location!$C$5&amp;"|"&amp;$A45&amp;"|lotabs",Market_Data!$K$5:$K$304,0)),"Market-County",IF(ISNUMBER(MATCH(Location!$C$6&amp;"|"&amp;$A45&amp;"|lotabs",Market_Data!$K$5:$K$304,0)),"Market-State",IF(ISNUMBER(MATCH(Org_Profile!$C$4&amp;"|"&amp;$A45&amp;"|lotabs",Org_Overrides!$H$5:$H$304,0)),"Org","Default"))))</f>
        <v/>
      </c>
      <c r="AF45" s="15">
        <f>15-COUNTIF(Q45:AE45,"Default*")</f>
        <v/>
      </c>
    </row>
    <row r="46">
      <c r="A46" s="4">
        <f>Use_Library!$A$46</f>
        <v/>
      </c>
      <c r="B46" s="20">
        <f>IFERROR((INDEX(Org_Overrides!$D$5:$D$304,MATCH(Org_Profile!$C$4&amp;"|"&amp;$A46&amp;"|vert",Org_Overrides!$H$5:$H$304,0))*Location!$C$9),IFERROR(INDEX(Market_Data!$D$5:$D$304,MATCH(Location!$C$4&amp;"|"&amp;$A46&amp;"|vert",Market_Data!$K$5:$K$304,0)),IFERROR(INDEX(Market_Data!$D$5:$D$304,MATCH(Location!$C$5&amp;"|"&amp;$A46&amp;"|vert",Market_Data!$K$5:$K$304,0)),IFERROR(INDEX(Market_Data!$D$5:$D$304,MATCH(Location!$C$6&amp;"|"&amp;$A46&amp;"|vert",Market_Data!$K$5:$K$304,0)),(Use_Library!$AF$46*Location!$C$9)))))</f>
        <v/>
      </c>
      <c r="C46" s="20">
        <f>IFERROR((INDEX(Org_Overrides!$D$5:$D$304,MATCH(Org_Profile!$C$4&amp;"|"&amp;$A46&amp;"|entitle",Org_Overrides!$H$5:$H$304,0))*Location!$C$9),IFERROR(INDEX(Market_Data!$D$5:$D$304,MATCH(Location!$C$4&amp;"|"&amp;$A46&amp;"|entitle",Market_Data!$K$5:$K$304,0)),IFERROR(INDEX(Market_Data!$D$5:$D$304,MATCH(Location!$C$5&amp;"|"&amp;$A46&amp;"|entitle",Market_Data!$K$5:$K$304,0)),IFERROR(INDEX(Market_Data!$D$5:$D$304,MATCH(Location!$C$6&amp;"|"&amp;$A46&amp;"|entitle",Market_Data!$K$5:$K$304,0)),(Use_Library!$AE$46*Location!$C$9)))))</f>
        <v/>
      </c>
      <c r="D46" s="20">
        <f>IFERROR((INDEX(Org_Overrides!$D$5:$D$304,MATCH(Org_Profile!$C$4&amp;"|"&amp;$A46&amp;"|tilc",Org_Overrides!$H$5:$H$304,0))*Location!$C$9),IFERROR(INDEX(Market_Data!$D$5:$D$304,MATCH(Location!$C$4&amp;"|"&amp;$A46&amp;"|tilc",Market_Data!$K$5:$K$304,0)),IFERROR(INDEX(Market_Data!$D$5:$D$304,MATCH(Location!$C$5&amp;"|"&amp;$A46&amp;"|tilc",Market_Data!$K$5:$K$304,0)),IFERROR(INDEX(Market_Data!$D$5:$D$304,MATCH(Location!$C$6&amp;"|"&amp;$A46&amp;"|tilc",Market_Data!$K$5:$K$304,0)),(Use_Library!$AG$46*Location!$C$9)))))</f>
        <v/>
      </c>
      <c r="E46" s="20">
        <f>IFERROR((INDEX(Org_Overrides!$D$5:$D$304,MATCH(Org_Profile!$C$4&amp;"|"&amp;$A46&amp;"|opex",Org_Overrides!$H$5:$H$304,0))*Location!$C$13),IFERROR(INDEX(Market_Data!$D$5:$D$304,MATCH(Location!$C$4&amp;"|"&amp;$A46&amp;"|opex",Market_Data!$K$5:$K$304,0)),IFERROR(INDEX(Market_Data!$D$5:$D$304,MATCH(Location!$C$5&amp;"|"&amp;$A46&amp;"|opex",Market_Data!$K$5:$K$304,0)),IFERROR(INDEX(Market_Data!$D$5:$D$304,MATCH(Location!$C$6&amp;"|"&amp;$A46&amp;"|opex",Market_Data!$K$5:$K$304,0)),(Use_Library!$AN$46*Location!$C$13)))))</f>
        <v/>
      </c>
      <c r="F46" s="9">
        <f>IFERROR(INDEX(Org_Overrides!$D$5:$D$304,MATCH(Org_Profile!$C$4&amp;"|"&amp;$A46&amp;"|devmo",Org_Overrides!$H$5:$H$304,0)),IFERROR(INDEX(Market_Data!$D$5:$D$304,MATCH(Location!$C$4&amp;"|"&amp;$A46&amp;"|devmo",Market_Data!$K$5:$K$304,0)),IFERROR(INDEX(Market_Data!$D$5:$D$304,MATCH(Location!$C$5&amp;"|"&amp;$A46&amp;"|devmo",Market_Data!$K$5:$K$304,0)),IFERROR(INDEX(Market_Data!$D$5:$D$304,MATCH(Location!$C$6&amp;"|"&amp;$A46&amp;"|devmo",Market_Data!$K$5:$K$304,0)),Use_Library!$AH$46))))</f>
        <v/>
      </c>
      <c r="G46" s="23">
        <f>IFERROR(INDEX(Org_Overrides!$D$5:$D$304,MATCH(Org_Profile!$C$4&amp;"|"&amp;$A46&amp;"|margin",Org_Overrides!$H$5:$H$304,0)),IF(INDEX(Org_Profile!$C$9:$C$12,MATCH(Use_Library!$C$46,Org_Profile!$B$9:$B$12,0))&lt;&gt;"",INDEX(Org_Profile!$C$9:$C$12,MATCH(Use_Library!$C$46,Org_Profile!$B$9:$B$12,0)),Use_Library!$AU$46))</f>
        <v/>
      </c>
      <c r="H46" s="20">
        <f>IFERROR(INDEX(Market_Data!$D$5:$D$304,MATCH(Location!$C$4&amp;"|"&amp;$A46&amp;"|lotprice",Market_Data!$K$5:$K$304,0)),IFERROR(INDEX(Market_Data!$D$5:$D$304,MATCH(Location!$C$5&amp;"|"&amp;$A46&amp;"|lotprice",Market_Data!$K$5:$K$304,0)),IFERROR(INDEX(Market_Data!$D$5:$D$304,MATCH(Location!$C$6&amp;"|"&amp;$A46&amp;"|lotprice",Market_Data!$K$5:$K$304,0)),IFERROR((INDEX(Org_Overrides!$D$5:$D$304,MATCH(Org_Profile!$C$4&amp;"|"&amp;$A46&amp;"|lotprice",Org_Overrides!$H$5:$H$304,0))*Location!$C$10),(Use_Library!$AI$46*Location!$C$10)))))</f>
        <v/>
      </c>
      <c r="I46" s="20">
        <f>IFERROR(INDEX(Market_Data!$D$5:$D$304,MATCH(Location!$C$4&amp;"|"&amp;$A46&amp;"|saleprice",Market_Data!$K$5:$K$304,0)),IFERROR(INDEX(Market_Data!$D$5:$D$304,MATCH(Location!$C$5&amp;"|"&amp;$A46&amp;"|saleprice",Market_Data!$K$5:$K$304,0)),IFERROR(INDEX(Market_Data!$D$5:$D$304,MATCH(Location!$C$6&amp;"|"&amp;$A46&amp;"|saleprice",Market_Data!$K$5:$K$304,0)),IFERROR((INDEX(Org_Overrides!$D$5:$D$304,MATCH(Org_Profile!$C$4&amp;"|"&amp;$A46&amp;"|saleprice",Org_Overrides!$H$5:$H$304,0))*Location!$C$10),(Use_Library!$AJ$46*Location!$C$10)))))</f>
        <v/>
      </c>
      <c r="J46" s="20">
        <f>IFERROR(INDEX(Market_Data!$D$5:$D$304,MATCH(Location!$C$4&amp;"|"&amp;$A46&amp;"|landac",Market_Data!$K$5:$K$304,0)),IFERROR(INDEX(Market_Data!$D$5:$D$304,MATCH(Location!$C$5&amp;"|"&amp;$A46&amp;"|landac",Market_Data!$K$5:$K$304,0)),IFERROR(INDEX(Market_Data!$D$5:$D$304,MATCH(Location!$C$6&amp;"|"&amp;$A46&amp;"|landac",Market_Data!$K$5:$K$304,0)),IFERROR((INDEX(Org_Overrides!$D$5:$D$304,MATCH(Org_Profile!$C$4&amp;"|"&amp;$A46&amp;"|landac",Org_Overrides!$H$5:$H$304,0))*Location!$C$10),(Use_Library!$AS$46*Location!$C$10)))))</f>
        <v/>
      </c>
      <c r="K46" s="20">
        <f>IFERROR(INDEX(Market_Data!$D$5:$D$304,MATCH(Location!$C$4&amp;"|"&amp;$A46&amp;"|rent",Market_Data!$K$5:$K$304,0)),IFERROR(INDEX(Market_Data!$D$5:$D$304,MATCH(Location!$C$5&amp;"|"&amp;$A46&amp;"|rent",Market_Data!$K$5:$K$304,0)),IFERROR(INDEX(Market_Data!$D$5:$D$304,MATCH(Location!$C$6&amp;"|"&amp;$A46&amp;"|rent",Market_Data!$K$5:$K$304,0)),IFERROR((INDEX(Org_Overrides!$D$5:$D$304,MATCH(Org_Profile!$C$4&amp;"|"&amp;$A46&amp;"|rent",Org_Overrides!$H$5:$H$304,0))*Location!$C$11),(Use_Library!$AK$46*Location!$C$11)))))</f>
        <v/>
      </c>
      <c r="L46" s="20">
        <f>IFERROR(INDEX(Market_Data!$D$5:$D$304,MATCH(Location!$C$4&amp;"|"&amp;$A46&amp;"|groundrent",Market_Data!$K$5:$K$304,0)),IFERROR(INDEX(Market_Data!$D$5:$D$304,MATCH(Location!$C$5&amp;"|"&amp;$A46&amp;"|groundrent",Market_Data!$K$5:$K$304,0)),IFERROR(INDEX(Market_Data!$D$5:$D$304,MATCH(Location!$C$6&amp;"|"&amp;$A46&amp;"|groundrent",Market_Data!$K$5:$K$304,0)),IFERROR((INDEX(Org_Overrides!$D$5:$D$304,MATCH(Org_Profile!$C$4&amp;"|"&amp;$A46&amp;"|groundrent",Org_Overrides!$H$5:$H$304,0))*Location!$C$11),(Use_Library!$AT$46*Location!$C$11)))))</f>
        <v/>
      </c>
      <c r="M46" s="23">
        <f>IFERROR(INDEX(Market_Data!$D$5:$D$304,MATCH(Location!$C$4&amp;"|"&amp;$A46&amp;"|cap",Market_Data!$K$5:$K$304,0)),IFERROR(INDEX(Market_Data!$D$5:$D$304,MATCH(Location!$C$5&amp;"|"&amp;$A46&amp;"|cap",Market_Data!$K$5:$K$304,0)),IFERROR(INDEX(Market_Data!$D$5:$D$304,MATCH(Location!$C$6&amp;"|"&amp;$A46&amp;"|cap",Market_Data!$K$5:$K$304,0)),IFERROR((INDEX(Org_Overrides!$D$5:$D$304,MATCH(Org_Profile!$C$4&amp;"|"&amp;$A46&amp;"|cap",Org_Overrides!$H$5:$H$304,0))+Location!$C$12),(Use_Library!$AR$46+Location!$C$12)))))</f>
        <v/>
      </c>
      <c r="N46" s="23">
        <f>IFERROR(INDEX(Market_Data!$D$5:$D$304,MATCH(Location!$C$4&amp;"|"&amp;$A46&amp;"|vac",Market_Data!$K$5:$K$304,0)),IFERROR(INDEX(Market_Data!$D$5:$D$304,MATCH(Location!$C$5&amp;"|"&amp;$A46&amp;"|vac",Market_Data!$K$5:$K$304,0)),IFERROR(INDEX(Market_Data!$D$5:$D$304,MATCH(Location!$C$6&amp;"|"&amp;$A46&amp;"|vac",Market_Data!$K$5:$K$304,0)),IFERROR(INDEX(Org_Overrides!$D$5:$D$304,MATCH(Org_Profile!$C$4&amp;"|"&amp;$A46&amp;"|vac",Org_Overrides!$H$5:$H$304,0)),Use_Library!$AM$46))))</f>
        <v/>
      </c>
      <c r="O46" s="24">
        <f>IFERROR(INDEX(Market_Data!$D$5:$D$304,MATCH(Location!$C$4&amp;"|"&amp;$A46&amp;"|absorb",Market_Data!$K$5:$K$304,0)),IFERROR(INDEX(Market_Data!$D$5:$D$304,MATCH(Location!$C$5&amp;"|"&amp;$A46&amp;"|absorb",Market_Data!$K$5:$K$304,0)),IFERROR(INDEX(Market_Data!$D$5:$D$304,MATCH(Location!$C$6&amp;"|"&amp;$A46&amp;"|absorb",Market_Data!$K$5:$K$304,0)),IFERROR(INDEX(Org_Overrides!$D$5:$D$304,MATCH(Org_Profile!$C$4&amp;"|"&amp;$A46&amp;"|absorb",Org_Overrides!$H$5:$H$304,0)),Use_Library!$R$46))))</f>
        <v/>
      </c>
      <c r="P46" s="24">
        <f>IFERROR(INDEX(Market_Data!$D$5:$D$304,MATCH(Location!$C$4&amp;"|"&amp;$A46&amp;"|lotabs",Market_Data!$K$5:$K$304,0)),IFERROR(INDEX(Market_Data!$D$5:$D$304,MATCH(Location!$C$5&amp;"|"&amp;$A46&amp;"|lotabs",Market_Data!$K$5:$K$304,0)),IFERROR(INDEX(Market_Data!$D$5:$D$304,MATCH(Location!$C$6&amp;"|"&amp;$A46&amp;"|lotabs",Market_Data!$K$5:$K$304,0)),IFERROR(INDEX(Org_Overrides!$D$5:$D$304,MATCH(Org_Profile!$C$4&amp;"|"&amp;$A46&amp;"|lotabs",Org_Overrides!$H$5:$H$304,0)),Use_Library!$S$46))))</f>
        <v/>
      </c>
      <c r="Q46" s="2">
        <f>IF(ISNUMBER(MATCH(Org_Profile!$C$4&amp;"|"&amp;$A46&amp;"|vert",Org_Overrides!$H$5:$H$304,0)),"Org",IF(ISNUMBER(MATCH(Location!$C$4&amp;"|"&amp;$A46&amp;"|vert",Market_Data!$K$5:$K$304,0)),"Market-City",IF(ISNUMBER(MATCH(Location!$C$5&amp;"|"&amp;$A46&amp;"|vert",Market_Data!$K$5:$K$304,0)),"Market-County",IF(ISNUMBER(MATCH(Location!$C$6&amp;"|"&amp;$A46&amp;"|vert",Market_Data!$K$5:$K$304,0)),"Market-State","Default x index"))))</f>
        <v/>
      </c>
      <c r="R46" s="2">
        <f>IF(ISNUMBER(MATCH(Org_Profile!$C$4&amp;"|"&amp;$A46&amp;"|entitle",Org_Overrides!$H$5:$H$304,0)),"Org",IF(ISNUMBER(MATCH(Location!$C$4&amp;"|"&amp;$A46&amp;"|entitle",Market_Data!$K$5:$K$304,0)),"Market-City",IF(ISNUMBER(MATCH(Location!$C$5&amp;"|"&amp;$A46&amp;"|entitle",Market_Data!$K$5:$K$304,0)),"Market-County",IF(ISNUMBER(MATCH(Location!$C$6&amp;"|"&amp;$A46&amp;"|entitle",Market_Data!$K$5:$K$304,0)),"Market-State","Default x index"))))</f>
        <v/>
      </c>
      <c r="S46" s="2">
        <f>IF(ISNUMBER(MATCH(Org_Profile!$C$4&amp;"|"&amp;$A46&amp;"|tilc",Org_Overrides!$H$5:$H$304,0)),"Org",IF(ISNUMBER(MATCH(Location!$C$4&amp;"|"&amp;$A46&amp;"|tilc",Market_Data!$K$5:$K$304,0)),"Market-City",IF(ISNUMBER(MATCH(Location!$C$5&amp;"|"&amp;$A46&amp;"|tilc",Market_Data!$K$5:$K$304,0)),"Market-County",IF(ISNUMBER(MATCH(Location!$C$6&amp;"|"&amp;$A46&amp;"|tilc",Market_Data!$K$5:$K$304,0)),"Market-State","Default x index"))))</f>
        <v/>
      </c>
      <c r="T46" s="2">
        <f>IF(ISNUMBER(MATCH(Org_Profile!$C$4&amp;"|"&amp;$A46&amp;"|opex",Org_Overrides!$H$5:$H$304,0)),"Org",IF(ISNUMBER(MATCH(Location!$C$4&amp;"|"&amp;$A46&amp;"|opex",Market_Data!$K$5:$K$304,0)),"Market-City",IF(ISNUMBER(MATCH(Location!$C$5&amp;"|"&amp;$A46&amp;"|opex",Market_Data!$K$5:$K$304,0)),"Market-County",IF(ISNUMBER(MATCH(Location!$C$6&amp;"|"&amp;$A46&amp;"|opex",Market_Data!$K$5:$K$304,0)),"Market-State","Default x index"))))</f>
        <v/>
      </c>
      <c r="U46" s="2">
        <f>IF(ISNUMBER(MATCH(Org_Profile!$C$4&amp;"|"&amp;$A46&amp;"|devmo",Org_Overrides!$H$5:$H$304,0)),"Org",IF(ISNUMBER(MATCH(Location!$C$4&amp;"|"&amp;$A46&amp;"|devmo",Market_Data!$K$5:$K$304,0)),"Market-City",IF(ISNUMBER(MATCH(Location!$C$5&amp;"|"&amp;$A46&amp;"|devmo",Market_Data!$K$5:$K$304,0)),"Market-County",IF(ISNUMBER(MATCH(Location!$C$6&amp;"|"&amp;$A46&amp;"|devmo",Market_Data!$K$5:$K$304,0)),"Market-State","Default"))))</f>
        <v/>
      </c>
      <c r="V46" s="2">
        <f>IF(ISNUMBER(MATCH(Org_Profile!$C$4&amp;"|"&amp;$A46&amp;"|margin",Org_Overrides!$H$5:$H$304,0)),"Org",IF(INDEX(Org_Profile!$C$9:$C$12,MATCH(Use_Library!$C$46,Org_Profile!$B$9:$B$12,0))&lt;&gt;"","Org engine margin","Default"))</f>
        <v/>
      </c>
      <c r="W46" s="2">
        <f>IF(ISNUMBER(MATCH(Location!$C$4&amp;"|"&amp;$A46&amp;"|lotprice",Market_Data!$K$5:$K$304,0)),"Market-City",IF(ISNUMBER(MATCH(Location!$C$5&amp;"|"&amp;$A46&amp;"|lotprice",Market_Data!$K$5:$K$304,0)),"Market-County",IF(ISNUMBER(MATCH(Location!$C$6&amp;"|"&amp;$A46&amp;"|lotprice",Market_Data!$K$5:$K$304,0)),"Market-State",IF(ISNUMBER(MATCH(Org_Profile!$C$4&amp;"|"&amp;$A46&amp;"|lotprice",Org_Overrides!$H$5:$H$304,0)),"Org","Default x index"))))</f>
        <v/>
      </c>
      <c r="X46" s="2">
        <f>IF(ISNUMBER(MATCH(Location!$C$4&amp;"|"&amp;$A46&amp;"|saleprice",Market_Data!$K$5:$K$304,0)),"Market-City",IF(ISNUMBER(MATCH(Location!$C$5&amp;"|"&amp;$A46&amp;"|saleprice",Market_Data!$K$5:$K$304,0)),"Market-County",IF(ISNUMBER(MATCH(Location!$C$6&amp;"|"&amp;$A46&amp;"|saleprice",Market_Data!$K$5:$K$304,0)),"Market-State",IF(ISNUMBER(MATCH(Org_Profile!$C$4&amp;"|"&amp;$A46&amp;"|saleprice",Org_Overrides!$H$5:$H$304,0)),"Org","Default x index"))))</f>
        <v/>
      </c>
      <c r="Y46" s="2">
        <f>IF(ISNUMBER(MATCH(Location!$C$4&amp;"|"&amp;$A46&amp;"|landac",Market_Data!$K$5:$K$304,0)),"Market-City",IF(ISNUMBER(MATCH(Location!$C$5&amp;"|"&amp;$A46&amp;"|landac",Market_Data!$K$5:$K$304,0)),"Market-County",IF(ISNUMBER(MATCH(Location!$C$6&amp;"|"&amp;$A46&amp;"|landac",Market_Data!$K$5:$K$304,0)),"Market-State",IF(ISNUMBER(MATCH(Org_Profile!$C$4&amp;"|"&amp;$A46&amp;"|landac",Org_Overrides!$H$5:$H$304,0)),"Org","Default x index"))))</f>
        <v/>
      </c>
      <c r="Z46" s="2">
        <f>IF(ISNUMBER(MATCH(Location!$C$4&amp;"|"&amp;$A46&amp;"|rent",Market_Data!$K$5:$K$304,0)),"Market-City",IF(ISNUMBER(MATCH(Location!$C$5&amp;"|"&amp;$A46&amp;"|rent",Market_Data!$K$5:$K$304,0)),"Market-County",IF(ISNUMBER(MATCH(Location!$C$6&amp;"|"&amp;$A46&amp;"|rent",Market_Data!$K$5:$K$304,0)),"Market-State",IF(ISNUMBER(MATCH(Org_Profile!$C$4&amp;"|"&amp;$A46&amp;"|rent",Org_Overrides!$H$5:$H$304,0)),"Org","Default x index"))))</f>
        <v/>
      </c>
      <c r="AA46" s="2">
        <f>IF(ISNUMBER(MATCH(Location!$C$4&amp;"|"&amp;$A46&amp;"|groundrent",Market_Data!$K$5:$K$304,0)),"Market-City",IF(ISNUMBER(MATCH(Location!$C$5&amp;"|"&amp;$A46&amp;"|groundrent",Market_Data!$K$5:$K$304,0)),"Market-County",IF(ISNUMBER(MATCH(Location!$C$6&amp;"|"&amp;$A46&amp;"|groundrent",Market_Data!$K$5:$K$304,0)),"Market-State",IF(ISNUMBER(MATCH(Org_Profile!$C$4&amp;"|"&amp;$A46&amp;"|groundrent",Org_Overrides!$H$5:$H$304,0)),"Org","Default x index"))))</f>
        <v/>
      </c>
      <c r="AB46" s="2">
        <f>IF(ISNUMBER(MATCH(Location!$C$4&amp;"|"&amp;$A46&amp;"|cap",Market_Data!$K$5:$K$304,0)),"Market-City",IF(ISNUMBER(MATCH(Location!$C$5&amp;"|"&amp;$A46&amp;"|cap",Market_Data!$K$5:$K$304,0)),"Market-County",IF(ISNUMBER(MATCH(Location!$C$6&amp;"|"&amp;$A46&amp;"|cap",Market_Data!$K$5:$K$304,0)),"Market-State",IF(ISNUMBER(MATCH(Org_Profile!$C$4&amp;"|"&amp;$A46&amp;"|cap",Org_Overrides!$H$5:$H$304,0)),"Org","Default x index"))))</f>
        <v/>
      </c>
      <c r="AC46" s="2">
        <f>IF(ISNUMBER(MATCH(Location!$C$4&amp;"|"&amp;$A46&amp;"|vac",Market_Data!$K$5:$K$304,0)),"Market-City",IF(ISNUMBER(MATCH(Location!$C$5&amp;"|"&amp;$A46&amp;"|vac",Market_Data!$K$5:$K$304,0)),"Market-County",IF(ISNUMBER(MATCH(Location!$C$6&amp;"|"&amp;$A46&amp;"|vac",Market_Data!$K$5:$K$304,0)),"Market-State",IF(ISNUMBER(MATCH(Org_Profile!$C$4&amp;"|"&amp;$A46&amp;"|vac",Org_Overrides!$H$5:$H$304,0)),"Org","Default"))))</f>
        <v/>
      </c>
      <c r="AD46" s="2">
        <f>IF(ISNUMBER(MATCH(Location!$C$4&amp;"|"&amp;$A46&amp;"|absorb",Market_Data!$K$5:$K$304,0)),"Market-City",IF(ISNUMBER(MATCH(Location!$C$5&amp;"|"&amp;$A46&amp;"|absorb",Market_Data!$K$5:$K$304,0)),"Market-County",IF(ISNUMBER(MATCH(Location!$C$6&amp;"|"&amp;$A46&amp;"|absorb",Market_Data!$K$5:$K$304,0)),"Market-State",IF(ISNUMBER(MATCH(Org_Profile!$C$4&amp;"|"&amp;$A46&amp;"|absorb",Org_Overrides!$H$5:$H$304,0)),"Org","Default"))))</f>
        <v/>
      </c>
      <c r="AE46" s="2">
        <f>IF(ISNUMBER(MATCH(Location!$C$4&amp;"|"&amp;$A46&amp;"|lotabs",Market_Data!$K$5:$K$304,0)),"Market-City",IF(ISNUMBER(MATCH(Location!$C$5&amp;"|"&amp;$A46&amp;"|lotabs",Market_Data!$K$5:$K$304,0)),"Market-County",IF(ISNUMBER(MATCH(Location!$C$6&amp;"|"&amp;$A46&amp;"|lotabs",Market_Data!$K$5:$K$304,0)),"Market-State",IF(ISNUMBER(MATCH(Org_Profile!$C$4&amp;"|"&amp;$A46&amp;"|lotabs",Org_Overrides!$H$5:$H$304,0)),"Org","Default"))))</f>
        <v/>
      </c>
      <c r="AF46" s="15">
        <f>15-COUNTIF(Q46:AE46,"Default*")</f>
        <v/>
      </c>
    </row>
    <row r="47">
      <c r="A47" s="4">
        <f>Use_Library!$A$47</f>
        <v/>
      </c>
      <c r="B47" s="20">
        <f>IFERROR((INDEX(Org_Overrides!$D$5:$D$304,MATCH(Org_Profile!$C$4&amp;"|"&amp;$A47&amp;"|vert",Org_Overrides!$H$5:$H$304,0))*Location!$C$9),IFERROR(INDEX(Market_Data!$D$5:$D$304,MATCH(Location!$C$4&amp;"|"&amp;$A47&amp;"|vert",Market_Data!$K$5:$K$304,0)),IFERROR(INDEX(Market_Data!$D$5:$D$304,MATCH(Location!$C$5&amp;"|"&amp;$A47&amp;"|vert",Market_Data!$K$5:$K$304,0)),IFERROR(INDEX(Market_Data!$D$5:$D$304,MATCH(Location!$C$6&amp;"|"&amp;$A47&amp;"|vert",Market_Data!$K$5:$K$304,0)),(Use_Library!$AF$47*Location!$C$9)))))</f>
        <v/>
      </c>
      <c r="C47" s="20">
        <f>IFERROR((INDEX(Org_Overrides!$D$5:$D$304,MATCH(Org_Profile!$C$4&amp;"|"&amp;$A47&amp;"|entitle",Org_Overrides!$H$5:$H$304,0))*Location!$C$9),IFERROR(INDEX(Market_Data!$D$5:$D$304,MATCH(Location!$C$4&amp;"|"&amp;$A47&amp;"|entitle",Market_Data!$K$5:$K$304,0)),IFERROR(INDEX(Market_Data!$D$5:$D$304,MATCH(Location!$C$5&amp;"|"&amp;$A47&amp;"|entitle",Market_Data!$K$5:$K$304,0)),IFERROR(INDEX(Market_Data!$D$5:$D$304,MATCH(Location!$C$6&amp;"|"&amp;$A47&amp;"|entitle",Market_Data!$K$5:$K$304,0)),(Use_Library!$AE$47*Location!$C$9)))))</f>
        <v/>
      </c>
      <c r="D47" s="20">
        <f>IFERROR((INDEX(Org_Overrides!$D$5:$D$304,MATCH(Org_Profile!$C$4&amp;"|"&amp;$A47&amp;"|tilc",Org_Overrides!$H$5:$H$304,0))*Location!$C$9),IFERROR(INDEX(Market_Data!$D$5:$D$304,MATCH(Location!$C$4&amp;"|"&amp;$A47&amp;"|tilc",Market_Data!$K$5:$K$304,0)),IFERROR(INDEX(Market_Data!$D$5:$D$304,MATCH(Location!$C$5&amp;"|"&amp;$A47&amp;"|tilc",Market_Data!$K$5:$K$304,0)),IFERROR(INDEX(Market_Data!$D$5:$D$304,MATCH(Location!$C$6&amp;"|"&amp;$A47&amp;"|tilc",Market_Data!$K$5:$K$304,0)),(Use_Library!$AG$47*Location!$C$9)))))</f>
        <v/>
      </c>
      <c r="E47" s="20">
        <f>IFERROR((INDEX(Org_Overrides!$D$5:$D$304,MATCH(Org_Profile!$C$4&amp;"|"&amp;$A47&amp;"|opex",Org_Overrides!$H$5:$H$304,0))*Location!$C$13),IFERROR(INDEX(Market_Data!$D$5:$D$304,MATCH(Location!$C$4&amp;"|"&amp;$A47&amp;"|opex",Market_Data!$K$5:$K$304,0)),IFERROR(INDEX(Market_Data!$D$5:$D$304,MATCH(Location!$C$5&amp;"|"&amp;$A47&amp;"|opex",Market_Data!$K$5:$K$304,0)),IFERROR(INDEX(Market_Data!$D$5:$D$304,MATCH(Location!$C$6&amp;"|"&amp;$A47&amp;"|opex",Market_Data!$K$5:$K$304,0)),(Use_Library!$AN$47*Location!$C$13)))))</f>
        <v/>
      </c>
      <c r="F47" s="9">
        <f>IFERROR(INDEX(Org_Overrides!$D$5:$D$304,MATCH(Org_Profile!$C$4&amp;"|"&amp;$A47&amp;"|devmo",Org_Overrides!$H$5:$H$304,0)),IFERROR(INDEX(Market_Data!$D$5:$D$304,MATCH(Location!$C$4&amp;"|"&amp;$A47&amp;"|devmo",Market_Data!$K$5:$K$304,0)),IFERROR(INDEX(Market_Data!$D$5:$D$304,MATCH(Location!$C$5&amp;"|"&amp;$A47&amp;"|devmo",Market_Data!$K$5:$K$304,0)),IFERROR(INDEX(Market_Data!$D$5:$D$304,MATCH(Location!$C$6&amp;"|"&amp;$A47&amp;"|devmo",Market_Data!$K$5:$K$304,0)),Use_Library!$AH$47))))</f>
        <v/>
      </c>
      <c r="G47" s="23">
        <f>IFERROR(INDEX(Org_Overrides!$D$5:$D$304,MATCH(Org_Profile!$C$4&amp;"|"&amp;$A47&amp;"|margin",Org_Overrides!$H$5:$H$304,0)),IF(INDEX(Org_Profile!$C$9:$C$12,MATCH(Use_Library!$C$47,Org_Profile!$B$9:$B$12,0))&lt;&gt;"",INDEX(Org_Profile!$C$9:$C$12,MATCH(Use_Library!$C$47,Org_Profile!$B$9:$B$12,0)),Use_Library!$AU$47))</f>
        <v/>
      </c>
      <c r="H47" s="20">
        <f>IFERROR(INDEX(Market_Data!$D$5:$D$304,MATCH(Location!$C$4&amp;"|"&amp;$A47&amp;"|lotprice",Market_Data!$K$5:$K$304,0)),IFERROR(INDEX(Market_Data!$D$5:$D$304,MATCH(Location!$C$5&amp;"|"&amp;$A47&amp;"|lotprice",Market_Data!$K$5:$K$304,0)),IFERROR(INDEX(Market_Data!$D$5:$D$304,MATCH(Location!$C$6&amp;"|"&amp;$A47&amp;"|lotprice",Market_Data!$K$5:$K$304,0)),IFERROR((INDEX(Org_Overrides!$D$5:$D$304,MATCH(Org_Profile!$C$4&amp;"|"&amp;$A47&amp;"|lotprice",Org_Overrides!$H$5:$H$304,0))*Location!$C$10),(Use_Library!$AI$47*Location!$C$10)))))</f>
        <v/>
      </c>
      <c r="I47" s="20">
        <f>IFERROR(INDEX(Market_Data!$D$5:$D$304,MATCH(Location!$C$4&amp;"|"&amp;$A47&amp;"|saleprice",Market_Data!$K$5:$K$304,0)),IFERROR(INDEX(Market_Data!$D$5:$D$304,MATCH(Location!$C$5&amp;"|"&amp;$A47&amp;"|saleprice",Market_Data!$K$5:$K$304,0)),IFERROR(INDEX(Market_Data!$D$5:$D$304,MATCH(Location!$C$6&amp;"|"&amp;$A47&amp;"|saleprice",Market_Data!$K$5:$K$304,0)),IFERROR((INDEX(Org_Overrides!$D$5:$D$304,MATCH(Org_Profile!$C$4&amp;"|"&amp;$A47&amp;"|saleprice",Org_Overrides!$H$5:$H$304,0))*Location!$C$10),(Use_Library!$AJ$47*Location!$C$10)))))</f>
        <v/>
      </c>
      <c r="J47" s="20">
        <f>IFERROR(INDEX(Market_Data!$D$5:$D$304,MATCH(Location!$C$4&amp;"|"&amp;$A47&amp;"|landac",Market_Data!$K$5:$K$304,0)),IFERROR(INDEX(Market_Data!$D$5:$D$304,MATCH(Location!$C$5&amp;"|"&amp;$A47&amp;"|landac",Market_Data!$K$5:$K$304,0)),IFERROR(INDEX(Market_Data!$D$5:$D$304,MATCH(Location!$C$6&amp;"|"&amp;$A47&amp;"|landac",Market_Data!$K$5:$K$304,0)),IFERROR((INDEX(Org_Overrides!$D$5:$D$304,MATCH(Org_Profile!$C$4&amp;"|"&amp;$A47&amp;"|landac",Org_Overrides!$H$5:$H$304,0))*Location!$C$10),(Use_Library!$AS$47*Location!$C$10)))))</f>
        <v/>
      </c>
      <c r="K47" s="20">
        <f>IFERROR(INDEX(Market_Data!$D$5:$D$304,MATCH(Location!$C$4&amp;"|"&amp;$A47&amp;"|rent",Market_Data!$K$5:$K$304,0)),IFERROR(INDEX(Market_Data!$D$5:$D$304,MATCH(Location!$C$5&amp;"|"&amp;$A47&amp;"|rent",Market_Data!$K$5:$K$304,0)),IFERROR(INDEX(Market_Data!$D$5:$D$304,MATCH(Location!$C$6&amp;"|"&amp;$A47&amp;"|rent",Market_Data!$K$5:$K$304,0)),IFERROR((INDEX(Org_Overrides!$D$5:$D$304,MATCH(Org_Profile!$C$4&amp;"|"&amp;$A47&amp;"|rent",Org_Overrides!$H$5:$H$304,0))*Location!$C$11),(Use_Library!$AK$47*Location!$C$11)))))</f>
        <v/>
      </c>
      <c r="L47" s="20">
        <f>IFERROR(INDEX(Market_Data!$D$5:$D$304,MATCH(Location!$C$4&amp;"|"&amp;$A47&amp;"|groundrent",Market_Data!$K$5:$K$304,0)),IFERROR(INDEX(Market_Data!$D$5:$D$304,MATCH(Location!$C$5&amp;"|"&amp;$A47&amp;"|groundrent",Market_Data!$K$5:$K$304,0)),IFERROR(INDEX(Market_Data!$D$5:$D$304,MATCH(Location!$C$6&amp;"|"&amp;$A47&amp;"|groundrent",Market_Data!$K$5:$K$304,0)),IFERROR((INDEX(Org_Overrides!$D$5:$D$304,MATCH(Org_Profile!$C$4&amp;"|"&amp;$A47&amp;"|groundrent",Org_Overrides!$H$5:$H$304,0))*Location!$C$11),(Use_Library!$AT$47*Location!$C$11)))))</f>
        <v/>
      </c>
      <c r="M47" s="23">
        <f>IFERROR(INDEX(Market_Data!$D$5:$D$304,MATCH(Location!$C$4&amp;"|"&amp;$A47&amp;"|cap",Market_Data!$K$5:$K$304,0)),IFERROR(INDEX(Market_Data!$D$5:$D$304,MATCH(Location!$C$5&amp;"|"&amp;$A47&amp;"|cap",Market_Data!$K$5:$K$304,0)),IFERROR(INDEX(Market_Data!$D$5:$D$304,MATCH(Location!$C$6&amp;"|"&amp;$A47&amp;"|cap",Market_Data!$K$5:$K$304,0)),IFERROR((INDEX(Org_Overrides!$D$5:$D$304,MATCH(Org_Profile!$C$4&amp;"|"&amp;$A47&amp;"|cap",Org_Overrides!$H$5:$H$304,0))+Location!$C$12),(Use_Library!$AR$47+Location!$C$12)))))</f>
        <v/>
      </c>
      <c r="N47" s="23">
        <f>IFERROR(INDEX(Market_Data!$D$5:$D$304,MATCH(Location!$C$4&amp;"|"&amp;$A47&amp;"|vac",Market_Data!$K$5:$K$304,0)),IFERROR(INDEX(Market_Data!$D$5:$D$304,MATCH(Location!$C$5&amp;"|"&amp;$A47&amp;"|vac",Market_Data!$K$5:$K$304,0)),IFERROR(INDEX(Market_Data!$D$5:$D$304,MATCH(Location!$C$6&amp;"|"&amp;$A47&amp;"|vac",Market_Data!$K$5:$K$304,0)),IFERROR(INDEX(Org_Overrides!$D$5:$D$304,MATCH(Org_Profile!$C$4&amp;"|"&amp;$A47&amp;"|vac",Org_Overrides!$H$5:$H$304,0)),Use_Library!$AM$47))))</f>
        <v/>
      </c>
      <c r="O47" s="24">
        <f>IFERROR(INDEX(Market_Data!$D$5:$D$304,MATCH(Location!$C$4&amp;"|"&amp;$A47&amp;"|absorb",Market_Data!$K$5:$K$304,0)),IFERROR(INDEX(Market_Data!$D$5:$D$304,MATCH(Location!$C$5&amp;"|"&amp;$A47&amp;"|absorb",Market_Data!$K$5:$K$304,0)),IFERROR(INDEX(Market_Data!$D$5:$D$304,MATCH(Location!$C$6&amp;"|"&amp;$A47&amp;"|absorb",Market_Data!$K$5:$K$304,0)),IFERROR(INDEX(Org_Overrides!$D$5:$D$304,MATCH(Org_Profile!$C$4&amp;"|"&amp;$A47&amp;"|absorb",Org_Overrides!$H$5:$H$304,0)),Use_Library!$R$47))))</f>
        <v/>
      </c>
      <c r="P47" s="24">
        <f>IFERROR(INDEX(Market_Data!$D$5:$D$304,MATCH(Location!$C$4&amp;"|"&amp;$A47&amp;"|lotabs",Market_Data!$K$5:$K$304,0)),IFERROR(INDEX(Market_Data!$D$5:$D$304,MATCH(Location!$C$5&amp;"|"&amp;$A47&amp;"|lotabs",Market_Data!$K$5:$K$304,0)),IFERROR(INDEX(Market_Data!$D$5:$D$304,MATCH(Location!$C$6&amp;"|"&amp;$A47&amp;"|lotabs",Market_Data!$K$5:$K$304,0)),IFERROR(INDEX(Org_Overrides!$D$5:$D$304,MATCH(Org_Profile!$C$4&amp;"|"&amp;$A47&amp;"|lotabs",Org_Overrides!$H$5:$H$304,0)),Use_Library!$S$47))))</f>
        <v/>
      </c>
      <c r="Q47" s="2">
        <f>IF(ISNUMBER(MATCH(Org_Profile!$C$4&amp;"|"&amp;$A47&amp;"|vert",Org_Overrides!$H$5:$H$304,0)),"Org",IF(ISNUMBER(MATCH(Location!$C$4&amp;"|"&amp;$A47&amp;"|vert",Market_Data!$K$5:$K$304,0)),"Market-City",IF(ISNUMBER(MATCH(Location!$C$5&amp;"|"&amp;$A47&amp;"|vert",Market_Data!$K$5:$K$304,0)),"Market-County",IF(ISNUMBER(MATCH(Location!$C$6&amp;"|"&amp;$A47&amp;"|vert",Market_Data!$K$5:$K$304,0)),"Market-State","Default x index"))))</f>
        <v/>
      </c>
      <c r="R47" s="2">
        <f>IF(ISNUMBER(MATCH(Org_Profile!$C$4&amp;"|"&amp;$A47&amp;"|entitle",Org_Overrides!$H$5:$H$304,0)),"Org",IF(ISNUMBER(MATCH(Location!$C$4&amp;"|"&amp;$A47&amp;"|entitle",Market_Data!$K$5:$K$304,0)),"Market-City",IF(ISNUMBER(MATCH(Location!$C$5&amp;"|"&amp;$A47&amp;"|entitle",Market_Data!$K$5:$K$304,0)),"Market-County",IF(ISNUMBER(MATCH(Location!$C$6&amp;"|"&amp;$A47&amp;"|entitle",Market_Data!$K$5:$K$304,0)),"Market-State","Default x index"))))</f>
        <v/>
      </c>
      <c r="S47" s="2">
        <f>IF(ISNUMBER(MATCH(Org_Profile!$C$4&amp;"|"&amp;$A47&amp;"|tilc",Org_Overrides!$H$5:$H$304,0)),"Org",IF(ISNUMBER(MATCH(Location!$C$4&amp;"|"&amp;$A47&amp;"|tilc",Market_Data!$K$5:$K$304,0)),"Market-City",IF(ISNUMBER(MATCH(Location!$C$5&amp;"|"&amp;$A47&amp;"|tilc",Market_Data!$K$5:$K$304,0)),"Market-County",IF(ISNUMBER(MATCH(Location!$C$6&amp;"|"&amp;$A47&amp;"|tilc",Market_Data!$K$5:$K$304,0)),"Market-State","Default x index"))))</f>
        <v/>
      </c>
      <c r="T47" s="2">
        <f>IF(ISNUMBER(MATCH(Org_Profile!$C$4&amp;"|"&amp;$A47&amp;"|opex",Org_Overrides!$H$5:$H$304,0)),"Org",IF(ISNUMBER(MATCH(Location!$C$4&amp;"|"&amp;$A47&amp;"|opex",Market_Data!$K$5:$K$304,0)),"Market-City",IF(ISNUMBER(MATCH(Location!$C$5&amp;"|"&amp;$A47&amp;"|opex",Market_Data!$K$5:$K$304,0)),"Market-County",IF(ISNUMBER(MATCH(Location!$C$6&amp;"|"&amp;$A47&amp;"|opex",Market_Data!$K$5:$K$304,0)),"Market-State","Default x index"))))</f>
        <v/>
      </c>
      <c r="U47" s="2">
        <f>IF(ISNUMBER(MATCH(Org_Profile!$C$4&amp;"|"&amp;$A47&amp;"|devmo",Org_Overrides!$H$5:$H$304,0)),"Org",IF(ISNUMBER(MATCH(Location!$C$4&amp;"|"&amp;$A47&amp;"|devmo",Market_Data!$K$5:$K$304,0)),"Market-City",IF(ISNUMBER(MATCH(Location!$C$5&amp;"|"&amp;$A47&amp;"|devmo",Market_Data!$K$5:$K$304,0)),"Market-County",IF(ISNUMBER(MATCH(Location!$C$6&amp;"|"&amp;$A47&amp;"|devmo",Market_Data!$K$5:$K$304,0)),"Market-State","Default"))))</f>
        <v/>
      </c>
      <c r="V47" s="2">
        <f>IF(ISNUMBER(MATCH(Org_Profile!$C$4&amp;"|"&amp;$A47&amp;"|margin",Org_Overrides!$H$5:$H$304,0)),"Org",IF(INDEX(Org_Profile!$C$9:$C$12,MATCH(Use_Library!$C$47,Org_Profile!$B$9:$B$12,0))&lt;&gt;"","Org engine margin","Default"))</f>
        <v/>
      </c>
      <c r="W47" s="2">
        <f>IF(ISNUMBER(MATCH(Location!$C$4&amp;"|"&amp;$A47&amp;"|lotprice",Market_Data!$K$5:$K$304,0)),"Market-City",IF(ISNUMBER(MATCH(Location!$C$5&amp;"|"&amp;$A47&amp;"|lotprice",Market_Data!$K$5:$K$304,0)),"Market-County",IF(ISNUMBER(MATCH(Location!$C$6&amp;"|"&amp;$A47&amp;"|lotprice",Market_Data!$K$5:$K$304,0)),"Market-State",IF(ISNUMBER(MATCH(Org_Profile!$C$4&amp;"|"&amp;$A47&amp;"|lotprice",Org_Overrides!$H$5:$H$304,0)),"Org","Default x index"))))</f>
        <v/>
      </c>
      <c r="X47" s="2">
        <f>IF(ISNUMBER(MATCH(Location!$C$4&amp;"|"&amp;$A47&amp;"|saleprice",Market_Data!$K$5:$K$304,0)),"Market-City",IF(ISNUMBER(MATCH(Location!$C$5&amp;"|"&amp;$A47&amp;"|saleprice",Market_Data!$K$5:$K$304,0)),"Market-County",IF(ISNUMBER(MATCH(Location!$C$6&amp;"|"&amp;$A47&amp;"|saleprice",Market_Data!$K$5:$K$304,0)),"Market-State",IF(ISNUMBER(MATCH(Org_Profile!$C$4&amp;"|"&amp;$A47&amp;"|saleprice",Org_Overrides!$H$5:$H$304,0)),"Org","Default x index"))))</f>
        <v/>
      </c>
      <c r="Y47" s="2">
        <f>IF(ISNUMBER(MATCH(Location!$C$4&amp;"|"&amp;$A47&amp;"|landac",Market_Data!$K$5:$K$304,0)),"Market-City",IF(ISNUMBER(MATCH(Location!$C$5&amp;"|"&amp;$A47&amp;"|landac",Market_Data!$K$5:$K$304,0)),"Market-County",IF(ISNUMBER(MATCH(Location!$C$6&amp;"|"&amp;$A47&amp;"|landac",Market_Data!$K$5:$K$304,0)),"Market-State",IF(ISNUMBER(MATCH(Org_Profile!$C$4&amp;"|"&amp;$A47&amp;"|landac",Org_Overrides!$H$5:$H$304,0)),"Org","Default x index"))))</f>
        <v/>
      </c>
      <c r="Z47" s="2">
        <f>IF(ISNUMBER(MATCH(Location!$C$4&amp;"|"&amp;$A47&amp;"|rent",Market_Data!$K$5:$K$304,0)),"Market-City",IF(ISNUMBER(MATCH(Location!$C$5&amp;"|"&amp;$A47&amp;"|rent",Market_Data!$K$5:$K$304,0)),"Market-County",IF(ISNUMBER(MATCH(Location!$C$6&amp;"|"&amp;$A47&amp;"|rent",Market_Data!$K$5:$K$304,0)),"Market-State",IF(ISNUMBER(MATCH(Org_Profile!$C$4&amp;"|"&amp;$A47&amp;"|rent",Org_Overrides!$H$5:$H$304,0)),"Org","Default x index"))))</f>
        <v/>
      </c>
      <c r="AA47" s="2">
        <f>IF(ISNUMBER(MATCH(Location!$C$4&amp;"|"&amp;$A47&amp;"|groundrent",Market_Data!$K$5:$K$304,0)),"Market-City",IF(ISNUMBER(MATCH(Location!$C$5&amp;"|"&amp;$A47&amp;"|groundrent",Market_Data!$K$5:$K$304,0)),"Market-County",IF(ISNUMBER(MATCH(Location!$C$6&amp;"|"&amp;$A47&amp;"|groundrent",Market_Data!$K$5:$K$304,0)),"Market-State",IF(ISNUMBER(MATCH(Org_Profile!$C$4&amp;"|"&amp;$A47&amp;"|groundrent",Org_Overrides!$H$5:$H$304,0)),"Org","Default x index"))))</f>
        <v/>
      </c>
      <c r="AB47" s="2">
        <f>IF(ISNUMBER(MATCH(Location!$C$4&amp;"|"&amp;$A47&amp;"|cap",Market_Data!$K$5:$K$304,0)),"Market-City",IF(ISNUMBER(MATCH(Location!$C$5&amp;"|"&amp;$A47&amp;"|cap",Market_Data!$K$5:$K$304,0)),"Market-County",IF(ISNUMBER(MATCH(Location!$C$6&amp;"|"&amp;$A47&amp;"|cap",Market_Data!$K$5:$K$304,0)),"Market-State",IF(ISNUMBER(MATCH(Org_Profile!$C$4&amp;"|"&amp;$A47&amp;"|cap",Org_Overrides!$H$5:$H$304,0)),"Org","Default x index"))))</f>
        <v/>
      </c>
      <c r="AC47" s="2">
        <f>IF(ISNUMBER(MATCH(Location!$C$4&amp;"|"&amp;$A47&amp;"|vac",Market_Data!$K$5:$K$304,0)),"Market-City",IF(ISNUMBER(MATCH(Location!$C$5&amp;"|"&amp;$A47&amp;"|vac",Market_Data!$K$5:$K$304,0)),"Market-County",IF(ISNUMBER(MATCH(Location!$C$6&amp;"|"&amp;$A47&amp;"|vac",Market_Data!$K$5:$K$304,0)),"Market-State",IF(ISNUMBER(MATCH(Org_Profile!$C$4&amp;"|"&amp;$A47&amp;"|vac",Org_Overrides!$H$5:$H$304,0)),"Org","Default"))))</f>
        <v/>
      </c>
      <c r="AD47" s="2">
        <f>IF(ISNUMBER(MATCH(Location!$C$4&amp;"|"&amp;$A47&amp;"|absorb",Market_Data!$K$5:$K$304,0)),"Market-City",IF(ISNUMBER(MATCH(Location!$C$5&amp;"|"&amp;$A47&amp;"|absorb",Market_Data!$K$5:$K$304,0)),"Market-County",IF(ISNUMBER(MATCH(Location!$C$6&amp;"|"&amp;$A47&amp;"|absorb",Market_Data!$K$5:$K$304,0)),"Market-State",IF(ISNUMBER(MATCH(Org_Profile!$C$4&amp;"|"&amp;$A47&amp;"|absorb",Org_Overrides!$H$5:$H$304,0)),"Org","Default"))))</f>
        <v/>
      </c>
      <c r="AE47" s="2">
        <f>IF(ISNUMBER(MATCH(Location!$C$4&amp;"|"&amp;$A47&amp;"|lotabs",Market_Data!$K$5:$K$304,0)),"Market-City",IF(ISNUMBER(MATCH(Location!$C$5&amp;"|"&amp;$A47&amp;"|lotabs",Market_Data!$K$5:$K$304,0)),"Market-County",IF(ISNUMBER(MATCH(Location!$C$6&amp;"|"&amp;$A47&amp;"|lotabs",Market_Data!$K$5:$K$304,0)),"Market-State",IF(ISNUMBER(MATCH(Org_Profile!$C$4&amp;"|"&amp;$A47&amp;"|lotabs",Org_Overrides!$H$5:$H$304,0)),"Org","Default"))))</f>
        <v/>
      </c>
      <c r="AF47" s="15">
        <f>15-COUNTIF(Q47:AE47,"Default*")</f>
        <v/>
      </c>
    </row>
    <row r="48">
      <c r="A48" s="4">
        <f>Use_Library!$A$48</f>
        <v/>
      </c>
      <c r="B48" s="20">
        <f>IFERROR((INDEX(Org_Overrides!$D$5:$D$304,MATCH(Org_Profile!$C$4&amp;"|"&amp;$A48&amp;"|vert",Org_Overrides!$H$5:$H$304,0))*Location!$C$9),IFERROR(INDEX(Market_Data!$D$5:$D$304,MATCH(Location!$C$4&amp;"|"&amp;$A48&amp;"|vert",Market_Data!$K$5:$K$304,0)),IFERROR(INDEX(Market_Data!$D$5:$D$304,MATCH(Location!$C$5&amp;"|"&amp;$A48&amp;"|vert",Market_Data!$K$5:$K$304,0)),IFERROR(INDEX(Market_Data!$D$5:$D$304,MATCH(Location!$C$6&amp;"|"&amp;$A48&amp;"|vert",Market_Data!$K$5:$K$304,0)),(Use_Library!$AF$48*Location!$C$9)))))</f>
        <v/>
      </c>
      <c r="C48" s="20">
        <f>IFERROR((INDEX(Org_Overrides!$D$5:$D$304,MATCH(Org_Profile!$C$4&amp;"|"&amp;$A48&amp;"|entitle",Org_Overrides!$H$5:$H$304,0))*Location!$C$9),IFERROR(INDEX(Market_Data!$D$5:$D$304,MATCH(Location!$C$4&amp;"|"&amp;$A48&amp;"|entitle",Market_Data!$K$5:$K$304,0)),IFERROR(INDEX(Market_Data!$D$5:$D$304,MATCH(Location!$C$5&amp;"|"&amp;$A48&amp;"|entitle",Market_Data!$K$5:$K$304,0)),IFERROR(INDEX(Market_Data!$D$5:$D$304,MATCH(Location!$C$6&amp;"|"&amp;$A48&amp;"|entitle",Market_Data!$K$5:$K$304,0)),(Use_Library!$AE$48*Location!$C$9)))))</f>
        <v/>
      </c>
      <c r="D48" s="20">
        <f>IFERROR((INDEX(Org_Overrides!$D$5:$D$304,MATCH(Org_Profile!$C$4&amp;"|"&amp;$A48&amp;"|tilc",Org_Overrides!$H$5:$H$304,0))*Location!$C$9),IFERROR(INDEX(Market_Data!$D$5:$D$304,MATCH(Location!$C$4&amp;"|"&amp;$A48&amp;"|tilc",Market_Data!$K$5:$K$304,0)),IFERROR(INDEX(Market_Data!$D$5:$D$304,MATCH(Location!$C$5&amp;"|"&amp;$A48&amp;"|tilc",Market_Data!$K$5:$K$304,0)),IFERROR(INDEX(Market_Data!$D$5:$D$304,MATCH(Location!$C$6&amp;"|"&amp;$A48&amp;"|tilc",Market_Data!$K$5:$K$304,0)),(Use_Library!$AG$48*Location!$C$9)))))</f>
        <v/>
      </c>
      <c r="E48" s="20">
        <f>IFERROR((INDEX(Org_Overrides!$D$5:$D$304,MATCH(Org_Profile!$C$4&amp;"|"&amp;$A48&amp;"|opex",Org_Overrides!$H$5:$H$304,0))*Location!$C$13),IFERROR(INDEX(Market_Data!$D$5:$D$304,MATCH(Location!$C$4&amp;"|"&amp;$A48&amp;"|opex",Market_Data!$K$5:$K$304,0)),IFERROR(INDEX(Market_Data!$D$5:$D$304,MATCH(Location!$C$5&amp;"|"&amp;$A48&amp;"|opex",Market_Data!$K$5:$K$304,0)),IFERROR(INDEX(Market_Data!$D$5:$D$304,MATCH(Location!$C$6&amp;"|"&amp;$A48&amp;"|opex",Market_Data!$K$5:$K$304,0)),(Use_Library!$AN$48*Location!$C$13)))))</f>
        <v/>
      </c>
      <c r="F48" s="9">
        <f>IFERROR(INDEX(Org_Overrides!$D$5:$D$304,MATCH(Org_Profile!$C$4&amp;"|"&amp;$A48&amp;"|devmo",Org_Overrides!$H$5:$H$304,0)),IFERROR(INDEX(Market_Data!$D$5:$D$304,MATCH(Location!$C$4&amp;"|"&amp;$A48&amp;"|devmo",Market_Data!$K$5:$K$304,0)),IFERROR(INDEX(Market_Data!$D$5:$D$304,MATCH(Location!$C$5&amp;"|"&amp;$A48&amp;"|devmo",Market_Data!$K$5:$K$304,0)),IFERROR(INDEX(Market_Data!$D$5:$D$304,MATCH(Location!$C$6&amp;"|"&amp;$A48&amp;"|devmo",Market_Data!$K$5:$K$304,0)),Use_Library!$AH$48))))</f>
        <v/>
      </c>
      <c r="G48" s="23">
        <f>IFERROR(INDEX(Org_Overrides!$D$5:$D$304,MATCH(Org_Profile!$C$4&amp;"|"&amp;$A48&amp;"|margin",Org_Overrides!$H$5:$H$304,0)),IF(INDEX(Org_Profile!$C$9:$C$12,MATCH(Use_Library!$C$48,Org_Profile!$B$9:$B$12,0))&lt;&gt;"",INDEX(Org_Profile!$C$9:$C$12,MATCH(Use_Library!$C$48,Org_Profile!$B$9:$B$12,0)),Use_Library!$AU$48))</f>
        <v/>
      </c>
      <c r="H48" s="20">
        <f>IFERROR(INDEX(Market_Data!$D$5:$D$304,MATCH(Location!$C$4&amp;"|"&amp;$A48&amp;"|lotprice",Market_Data!$K$5:$K$304,0)),IFERROR(INDEX(Market_Data!$D$5:$D$304,MATCH(Location!$C$5&amp;"|"&amp;$A48&amp;"|lotprice",Market_Data!$K$5:$K$304,0)),IFERROR(INDEX(Market_Data!$D$5:$D$304,MATCH(Location!$C$6&amp;"|"&amp;$A48&amp;"|lotprice",Market_Data!$K$5:$K$304,0)),IFERROR((INDEX(Org_Overrides!$D$5:$D$304,MATCH(Org_Profile!$C$4&amp;"|"&amp;$A48&amp;"|lotprice",Org_Overrides!$H$5:$H$304,0))*Location!$C$10),(Use_Library!$AI$48*Location!$C$10)))))</f>
        <v/>
      </c>
      <c r="I48" s="20">
        <f>IFERROR(INDEX(Market_Data!$D$5:$D$304,MATCH(Location!$C$4&amp;"|"&amp;$A48&amp;"|saleprice",Market_Data!$K$5:$K$304,0)),IFERROR(INDEX(Market_Data!$D$5:$D$304,MATCH(Location!$C$5&amp;"|"&amp;$A48&amp;"|saleprice",Market_Data!$K$5:$K$304,0)),IFERROR(INDEX(Market_Data!$D$5:$D$304,MATCH(Location!$C$6&amp;"|"&amp;$A48&amp;"|saleprice",Market_Data!$K$5:$K$304,0)),IFERROR((INDEX(Org_Overrides!$D$5:$D$304,MATCH(Org_Profile!$C$4&amp;"|"&amp;$A48&amp;"|saleprice",Org_Overrides!$H$5:$H$304,0))*Location!$C$10),(Use_Library!$AJ$48*Location!$C$10)))))</f>
        <v/>
      </c>
      <c r="J48" s="20">
        <f>IFERROR(INDEX(Market_Data!$D$5:$D$304,MATCH(Location!$C$4&amp;"|"&amp;$A48&amp;"|landac",Market_Data!$K$5:$K$304,0)),IFERROR(INDEX(Market_Data!$D$5:$D$304,MATCH(Location!$C$5&amp;"|"&amp;$A48&amp;"|landac",Market_Data!$K$5:$K$304,0)),IFERROR(INDEX(Market_Data!$D$5:$D$304,MATCH(Location!$C$6&amp;"|"&amp;$A48&amp;"|landac",Market_Data!$K$5:$K$304,0)),IFERROR((INDEX(Org_Overrides!$D$5:$D$304,MATCH(Org_Profile!$C$4&amp;"|"&amp;$A48&amp;"|landac",Org_Overrides!$H$5:$H$304,0))*Location!$C$10),(Use_Library!$AS$48*Location!$C$10)))))</f>
        <v/>
      </c>
      <c r="K48" s="20">
        <f>IFERROR(INDEX(Market_Data!$D$5:$D$304,MATCH(Location!$C$4&amp;"|"&amp;$A48&amp;"|rent",Market_Data!$K$5:$K$304,0)),IFERROR(INDEX(Market_Data!$D$5:$D$304,MATCH(Location!$C$5&amp;"|"&amp;$A48&amp;"|rent",Market_Data!$K$5:$K$304,0)),IFERROR(INDEX(Market_Data!$D$5:$D$304,MATCH(Location!$C$6&amp;"|"&amp;$A48&amp;"|rent",Market_Data!$K$5:$K$304,0)),IFERROR((INDEX(Org_Overrides!$D$5:$D$304,MATCH(Org_Profile!$C$4&amp;"|"&amp;$A48&amp;"|rent",Org_Overrides!$H$5:$H$304,0))*Location!$C$11),(Use_Library!$AK$48*Location!$C$11)))))</f>
        <v/>
      </c>
      <c r="L48" s="20">
        <f>IFERROR(INDEX(Market_Data!$D$5:$D$304,MATCH(Location!$C$4&amp;"|"&amp;$A48&amp;"|groundrent",Market_Data!$K$5:$K$304,0)),IFERROR(INDEX(Market_Data!$D$5:$D$304,MATCH(Location!$C$5&amp;"|"&amp;$A48&amp;"|groundrent",Market_Data!$K$5:$K$304,0)),IFERROR(INDEX(Market_Data!$D$5:$D$304,MATCH(Location!$C$6&amp;"|"&amp;$A48&amp;"|groundrent",Market_Data!$K$5:$K$304,0)),IFERROR((INDEX(Org_Overrides!$D$5:$D$304,MATCH(Org_Profile!$C$4&amp;"|"&amp;$A48&amp;"|groundrent",Org_Overrides!$H$5:$H$304,0))*Location!$C$11),(Use_Library!$AT$48*Location!$C$11)))))</f>
        <v/>
      </c>
      <c r="M48" s="23">
        <f>IFERROR(INDEX(Market_Data!$D$5:$D$304,MATCH(Location!$C$4&amp;"|"&amp;$A48&amp;"|cap",Market_Data!$K$5:$K$304,0)),IFERROR(INDEX(Market_Data!$D$5:$D$304,MATCH(Location!$C$5&amp;"|"&amp;$A48&amp;"|cap",Market_Data!$K$5:$K$304,0)),IFERROR(INDEX(Market_Data!$D$5:$D$304,MATCH(Location!$C$6&amp;"|"&amp;$A48&amp;"|cap",Market_Data!$K$5:$K$304,0)),IFERROR((INDEX(Org_Overrides!$D$5:$D$304,MATCH(Org_Profile!$C$4&amp;"|"&amp;$A48&amp;"|cap",Org_Overrides!$H$5:$H$304,0))+Location!$C$12),(Use_Library!$AR$48+Location!$C$12)))))</f>
        <v/>
      </c>
      <c r="N48" s="23">
        <f>IFERROR(INDEX(Market_Data!$D$5:$D$304,MATCH(Location!$C$4&amp;"|"&amp;$A48&amp;"|vac",Market_Data!$K$5:$K$304,0)),IFERROR(INDEX(Market_Data!$D$5:$D$304,MATCH(Location!$C$5&amp;"|"&amp;$A48&amp;"|vac",Market_Data!$K$5:$K$304,0)),IFERROR(INDEX(Market_Data!$D$5:$D$304,MATCH(Location!$C$6&amp;"|"&amp;$A48&amp;"|vac",Market_Data!$K$5:$K$304,0)),IFERROR(INDEX(Org_Overrides!$D$5:$D$304,MATCH(Org_Profile!$C$4&amp;"|"&amp;$A48&amp;"|vac",Org_Overrides!$H$5:$H$304,0)),Use_Library!$AM$48))))</f>
        <v/>
      </c>
      <c r="O48" s="24">
        <f>IFERROR(INDEX(Market_Data!$D$5:$D$304,MATCH(Location!$C$4&amp;"|"&amp;$A48&amp;"|absorb",Market_Data!$K$5:$K$304,0)),IFERROR(INDEX(Market_Data!$D$5:$D$304,MATCH(Location!$C$5&amp;"|"&amp;$A48&amp;"|absorb",Market_Data!$K$5:$K$304,0)),IFERROR(INDEX(Market_Data!$D$5:$D$304,MATCH(Location!$C$6&amp;"|"&amp;$A48&amp;"|absorb",Market_Data!$K$5:$K$304,0)),IFERROR(INDEX(Org_Overrides!$D$5:$D$304,MATCH(Org_Profile!$C$4&amp;"|"&amp;$A48&amp;"|absorb",Org_Overrides!$H$5:$H$304,0)),Use_Library!$R$48))))</f>
        <v/>
      </c>
      <c r="P48" s="24">
        <f>IFERROR(INDEX(Market_Data!$D$5:$D$304,MATCH(Location!$C$4&amp;"|"&amp;$A48&amp;"|lotabs",Market_Data!$K$5:$K$304,0)),IFERROR(INDEX(Market_Data!$D$5:$D$304,MATCH(Location!$C$5&amp;"|"&amp;$A48&amp;"|lotabs",Market_Data!$K$5:$K$304,0)),IFERROR(INDEX(Market_Data!$D$5:$D$304,MATCH(Location!$C$6&amp;"|"&amp;$A48&amp;"|lotabs",Market_Data!$K$5:$K$304,0)),IFERROR(INDEX(Org_Overrides!$D$5:$D$304,MATCH(Org_Profile!$C$4&amp;"|"&amp;$A48&amp;"|lotabs",Org_Overrides!$H$5:$H$304,0)),Use_Library!$S$48))))</f>
        <v/>
      </c>
      <c r="Q48" s="2">
        <f>IF(ISNUMBER(MATCH(Org_Profile!$C$4&amp;"|"&amp;$A48&amp;"|vert",Org_Overrides!$H$5:$H$304,0)),"Org",IF(ISNUMBER(MATCH(Location!$C$4&amp;"|"&amp;$A48&amp;"|vert",Market_Data!$K$5:$K$304,0)),"Market-City",IF(ISNUMBER(MATCH(Location!$C$5&amp;"|"&amp;$A48&amp;"|vert",Market_Data!$K$5:$K$304,0)),"Market-County",IF(ISNUMBER(MATCH(Location!$C$6&amp;"|"&amp;$A48&amp;"|vert",Market_Data!$K$5:$K$304,0)),"Market-State","Default x index"))))</f>
        <v/>
      </c>
      <c r="R48" s="2">
        <f>IF(ISNUMBER(MATCH(Org_Profile!$C$4&amp;"|"&amp;$A48&amp;"|entitle",Org_Overrides!$H$5:$H$304,0)),"Org",IF(ISNUMBER(MATCH(Location!$C$4&amp;"|"&amp;$A48&amp;"|entitle",Market_Data!$K$5:$K$304,0)),"Market-City",IF(ISNUMBER(MATCH(Location!$C$5&amp;"|"&amp;$A48&amp;"|entitle",Market_Data!$K$5:$K$304,0)),"Market-County",IF(ISNUMBER(MATCH(Location!$C$6&amp;"|"&amp;$A48&amp;"|entitle",Market_Data!$K$5:$K$304,0)),"Market-State","Default x index"))))</f>
        <v/>
      </c>
      <c r="S48" s="2">
        <f>IF(ISNUMBER(MATCH(Org_Profile!$C$4&amp;"|"&amp;$A48&amp;"|tilc",Org_Overrides!$H$5:$H$304,0)),"Org",IF(ISNUMBER(MATCH(Location!$C$4&amp;"|"&amp;$A48&amp;"|tilc",Market_Data!$K$5:$K$304,0)),"Market-City",IF(ISNUMBER(MATCH(Location!$C$5&amp;"|"&amp;$A48&amp;"|tilc",Market_Data!$K$5:$K$304,0)),"Market-County",IF(ISNUMBER(MATCH(Location!$C$6&amp;"|"&amp;$A48&amp;"|tilc",Market_Data!$K$5:$K$304,0)),"Market-State","Default x index"))))</f>
        <v/>
      </c>
      <c r="T48" s="2">
        <f>IF(ISNUMBER(MATCH(Org_Profile!$C$4&amp;"|"&amp;$A48&amp;"|opex",Org_Overrides!$H$5:$H$304,0)),"Org",IF(ISNUMBER(MATCH(Location!$C$4&amp;"|"&amp;$A48&amp;"|opex",Market_Data!$K$5:$K$304,0)),"Market-City",IF(ISNUMBER(MATCH(Location!$C$5&amp;"|"&amp;$A48&amp;"|opex",Market_Data!$K$5:$K$304,0)),"Market-County",IF(ISNUMBER(MATCH(Location!$C$6&amp;"|"&amp;$A48&amp;"|opex",Market_Data!$K$5:$K$304,0)),"Market-State","Default x index"))))</f>
        <v/>
      </c>
      <c r="U48" s="2">
        <f>IF(ISNUMBER(MATCH(Org_Profile!$C$4&amp;"|"&amp;$A48&amp;"|devmo",Org_Overrides!$H$5:$H$304,0)),"Org",IF(ISNUMBER(MATCH(Location!$C$4&amp;"|"&amp;$A48&amp;"|devmo",Market_Data!$K$5:$K$304,0)),"Market-City",IF(ISNUMBER(MATCH(Location!$C$5&amp;"|"&amp;$A48&amp;"|devmo",Market_Data!$K$5:$K$304,0)),"Market-County",IF(ISNUMBER(MATCH(Location!$C$6&amp;"|"&amp;$A48&amp;"|devmo",Market_Data!$K$5:$K$304,0)),"Market-State","Default"))))</f>
        <v/>
      </c>
      <c r="V48" s="2">
        <f>IF(ISNUMBER(MATCH(Org_Profile!$C$4&amp;"|"&amp;$A48&amp;"|margin",Org_Overrides!$H$5:$H$304,0)),"Org",IF(INDEX(Org_Profile!$C$9:$C$12,MATCH(Use_Library!$C$48,Org_Profile!$B$9:$B$12,0))&lt;&gt;"","Org engine margin","Default"))</f>
        <v/>
      </c>
      <c r="W48" s="2">
        <f>IF(ISNUMBER(MATCH(Location!$C$4&amp;"|"&amp;$A48&amp;"|lotprice",Market_Data!$K$5:$K$304,0)),"Market-City",IF(ISNUMBER(MATCH(Location!$C$5&amp;"|"&amp;$A48&amp;"|lotprice",Market_Data!$K$5:$K$304,0)),"Market-County",IF(ISNUMBER(MATCH(Location!$C$6&amp;"|"&amp;$A48&amp;"|lotprice",Market_Data!$K$5:$K$304,0)),"Market-State",IF(ISNUMBER(MATCH(Org_Profile!$C$4&amp;"|"&amp;$A48&amp;"|lotprice",Org_Overrides!$H$5:$H$304,0)),"Org","Default x index"))))</f>
        <v/>
      </c>
      <c r="X48" s="2">
        <f>IF(ISNUMBER(MATCH(Location!$C$4&amp;"|"&amp;$A48&amp;"|saleprice",Market_Data!$K$5:$K$304,0)),"Market-City",IF(ISNUMBER(MATCH(Location!$C$5&amp;"|"&amp;$A48&amp;"|saleprice",Market_Data!$K$5:$K$304,0)),"Market-County",IF(ISNUMBER(MATCH(Location!$C$6&amp;"|"&amp;$A48&amp;"|saleprice",Market_Data!$K$5:$K$304,0)),"Market-State",IF(ISNUMBER(MATCH(Org_Profile!$C$4&amp;"|"&amp;$A48&amp;"|saleprice",Org_Overrides!$H$5:$H$304,0)),"Org","Default x index"))))</f>
        <v/>
      </c>
      <c r="Y48" s="2">
        <f>IF(ISNUMBER(MATCH(Location!$C$4&amp;"|"&amp;$A48&amp;"|landac",Market_Data!$K$5:$K$304,0)),"Market-City",IF(ISNUMBER(MATCH(Location!$C$5&amp;"|"&amp;$A48&amp;"|landac",Market_Data!$K$5:$K$304,0)),"Market-County",IF(ISNUMBER(MATCH(Location!$C$6&amp;"|"&amp;$A48&amp;"|landac",Market_Data!$K$5:$K$304,0)),"Market-State",IF(ISNUMBER(MATCH(Org_Profile!$C$4&amp;"|"&amp;$A48&amp;"|landac",Org_Overrides!$H$5:$H$304,0)),"Org","Default x index"))))</f>
        <v/>
      </c>
      <c r="Z48" s="2">
        <f>IF(ISNUMBER(MATCH(Location!$C$4&amp;"|"&amp;$A48&amp;"|rent",Market_Data!$K$5:$K$304,0)),"Market-City",IF(ISNUMBER(MATCH(Location!$C$5&amp;"|"&amp;$A48&amp;"|rent",Market_Data!$K$5:$K$304,0)),"Market-County",IF(ISNUMBER(MATCH(Location!$C$6&amp;"|"&amp;$A48&amp;"|rent",Market_Data!$K$5:$K$304,0)),"Market-State",IF(ISNUMBER(MATCH(Org_Profile!$C$4&amp;"|"&amp;$A48&amp;"|rent",Org_Overrides!$H$5:$H$304,0)),"Org","Default x index"))))</f>
        <v/>
      </c>
      <c r="AA48" s="2">
        <f>IF(ISNUMBER(MATCH(Location!$C$4&amp;"|"&amp;$A48&amp;"|groundrent",Market_Data!$K$5:$K$304,0)),"Market-City",IF(ISNUMBER(MATCH(Location!$C$5&amp;"|"&amp;$A48&amp;"|groundrent",Market_Data!$K$5:$K$304,0)),"Market-County",IF(ISNUMBER(MATCH(Location!$C$6&amp;"|"&amp;$A48&amp;"|groundrent",Market_Data!$K$5:$K$304,0)),"Market-State",IF(ISNUMBER(MATCH(Org_Profile!$C$4&amp;"|"&amp;$A48&amp;"|groundrent",Org_Overrides!$H$5:$H$304,0)),"Org","Default x index"))))</f>
        <v/>
      </c>
      <c r="AB48" s="2">
        <f>IF(ISNUMBER(MATCH(Location!$C$4&amp;"|"&amp;$A48&amp;"|cap",Market_Data!$K$5:$K$304,0)),"Market-City",IF(ISNUMBER(MATCH(Location!$C$5&amp;"|"&amp;$A48&amp;"|cap",Market_Data!$K$5:$K$304,0)),"Market-County",IF(ISNUMBER(MATCH(Location!$C$6&amp;"|"&amp;$A48&amp;"|cap",Market_Data!$K$5:$K$304,0)),"Market-State",IF(ISNUMBER(MATCH(Org_Profile!$C$4&amp;"|"&amp;$A48&amp;"|cap",Org_Overrides!$H$5:$H$304,0)),"Org","Default x index"))))</f>
        <v/>
      </c>
      <c r="AC48" s="2">
        <f>IF(ISNUMBER(MATCH(Location!$C$4&amp;"|"&amp;$A48&amp;"|vac",Market_Data!$K$5:$K$304,0)),"Market-City",IF(ISNUMBER(MATCH(Location!$C$5&amp;"|"&amp;$A48&amp;"|vac",Market_Data!$K$5:$K$304,0)),"Market-County",IF(ISNUMBER(MATCH(Location!$C$6&amp;"|"&amp;$A48&amp;"|vac",Market_Data!$K$5:$K$304,0)),"Market-State",IF(ISNUMBER(MATCH(Org_Profile!$C$4&amp;"|"&amp;$A48&amp;"|vac",Org_Overrides!$H$5:$H$304,0)),"Org","Default"))))</f>
        <v/>
      </c>
      <c r="AD48" s="2">
        <f>IF(ISNUMBER(MATCH(Location!$C$4&amp;"|"&amp;$A48&amp;"|absorb",Market_Data!$K$5:$K$304,0)),"Market-City",IF(ISNUMBER(MATCH(Location!$C$5&amp;"|"&amp;$A48&amp;"|absorb",Market_Data!$K$5:$K$304,0)),"Market-County",IF(ISNUMBER(MATCH(Location!$C$6&amp;"|"&amp;$A48&amp;"|absorb",Market_Data!$K$5:$K$304,0)),"Market-State",IF(ISNUMBER(MATCH(Org_Profile!$C$4&amp;"|"&amp;$A48&amp;"|absorb",Org_Overrides!$H$5:$H$304,0)),"Org","Default"))))</f>
        <v/>
      </c>
      <c r="AE48" s="2">
        <f>IF(ISNUMBER(MATCH(Location!$C$4&amp;"|"&amp;$A48&amp;"|lotabs",Market_Data!$K$5:$K$304,0)),"Market-City",IF(ISNUMBER(MATCH(Location!$C$5&amp;"|"&amp;$A48&amp;"|lotabs",Market_Data!$K$5:$K$304,0)),"Market-County",IF(ISNUMBER(MATCH(Location!$C$6&amp;"|"&amp;$A48&amp;"|lotabs",Market_Data!$K$5:$K$304,0)),"Market-State",IF(ISNUMBER(MATCH(Org_Profile!$C$4&amp;"|"&amp;$A48&amp;"|lotabs",Org_Overrides!$H$5:$H$304,0)),"Org","Default"))))</f>
        <v/>
      </c>
      <c r="AF48" s="15">
        <f>15-COUNTIF(Q48:AE48,"Default*")</f>
        <v/>
      </c>
    </row>
    <row r="49">
      <c r="A49" s="4">
        <f>Use_Library!$A$49</f>
        <v/>
      </c>
      <c r="B49" s="20">
        <f>IFERROR((INDEX(Org_Overrides!$D$5:$D$304,MATCH(Org_Profile!$C$4&amp;"|"&amp;$A49&amp;"|vert",Org_Overrides!$H$5:$H$304,0))*Location!$C$9),IFERROR(INDEX(Market_Data!$D$5:$D$304,MATCH(Location!$C$4&amp;"|"&amp;$A49&amp;"|vert",Market_Data!$K$5:$K$304,0)),IFERROR(INDEX(Market_Data!$D$5:$D$304,MATCH(Location!$C$5&amp;"|"&amp;$A49&amp;"|vert",Market_Data!$K$5:$K$304,0)),IFERROR(INDEX(Market_Data!$D$5:$D$304,MATCH(Location!$C$6&amp;"|"&amp;$A49&amp;"|vert",Market_Data!$K$5:$K$304,0)),(Use_Library!$AF$49*Location!$C$9)))))</f>
        <v/>
      </c>
      <c r="C49" s="20">
        <f>IFERROR((INDEX(Org_Overrides!$D$5:$D$304,MATCH(Org_Profile!$C$4&amp;"|"&amp;$A49&amp;"|entitle",Org_Overrides!$H$5:$H$304,0))*Location!$C$9),IFERROR(INDEX(Market_Data!$D$5:$D$304,MATCH(Location!$C$4&amp;"|"&amp;$A49&amp;"|entitle",Market_Data!$K$5:$K$304,0)),IFERROR(INDEX(Market_Data!$D$5:$D$304,MATCH(Location!$C$5&amp;"|"&amp;$A49&amp;"|entitle",Market_Data!$K$5:$K$304,0)),IFERROR(INDEX(Market_Data!$D$5:$D$304,MATCH(Location!$C$6&amp;"|"&amp;$A49&amp;"|entitle",Market_Data!$K$5:$K$304,0)),(Use_Library!$AE$49*Location!$C$9)))))</f>
        <v/>
      </c>
      <c r="D49" s="20">
        <f>IFERROR((INDEX(Org_Overrides!$D$5:$D$304,MATCH(Org_Profile!$C$4&amp;"|"&amp;$A49&amp;"|tilc",Org_Overrides!$H$5:$H$304,0))*Location!$C$9),IFERROR(INDEX(Market_Data!$D$5:$D$304,MATCH(Location!$C$4&amp;"|"&amp;$A49&amp;"|tilc",Market_Data!$K$5:$K$304,0)),IFERROR(INDEX(Market_Data!$D$5:$D$304,MATCH(Location!$C$5&amp;"|"&amp;$A49&amp;"|tilc",Market_Data!$K$5:$K$304,0)),IFERROR(INDEX(Market_Data!$D$5:$D$304,MATCH(Location!$C$6&amp;"|"&amp;$A49&amp;"|tilc",Market_Data!$K$5:$K$304,0)),(Use_Library!$AG$49*Location!$C$9)))))</f>
        <v/>
      </c>
      <c r="E49" s="20">
        <f>IFERROR((INDEX(Org_Overrides!$D$5:$D$304,MATCH(Org_Profile!$C$4&amp;"|"&amp;$A49&amp;"|opex",Org_Overrides!$H$5:$H$304,0))*Location!$C$13),IFERROR(INDEX(Market_Data!$D$5:$D$304,MATCH(Location!$C$4&amp;"|"&amp;$A49&amp;"|opex",Market_Data!$K$5:$K$304,0)),IFERROR(INDEX(Market_Data!$D$5:$D$304,MATCH(Location!$C$5&amp;"|"&amp;$A49&amp;"|opex",Market_Data!$K$5:$K$304,0)),IFERROR(INDEX(Market_Data!$D$5:$D$304,MATCH(Location!$C$6&amp;"|"&amp;$A49&amp;"|opex",Market_Data!$K$5:$K$304,0)),(Use_Library!$AN$49*Location!$C$13)))))</f>
        <v/>
      </c>
      <c r="F49" s="9">
        <f>IFERROR(INDEX(Org_Overrides!$D$5:$D$304,MATCH(Org_Profile!$C$4&amp;"|"&amp;$A49&amp;"|devmo",Org_Overrides!$H$5:$H$304,0)),IFERROR(INDEX(Market_Data!$D$5:$D$304,MATCH(Location!$C$4&amp;"|"&amp;$A49&amp;"|devmo",Market_Data!$K$5:$K$304,0)),IFERROR(INDEX(Market_Data!$D$5:$D$304,MATCH(Location!$C$5&amp;"|"&amp;$A49&amp;"|devmo",Market_Data!$K$5:$K$304,0)),IFERROR(INDEX(Market_Data!$D$5:$D$304,MATCH(Location!$C$6&amp;"|"&amp;$A49&amp;"|devmo",Market_Data!$K$5:$K$304,0)),Use_Library!$AH$49))))</f>
        <v/>
      </c>
      <c r="G49" s="23">
        <f>IFERROR(INDEX(Org_Overrides!$D$5:$D$304,MATCH(Org_Profile!$C$4&amp;"|"&amp;$A49&amp;"|margin",Org_Overrides!$H$5:$H$304,0)),IF(INDEX(Org_Profile!$C$9:$C$12,MATCH(Use_Library!$C$49,Org_Profile!$B$9:$B$12,0))&lt;&gt;"",INDEX(Org_Profile!$C$9:$C$12,MATCH(Use_Library!$C$49,Org_Profile!$B$9:$B$12,0)),Use_Library!$AU$49))</f>
        <v/>
      </c>
      <c r="H49" s="20">
        <f>IFERROR(INDEX(Market_Data!$D$5:$D$304,MATCH(Location!$C$4&amp;"|"&amp;$A49&amp;"|lotprice",Market_Data!$K$5:$K$304,0)),IFERROR(INDEX(Market_Data!$D$5:$D$304,MATCH(Location!$C$5&amp;"|"&amp;$A49&amp;"|lotprice",Market_Data!$K$5:$K$304,0)),IFERROR(INDEX(Market_Data!$D$5:$D$304,MATCH(Location!$C$6&amp;"|"&amp;$A49&amp;"|lotprice",Market_Data!$K$5:$K$304,0)),IFERROR((INDEX(Org_Overrides!$D$5:$D$304,MATCH(Org_Profile!$C$4&amp;"|"&amp;$A49&amp;"|lotprice",Org_Overrides!$H$5:$H$304,0))*Location!$C$10),(Use_Library!$AI$49*Location!$C$10)))))</f>
        <v/>
      </c>
      <c r="I49" s="20">
        <f>IFERROR(INDEX(Market_Data!$D$5:$D$304,MATCH(Location!$C$4&amp;"|"&amp;$A49&amp;"|saleprice",Market_Data!$K$5:$K$304,0)),IFERROR(INDEX(Market_Data!$D$5:$D$304,MATCH(Location!$C$5&amp;"|"&amp;$A49&amp;"|saleprice",Market_Data!$K$5:$K$304,0)),IFERROR(INDEX(Market_Data!$D$5:$D$304,MATCH(Location!$C$6&amp;"|"&amp;$A49&amp;"|saleprice",Market_Data!$K$5:$K$304,0)),IFERROR((INDEX(Org_Overrides!$D$5:$D$304,MATCH(Org_Profile!$C$4&amp;"|"&amp;$A49&amp;"|saleprice",Org_Overrides!$H$5:$H$304,0))*Location!$C$10),(Use_Library!$AJ$49*Location!$C$10)))))</f>
        <v/>
      </c>
      <c r="J49" s="20">
        <f>IFERROR(INDEX(Market_Data!$D$5:$D$304,MATCH(Location!$C$4&amp;"|"&amp;$A49&amp;"|landac",Market_Data!$K$5:$K$304,0)),IFERROR(INDEX(Market_Data!$D$5:$D$304,MATCH(Location!$C$5&amp;"|"&amp;$A49&amp;"|landac",Market_Data!$K$5:$K$304,0)),IFERROR(INDEX(Market_Data!$D$5:$D$304,MATCH(Location!$C$6&amp;"|"&amp;$A49&amp;"|landac",Market_Data!$K$5:$K$304,0)),IFERROR((INDEX(Org_Overrides!$D$5:$D$304,MATCH(Org_Profile!$C$4&amp;"|"&amp;$A49&amp;"|landac",Org_Overrides!$H$5:$H$304,0))*Location!$C$10),(Use_Library!$AS$49*Location!$C$10)))))</f>
        <v/>
      </c>
      <c r="K49" s="20">
        <f>IFERROR(INDEX(Market_Data!$D$5:$D$304,MATCH(Location!$C$4&amp;"|"&amp;$A49&amp;"|rent",Market_Data!$K$5:$K$304,0)),IFERROR(INDEX(Market_Data!$D$5:$D$304,MATCH(Location!$C$5&amp;"|"&amp;$A49&amp;"|rent",Market_Data!$K$5:$K$304,0)),IFERROR(INDEX(Market_Data!$D$5:$D$304,MATCH(Location!$C$6&amp;"|"&amp;$A49&amp;"|rent",Market_Data!$K$5:$K$304,0)),IFERROR((INDEX(Org_Overrides!$D$5:$D$304,MATCH(Org_Profile!$C$4&amp;"|"&amp;$A49&amp;"|rent",Org_Overrides!$H$5:$H$304,0))*Location!$C$11),(Use_Library!$AK$49*Location!$C$11)))))</f>
        <v/>
      </c>
      <c r="L49" s="20">
        <f>IFERROR(INDEX(Market_Data!$D$5:$D$304,MATCH(Location!$C$4&amp;"|"&amp;$A49&amp;"|groundrent",Market_Data!$K$5:$K$304,0)),IFERROR(INDEX(Market_Data!$D$5:$D$304,MATCH(Location!$C$5&amp;"|"&amp;$A49&amp;"|groundrent",Market_Data!$K$5:$K$304,0)),IFERROR(INDEX(Market_Data!$D$5:$D$304,MATCH(Location!$C$6&amp;"|"&amp;$A49&amp;"|groundrent",Market_Data!$K$5:$K$304,0)),IFERROR((INDEX(Org_Overrides!$D$5:$D$304,MATCH(Org_Profile!$C$4&amp;"|"&amp;$A49&amp;"|groundrent",Org_Overrides!$H$5:$H$304,0))*Location!$C$11),(Use_Library!$AT$49*Location!$C$11)))))</f>
        <v/>
      </c>
      <c r="M49" s="23">
        <f>IFERROR(INDEX(Market_Data!$D$5:$D$304,MATCH(Location!$C$4&amp;"|"&amp;$A49&amp;"|cap",Market_Data!$K$5:$K$304,0)),IFERROR(INDEX(Market_Data!$D$5:$D$304,MATCH(Location!$C$5&amp;"|"&amp;$A49&amp;"|cap",Market_Data!$K$5:$K$304,0)),IFERROR(INDEX(Market_Data!$D$5:$D$304,MATCH(Location!$C$6&amp;"|"&amp;$A49&amp;"|cap",Market_Data!$K$5:$K$304,0)),IFERROR((INDEX(Org_Overrides!$D$5:$D$304,MATCH(Org_Profile!$C$4&amp;"|"&amp;$A49&amp;"|cap",Org_Overrides!$H$5:$H$304,0))+Location!$C$12),(Use_Library!$AR$49+Location!$C$12)))))</f>
        <v/>
      </c>
      <c r="N49" s="23">
        <f>IFERROR(INDEX(Market_Data!$D$5:$D$304,MATCH(Location!$C$4&amp;"|"&amp;$A49&amp;"|vac",Market_Data!$K$5:$K$304,0)),IFERROR(INDEX(Market_Data!$D$5:$D$304,MATCH(Location!$C$5&amp;"|"&amp;$A49&amp;"|vac",Market_Data!$K$5:$K$304,0)),IFERROR(INDEX(Market_Data!$D$5:$D$304,MATCH(Location!$C$6&amp;"|"&amp;$A49&amp;"|vac",Market_Data!$K$5:$K$304,0)),IFERROR(INDEX(Org_Overrides!$D$5:$D$304,MATCH(Org_Profile!$C$4&amp;"|"&amp;$A49&amp;"|vac",Org_Overrides!$H$5:$H$304,0)),Use_Library!$AM$49))))</f>
        <v/>
      </c>
      <c r="O49" s="24">
        <f>IFERROR(INDEX(Market_Data!$D$5:$D$304,MATCH(Location!$C$4&amp;"|"&amp;$A49&amp;"|absorb",Market_Data!$K$5:$K$304,0)),IFERROR(INDEX(Market_Data!$D$5:$D$304,MATCH(Location!$C$5&amp;"|"&amp;$A49&amp;"|absorb",Market_Data!$K$5:$K$304,0)),IFERROR(INDEX(Market_Data!$D$5:$D$304,MATCH(Location!$C$6&amp;"|"&amp;$A49&amp;"|absorb",Market_Data!$K$5:$K$304,0)),IFERROR(INDEX(Org_Overrides!$D$5:$D$304,MATCH(Org_Profile!$C$4&amp;"|"&amp;$A49&amp;"|absorb",Org_Overrides!$H$5:$H$304,0)),Use_Library!$R$49))))</f>
        <v/>
      </c>
      <c r="P49" s="24">
        <f>IFERROR(INDEX(Market_Data!$D$5:$D$304,MATCH(Location!$C$4&amp;"|"&amp;$A49&amp;"|lotabs",Market_Data!$K$5:$K$304,0)),IFERROR(INDEX(Market_Data!$D$5:$D$304,MATCH(Location!$C$5&amp;"|"&amp;$A49&amp;"|lotabs",Market_Data!$K$5:$K$304,0)),IFERROR(INDEX(Market_Data!$D$5:$D$304,MATCH(Location!$C$6&amp;"|"&amp;$A49&amp;"|lotabs",Market_Data!$K$5:$K$304,0)),IFERROR(INDEX(Org_Overrides!$D$5:$D$304,MATCH(Org_Profile!$C$4&amp;"|"&amp;$A49&amp;"|lotabs",Org_Overrides!$H$5:$H$304,0)),Use_Library!$S$49))))</f>
        <v/>
      </c>
      <c r="Q49" s="2">
        <f>IF(ISNUMBER(MATCH(Org_Profile!$C$4&amp;"|"&amp;$A49&amp;"|vert",Org_Overrides!$H$5:$H$304,0)),"Org",IF(ISNUMBER(MATCH(Location!$C$4&amp;"|"&amp;$A49&amp;"|vert",Market_Data!$K$5:$K$304,0)),"Market-City",IF(ISNUMBER(MATCH(Location!$C$5&amp;"|"&amp;$A49&amp;"|vert",Market_Data!$K$5:$K$304,0)),"Market-County",IF(ISNUMBER(MATCH(Location!$C$6&amp;"|"&amp;$A49&amp;"|vert",Market_Data!$K$5:$K$304,0)),"Market-State","Default x index"))))</f>
        <v/>
      </c>
      <c r="R49" s="2">
        <f>IF(ISNUMBER(MATCH(Org_Profile!$C$4&amp;"|"&amp;$A49&amp;"|entitle",Org_Overrides!$H$5:$H$304,0)),"Org",IF(ISNUMBER(MATCH(Location!$C$4&amp;"|"&amp;$A49&amp;"|entitle",Market_Data!$K$5:$K$304,0)),"Market-City",IF(ISNUMBER(MATCH(Location!$C$5&amp;"|"&amp;$A49&amp;"|entitle",Market_Data!$K$5:$K$304,0)),"Market-County",IF(ISNUMBER(MATCH(Location!$C$6&amp;"|"&amp;$A49&amp;"|entitle",Market_Data!$K$5:$K$304,0)),"Market-State","Default x index"))))</f>
        <v/>
      </c>
      <c r="S49" s="2">
        <f>IF(ISNUMBER(MATCH(Org_Profile!$C$4&amp;"|"&amp;$A49&amp;"|tilc",Org_Overrides!$H$5:$H$304,0)),"Org",IF(ISNUMBER(MATCH(Location!$C$4&amp;"|"&amp;$A49&amp;"|tilc",Market_Data!$K$5:$K$304,0)),"Market-City",IF(ISNUMBER(MATCH(Location!$C$5&amp;"|"&amp;$A49&amp;"|tilc",Market_Data!$K$5:$K$304,0)),"Market-County",IF(ISNUMBER(MATCH(Location!$C$6&amp;"|"&amp;$A49&amp;"|tilc",Market_Data!$K$5:$K$304,0)),"Market-State","Default x index"))))</f>
        <v/>
      </c>
      <c r="T49" s="2">
        <f>IF(ISNUMBER(MATCH(Org_Profile!$C$4&amp;"|"&amp;$A49&amp;"|opex",Org_Overrides!$H$5:$H$304,0)),"Org",IF(ISNUMBER(MATCH(Location!$C$4&amp;"|"&amp;$A49&amp;"|opex",Market_Data!$K$5:$K$304,0)),"Market-City",IF(ISNUMBER(MATCH(Location!$C$5&amp;"|"&amp;$A49&amp;"|opex",Market_Data!$K$5:$K$304,0)),"Market-County",IF(ISNUMBER(MATCH(Location!$C$6&amp;"|"&amp;$A49&amp;"|opex",Market_Data!$K$5:$K$304,0)),"Market-State","Default x index"))))</f>
        <v/>
      </c>
      <c r="U49" s="2">
        <f>IF(ISNUMBER(MATCH(Org_Profile!$C$4&amp;"|"&amp;$A49&amp;"|devmo",Org_Overrides!$H$5:$H$304,0)),"Org",IF(ISNUMBER(MATCH(Location!$C$4&amp;"|"&amp;$A49&amp;"|devmo",Market_Data!$K$5:$K$304,0)),"Market-City",IF(ISNUMBER(MATCH(Location!$C$5&amp;"|"&amp;$A49&amp;"|devmo",Market_Data!$K$5:$K$304,0)),"Market-County",IF(ISNUMBER(MATCH(Location!$C$6&amp;"|"&amp;$A49&amp;"|devmo",Market_Data!$K$5:$K$304,0)),"Market-State","Default"))))</f>
        <v/>
      </c>
      <c r="V49" s="2">
        <f>IF(ISNUMBER(MATCH(Org_Profile!$C$4&amp;"|"&amp;$A49&amp;"|margin",Org_Overrides!$H$5:$H$304,0)),"Org",IF(INDEX(Org_Profile!$C$9:$C$12,MATCH(Use_Library!$C$49,Org_Profile!$B$9:$B$12,0))&lt;&gt;"","Org engine margin","Default"))</f>
        <v/>
      </c>
      <c r="W49" s="2">
        <f>IF(ISNUMBER(MATCH(Location!$C$4&amp;"|"&amp;$A49&amp;"|lotprice",Market_Data!$K$5:$K$304,0)),"Market-City",IF(ISNUMBER(MATCH(Location!$C$5&amp;"|"&amp;$A49&amp;"|lotprice",Market_Data!$K$5:$K$304,0)),"Market-County",IF(ISNUMBER(MATCH(Location!$C$6&amp;"|"&amp;$A49&amp;"|lotprice",Market_Data!$K$5:$K$304,0)),"Market-State",IF(ISNUMBER(MATCH(Org_Profile!$C$4&amp;"|"&amp;$A49&amp;"|lotprice",Org_Overrides!$H$5:$H$304,0)),"Org","Default x index"))))</f>
        <v/>
      </c>
      <c r="X49" s="2">
        <f>IF(ISNUMBER(MATCH(Location!$C$4&amp;"|"&amp;$A49&amp;"|saleprice",Market_Data!$K$5:$K$304,0)),"Market-City",IF(ISNUMBER(MATCH(Location!$C$5&amp;"|"&amp;$A49&amp;"|saleprice",Market_Data!$K$5:$K$304,0)),"Market-County",IF(ISNUMBER(MATCH(Location!$C$6&amp;"|"&amp;$A49&amp;"|saleprice",Market_Data!$K$5:$K$304,0)),"Market-State",IF(ISNUMBER(MATCH(Org_Profile!$C$4&amp;"|"&amp;$A49&amp;"|saleprice",Org_Overrides!$H$5:$H$304,0)),"Org","Default x index"))))</f>
        <v/>
      </c>
      <c r="Y49" s="2">
        <f>IF(ISNUMBER(MATCH(Location!$C$4&amp;"|"&amp;$A49&amp;"|landac",Market_Data!$K$5:$K$304,0)),"Market-City",IF(ISNUMBER(MATCH(Location!$C$5&amp;"|"&amp;$A49&amp;"|landac",Market_Data!$K$5:$K$304,0)),"Market-County",IF(ISNUMBER(MATCH(Location!$C$6&amp;"|"&amp;$A49&amp;"|landac",Market_Data!$K$5:$K$304,0)),"Market-State",IF(ISNUMBER(MATCH(Org_Profile!$C$4&amp;"|"&amp;$A49&amp;"|landac",Org_Overrides!$H$5:$H$304,0)),"Org","Default x index"))))</f>
        <v/>
      </c>
      <c r="Z49" s="2">
        <f>IF(ISNUMBER(MATCH(Location!$C$4&amp;"|"&amp;$A49&amp;"|rent",Market_Data!$K$5:$K$304,0)),"Market-City",IF(ISNUMBER(MATCH(Location!$C$5&amp;"|"&amp;$A49&amp;"|rent",Market_Data!$K$5:$K$304,0)),"Market-County",IF(ISNUMBER(MATCH(Location!$C$6&amp;"|"&amp;$A49&amp;"|rent",Market_Data!$K$5:$K$304,0)),"Market-State",IF(ISNUMBER(MATCH(Org_Profile!$C$4&amp;"|"&amp;$A49&amp;"|rent",Org_Overrides!$H$5:$H$304,0)),"Org","Default x index"))))</f>
        <v/>
      </c>
      <c r="AA49" s="2">
        <f>IF(ISNUMBER(MATCH(Location!$C$4&amp;"|"&amp;$A49&amp;"|groundrent",Market_Data!$K$5:$K$304,0)),"Market-City",IF(ISNUMBER(MATCH(Location!$C$5&amp;"|"&amp;$A49&amp;"|groundrent",Market_Data!$K$5:$K$304,0)),"Market-County",IF(ISNUMBER(MATCH(Location!$C$6&amp;"|"&amp;$A49&amp;"|groundrent",Market_Data!$K$5:$K$304,0)),"Market-State",IF(ISNUMBER(MATCH(Org_Profile!$C$4&amp;"|"&amp;$A49&amp;"|groundrent",Org_Overrides!$H$5:$H$304,0)),"Org","Default x index"))))</f>
        <v/>
      </c>
      <c r="AB49" s="2">
        <f>IF(ISNUMBER(MATCH(Location!$C$4&amp;"|"&amp;$A49&amp;"|cap",Market_Data!$K$5:$K$304,0)),"Market-City",IF(ISNUMBER(MATCH(Location!$C$5&amp;"|"&amp;$A49&amp;"|cap",Market_Data!$K$5:$K$304,0)),"Market-County",IF(ISNUMBER(MATCH(Location!$C$6&amp;"|"&amp;$A49&amp;"|cap",Market_Data!$K$5:$K$304,0)),"Market-State",IF(ISNUMBER(MATCH(Org_Profile!$C$4&amp;"|"&amp;$A49&amp;"|cap",Org_Overrides!$H$5:$H$304,0)),"Org","Default x index"))))</f>
        <v/>
      </c>
      <c r="AC49" s="2">
        <f>IF(ISNUMBER(MATCH(Location!$C$4&amp;"|"&amp;$A49&amp;"|vac",Market_Data!$K$5:$K$304,0)),"Market-City",IF(ISNUMBER(MATCH(Location!$C$5&amp;"|"&amp;$A49&amp;"|vac",Market_Data!$K$5:$K$304,0)),"Market-County",IF(ISNUMBER(MATCH(Location!$C$6&amp;"|"&amp;$A49&amp;"|vac",Market_Data!$K$5:$K$304,0)),"Market-State",IF(ISNUMBER(MATCH(Org_Profile!$C$4&amp;"|"&amp;$A49&amp;"|vac",Org_Overrides!$H$5:$H$304,0)),"Org","Default"))))</f>
        <v/>
      </c>
      <c r="AD49" s="2">
        <f>IF(ISNUMBER(MATCH(Location!$C$4&amp;"|"&amp;$A49&amp;"|absorb",Market_Data!$K$5:$K$304,0)),"Market-City",IF(ISNUMBER(MATCH(Location!$C$5&amp;"|"&amp;$A49&amp;"|absorb",Market_Data!$K$5:$K$304,0)),"Market-County",IF(ISNUMBER(MATCH(Location!$C$6&amp;"|"&amp;$A49&amp;"|absorb",Market_Data!$K$5:$K$304,0)),"Market-State",IF(ISNUMBER(MATCH(Org_Profile!$C$4&amp;"|"&amp;$A49&amp;"|absorb",Org_Overrides!$H$5:$H$304,0)),"Org","Default"))))</f>
        <v/>
      </c>
      <c r="AE49" s="2">
        <f>IF(ISNUMBER(MATCH(Location!$C$4&amp;"|"&amp;$A49&amp;"|lotabs",Market_Data!$K$5:$K$304,0)),"Market-City",IF(ISNUMBER(MATCH(Location!$C$5&amp;"|"&amp;$A49&amp;"|lotabs",Market_Data!$K$5:$K$304,0)),"Market-County",IF(ISNUMBER(MATCH(Location!$C$6&amp;"|"&amp;$A49&amp;"|lotabs",Market_Data!$K$5:$K$304,0)),"Market-State",IF(ISNUMBER(MATCH(Org_Profile!$C$4&amp;"|"&amp;$A49&amp;"|lotabs",Org_Overrides!$H$5:$H$304,0)),"Org","Default"))))</f>
        <v/>
      </c>
      <c r="AF49" s="15">
        <f>15-COUNTIF(Q49:AE49,"Default*")</f>
        <v/>
      </c>
    </row>
    <row r="50">
      <c r="A50" s="4">
        <f>Use_Library!$A$50</f>
        <v/>
      </c>
      <c r="B50" s="20">
        <f>IFERROR((INDEX(Org_Overrides!$D$5:$D$304,MATCH(Org_Profile!$C$4&amp;"|"&amp;$A50&amp;"|vert",Org_Overrides!$H$5:$H$304,0))*Location!$C$9),IFERROR(INDEX(Market_Data!$D$5:$D$304,MATCH(Location!$C$4&amp;"|"&amp;$A50&amp;"|vert",Market_Data!$K$5:$K$304,0)),IFERROR(INDEX(Market_Data!$D$5:$D$304,MATCH(Location!$C$5&amp;"|"&amp;$A50&amp;"|vert",Market_Data!$K$5:$K$304,0)),IFERROR(INDEX(Market_Data!$D$5:$D$304,MATCH(Location!$C$6&amp;"|"&amp;$A50&amp;"|vert",Market_Data!$K$5:$K$304,0)),(Use_Library!$AF$50*Location!$C$9)))))</f>
        <v/>
      </c>
      <c r="C50" s="20">
        <f>IFERROR((INDEX(Org_Overrides!$D$5:$D$304,MATCH(Org_Profile!$C$4&amp;"|"&amp;$A50&amp;"|entitle",Org_Overrides!$H$5:$H$304,0))*Location!$C$9),IFERROR(INDEX(Market_Data!$D$5:$D$304,MATCH(Location!$C$4&amp;"|"&amp;$A50&amp;"|entitle",Market_Data!$K$5:$K$304,0)),IFERROR(INDEX(Market_Data!$D$5:$D$304,MATCH(Location!$C$5&amp;"|"&amp;$A50&amp;"|entitle",Market_Data!$K$5:$K$304,0)),IFERROR(INDEX(Market_Data!$D$5:$D$304,MATCH(Location!$C$6&amp;"|"&amp;$A50&amp;"|entitle",Market_Data!$K$5:$K$304,0)),(Use_Library!$AE$50*Location!$C$9)))))</f>
        <v/>
      </c>
      <c r="D50" s="20">
        <f>IFERROR((INDEX(Org_Overrides!$D$5:$D$304,MATCH(Org_Profile!$C$4&amp;"|"&amp;$A50&amp;"|tilc",Org_Overrides!$H$5:$H$304,0))*Location!$C$9),IFERROR(INDEX(Market_Data!$D$5:$D$304,MATCH(Location!$C$4&amp;"|"&amp;$A50&amp;"|tilc",Market_Data!$K$5:$K$304,0)),IFERROR(INDEX(Market_Data!$D$5:$D$304,MATCH(Location!$C$5&amp;"|"&amp;$A50&amp;"|tilc",Market_Data!$K$5:$K$304,0)),IFERROR(INDEX(Market_Data!$D$5:$D$304,MATCH(Location!$C$6&amp;"|"&amp;$A50&amp;"|tilc",Market_Data!$K$5:$K$304,0)),(Use_Library!$AG$50*Location!$C$9)))))</f>
        <v/>
      </c>
      <c r="E50" s="20">
        <f>IFERROR((INDEX(Org_Overrides!$D$5:$D$304,MATCH(Org_Profile!$C$4&amp;"|"&amp;$A50&amp;"|opex",Org_Overrides!$H$5:$H$304,0))*Location!$C$13),IFERROR(INDEX(Market_Data!$D$5:$D$304,MATCH(Location!$C$4&amp;"|"&amp;$A50&amp;"|opex",Market_Data!$K$5:$K$304,0)),IFERROR(INDEX(Market_Data!$D$5:$D$304,MATCH(Location!$C$5&amp;"|"&amp;$A50&amp;"|opex",Market_Data!$K$5:$K$304,0)),IFERROR(INDEX(Market_Data!$D$5:$D$304,MATCH(Location!$C$6&amp;"|"&amp;$A50&amp;"|opex",Market_Data!$K$5:$K$304,0)),(Use_Library!$AN$50*Location!$C$13)))))</f>
        <v/>
      </c>
      <c r="F50" s="9">
        <f>IFERROR(INDEX(Org_Overrides!$D$5:$D$304,MATCH(Org_Profile!$C$4&amp;"|"&amp;$A50&amp;"|devmo",Org_Overrides!$H$5:$H$304,0)),IFERROR(INDEX(Market_Data!$D$5:$D$304,MATCH(Location!$C$4&amp;"|"&amp;$A50&amp;"|devmo",Market_Data!$K$5:$K$304,0)),IFERROR(INDEX(Market_Data!$D$5:$D$304,MATCH(Location!$C$5&amp;"|"&amp;$A50&amp;"|devmo",Market_Data!$K$5:$K$304,0)),IFERROR(INDEX(Market_Data!$D$5:$D$304,MATCH(Location!$C$6&amp;"|"&amp;$A50&amp;"|devmo",Market_Data!$K$5:$K$304,0)),Use_Library!$AH$50))))</f>
        <v/>
      </c>
      <c r="G50" s="23">
        <f>IFERROR(INDEX(Org_Overrides!$D$5:$D$304,MATCH(Org_Profile!$C$4&amp;"|"&amp;$A50&amp;"|margin",Org_Overrides!$H$5:$H$304,0)),IF(INDEX(Org_Profile!$C$9:$C$12,MATCH(Use_Library!$C$50,Org_Profile!$B$9:$B$12,0))&lt;&gt;"",INDEX(Org_Profile!$C$9:$C$12,MATCH(Use_Library!$C$50,Org_Profile!$B$9:$B$12,0)),Use_Library!$AU$50))</f>
        <v/>
      </c>
      <c r="H50" s="20">
        <f>IFERROR(INDEX(Market_Data!$D$5:$D$304,MATCH(Location!$C$4&amp;"|"&amp;$A50&amp;"|lotprice",Market_Data!$K$5:$K$304,0)),IFERROR(INDEX(Market_Data!$D$5:$D$304,MATCH(Location!$C$5&amp;"|"&amp;$A50&amp;"|lotprice",Market_Data!$K$5:$K$304,0)),IFERROR(INDEX(Market_Data!$D$5:$D$304,MATCH(Location!$C$6&amp;"|"&amp;$A50&amp;"|lotprice",Market_Data!$K$5:$K$304,0)),IFERROR((INDEX(Org_Overrides!$D$5:$D$304,MATCH(Org_Profile!$C$4&amp;"|"&amp;$A50&amp;"|lotprice",Org_Overrides!$H$5:$H$304,0))*Location!$C$10),(Use_Library!$AI$50*Location!$C$10)))))</f>
        <v/>
      </c>
      <c r="I50" s="20">
        <f>IFERROR(INDEX(Market_Data!$D$5:$D$304,MATCH(Location!$C$4&amp;"|"&amp;$A50&amp;"|saleprice",Market_Data!$K$5:$K$304,0)),IFERROR(INDEX(Market_Data!$D$5:$D$304,MATCH(Location!$C$5&amp;"|"&amp;$A50&amp;"|saleprice",Market_Data!$K$5:$K$304,0)),IFERROR(INDEX(Market_Data!$D$5:$D$304,MATCH(Location!$C$6&amp;"|"&amp;$A50&amp;"|saleprice",Market_Data!$K$5:$K$304,0)),IFERROR((INDEX(Org_Overrides!$D$5:$D$304,MATCH(Org_Profile!$C$4&amp;"|"&amp;$A50&amp;"|saleprice",Org_Overrides!$H$5:$H$304,0))*Location!$C$10),(Use_Library!$AJ$50*Location!$C$10)))))</f>
        <v/>
      </c>
      <c r="J50" s="20">
        <f>IFERROR(INDEX(Market_Data!$D$5:$D$304,MATCH(Location!$C$4&amp;"|"&amp;$A50&amp;"|landac",Market_Data!$K$5:$K$304,0)),IFERROR(INDEX(Market_Data!$D$5:$D$304,MATCH(Location!$C$5&amp;"|"&amp;$A50&amp;"|landac",Market_Data!$K$5:$K$304,0)),IFERROR(INDEX(Market_Data!$D$5:$D$304,MATCH(Location!$C$6&amp;"|"&amp;$A50&amp;"|landac",Market_Data!$K$5:$K$304,0)),IFERROR((INDEX(Org_Overrides!$D$5:$D$304,MATCH(Org_Profile!$C$4&amp;"|"&amp;$A50&amp;"|landac",Org_Overrides!$H$5:$H$304,0))*Location!$C$10),(Use_Library!$AS$50*Location!$C$10)))))</f>
        <v/>
      </c>
      <c r="K50" s="20">
        <f>IFERROR(INDEX(Market_Data!$D$5:$D$304,MATCH(Location!$C$4&amp;"|"&amp;$A50&amp;"|rent",Market_Data!$K$5:$K$304,0)),IFERROR(INDEX(Market_Data!$D$5:$D$304,MATCH(Location!$C$5&amp;"|"&amp;$A50&amp;"|rent",Market_Data!$K$5:$K$304,0)),IFERROR(INDEX(Market_Data!$D$5:$D$304,MATCH(Location!$C$6&amp;"|"&amp;$A50&amp;"|rent",Market_Data!$K$5:$K$304,0)),IFERROR((INDEX(Org_Overrides!$D$5:$D$304,MATCH(Org_Profile!$C$4&amp;"|"&amp;$A50&amp;"|rent",Org_Overrides!$H$5:$H$304,0))*Location!$C$11),(Use_Library!$AK$50*Location!$C$11)))))</f>
        <v/>
      </c>
      <c r="L50" s="20">
        <f>IFERROR(INDEX(Market_Data!$D$5:$D$304,MATCH(Location!$C$4&amp;"|"&amp;$A50&amp;"|groundrent",Market_Data!$K$5:$K$304,0)),IFERROR(INDEX(Market_Data!$D$5:$D$304,MATCH(Location!$C$5&amp;"|"&amp;$A50&amp;"|groundrent",Market_Data!$K$5:$K$304,0)),IFERROR(INDEX(Market_Data!$D$5:$D$304,MATCH(Location!$C$6&amp;"|"&amp;$A50&amp;"|groundrent",Market_Data!$K$5:$K$304,0)),IFERROR((INDEX(Org_Overrides!$D$5:$D$304,MATCH(Org_Profile!$C$4&amp;"|"&amp;$A50&amp;"|groundrent",Org_Overrides!$H$5:$H$304,0))*Location!$C$11),(Use_Library!$AT$50*Location!$C$11)))))</f>
        <v/>
      </c>
      <c r="M50" s="23">
        <f>IFERROR(INDEX(Market_Data!$D$5:$D$304,MATCH(Location!$C$4&amp;"|"&amp;$A50&amp;"|cap",Market_Data!$K$5:$K$304,0)),IFERROR(INDEX(Market_Data!$D$5:$D$304,MATCH(Location!$C$5&amp;"|"&amp;$A50&amp;"|cap",Market_Data!$K$5:$K$304,0)),IFERROR(INDEX(Market_Data!$D$5:$D$304,MATCH(Location!$C$6&amp;"|"&amp;$A50&amp;"|cap",Market_Data!$K$5:$K$304,0)),IFERROR((INDEX(Org_Overrides!$D$5:$D$304,MATCH(Org_Profile!$C$4&amp;"|"&amp;$A50&amp;"|cap",Org_Overrides!$H$5:$H$304,0))+Location!$C$12),(Use_Library!$AR$50+Location!$C$12)))))</f>
        <v/>
      </c>
      <c r="N50" s="23">
        <f>IFERROR(INDEX(Market_Data!$D$5:$D$304,MATCH(Location!$C$4&amp;"|"&amp;$A50&amp;"|vac",Market_Data!$K$5:$K$304,0)),IFERROR(INDEX(Market_Data!$D$5:$D$304,MATCH(Location!$C$5&amp;"|"&amp;$A50&amp;"|vac",Market_Data!$K$5:$K$304,0)),IFERROR(INDEX(Market_Data!$D$5:$D$304,MATCH(Location!$C$6&amp;"|"&amp;$A50&amp;"|vac",Market_Data!$K$5:$K$304,0)),IFERROR(INDEX(Org_Overrides!$D$5:$D$304,MATCH(Org_Profile!$C$4&amp;"|"&amp;$A50&amp;"|vac",Org_Overrides!$H$5:$H$304,0)),Use_Library!$AM$50))))</f>
        <v/>
      </c>
      <c r="O50" s="24">
        <f>IFERROR(INDEX(Market_Data!$D$5:$D$304,MATCH(Location!$C$4&amp;"|"&amp;$A50&amp;"|absorb",Market_Data!$K$5:$K$304,0)),IFERROR(INDEX(Market_Data!$D$5:$D$304,MATCH(Location!$C$5&amp;"|"&amp;$A50&amp;"|absorb",Market_Data!$K$5:$K$304,0)),IFERROR(INDEX(Market_Data!$D$5:$D$304,MATCH(Location!$C$6&amp;"|"&amp;$A50&amp;"|absorb",Market_Data!$K$5:$K$304,0)),IFERROR(INDEX(Org_Overrides!$D$5:$D$304,MATCH(Org_Profile!$C$4&amp;"|"&amp;$A50&amp;"|absorb",Org_Overrides!$H$5:$H$304,0)),Use_Library!$R$50))))</f>
        <v/>
      </c>
      <c r="P50" s="24">
        <f>IFERROR(INDEX(Market_Data!$D$5:$D$304,MATCH(Location!$C$4&amp;"|"&amp;$A50&amp;"|lotabs",Market_Data!$K$5:$K$304,0)),IFERROR(INDEX(Market_Data!$D$5:$D$304,MATCH(Location!$C$5&amp;"|"&amp;$A50&amp;"|lotabs",Market_Data!$K$5:$K$304,0)),IFERROR(INDEX(Market_Data!$D$5:$D$304,MATCH(Location!$C$6&amp;"|"&amp;$A50&amp;"|lotabs",Market_Data!$K$5:$K$304,0)),IFERROR(INDEX(Org_Overrides!$D$5:$D$304,MATCH(Org_Profile!$C$4&amp;"|"&amp;$A50&amp;"|lotabs",Org_Overrides!$H$5:$H$304,0)),Use_Library!$S$50))))</f>
        <v/>
      </c>
      <c r="Q50" s="2">
        <f>IF(ISNUMBER(MATCH(Org_Profile!$C$4&amp;"|"&amp;$A50&amp;"|vert",Org_Overrides!$H$5:$H$304,0)),"Org",IF(ISNUMBER(MATCH(Location!$C$4&amp;"|"&amp;$A50&amp;"|vert",Market_Data!$K$5:$K$304,0)),"Market-City",IF(ISNUMBER(MATCH(Location!$C$5&amp;"|"&amp;$A50&amp;"|vert",Market_Data!$K$5:$K$304,0)),"Market-County",IF(ISNUMBER(MATCH(Location!$C$6&amp;"|"&amp;$A50&amp;"|vert",Market_Data!$K$5:$K$304,0)),"Market-State","Default x index"))))</f>
        <v/>
      </c>
      <c r="R50" s="2">
        <f>IF(ISNUMBER(MATCH(Org_Profile!$C$4&amp;"|"&amp;$A50&amp;"|entitle",Org_Overrides!$H$5:$H$304,0)),"Org",IF(ISNUMBER(MATCH(Location!$C$4&amp;"|"&amp;$A50&amp;"|entitle",Market_Data!$K$5:$K$304,0)),"Market-City",IF(ISNUMBER(MATCH(Location!$C$5&amp;"|"&amp;$A50&amp;"|entitle",Market_Data!$K$5:$K$304,0)),"Market-County",IF(ISNUMBER(MATCH(Location!$C$6&amp;"|"&amp;$A50&amp;"|entitle",Market_Data!$K$5:$K$304,0)),"Market-State","Default x index"))))</f>
        <v/>
      </c>
      <c r="S50" s="2">
        <f>IF(ISNUMBER(MATCH(Org_Profile!$C$4&amp;"|"&amp;$A50&amp;"|tilc",Org_Overrides!$H$5:$H$304,0)),"Org",IF(ISNUMBER(MATCH(Location!$C$4&amp;"|"&amp;$A50&amp;"|tilc",Market_Data!$K$5:$K$304,0)),"Market-City",IF(ISNUMBER(MATCH(Location!$C$5&amp;"|"&amp;$A50&amp;"|tilc",Market_Data!$K$5:$K$304,0)),"Market-County",IF(ISNUMBER(MATCH(Location!$C$6&amp;"|"&amp;$A50&amp;"|tilc",Market_Data!$K$5:$K$304,0)),"Market-State","Default x index"))))</f>
        <v/>
      </c>
      <c r="T50" s="2">
        <f>IF(ISNUMBER(MATCH(Org_Profile!$C$4&amp;"|"&amp;$A50&amp;"|opex",Org_Overrides!$H$5:$H$304,0)),"Org",IF(ISNUMBER(MATCH(Location!$C$4&amp;"|"&amp;$A50&amp;"|opex",Market_Data!$K$5:$K$304,0)),"Market-City",IF(ISNUMBER(MATCH(Location!$C$5&amp;"|"&amp;$A50&amp;"|opex",Market_Data!$K$5:$K$304,0)),"Market-County",IF(ISNUMBER(MATCH(Location!$C$6&amp;"|"&amp;$A50&amp;"|opex",Market_Data!$K$5:$K$304,0)),"Market-State","Default x index"))))</f>
        <v/>
      </c>
      <c r="U50" s="2">
        <f>IF(ISNUMBER(MATCH(Org_Profile!$C$4&amp;"|"&amp;$A50&amp;"|devmo",Org_Overrides!$H$5:$H$304,0)),"Org",IF(ISNUMBER(MATCH(Location!$C$4&amp;"|"&amp;$A50&amp;"|devmo",Market_Data!$K$5:$K$304,0)),"Market-City",IF(ISNUMBER(MATCH(Location!$C$5&amp;"|"&amp;$A50&amp;"|devmo",Market_Data!$K$5:$K$304,0)),"Market-County",IF(ISNUMBER(MATCH(Location!$C$6&amp;"|"&amp;$A50&amp;"|devmo",Market_Data!$K$5:$K$304,0)),"Market-State","Default"))))</f>
        <v/>
      </c>
      <c r="V50" s="2">
        <f>IF(ISNUMBER(MATCH(Org_Profile!$C$4&amp;"|"&amp;$A50&amp;"|margin",Org_Overrides!$H$5:$H$304,0)),"Org",IF(INDEX(Org_Profile!$C$9:$C$12,MATCH(Use_Library!$C$50,Org_Profile!$B$9:$B$12,0))&lt;&gt;"","Org engine margin","Default"))</f>
        <v/>
      </c>
      <c r="W50" s="2">
        <f>IF(ISNUMBER(MATCH(Location!$C$4&amp;"|"&amp;$A50&amp;"|lotprice",Market_Data!$K$5:$K$304,0)),"Market-City",IF(ISNUMBER(MATCH(Location!$C$5&amp;"|"&amp;$A50&amp;"|lotprice",Market_Data!$K$5:$K$304,0)),"Market-County",IF(ISNUMBER(MATCH(Location!$C$6&amp;"|"&amp;$A50&amp;"|lotprice",Market_Data!$K$5:$K$304,0)),"Market-State",IF(ISNUMBER(MATCH(Org_Profile!$C$4&amp;"|"&amp;$A50&amp;"|lotprice",Org_Overrides!$H$5:$H$304,0)),"Org","Default x index"))))</f>
        <v/>
      </c>
      <c r="X50" s="2">
        <f>IF(ISNUMBER(MATCH(Location!$C$4&amp;"|"&amp;$A50&amp;"|saleprice",Market_Data!$K$5:$K$304,0)),"Market-City",IF(ISNUMBER(MATCH(Location!$C$5&amp;"|"&amp;$A50&amp;"|saleprice",Market_Data!$K$5:$K$304,0)),"Market-County",IF(ISNUMBER(MATCH(Location!$C$6&amp;"|"&amp;$A50&amp;"|saleprice",Market_Data!$K$5:$K$304,0)),"Market-State",IF(ISNUMBER(MATCH(Org_Profile!$C$4&amp;"|"&amp;$A50&amp;"|saleprice",Org_Overrides!$H$5:$H$304,0)),"Org","Default x index"))))</f>
        <v/>
      </c>
      <c r="Y50" s="2">
        <f>IF(ISNUMBER(MATCH(Location!$C$4&amp;"|"&amp;$A50&amp;"|landac",Market_Data!$K$5:$K$304,0)),"Market-City",IF(ISNUMBER(MATCH(Location!$C$5&amp;"|"&amp;$A50&amp;"|landac",Market_Data!$K$5:$K$304,0)),"Market-County",IF(ISNUMBER(MATCH(Location!$C$6&amp;"|"&amp;$A50&amp;"|landac",Market_Data!$K$5:$K$304,0)),"Market-State",IF(ISNUMBER(MATCH(Org_Profile!$C$4&amp;"|"&amp;$A50&amp;"|landac",Org_Overrides!$H$5:$H$304,0)),"Org","Default x index"))))</f>
        <v/>
      </c>
      <c r="Z50" s="2">
        <f>IF(ISNUMBER(MATCH(Location!$C$4&amp;"|"&amp;$A50&amp;"|rent",Market_Data!$K$5:$K$304,0)),"Market-City",IF(ISNUMBER(MATCH(Location!$C$5&amp;"|"&amp;$A50&amp;"|rent",Market_Data!$K$5:$K$304,0)),"Market-County",IF(ISNUMBER(MATCH(Location!$C$6&amp;"|"&amp;$A50&amp;"|rent",Market_Data!$K$5:$K$304,0)),"Market-State",IF(ISNUMBER(MATCH(Org_Profile!$C$4&amp;"|"&amp;$A50&amp;"|rent",Org_Overrides!$H$5:$H$304,0)),"Org","Default x index"))))</f>
        <v/>
      </c>
      <c r="AA50" s="2">
        <f>IF(ISNUMBER(MATCH(Location!$C$4&amp;"|"&amp;$A50&amp;"|groundrent",Market_Data!$K$5:$K$304,0)),"Market-City",IF(ISNUMBER(MATCH(Location!$C$5&amp;"|"&amp;$A50&amp;"|groundrent",Market_Data!$K$5:$K$304,0)),"Market-County",IF(ISNUMBER(MATCH(Location!$C$6&amp;"|"&amp;$A50&amp;"|groundrent",Market_Data!$K$5:$K$304,0)),"Market-State",IF(ISNUMBER(MATCH(Org_Profile!$C$4&amp;"|"&amp;$A50&amp;"|groundrent",Org_Overrides!$H$5:$H$304,0)),"Org","Default x index"))))</f>
        <v/>
      </c>
      <c r="AB50" s="2">
        <f>IF(ISNUMBER(MATCH(Location!$C$4&amp;"|"&amp;$A50&amp;"|cap",Market_Data!$K$5:$K$304,0)),"Market-City",IF(ISNUMBER(MATCH(Location!$C$5&amp;"|"&amp;$A50&amp;"|cap",Market_Data!$K$5:$K$304,0)),"Market-County",IF(ISNUMBER(MATCH(Location!$C$6&amp;"|"&amp;$A50&amp;"|cap",Market_Data!$K$5:$K$304,0)),"Market-State",IF(ISNUMBER(MATCH(Org_Profile!$C$4&amp;"|"&amp;$A50&amp;"|cap",Org_Overrides!$H$5:$H$304,0)),"Org","Default x index"))))</f>
        <v/>
      </c>
      <c r="AC50" s="2">
        <f>IF(ISNUMBER(MATCH(Location!$C$4&amp;"|"&amp;$A50&amp;"|vac",Market_Data!$K$5:$K$304,0)),"Market-City",IF(ISNUMBER(MATCH(Location!$C$5&amp;"|"&amp;$A50&amp;"|vac",Market_Data!$K$5:$K$304,0)),"Market-County",IF(ISNUMBER(MATCH(Location!$C$6&amp;"|"&amp;$A50&amp;"|vac",Market_Data!$K$5:$K$304,0)),"Market-State",IF(ISNUMBER(MATCH(Org_Profile!$C$4&amp;"|"&amp;$A50&amp;"|vac",Org_Overrides!$H$5:$H$304,0)),"Org","Default"))))</f>
        <v/>
      </c>
      <c r="AD50" s="2">
        <f>IF(ISNUMBER(MATCH(Location!$C$4&amp;"|"&amp;$A50&amp;"|absorb",Market_Data!$K$5:$K$304,0)),"Market-City",IF(ISNUMBER(MATCH(Location!$C$5&amp;"|"&amp;$A50&amp;"|absorb",Market_Data!$K$5:$K$304,0)),"Market-County",IF(ISNUMBER(MATCH(Location!$C$6&amp;"|"&amp;$A50&amp;"|absorb",Market_Data!$K$5:$K$304,0)),"Market-State",IF(ISNUMBER(MATCH(Org_Profile!$C$4&amp;"|"&amp;$A50&amp;"|absorb",Org_Overrides!$H$5:$H$304,0)),"Org","Default"))))</f>
        <v/>
      </c>
      <c r="AE50" s="2">
        <f>IF(ISNUMBER(MATCH(Location!$C$4&amp;"|"&amp;$A50&amp;"|lotabs",Market_Data!$K$5:$K$304,0)),"Market-City",IF(ISNUMBER(MATCH(Location!$C$5&amp;"|"&amp;$A50&amp;"|lotabs",Market_Data!$K$5:$K$304,0)),"Market-County",IF(ISNUMBER(MATCH(Location!$C$6&amp;"|"&amp;$A50&amp;"|lotabs",Market_Data!$K$5:$K$304,0)),"Market-State",IF(ISNUMBER(MATCH(Org_Profile!$C$4&amp;"|"&amp;$A50&amp;"|lotabs",Org_Overrides!$H$5:$H$304,0)),"Org","Default"))))</f>
        <v/>
      </c>
      <c r="AF50" s="15">
        <f>15-COUNTIF(Q50:AE50,"Default*")</f>
        <v/>
      </c>
    </row>
    <row r="51">
      <c r="A51" s="4">
        <f>Use_Library!$A$51</f>
        <v/>
      </c>
      <c r="B51" s="20">
        <f>IFERROR((INDEX(Org_Overrides!$D$5:$D$304,MATCH(Org_Profile!$C$4&amp;"|"&amp;$A51&amp;"|vert",Org_Overrides!$H$5:$H$304,0))*Location!$C$9),IFERROR(INDEX(Market_Data!$D$5:$D$304,MATCH(Location!$C$4&amp;"|"&amp;$A51&amp;"|vert",Market_Data!$K$5:$K$304,0)),IFERROR(INDEX(Market_Data!$D$5:$D$304,MATCH(Location!$C$5&amp;"|"&amp;$A51&amp;"|vert",Market_Data!$K$5:$K$304,0)),IFERROR(INDEX(Market_Data!$D$5:$D$304,MATCH(Location!$C$6&amp;"|"&amp;$A51&amp;"|vert",Market_Data!$K$5:$K$304,0)),(Use_Library!$AF$51*Location!$C$9)))))</f>
        <v/>
      </c>
      <c r="C51" s="20">
        <f>IFERROR((INDEX(Org_Overrides!$D$5:$D$304,MATCH(Org_Profile!$C$4&amp;"|"&amp;$A51&amp;"|entitle",Org_Overrides!$H$5:$H$304,0))*Location!$C$9),IFERROR(INDEX(Market_Data!$D$5:$D$304,MATCH(Location!$C$4&amp;"|"&amp;$A51&amp;"|entitle",Market_Data!$K$5:$K$304,0)),IFERROR(INDEX(Market_Data!$D$5:$D$304,MATCH(Location!$C$5&amp;"|"&amp;$A51&amp;"|entitle",Market_Data!$K$5:$K$304,0)),IFERROR(INDEX(Market_Data!$D$5:$D$304,MATCH(Location!$C$6&amp;"|"&amp;$A51&amp;"|entitle",Market_Data!$K$5:$K$304,0)),(Use_Library!$AE$51*Location!$C$9)))))</f>
        <v/>
      </c>
      <c r="D51" s="20">
        <f>IFERROR((INDEX(Org_Overrides!$D$5:$D$304,MATCH(Org_Profile!$C$4&amp;"|"&amp;$A51&amp;"|tilc",Org_Overrides!$H$5:$H$304,0))*Location!$C$9),IFERROR(INDEX(Market_Data!$D$5:$D$304,MATCH(Location!$C$4&amp;"|"&amp;$A51&amp;"|tilc",Market_Data!$K$5:$K$304,0)),IFERROR(INDEX(Market_Data!$D$5:$D$304,MATCH(Location!$C$5&amp;"|"&amp;$A51&amp;"|tilc",Market_Data!$K$5:$K$304,0)),IFERROR(INDEX(Market_Data!$D$5:$D$304,MATCH(Location!$C$6&amp;"|"&amp;$A51&amp;"|tilc",Market_Data!$K$5:$K$304,0)),(Use_Library!$AG$51*Location!$C$9)))))</f>
        <v/>
      </c>
      <c r="E51" s="36">
        <f>IFERROR((INDEX(Org_Overrides!$D$5:$D$304,MATCH(Org_Profile!$C$4&amp;"|"&amp;$A51&amp;"|opex",Org_Overrides!$H$5:$H$304,0))*Location!$C$13),IFERROR(INDEX(Market_Data!$D$5:$D$304,MATCH(Location!$C$4&amp;"|"&amp;$A51&amp;"|opex",Market_Data!$K$5:$K$304,0)),IFERROR(INDEX(Market_Data!$D$5:$D$304,MATCH(Location!$C$5&amp;"|"&amp;$A51&amp;"|opex",Market_Data!$K$5:$K$304,0)),IFERROR(INDEX(Market_Data!$D$5:$D$304,MATCH(Location!$C$6&amp;"|"&amp;$A51&amp;"|opex",Market_Data!$K$5:$K$304,0)),(Use_Library!$AN$51*Location!$C$13)))))</f>
        <v/>
      </c>
      <c r="F51" s="9">
        <f>IFERROR(INDEX(Org_Overrides!$D$5:$D$304,MATCH(Org_Profile!$C$4&amp;"|"&amp;$A51&amp;"|devmo",Org_Overrides!$H$5:$H$304,0)),IFERROR(INDEX(Market_Data!$D$5:$D$304,MATCH(Location!$C$4&amp;"|"&amp;$A51&amp;"|devmo",Market_Data!$K$5:$K$304,0)),IFERROR(INDEX(Market_Data!$D$5:$D$304,MATCH(Location!$C$5&amp;"|"&amp;$A51&amp;"|devmo",Market_Data!$K$5:$K$304,0)),IFERROR(INDEX(Market_Data!$D$5:$D$304,MATCH(Location!$C$6&amp;"|"&amp;$A51&amp;"|devmo",Market_Data!$K$5:$K$304,0)),Use_Library!$AH$51))))</f>
        <v/>
      </c>
      <c r="G51" s="23">
        <f>IFERROR(INDEX(Org_Overrides!$D$5:$D$304,MATCH(Org_Profile!$C$4&amp;"|"&amp;$A51&amp;"|margin",Org_Overrides!$H$5:$H$304,0)),IF(INDEX(Org_Profile!$C$9:$C$12,MATCH(Use_Library!$C$51,Org_Profile!$B$9:$B$12,0))&lt;&gt;"",INDEX(Org_Profile!$C$9:$C$12,MATCH(Use_Library!$C$51,Org_Profile!$B$9:$B$12,0)),Use_Library!$AU$51))</f>
        <v/>
      </c>
      <c r="H51" s="20">
        <f>IFERROR(INDEX(Market_Data!$D$5:$D$304,MATCH(Location!$C$4&amp;"|"&amp;$A51&amp;"|lotprice",Market_Data!$K$5:$K$304,0)),IFERROR(INDEX(Market_Data!$D$5:$D$304,MATCH(Location!$C$5&amp;"|"&amp;$A51&amp;"|lotprice",Market_Data!$K$5:$K$304,0)),IFERROR(INDEX(Market_Data!$D$5:$D$304,MATCH(Location!$C$6&amp;"|"&amp;$A51&amp;"|lotprice",Market_Data!$K$5:$K$304,0)),IFERROR((INDEX(Org_Overrides!$D$5:$D$304,MATCH(Org_Profile!$C$4&amp;"|"&amp;$A51&amp;"|lotprice",Org_Overrides!$H$5:$H$304,0))*Location!$C$10),(Use_Library!$AI$51*Location!$C$10)))))</f>
        <v/>
      </c>
      <c r="I51" s="20">
        <f>IFERROR(INDEX(Market_Data!$D$5:$D$304,MATCH(Location!$C$4&amp;"|"&amp;$A51&amp;"|saleprice",Market_Data!$K$5:$K$304,0)),IFERROR(INDEX(Market_Data!$D$5:$D$304,MATCH(Location!$C$5&amp;"|"&amp;$A51&amp;"|saleprice",Market_Data!$K$5:$K$304,0)),IFERROR(INDEX(Market_Data!$D$5:$D$304,MATCH(Location!$C$6&amp;"|"&amp;$A51&amp;"|saleprice",Market_Data!$K$5:$K$304,0)),IFERROR((INDEX(Org_Overrides!$D$5:$D$304,MATCH(Org_Profile!$C$4&amp;"|"&amp;$A51&amp;"|saleprice",Org_Overrides!$H$5:$H$304,0))*Location!$C$10),(Use_Library!$AJ$51*Location!$C$10)))))</f>
        <v/>
      </c>
      <c r="J51" s="20">
        <f>IFERROR(INDEX(Market_Data!$D$5:$D$304,MATCH(Location!$C$4&amp;"|"&amp;$A51&amp;"|landac",Market_Data!$K$5:$K$304,0)),IFERROR(INDEX(Market_Data!$D$5:$D$304,MATCH(Location!$C$5&amp;"|"&amp;$A51&amp;"|landac",Market_Data!$K$5:$K$304,0)),IFERROR(INDEX(Market_Data!$D$5:$D$304,MATCH(Location!$C$6&amp;"|"&amp;$A51&amp;"|landac",Market_Data!$K$5:$K$304,0)),IFERROR((INDEX(Org_Overrides!$D$5:$D$304,MATCH(Org_Profile!$C$4&amp;"|"&amp;$A51&amp;"|landac",Org_Overrides!$H$5:$H$304,0))*Location!$C$10),(Use_Library!$AS$51*Location!$C$10)))))</f>
        <v/>
      </c>
      <c r="K51" s="20">
        <f>IFERROR(INDEX(Market_Data!$D$5:$D$304,MATCH(Location!$C$4&amp;"|"&amp;$A51&amp;"|rent",Market_Data!$K$5:$K$304,0)),IFERROR(INDEX(Market_Data!$D$5:$D$304,MATCH(Location!$C$5&amp;"|"&amp;$A51&amp;"|rent",Market_Data!$K$5:$K$304,0)),IFERROR(INDEX(Market_Data!$D$5:$D$304,MATCH(Location!$C$6&amp;"|"&amp;$A51&amp;"|rent",Market_Data!$K$5:$K$304,0)),IFERROR((INDEX(Org_Overrides!$D$5:$D$304,MATCH(Org_Profile!$C$4&amp;"|"&amp;$A51&amp;"|rent",Org_Overrides!$H$5:$H$304,0))*Location!$C$11),(Use_Library!$AK$51*Location!$C$11)))))</f>
        <v/>
      </c>
      <c r="L51" s="20">
        <f>IFERROR(INDEX(Market_Data!$D$5:$D$304,MATCH(Location!$C$4&amp;"|"&amp;$A51&amp;"|groundrent",Market_Data!$K$5:$K$304,0)),IFERROR(INDEX(Market_Data!$D$5:$D$304,MATCH(Location!$C$5&amp;"|"&amp;$A51&amp;"|groundrent",Market_Data!$K$5:$K$304,0)),IFERROR(INDEX(Market_Data!$D$5:$D$304,MATCH(Location!$C$6&amp;"|"&amp;$A51&amp;"|groundrent",Market_Data!$K$5:$K$304,0)),IFERROR((INDEX(Org_Overrides!$D$5:$D$304,MATCH(Org_Profile!$C$4&amp;"|"&amp;$A51&amp;"|groundrent",Org_Overrides!$H$5:$H$304,0))*Location!$C$11),(Use_Library!$AT$51*Location!$C$11)))))</f>
        <v/>
      </c>
      <c r="M51" s="23">
        <f>IFERROR(INDEX(Market_Data!$D$5:$D$304,MATCH(Location!$C$4&amp;"|"&amp;$A51&amp;"|cap",Market_Data!$K$5:$K$304,0)),IFERROR(INDEX(Market_Data!$D$5:$D$304,MATCH(Location!$C$5&amp;"|"&amp;$A51&amp;"|cap",Market_Data!$K$5:$K$304,0)),IFERROR(INDEX(Market_Data!$D$5:$D$304,MATCH(Location!$C$6&amp;"|"&amp;$A51&amp;"|cap",Market_Data!$K$5:$K$304,0)),IFERROR((INDEX(Org_Overrides!$D$5:$D$304,MATCH(Org_Profile!$C$4&amp;"|"&amp;$A51&amp;"|cap",Org_Overrides!$H$5:$H$304,0))+Location!$C$12),(Use_Library!$AR$51+Location!$C$12)))))</f>
        <v/>
      </c>
      <c r="N51" s="23">
        <f>IFERROR(INDEX(Market_Data!$D$5:$D$304,MATCH(Location!$C$4&amp;"|"&amp;$A51&amp;"|vac",Market_Data!$K$5:$K$304,0)),IFERROR(INDEX(Market_Data!$D$5:$D$304,MATCH(Location!$C$5&amp;"|"&amp;$A51&amp;"|vac",Market_Data!$K$5:$K$304,0)),IFERROR(INDEX(Market_Data!$D$5:$D$304,MATCH(Location!$C$6&amp;"|"&amp;$A51&amp;"|vac",Market_Data!$K$5:$K$304,0)),IFERROR(INDEX(Org_Overrides!$D$5:$D$304,MATCH(Org_Profile!$C$4&amp;"|"&amp;$A51&amp;"|vac",Org_Overrides!$H$5:$H$304,0)),Use_Library!$AM$51))))</f>
        <v/>
      </c>
      <c r="O51" s="24">
        <f>IFERROR(INDEX(Market_Data!$D$5:$D$304,MATCH(Location!$C$4&amp;"|"&amp;$A51&amp;"|absorb",Market_Data!$K$5:$K$304,0)),IFERROR(INDEX(Market_Data!$D$5:$D$304,MATCH(Location!$C$5&amp;"|"&amp;$A51&amp;"|absorb",Market_Data!$K$5:$K$304,0)),IFERROR(INDEX(Market_Data!$D$5:$D$304,MATCH(Location!$C$6&amp;"|"&amp;$A51&amp;"|absorb",Market_Data!$K$5:$K$304,0)),IFERROR(INDEX(Org_Overrides!$D$5:$D$304,MATCH(Org_Profile!$C$4&amp;"|"&amp;$A51&amp;"|absorb",Org_Overrides!$H$5:$H$304,0)),Use_Library!$R$51))))</f>
        <v/>
      </c>
      <c r="P51" s="24">
        <f>IFERROR(INDEX(Market_Data!$D$5:$D$304,MATCH(Location!$C$4&amp;"|"&amp;$A51&amp;"|lotabs",Market_Data!$K$5:$K$304,0)),IFERROR(INDEX(Market_Data!$D$5:$D$304,MATCH(Location!$C$5&amp;"|"&amp;$A51&amp;"|lotabs",Market_Data!$K$5:$K$304,0)),IFERROR(INDEX(Market_Data!$D$5:$D$304,MATCH(Location!$C$6&amp;"|"&amp;$A51&amp;"|lotabs",Market_Data!$K$5:$K$304,0)),IFERROR(INDEX(Org_Overrides!$D$5:$D$304,MATCH(Org_Profile!$C$4&amp;"|"&amp;$A51&amp;"|lotabs",Org_Overrides!$H$5:$H$304,0)),Use_Library!$S$51))))</f>
        <v/>
      </c>
      <c r="Q51" s="2">
        <f>IF(ISNUMBER(MATCH(Org_Profile!$C$4&amp;"|"&amp;$A51&amp;"|vert",Org_Overrides!$H$5:$H$304,0)),"Org",IF(ISNUMBER(MATCH(Location!$C$4&amp;"|"&amp;$A51&amp;"|vert",Market_Data!$K$5:$K$304,0)),"Market-City",IF(ISNUMBER(MATCH(Location!$C$5&amp;"|"&amp;$A51&amp;"|vert",Market_Data!$K$5:$K$304,0)),"Market-County",IF(ISNUMBER(MATCH(Location!$C$6&amp;"|"&amp;$A51&amp;"|vert",Market_Data!$K$5:$K$304,0)),"Market-State","Default x index"))))</f>
        <v/>
      </c>
      <c r="R51" s="2">
        <f>IF(ISNUMBER(MATCH(Org_Profile!$C$4&amp;"|"&amp;$A51&amp;"|entitle",Org_Overrides!$H$5:$H$304,0)),"Org",IF(ISNUMBER(MATCH(Location!$C$4&amp;"|"&amp;$A51&amp;"|entitle",Market_Data!$K$5:$K$304,0)),"Market-City",IF(ISNUMBER(MATCH(Location!$C$5&amp;"|"&amp;$A51&amp;"|entitle",Market_Data!$K$5:$K$304,0)),"Market-County",IF(ISNUMBER(MATCH(Location!$C$6&amp;"|"&amp;$A51&amp;"|entitle",Market_Data!$K$5:$K$304,0)),"Market-State","Default x index"))))</f>
        <v/>
      </c>
      <c r="S51" s="2">
        <f>IF(ISNUMBER(MATCH(Org_Profile!$C$4&amp;"|"&amp;$A51&amp;"|tilc",Org_Overrides!$H$5:$H$304,0)),"Org",IF(ISNUMBER(MATCH(Location!$C$4&amp;"|"&amp;$A51&amp;"|tilc",Market_Data!$K$5:$K$304,0)),"Market-City",IF(ISNUMBER(MATCH(Location!$C$5&amp;"|"&amp;$A51&amp;"|tilc",Market_Data!$K$5:$K$304,0)),"Market-County",IF(ISNUMBER(MATCH(Location!$C$6&amp;"|"&amp;$A51&amp;"|tilc",Market_Data!$K$5:$K$304,0)),"Market-State","Default x index"))))</f>
        <v/>
      </c>
      <c r="T51" s="2">
        <f>IF(ISNUMBER(MATCH(Org_Profile!$C$4&amp;"|"&amp;$A51&amp;"|opex",Org_Overrides!$H$5:$H$304,0)),"Org",IF(ISNUMBER(MATCH(Location!$C$4&amp;"|"&amp;$A51&amp;"|opex",Market_Data!$K$5:$K$304,0)),"Market-City",IF(ISNUMBER(MATCH(Location!$C$5&amp;"|"&amp;$A51&amp;"|opex",Market_Data!$K$5:$K$304,0)),"Market-County",IF(ISNUMBER(MATCH(Location!$C$6&amp;"|"&amp;$A51&amp;"|opex",Market_Data!$K$5:$K$304,0)),"Market-State","Default x index"))))</f>
        <v/>
      </c>
      <c r="U51" s="2">
        <f>IF(ISNUMBER(MATCH(Org_Profile!$C$4&amp;"|"&amp;$A51&amp;"|devmo",Org_Overrides!$H$5:$H$304,0)),"Org",IF(ISNUMBER(MATCH(Location!$C$4&amp;"|"&amp;$A51&amp;"|devmo",Market_Data!$K$5:$K$304,0)),"Market-City",IF(ISNUMBER(MATCH(Location!$C$5&amp;"|"&amp;$A51&amp;"|devmo",Market_Data!$K$5:$K$304,0)),"Market-County",IF(ISNUMBER(MATCH(Location!$C$6&amp;"|"&amp;$A51&amp;"|devmo",Market_Data!$K$5:$K$304,0)),"Market-State","Default"))))</f>
        <v/>
      </c>
      <c r="V51" s="2">
        <f>IF(ISNUMBER(MATCH(Org_Profile!$C$4&amp;"|"&amp;$A51&amp;"|margin",Org_Overrides!$H$5:$H$304,0)),"Org",IF(INDEX(Org_Profile!$C$9:$C$12,MATCH(Use_Library!$C$51,Org_Profile!$B$9:$B$12,0))&lt;&gt;"","Org engine margin","Default"))</f>
        <v/>
      </c>
      <c r="W51" s="2">
        <f>IF(ISNUMBER(MATCH(Location!$C$4&amp;"|"&amp;$A51&amp;"|lotprice",Market_Data!$K$5:$K$304,0)),"Market-City",IF(ISNUMBER(MATCH(Location!$C$5&amp;"|"&amp;$A51&amp;"|lotprice",Market_Data!$K$5:$K$304,0)),"Market-County",IF(ISNUMBER(MATCH(Location!$C$6&amp;"|"&amp;$A51&amp;"|lotprice",Market_Data!$K$5:$K$304,0)),"Market-State",IF(ISNUMBER(MATCH(Org_Profile!$C$4&amp;"|"&amp;$A51&amp;"|lotprice",Org_Overrides!$H$5:$H$304,0)),"Org","Default x index"))))</f>
        <v/>
      </c>
      <c r="X51" s="2">
        <f>IF(ISNUMBER(MATCH(Location!$C$4&amp;"|"&amp;$A51&amp;"|saleprice",Market_Data!$K$5:$K$304,0)),"Market-City",IF(ISNUMBER(MATCH(Location!$C$5&amp;"|"&amp;$A51&amp;"|saleprice",Market_Data!$K$5:$K$304,0)),"Market-County",IF(ISNUMBER(MATCH(Location!$C$6&amp;"|"&amp;$A51&amp;"|saleprice",Market_Data!$K$5:$K$304,0)),"Market-State",IF(ISNUMBER(MATCH(Org_Profile!$C$4&amp;"|"&amp;$A51&amp;"|saleprice",Org_Overrides!$H$5:$H$304,0)),"Org","Default x index"))))</f>
        <v/>
      </c>
      <c r="Y51" s="2">
        <f>IF(ISNUMBER(MATCH(Location!$C$4&amp;"|"&amp;$A51&amp;"|landac",Market_Data!$K$5:$K$304,0)),"Market-City",IF(ISNUMBER(MATCH(Location!$C$5&amp;"|"&amp;$A51&amp;"|landac",Market_Data!$K$5:$K$304,0)),"Market-County",IF(ISNUMBER(MATCH(Location!$C$6&amp;"|"&amp;$A51&amp;"|landac",Market_Data!$K$5:$K$304,0)),"Market-State",IF(ISNUMBER(MATCH(Org_Profile!$C$4&amp;"|"&amp;$A51&amp;"|landac",Org_Overrides!$H$5:$H$304,0)),"Org","Default x index"))))</f>
        <v/>
      </c>
      <c r="Z51" s="2">
        <f>IF(ISNUMBER(MATCH(Location!$C$4&amp;"|"&amp;$A51&amp;"|rent",Market_Data!$K$5:$K$304,0)),"Market-City",IF(ISNUMBER(MATCH(Location!$C$5&amp;"|"&amp;$A51&amp;"|rent",Market_Data!$K$5:$K$304,0)),"Market-County",IF(ISNUMBER(MATCH(Location!$C$6&amp;"|"&amp;$A51&amp;"|rent",Market_Data!$K$5:$K$304,0)),"Market-State",IF(ISNUMBER(MATCH(Org_Profile!$C$4&amp;"|"&amp;$A51&amp;"|rent",Org_Overrides!$H$5:$H$304,0)),"Org","Default x index"))))</f>
        <v/>
      </c>
      <c r="AA51" s="2">
        <f>IF(ISNUMBER(MATCH(Location!$C$4&amp;"|"&amp;$A51&amp;"|groundrent",Market_Data!$K$5:$K$304,0)),"Market-City",IF(ISNUMBER(MATCH(Location!$C$5&amp;"|"&amp;$A51&amp;"|groundrent",Market_Data!$K$5:$K$304,0)),"Market-County",IF(ISNUMBER(MATCH(Location!$C$6&amp;"|"&amp;$A51&amp;"|groundrent",Market_Data!$K$5:$K$304,0)),"Market-State",IF(ISNUMBER(MATCH(Org_Profile!$C$4&amp;"|"&amp;$A51&amp;"|groundrent",Org_Overrides!$H$5:$H$304,0)),"Org","Default x index"))))</f>
        <v/>
      </c>
      <c r="AB51" s="2">
        <f>IF(ISNUMBER(MATCH(Location!$C$4&amp;"|"&amp;$A51&amp;"|cap",Market_Data!$K$5:$K$304,0)),"Market-City",IF(ISNUMBER(MATCH(Location!$C$5&amp;"|"&amp;$A51&amp;"|cap",Market_Data!$K$5:$K$304,0)),"Market-County",IF(ISNUMBER(MATCH(Location!$C$6&amp;"|"&amp;$A51&amp;"|cap",Market_Data!$K$5:$K$304,0)),"Market-State",IF(ISNUMBER(MATCH(Org_Profile!$C$4&amp;"|"&amp;$A51&amp;"|cap",Org_Overrides!$H$5:$H$304,0)),"Org","Default x index"))))</f>
        <v/>
      </c>
      <c r="AC51" s="2">
        <f>IF(ISNUMBER(MATCH(Location!$C$4&amp;"|"&amp;$A51&amp;"|vac",Market_Data!$K$5:$K$304,0)),"Market-City",IF(ISNUMBER(MATCH(Location!$C$5&amp;"|"&amp;$A51&amp;"|vac",Market_Data!$K$5:$K$304,0)),"Market-County",IF(ISNUMBER(MATCH(Location!$C$6&amp;"|"&amp;$A51&amp;"|vac",Market_Data!$K$5:$K$304,0)),"Market-State",IF(ISNUMBER(MATCH(Org_Profile!$C$4&amp;"|"&amp;$A51&amp;"|vac",Org_Overrides!$H$5:$H$304,0)),"Org","Default"))))</f>
        <v/>
      </c>
      <c r="AD51" s="2">
        <f>IF(ISNUMBER(MATCH(Location!$C$4&amp;"|"&amp;$A51&amp;"|absorb",Market_Data!$K$5:$K$304,0)),"Market-City",IF(ISNUMBER(MATCH(Location!$C$5&amp;"|"&amp;$A51&amp;"|absorb",Market_Data!$K$5:$K$304,0)),"Market-County",IF(ISNUMBER(MATCH(Location!$C$6&amp;"|"&amp;$A51&amp;"|absorb",Market_Data!$K$5:$K$304,0)),"Market-State",IF(ISNUMBER(MATCH(Org_Profile!$C$4&amp;"|"&amp;$A51&amp;"|absorb",Org_Overrides!$H$5:$H$304,0)),"Org","Default"))))</f>
        <v/>
      </c>
      <c r="AE51" s="2">
        <f>IF(ISNUMBER(MATCH(Location!$C$4&amp;"|"&amp;$A51&amp;"|lotabs",Market_Data!$K$5:$K$304,0)),"Market-City",IF(ISNUMBER(MATCH(Location!$C$5&amp;"|"&amp;$A51&amp;"|lotabs",Market_Data!$K$5:$K$304,0)),"Market-County",IF(ISNUMBER(MATCH(Location!$C$6&amp;"|"&amp;$A51&amp;"|lotabs",Market_Data!$K$5:$K$304,0)),"Market-State",IF(ISNUMBER(MATCH(Org_Profile!$C$4&amp;"|"&amp;$A51&amp;"|lotabs",Org_Overrides!$H$5:$H$304,0)),"Org","Default"))))</f>
        <v/>
      </c>
      <c r="AF51" s="15">
        <f>15-COUNTIF(Q51:AE51,"Default*")</f>
        <v/>
      </c>
    </row>
    <row r="52">
      <c r="A52" s="4">
        <f>Use_Library!$A$52</f>
        <v/>
      </c>
      <c r="B52" s="20">
        <f>IFERROR((INDEX(Org_Overrides!$D$5:$D$304,MATCH(Org_Profile!$C$4&amp;"|"&amp;$A52&amp;"|vert",Org_Overrides!$H$5:$H$304,0))*Location!$C$9),IFERROR(INDEX(Market_Data!$D$5:$D$304,MATCH(Location!$C$4&amp;"|"&amp;$A52&amp;"|vert",Market_Data!$K$5:$K$304,0)),IFERROR(INDEX(Market_Data!$D$5:$D$304,MATCH(Location!$C$5&amp;"|"&amp;$A52&amp;"|vert",Market_Data!$K$5:$K$304,0)),IFERROR(INDEX(Market_Data!$D$5:$D$304,MATCH(Location!$C$6&amp;"|"&amp;$A52&amp;"|vert",Market_Data!$K$5:$K$304,0)),(Use_Library!$AF$52*Location!$C$9)))))</f>
        <v/>
      </c>
      <c r="C52" s="20">
        <f>IFERROR((INDEX(Org_Overrides!$D$5:$D$304,MATCH(Org_Profile!$C$4&amp;"|"&amp;$A52&amp;"|entitle",Org_Overrides!$H$5:$H$304,0))*Location!$C$9),IFERROR(INDEX(Market_Data!$D$5:$D$304,MATCH(Location!$C$4&amp;"|"&amp;$A52&amp;"|entitle",Market_Data!$K$5:$K$304,0)),IFERROR(INDEX(Market_Data!$D$5:$D$304,MATCH(Location!$C$5&amp;"|"&amp;$A52&amp;"|entitle",Market_Data!$K$5:$K$304,0)),IFERROR(INDEX(Market_Data!$D$5:$D$304,MATCH(Location!$C$6&amp;"|"&amp;$A52&amp;"|entitle",Market_Data!$K$5:$K$304,0)),(Use_Library!$AE$52*Location!$C$9)))))</f>
        <v/>
      </c>
      <c r="D52" s="20">
        <f>IFERROR((INDEX(Org_Overrides!$D$5:$D$304,MATCH(Org_Profile!$C$4&amp;"|"&amp;$A52&amp;"|tilc",Org_Overrides!$H$5:$H$304,0))*Location!$C$9),IFERROR(INDEX(Market_Data!$D$5:$D$304,MATCH(Location!$C$4&amp;"|"&amp;$A52&amp;"|tilc",Market_Data!$K$5:$K$304,0)),IFERROR(INDEX(Market_Data!$D$5:$D$304,MATCH(Location!$C$5&amp;"|"&amp;$A52&amp;"|tilc",Market_Data!$K$5:$K$304,0)),IFERROR(INDEX(Market_Data!$D$5:$D$304,MATCH(Location!$C$6&amp;"|"&amp;$A52&amp;"|tilc",Market_Data!$K$5:$K$304,0)),(Use_Library!$AG$52*Location!$C$9)))))</f>
        <v/>
      </c>
      <c r="E52" s="36">
        <f>IFERROR((INDEX(Org_Overrides!$D$5:$D$304,MATCH(Org_Profile!$C$4&amp;"|"&amp;$A52&amp;"|opex",Org_Overrides!$H$5:$H$304,0))*Location!$C$13),IFERROR(INDEX(Market_Data!$D$5:$D$304,MATCH(Location!$C$4&amp;"|"&amp;$A52&amp;"|opex",Market_Data!$K$5:$K$304,0)),IFERROR(INDEX(Market_Data!$D$5:$D$304,MATCH(Location!$C$5&amp;"|"&amp;$A52&amp;"|opex",Market_Data!$K$5:$K$304,0)),IFERROR(INDEX(Market_Data!$D$5:$D$304,MATCH(Location!$C$6&amp;"|"&amp;$A52&amp;"|opex",Market_Data!$K$5:$K$304,0)),(Use_Library!$AN$52*Location!$C$13)))))</f>
        <v/>
      </c>
      <c r="F52" s="9">
        <f>IFERROR(INDEX(Org_Overrides!$D$5:$D$304,MATCH(Org_Profile!$C$4&amp;"|"&amp;$A52&amp;"|devmo",Org_Overrides!$H$5:$H$304,0)),IFERROR(INDEX(Market_Data!$D$5:$D$304,MATCH(Location!$C$4&amp;"|"&amp;$A52&amp;"|devmo",Market_Data!$K$5:$K$304,0)),IFERROR(INDEX(Market_Data!$D$5:$D$304,MATCH(Location!$C$5&amp;"|"&amp;$A52&amp;"|devmo",Market_Data!$K$5:$K$304,0)),IFERROR(INDEX(Market_Data!$D$5:$D$304,MATCH(Location!$C$6&amp;"|"&amp;$A52&amp;"|devmo",Market_Data!$K$5:$K$304,0)),Use_Library!$AH$52))))</f>
        <v/>
      </c>
      <c r="G52" s="23">
        <f>IFERROR(INDEX(Org_Overrides!$D$5:$D$304,MATCH(Org_Profile!$C$4&amp;"|"&amp;$A52&amp;"|margin",Org_Overrides!$H$5:$H$304,0)),IF(INDEX(Org_Profile!$C$9:$C$12,MATCH(Use_Library!$C$52,Org_Profile!$B$9:$B$12,0))&lt;&gt;"",INDEX(Org_Profile!$C$9:$C$12,MATCH(Use_Library!$C$52,Org_Profile!$B$9:$B$12,0)),Use_Library!$AU$52))</f>
        <v/>
      </c>
      <c r="H52" s="20">
        <f>IFERROR(INDEX(Market_Data!$D$5:$D$304,MATCH(Location!$C$4&amp;"|"&amp;$A52&amp;"|lotprice",Market_Data!$K$5:$K$304,0)),IFERROR(INDEX(Market_Data!$D$5:$D$304,MATCH(Location!$C$5&amp;"|"&amp;$A52&amp;"|lotprice",Market_Data!$K$5:$K$304,0)),IFERROR(INDEX(Market_Data!$D$5:$D$304,MATCH(Location!$C$6&amp;"|"&amp;$A52&amp;"|lotprice",Market_Data!$K$5:$K$304,0)),IFERROR((INDEX(Org_Overrides!$D$5:$D$304,MATCH(Org_Profile!$C$4&amp;"|"&amp;$A52&amp;"|lotprice",Org_Overrides!$H$5:$H$304,0))*Location!$C$10),(Use_Library!$AI$52*Location!$C$10)))))</f>
        <v/>
      </c>
      <c r="I52" s="20">
        <f>IFERROR(INDEX(Market_Data!$D$5:$D$304,MATCH(Location!$C$4&amp;"|"&amp;$A52&amp;"|saleprice",Market_Data!$K$5:$K$304,0)),IFERROR(INDEX(Market_Data!$D$5:$D$304,MATCH(Location!$C$5&amp;"|"&amp;$A52&amp;"|saleprice",Market_Data!$K$5:$K$304,0)),IFERROR(INDEX(Market_Data!$D$5:$D$304,MATCH(Location!$C$6&amp;"|"&amp;$A52&amp;"|saleprice",Market_Data!$K$5:$K$304,0)),IFERROR((INDEX(Org_Overrides!$D$5:$D$304,MATCH(Org_Profile!$C$4&amp;"|"&amp;$A52&amp;"|saleprice",Org_Overrides!$H$5:$H$304,0))*Location!$C$10),(Use_Library!$AJ$52*Location!$C$10)))))</f>
        <v/>
      </c>
      <c r="J52" s="20">
        <f>IFERROR(INDEX(Market_Data!$D$5:$D$304,MATCH(Location!$C$4&amp;"|"&amp;$A52&amp;"|landac",Market_Data!$K$5:$K$304,0)),IFERROR(INDEX(Market_Data!$D$5:$D$304,MATCH(Location!$C$5&amp;"|"&amp;$A52&amp;"|landac",Market_Data!$K$5:$K$304,0)),IFERROR(INDEX(Market_Data!$D$5:$D$304,MATCH(Location!$C$6&amp;"|"&amp;$A52&amp;"|landac",Market_Data!$K$5:$K$304,0)),IFERROR((INDEX(Org_Overrides!$D$5:$D$304,MATCH(Org_Profile!$C$4&amp;"|"&amp;$A52&amp;"|landac",Org_Overrides!$H$5:$H$304,0))*Location!$C$10),(Use_Library!$AS$52*Location!$C$10)))))</f>
        <v/>
      </c>
      <c r="K52" s="20">
        <f>IFERROR(INDEX(Market_Data!$D$5:$D$304,MATCH(Location!$C$4&amp;"|"&amp;$A52&amp;"|rent",Market_Data!$K$5:$K$304,0)),IFERROR(INDEX(Market_Data!$D$5:$D$304,MATCH(Location!$C$5&amp;"|"&amp;$A52&amp;"|rent",Market_Data!$K$5:$K$304,0)),IFERROR(INDEX(Market_Data!$D$5:$D$304,MATCH(Location!$C$6&amp;"|"&amp;$A52&amp;"|rent",Market_Data!$K$5:$K$304,0)),IFERROR((INDEX(Org_Overrides!$D$5:$D$304,MATCH(Org_Profile!$C$4&amp;"|"&amp;$A52&amp;"|rent",Org_Overrides!$H$5:$H$304,0))*Location!$C$11),(Use_Library!$AK$52*Location!$C$11)))))</f>
        <v/>
      </c>
      <c r="L52" s="20">
        <f>IFERROR(INDEX(Market_Data!$D$5:$D$304,MATCH(Location!$C$4&amp;"|"&amp;$A52&amp;"|groundrent",Market_Data!$K$5:$K$304,0)),IFERROR(INDEX(Market_Data!$D$5:$D$304,MATCH(Location!$C$5&amp;"|"&amp;$A52&amp;"|groundrent",Market_Data!$K$5:$K$304,0)),IFERROR(INDEX(Market_Data!$D$5:$D$304,MATCH(Location!$C$6&amp;"|"&amp;$A52&amp;"|groundrent",Market_Data!$K$5:$K$304,0)),IFERROR((INDEX(Org_Overrides!$D$5:$D$304,MATCH(Org_Profile!$C$4&amp;"|"&amp;$A52&amp;"|groundrent",Org_Overrides!$H$5:$H$304,0))*Location!$C$11),(Use_Library!$AT$52*Location!$C$11)))))</f>
        <v/>
      </c>
      <c r="M52" s="23">
        <f>IFERROR(INDEX(Market_Data!$D$5:$D$304,MATCH(Location!$C$4&amp;"|"&amp;$A52&amp;"|cap",Market_Data!$K$5:$K$304,0)),IFERROR(INDEX(Market_Data!$D$5:$D$304,MATCH(Location!$C$5&amp;"|"&amp;$A52&amp;"|cap",Market_Data!$K$5:$K$304,0)),IFERROR(INDEX(Market_Data!$D$5:$D$304,MATCH(Location!$C$6&amp;"|"&amp;$A52&amp;"|cap",Market_Data!$K$5:$K$304,0)),IFERROR((INDEX(Org_Overrides!$D$5:$D$304,MATCH(Org_Profile!$C$4&amp;"|"&amp;$A52&amp;"|cap",Org_Overrides!$H$5:$H$304,0))+Location!$C$12),(Use_Library!$AR$52+Location!$C$12)))))</f>
        <v/>
      </c>
      <c r="N52" s="23">
        <f>IFERROR(INDEX(Market_Data!$D$5:$D$304,MATCH(Location!$C$4&amp;"|"&amp;$A52&amp;"|vac",Market_Data!$K$5:$K$304,0)),IFERROR(INDEX(Market_Data!$D$5:$D$304,MATCH(Location!$C$5&amp;"|"&amp;$A52&amp;"|vac",Market_Data!$K$5:$K$304,0)),IFERROR(INDEX(Market_Data!$D$5:$D$304,MATCH(Location!$C$6&amp;"|"&amp;$A52&amp;"|vac",Market_Data!$K$5:$K$304,0)),IFERROR(INDEX(Org_Overrides!$D$5:$D$304,MATCH(Org_Profile!$C$4&amp;"|"&amp;$A52&amp;"|vac",Org_Overrides!$H$5:$H$304,0)),Use_Library!$AM$52))))</f>
        <v/>
      </c>
      <c r="O52" s="24">
        <f>IFERROR(INDEX(Market_Data!$D$5:$D$304,MATCH(Location!$C$4&amp;"|"&amp;$A52&amp;"|absorb",Market_Data!$K$5:$K$304,0)),IFERROR(INDEX(Market_Data!$D$5:$D$304,MATCH(Location!$C$5&amp;"|"&amp;$A52&amp;"|absorb",Market_Data!$K$5:$K$304,0)),IFERROR(INDEX(Market_Data!$D$5:$D$304,MATCH(Location!$C$6&amp;"|"&amp;$A52&amp;"|absorb",Market_Data!$K$5:$K$304,0)),IFERROR(INDEX(Org_Overrides!$D$5:$D$304,MATCH(Org_Profile!$C$4&amp;"|"&amp;$A52&amp;"|absorb",Org_Overrides!$H$5:$H$304,0)),Use_Library!$R$52))))</f>
        <v/>
      </c>
      <c r="P52" s="24">
        <f>IFERROR(INDEX(Market_Data!$D$5:$D$304,MATCH(Location!$C$4&amp;"|"&amp;$A52&amp;"|lotabs",Market_Data!$K$5:$K$304,0)),IFERROR(INDEX(Market_Data!$D$5:$D$304,MATCH(Location!$C$5&amp;"|"&amp;$A52&amp;"|lotabs",Market_Data!$K$5:$K$304,0)),IFERROR(INDEX(Market_Data!$D$5:$D$304,MATCH(Location!$C$6&amp;"|"&amp;$A52&amp;"|lotabs",Market_Data!$K$5:$K$304,0)),IFERROR(INDEX(Org_Overrides!$D$5:$D$304,MATCH(Org_Profile!$C$4&amp;"|"&amp;$A52&amp;"|lotabs",Org_Overrides!$H$5:$H$304,0)),Use_Library!$S$52))))</f>
        <v/>
      </c>
      <c r="Q52" s="2">
        <f>IF(ISNUMBER(MATCH(Org_Profile!$C$4&amp;"|"&amp;$A52&amp;"|vert",Org_Overrides!$H$5:$H$304,0)),"Org",IF(ISNUMBER(MATCH(Location!$C$4&amp;"|"&amp;$A52&amp;"|vert",Market_Data!$K$5:$K$304,0)),"Market-City",IF(ISNUMBER(MATCH(Location!$C$5&amp;"|"&amp;$A52&amp;"|vert",Market_Data!$K$5:$K$304,0)),"Market-County",IF(ISNUMBER(MATCH(Location!$C$6&amp;"|"&amp;$A52&amp;"|vert",Market_Data!$K$5:$K$304,0)),"Market-State","Default x index"))))</f>
        <v/>
      </c>
      <c r="R52" s="2">
        <f>IF(ISNUMBER(MATCH(Org_Profile!$C$4&amp;"|"&amp;$A52&amp;"|entitle",Org_Overrides!$H$5:$H$304,0)),"Org",IF(ISNUMBER(MATCH(Location!$C$4&amp;"|"&amp;$A52&amp;"|entitle",Market_Data!$K$5:$K$304,0)),"Market-City",IF(ISNUMBER(MATCH(Location!$C$5&amp;"|"&amp;$A52&amp;"|entitle",Market_Data!$K$5:$K$304,0)),"Market-County",IF(ISNUMBER(MATCH(Location!$C$6&amp;"|"&amp;$A52&amp;"|entitle",Market_Data!$K$5:$K$304,0)),"Market-State","Default x index"))))</f>
        <v/>
      </c>
      <c r="S52" s="2">
        <f>IF(ISNUMBER(MATCH(Org_Profile!$C$4&amp;"|"&amp;$A52&amp;"|tilc",Org_Overrides!$H$5:$H$304,0)),"Org",IF(ISNUMBER(MATCH(Location!$C$4&amp;"|"&amp;$A52&amp;"|tilc",Market_Data!$K$5:$K$304,0)),"Market-City",IF(ISNUMBER(MATCH(Location!$C$5&amp;"|"&amp;$A52&amp;"|tilc",Market_Data!$K$5:$K$304,0)),"Market-County",IF(ISNUMBER(MATCH(Location!$C$6&amp;"|"&amp;$A52&amp;"|tilc",Market_Data!$K$5:$K$304,0)),"Market-State","Default x index"))))</f>
        <v/>
      </c>
      <c r="T52" s="2">
        <f>IF(ISNUMBER(MATCH(Org_Profile!$C$4&amp;"|"&amp;$A52&amp;"|opex",Org_Overrides!$H$5:$H$304,0)),"Org",IF(ISNUMBER(MATCH(Location!$C$4&amp;"|"&amp;$A52&amp;"|opex",Market_Data!$K$5:$K$304,0)),"Market-City",IF(ISNUMBER(MATCH(Location!$C$5&amp;"|"&amp;$A52&amp;"|opex",Market_Data!$K$5:$K$304,0)),"Market-County",IF(ISNUMBER(MATCH(Location!$C$6&amp;"|"&amp;$A52&amp;"|opex",Market_Data!$K$5:$K$304,0)),"Market-State","Default x index"))))</f>
        <v/>
      </c>
      <c r="U52" s="2">
        <f>IF(ISNUMBER(MATCH(Org_Profile!$C$4&amp;"|"&amp;$A52&amp;"|devmo",Org_Overrides!$H$5:$H$304,0)),"Org",IF(ISNUMBER(MATCH(Location!$C$4&amp;"|"&amp;$A52&amp;"|devmo",Market_Data!$K$5:$K$304,0)),"Market-City",IF(ISNUMBER(MATCH(Location!$C$5&amp;"|"&amp;$A52&amp;"|devmo",Market_Data!$K$5:$K$304,0)),"Market-County",IF(ISNUMBER(MATCH(Location!$C$6&amp;"|"&amp;$A52&amp;"|devmo",Market_Data!$K$5:$K$304,0)),"Market-State","Default"))))</f>
        <v/>
      </c>
      <c r="V52" s="2">
        <f>IF(ISNUMBER(MATCH(Org_Profile!$C$4&amp;"|"&amp;$A52&amp;"|margin",Org_Overrides!$H$5:$H$304,0)),"Org",IF(INDEX(Org_Profile!$C$9:$C$12,MATCH(Use_Library!$C$52,Org_Profile!$B$9:$B$12,0))&lt;&gt;"","Org engine margin","Default"))</f>
        <v/>
      </c>
      <c r="W52" s="2">
        <f>IF(ISNUMBER(MATCH(Location!$C$4&amp;"|"&amp;$A52&amp;"|lotprice",Market_Data!$K$5:$K$304,0)),"Market-City",IF(ISNUMBER(MATCH(Location!$C$5&amp;"|"&amp;$A52&amp;"|lotprice",Market_Data!$K$5:$K$304,0)),"Market-County",IF(ISNUMBER(MATCH(Location!$C$6&amp;"|"&amp;$A52&amp;"|lotprice",Market_Data!$K$5:$K$304,0)),"Market-State",IF(ISNUMBER(MATCH(Org_Profile!$C$4&amp;"|"&amp;$A52&amp;"|lotprice",Org_Overrides!$H$5:$H$304,0)),"Org","Default x index"))))</f>
        <v/>
      </c>
      <c r="X52" s="2">
        <f>IF(ISNUMBER(MATCH(Location!$C$4&amp;"|"&amp;$A52&amp;"|saleprice",Market_Data!$K$5:$K$304,0)),"Market-City",IF(ISNUMBER(MATCH(Location!$C$5&amp;"|"&amp;$A52&amp;"|saleprice",Market_Data!$K$5:$K$304,0)),"Market-County",IF(ISNUMBER(MATCH(Location!$C$6&amp;"|"&amp;$A52&amp;"|saleprice",Market_Data!$K$5:$K$304,0)),"Market-State",IF(ISNUMBER(MATCH(Org_Profile!$C$4&amp;"|"&amp;$A52&amp;"|saleprice",Org_Overrides!$H$5:$H$304,0)),"Org","Default x index"))))</f>
        <v/>
      </c>
      <c r="Y52" s="2">
        <f>IF(ISNUMBER(MATCH(Location!$C$4&amp;"|"&amp;$A52&amp;"|landac",Market_Data!$K$5:$K$304,0)),"Market-City",IF(ISNUMBER(MATCH(Location!$C$5&amp;"|"&amp;$A52&amp;"|landac",Market_Data!$K$5:$K$304,0)),"Market-County",IF(ISNUMBER(MATCH(Location!$C$6&amp;"|"&amp;$A52&amp;"|landac",Market_Data!$K$5:$K$304,0)),"Market-State",IF(ISNUMBER(MATCH(Org_Profile!$C$4&amp;"|"&amp;$A52&amp;"|landac",Org_Overrides!$H$5:$H$304,0)),"Org","Default x index"))))</f>
        <v/>
      </c>
      <c r="Z52" s="2">
        <f>IF(ISNUMBER(MATCH(Location!$C$4&amp;"|"&amp;$A52&amp;"|rent",Market_Data!$K$5:$K$304,0)),"Market-City",IF(ISNUMBER(MATCH(Location!$C$5&amp;"|"&amp;$A52&amp;"|rent",Market_Data!$K$5:$K$304,0)),"Market-County",IF(ISNUMBER(MATCH(Location!$C$6&amp;"|"&amp;$A52&amp;"|rent",Market_Data!$K$5:$K$304,0)),"Market-State",IF(ISNUMBER(MATCH(Org_Profile!$C$4&amp;"|"&amp;$A52&amp;"|rent",Org_Overrides!$H$5:$H$304,0)),"Org","Default x index"))))</f>
        <v/>
      </c>
      <c r="AA52" s="2">
        <f>IF(ISNUMBER(MATCH(Location!$C$4&amp;"|"&amp;$A52&amp;"|groundrent",Market_Data!$K$5:$K$304,0)),"Market-City",IF(ISNUMBER(MATCH(Location!$C$5&amp;"|"&amp;$A52&amp;"|groundrent",Market_Data!$K$5:$K$304,0)),"Market-County",IF(ISNUMBER(MATCH(Location!$C$6&amp;"|"&amp;$A52&amp;"|groundrent",Market_Data!$K$5:$K$304,0)),"Market-State",IF(ISNUMBER(MATCH(Org_Profile!$C$4&amp;"|"&amp;$A52&amp;"|groundrent",Org_Overrides!$H$5:$H$304,0)),"Org","Default x index"))))</f>
        <v/>
      </c>
      <c r="AB52" s="2">
        <f>IF(ISNUMBER(MATCH(Location!$C$4&amp;"|"&amp;$A52&amp;"|cap",Market_Data!$K$5:$K$304,0)),"Market-City",IF(ISNUMBER(MATCH(Location!$C$5&amp;"|"&amp;$A52&amp;"|cap",Market_Data!$K$5:$K$304,0)),"Market-County",IF(ISNUMBER(MATCH(Location!$C$6&amp;"|"&amp;$A52&amp;"|cap",Market_Data!$K$5:$K$304,0)),"Market-State",IF(ISNUMBER(MATCH(Org_Profile!$C$4&amp;"|"&amp;$A52&amp;"|cap",Org_Overrides!$H$5:$H$304,0)),"Org","Default x index"))))</f>
        <v/>
      </c>
      <c r="AC52" s="2">
        <f>IF(ISNUMBER(MATCH(Location!$C$4&amp;"|"&amp;$A52&amp;"|vac",Market_Data!$K$5:$K$304,0)),"Market-City",IF(ISNUMBER(MATCH(Location!$C$5&amp;"|"&amp;$A52&amp;"|vac",Market_Data!$K$5:$K$304,0)),"Market-County",IF(ISNUMBER(MATCH(Location!$C$6&amp;"|"&amp;$A52&amp;"|vac",Market_Data!$K$5:$K$304,0)),"Market-State",IF(ISNUMBER(MATCH(Org_Profile!$C$4&amp;"|"&amp;$A52&amp;"|vac",Org_Overrides!$H$5:$H$304,0)),"Org","Default"))))</f>
        <v/>
      </c>
      <c r="AD52" s="2">
        <f>IF(ISNUMBER(MATCH(Location!$C$4&amp;"|"&amp;$A52&amp;"|absorb",Market_Data!$K$5:$K$304,0)),"Market-City",IF(ISNUMBER(MATCH(Location!$C$5&amp;"|"&amp;$A52&amp;"|absorb",Market_Data!$K$5:$K$304,0)),"Market-County",IF(ISNUMBER(MATCH(Location!$C$6&amp;"|"&amp;$A52&amp;"|absorb",Market_Data!$K$5:$K$304,0)),"Market-State",IF(ISNUMBER(MATCH(Org_Profile!$C$4&amp;"|"&amp;$A52&amp;"|absorb",Org_Overrides!$H$5:$H$304,0)),"Org","Default"))))</f>
        <v/>
      </c>
      <c r="AE52" s="2">
        <f>IF(ISNUMBER(MATCH(Location!$C$4&amp;"|"&amp;$A52&amp;"|lotabs",Market_Data!$K$5:$K$304,0)),"Market-City",IF(ISNUMBER(MATCH(Location!$C$5&amp;"|"&amp;$A52&amp;"|lotabs",Market_Data!$K$5:$K$304,0)),"Market-County",IF(ISNUMBER(MATCH(Location!$C$6&amp;"|"&amp;$A52&amp;"|lotabs",Market_Data!$K$5:$K$304,0)),"Market-State",IF(ISNUMBER(MATCH(Org_Profile!$C$4&amp;"|"&amp;$A52&amp;"|lotabs",Org_Overrides!$H$5:$H$304,0)),"Org","Default"))))</f>
        <v/>
      </c>
      <c r="AF52" s="15">
        <f>15-COUNTIF(Q52:AE52,"Default*")</f>
        <v/>
      </c>
    </row>
    <row r="53">
      <c r="A53" s="4">
        <f>Use_Library!$A$53</f>
        <v/>
      </c>
      <c r="B53" s="20">
        <f>IFERROR((INDEX(Org_Overrides!$D$5:$D$304,MATCH(Org_Profile!$C$4&amp;"|"&amp;$A53&amp;"|vert",Org_Overrides!$H$5:$H$304,0))*Location!$C$9),IFERROR(INDEX(Market_Data!$D$5:$D$304,MATCH(Location!$C$4&amp;"|"&amp;$A53&amp;"|vert",Market_Data!$K$5:$K$304,0)),IFERROR(INDEX(Market_Data!$D$5:$D$304,MATCH(Location!$C$5&amp;"|"&amp;$A53&amp;"|vert",Market_Data!$K$5:$K$304,0)),IFERROR(INDEX(Market_Data!$D$5:$D$304,MATCH(Location!$C$6&amp;"|"&amp;$A53&amp;"|vert",Market_Data!$K$5:$K$304,0)),(Use_Library!$AF$53*Location!$C$9)))))</f>
        <v/>
      </c>
      <c r="C53" s="20">
        <f>IFERROR((INDEX(Org_Overrides!$D$5:$D$304,MATCH(Org_Profile!$C$4&amp;"|"&amp;$A53&amp;"|entitle",Org_Overrides!$H$5:$H$304,0))*Location!$C$9),IFERROR(INDEX(Market_Data!$D$5:$D$304,MATCH(Location!$C$4&amp;"|"&amp;$A53&amp;"|entitle",Market_Data!$K$5:$K$304,0)),IFERROR(INDEX(Market_Data!$D$5:$D$304,MATCH(Location!$C$5&amp;"|"&amp;$A53&amp;"|entitle",Market_Data!$K$5:$K$304,0)),IFERROR(INDEX(Market_Data!$D$5:$D$304,MATCH(Location!$C$6&amp;"|"&amp;$A53&amp;"|entitle",Market_Data!$K$5:$K$304,0)),(Use_Library!$AE$53*Location!$C$9)))))</f>
        <v/>
      </c>
      <c r="D53" s="20">
        <f>IFERROR((INDEX(Org_Overrides!$D$5:$D$304,MATCH(Org_Profile!$C$4&amp;"|"&amp;$A53&amp;"|tilc",Org_Overrides!$H$5:$H$304,0))*Location!$C$9),IFERROR(INDEX(Market_Data!$D$5:$D$304,MATCH(Location!$C$4&amp;"|"&amp;$A53&amp;"|tilc",Market_Data!$K$5:$K$304,0)),IFERROR(INDEX(Market_Data!$D$5:$D$304,MATCH(Location!$C$5&amp;"|"&amp;$A53&amp;"|tilc",Market_Data!$K$5:$K$304,0)),IFERROR(INDEX(Market_Data!$D$5:$D$304,MATCH(Location!$C$6&amp;"|"&amp;$A53&amp;"|tilc",Market_Data!$K$5:$K$304,0)),(Use_Library!$AG$53*Location!$C$9)))))</f>
        <v/>
      </c>
      <c r="E53" s="20">
        <f>IFERROR((INDEX(Org_Overrides!$D$5:$D$304,MATCH(Org_Profile!$C$4&amp;"|"&amp;$A53&amp;"|opex",Org_Overrides!$H$5:$H$304,0))*Location!$C$13),IFERROR(INDEX(Market_Data!$D$5:$D$304,MATCH(Location!$C$4&amp;"|"&amp;$A53&amp;"|opex",Market_Data!$K$5:$K$304,0)),IFERROR(INDEX(Market_Data!$D$5:$D$304,MATCH(Location!$C$5&amp;"|"&amp;$A53&amp;"|opex",Market_Data!$K$5:$K$304,0)),IFERROR(INDEX(Market_Data!$D$5:$D$304,MATCH(Location!$C$6&amp;"|"&amp;$A53&amp;"|opex",Market_Data!$K$5:$K$304,0)),(Use_Library!$AN$53*Location!$C$13)))))</f>
        <v/>
      </c>
      <c r="F53" s="9">
        <f>IFERROR(INDEX(Org_Overrides!$D$5:$D$304,MATCH(Org_Profile!$C$4&amp;"|"&amp;$A53&amp;"|devmo",Org_Overrides!$H$5:$H$304,0)),IFERROR(INDEX(Market_Data!$D$5:$D$304,MATCH(Location!$C$4&amp;"|"&amp;$A53&amp;"|devmo",Market_Data!$K$5:$K$304,0)),IFERROR(INDEX(Market_Data!$D$5:$D$304,MATCH(Location!$C$5&amp;"|"&amp;$A53&amp;"|devmo",Market_Data!$K$5:$K$304,0)),IFERROR(INDEX(Market_Data!$D$5:$D$304,MATCH(Location!$C$6&amp;"|"&amp;$A53&amp;"|devmo",Market_Data!$K$5:$K$304,0)),Use_Library!$AH$53))))</f>
        <v/>
      </c>
      <c r="G53" s="23">
        <f>IFERROR(INDEX(Org_Overrides!$D$5:$D$304,MATCH(Org_Profile!$C$4&amp;"|"&amp;$A53&amp;"|margin",Org_Overrides!$H$5:$H$304,0)),IF(INDEX(Org_Profile!$C$9:$C$12,MATCH(Use_Library!$C$53,Org_Profile!$B$9:$B$12,0))&lt;&gt;"",INDEX(Org_Profile!$C$9:$C$12,MATCH(Use_Library!$C$53,Org_Profile!$B$9:$B$12,0)),Use_Library!$AU$53))</f>
        <v/>
      </c>
      <c r="H53" s="20">
        <f>IFERROR(INDEX(Market_Data!$D$5:$D$304,MATCH(Location!$C$4&amp;"|"&amp;$A53&amp;"|lotprice",Market_Data!$K$5:$K$304,0)),IFERROR(INDEX(Market_Data!$D$5:$D$304,MATCH(Location!$C$5&amp;"|"&amp;$A53&amp;"|lotprice",Market_Data!$K$5:$K$304,0)),IFERROR(INDEX(Market_Data!$D$5:$D$304,MATCH(Location!$C$6&amp;"|"&amp;$A53&amp;"|lotprice",Market_Data!$K$5:$K$304,0)),IFERROR((INDEX(Org_Overrides!$D$5:$D$304,MATCH(Org_Profile!$C$4&amp;"|"&amp;$A53&amp;"|lotprice",Org_Overrides!$H$5:$H$304,0))*Location!$C$10),(Use_Library!$AI$53*Location!$C$10)))))</f>
        <v/>
      </c>
      <c r="I53" s="20">
        <f>IFERROR(INDEX(Market_Data!$D$5:$D$304,MATCH(Location!$C$4&amp;"|"&amp;$A53&amp;"|saleprice",Market_Data!$K$5:$K$304,0)),IFERROR(INDEX(Market_Data!$D$5:$D$304,MATCH(Location!$C$5&amp;"|"&amp;$A53&amp;"|saleprice",Market_Data!$K$5:$K$304,0)),IFERROR(INDEX(Market_Data!$D$5:$D$304,MATCH(Location!$C$6&amp;"|"&amp;$A53&amp;"|saleprice",Market_Data!$K$5:$K$304,0)),IFERROR((INDEX(Org_Overrides!$D$5:$D$304,MATCH(Org_Profile!$C$4&amp;"|"&amp;$A53&amp;"|saleprice",Org_Overrides!$H$5:$H$304,0))*Location!$C$10),(Use_Library!$AJ$53*Location!$C$10)))))</f>
        <v/>
      </c>
      <c r="J53" s="20">
        <f>IFERROR(INDEX(Market_Data!$D$5:$D$304,MATCH(Location!$C$4&amp;"|"&amp;$A53&amp;"|landac",Market_Data!$K$5:$K$304,0)),IFERROR(INDEX(Market_Data!$D$5:$D$304,MATCH(Location!$C$5&amp;"|"&amp;$A53&amp;"|landac",Market_Data!$K$5:$K$304,0)),IFERROR(INDEX(Market_Data!$D$5:$D$304,MATCH(Location!$C$6&amp;"|"&amp;$A53&amp;"|landac",Market_Data!$K$5:$K$304,0)),IFERROR((INDEX(Org_Overrides!$D$5:$D$304,MATCH(Org_Profile!$C$4&amp;"|"&amp;$A53&amp;"|landac",Org_Overrides!$H$5:$H$304,0))*Location!$C$10),(Use_Library!$AS$53*Location!$C$10)))))</f>
        <v/>
      </c>
      <c r="K53" s="20">
        <f>IFERROR(INDEX(Market_Data!$D$5:$D$304,MATCH(Location!$C$4&amp;"|"&amp;$A53&amp;"|rent",Market_Data!$K$5:$K$304,0)),IFERROR(INDEX(Market_Data!$D$5:$D$304,MATCH(Location!$C$5&amp;"|"&amp;$A53&amp;"|rent",Market_Data!$K$5:$K$304,0)),IFERROR(INDEX(Market_Data!$D$5:$D$304,MATCH(Location!$C$6&amp;"|"&amp;$A53&amp;"|rent",Market_Data!$K$5:$K$304,0)),IFERROR((INDEX(Org_Overrides!$D$5:$D$304,MATCH(Org_Profile!$C$4&amp;"|"&amp;$A53&amp;"|rent",Org_Overrides!$H$5:$H$304,0))*Location!$C$11),(Use_Library!$AK$53*Location!$C$11)))))</f>
        <v/>
      </c>
      <c r="L53" s="20">
        <f>IFERROR(INDEX(Market_Data!$D$5:$D$304,MATCH(Location!$C$4&amp;"|"&amp;$A53&amp;"|groundrent",Market_Data!$K$5:$K$304,0)),IFERROR(INDEX(Market_Data!$D$5:$D$304,MATCH(Location!$C$5&amp;"|"&amp;$A53&amp;"|groundrent",Market_Data!$K$5:$K$304,0)),IFERROR(INDEX(Market_Data!$D$5:$D$304,MATCH(Location!$C$6&amp;"|"&amp;$A53&amp;"|groundrent",Market_Data!$K$5:$K$304,0)),IFERROR((INDEX(Org_Overrides!$D$5:$D$304,MATCH(Org_Profile!$C$4&amp;"|"&amp;$A53&amp;"|groundrent",Org_Overrides!$H$5:$H$304,0))*Location!$C$11),(Use_Library!$AT$53*Location!$C$11)))))</f>
        <v/>
      </c>
      <c r="M53" s="23">
        <f>IFERROR(INDEX(Market_Data!$D$5:$D$304,MATCH(Location!$C$4&amp;"|"&amp;$A53&amp;"|cap",Market_Data!$K$5:$K$304,0)),IFERROR(INDEX(Market_Data!$D$5:$D$304,MATCH(Location!$C$5&amp;"|"&amp;$A53&amp;"|cap",Market_Data!$K$5:$K$304,0)),IFERROR(INDEX(Market_Data!$D$5:$D$304,MATCH(Location!$C$6&amp;"|"&amp;$A53&amp;"|cap",Market_Data!$K$5:$K$304,0)),IFERROR((INDEX(Org_Overrides!$D$5:$D$304,MATCH(Org_Profile!$C$4&amp;"|"&amp;$A53&amp;"|cap",Org_Overrides!$H$5:$H$304,0))+Location!$C$12),(Use_Library!$AR$53+Location!$C$12)))))</f>
        <v/>
      </c>
      <c r="N53" s="23">
        <f>IFERROR(INDEX(Market_Data!$D$5:$D$304,MATCH(Location!$C$4&amp;"|"&amp;$A53&amp;"|vac",Market_Data!$K$5:$K$304,0)),IFERROR(INDEX(Market_Data!$D$5:$D$304,MATCH(Location!$C$5&amp;"|"&amp;$A53&amp;"|vac",Market_Data!$K$5:$K$304,0)),IFERROR(INDEX(Market_Data!$D$5:$D$304,MATCH(Location!$C$6&amp;"|"&amp;$A53&amp;"|vac",Market_Data!$K$5:$K$304,0)),IFERROR(INDEX(Org_Overrides!$D$5:$D$304,MATCH(Org_Profile!$C$4&amp;"|"&amp;$A53&amp;"|vac",Org_Overrides!$H$5:$H$304,0)),Use_Library!$AM$53))))</f>
        <v/>
      </c>
      <c r="O53" s="24">
        <f>IFERROR(INDEX(Market_Data!$D$5:$D$304,MATCH(Location!$C$4&amp;"|"&amp;$A53&amp;"|absorb",Market_Data!$K$5:$K$304,0)),IFERROR(INDEX(Market_Data!$D$5:$D$304,MATCH(Location!$C$5&amp;"|"&amp;$A53&amp;"|absorb",Market_Data!$K$5:$K$304,0)),IFERROR(INDEX(Market_Data!$D$5:$D$304,MATCH(Location!$C$6&amp;"|"&amp;$A53&amp;"|absorb",Market_Data!$K$5:$K$304,0)),IFERROR(INDEX(Org_Overrides!$D$5:$D$304,MATCH(Org_Profile!$C$4&amp;"|"&amp;$A53&amp;"|absorb",Org_Overrides!$H$5:$H$304,0)),Use_Library!$R$53))))</f>
        <v/>
      </c>
      <c r="P53" s="24">
        <f>IFERROR(INDEX(Market_Data!$D$5:$D$304,MATCH(Location!$C$4&amp;"|"&amp;$A53&amp;"|lotabs",Market_Data!$K$5:$K$304,0)),IFERROR(INDEX(Market_Data!$D$5:$D$304,MATCH(Location!$C$5&amp;"|"&amp;$A53&amp;"|lotabs",Market_Data!$K$5:$K$304,0)),IFERROR(INDEX(Market_Data!$D$5:$D$304,MATCH(Location!$C$6&amp;"|"&amp;$A53&amp;"|lotabs",Market_Data!$K$5:$K$304,0)),IFERROR(INDEX(Org_Overrides!$D$5:$D$304,MATCH(Org_Profile!$C$4&amp;"|"&amp;$A53&amp;"|lotabs",Org_Overrides!$H$5:$H$304,0)),Use_Library!$S$53))))</f>
        <v/>
      </c>
      <c r="Q53" s="2">
        <f>IF(ISNUMBER(MATCH(Org_Profile!$C$4&amp;"|"&amp;$A53&amp;"|vert",Org_Overrides!$H$5:$H$304,0)),"Org",IF(ISNUMBER(MATCH(Location!$C$4&amp;"|"&amp;$A53&amp;"|vert",Market_Data!$K$5:$K$304,0)),"Market-City",IF(ISNUMBER(MATCH(Location!$C$5&amp;"|"&amp;$A53&amp;"|vert",Market_Data!$K$5:$K$304,0)),"Market-County",IF(ISNUMBER(MATCH(Location!$C$6&amp;"|"&amp;$A53&amp;"|vert",Market_Data!$K$5:$K$304,0)),"Market-State","Default x index"))))</f>
        <v/>
      </c>
      <c r="R53" s="2">
        <f>IF(ISNUMBER(MATCH(Org_Profile!$C$4&amp;"|"&amp;$A53&amp;"|entitle",Org_Overrides!$H$5:$H$304,0)),"Org",IF(ISNUMBER(MATCH(Location!$C$4&amp;"|"&amp;$A53&amp;"|entitle",Market_Data!$K$5:$K$304,0)),"Market-City",IF(ISNUMBER(MATCH(Location!$C$5&amp;"|"&amp;$A53&amp;"|entitle",Market_Data!$K$5:$K$304,0)),"Market-County",IF(ISNUMBER(MATCH(Location!$C$6&amp;"|"&amp;$A53&amp;"|entitle",Market_Data!$K$5:$K$304,0)),"Market-State","Default x index"))))</f>
        <v/>
      </c>
      <c r="S53" s="2">
        <f>IF(ISNUMBER(MATCH(Org_Profile!$C$4&amp;"|"&amp;$A53&amp;"|tilc",Org_Overrides!$H$5:$H$304,0)),"Org",IF(ISNUMBER(MATCH(Location!$C$4&amp;"|"&amp;$A53&amp;"|tilc",Market_Data!$K$5:$K$304,0)),"Market-City",IF(ISNUMBER(MATCH(Location!$C$5&amp;"|"&amp;$A53&amp;"|tilc",Market_Data!$K$5:$K$304,0)),"Market-County",IF(ISNUMBER(MATCH(Location!$C$6&amp;"|"&amp;$A53&amp;"|tilc",Market_Data!$K$5:$K$304,0)),"Market-State","Default x index"))))</f>
        <v/>
      </c>
      <c r="T53" s="2">
        <f>IF(ISNUMBER(MATCH(Org_Profile!$C$4&amp;"|"&amp;$A53&amp;"|opex",Org_Overrides!$H$5:$H$304,0)),"Org",IF(ISNUMBER(MATCH(Location!$C$4&amp;"|"&amp;$A53&amp;"|opex",Market_Data!$K$5:$K$304,0)),"Market-City",IF(ISNUMBER(MATCH(Location!$C$5&amp;"|"&amp;$A53&amp;"|opex",Market_Data!$K$5:$K$304,0)),"Market-County",IF(ISNUMBER(MATCH(Location!$C$6&amp;"|"&amp;$A53&amp;"|opex",Market_Data!$K$5:$K$304,0)),"Market-State","Default x index"))))</f>
        <v/>
      </c>
      <c r="U53" s="2">
        <f>IF(ISNUMBER(MATCH(Org_Profile!$C$4&amp;"|"&amp;$A53&amp;"|devmo",Org_Overrides!$H$5:$H$304,0)),"Org",IF(ISNUMBER(MATCH(Location!$C$4&amp;"|"&amp;$A53&amp;"|devmo",Market_Data!$K$5:$K$304,0)),"Market-City",IF(ISNUMBER(MATCH(Location!$C$5&amp;"|"&amp;$A53&amp;"|devmo",Market_Data!$K$5:$K$304,0)),"Market-County",IF(ISNUMBER(MATCH(Location!$C$6&amp;"|"&amp;$A53&amp;"|devmo",Market_Data!$K$5:$K$304,0)),"Market-State","Default"))))</f>
        <v/>
      </c>
      <c r="V53" s="2">
        <f>IF(ISNUMBER(MATCH(Org_Profile!$C$4&amp;"|"&amp;$A53&amp;"|margin",Org_Overrides!$H$5:$H$304,0)),"Org",IF(INDEX(Org_Profile!$C$9:$C$12,MATCH(Use_Library!$C$53,Org_Profile!$B$9:$B$12,0))&lt;&gt;"","Org engine margin","Default"))</f>
        <v/>
      </c>
      <c r="W53" s="2">
        <f>IF(ISNUMBER(MATCH(Location!$C$4&amp;"|"&amp;$A53&amp;"|lotprice",Market_Data!$K$5:$K$304,0)),"Market-City",IF(ISNUMBER(MATCH(Location!$C$5&amp;"|"&amp;$A53&amp;"|lotprice",Market_Data!$K$5:$K$304,0)),"Market-County",IF(ISNUMBER(MATCH(Location!$C$6&amp;"|"&amp;$A53&amp;"|lotprice",Market_Data!$K$5:$K$304,0)),"Market-State",IF(ISNUMBER(MATCH(Org_Profile!$C$4&amp;"|"&amp;$A53&amp;"|lotprice",Org_Overrides!$H$5:$H$304,0)),"Org","Default x index"))))</f>
        <v/>
      </c>
      <c r="X53" s="2">
        <f>IF(ISNUMBER(MATCH(Location!$C$4&amp;"|"&amp;$A53&amp;"|saleprice",Market_Data!$K$5:$K$304,0)),"Market-City",IF(ISNUMBER(MATCH(Location!$C$5&amp;"|"&amp;$A53&amp;"|saleprice",Market_Data!$K$5:$K$304,0)),"Market-County",IF(ISNUMBER(MATCH(Location!$C$6&amp;"|"&amp;$A53&amp;"|saleprice",Market_Data!$K$5:$K$304,0)),"Market-State",IF(ISNUMBER(MATCH(Org_Profile!$C$4&amp;"|"&amp;$A53&amp;"|saleprice",Org_Overrides!$H$5:$H$304,0)),"Org","Default x index"))))</f>
        <v/>
      </c>
      <c r="Y53" s="2">
        <f>IF(ISNUMBER(MATCH(Location!$C$4&amp;"|"&amp;$A53&amp;"|landac",Market_Data!$K$5:$K$304,0)),"Market-City",IF(ISNUMBER(MATCH(Location!$C$5&amp;"|"&amp;$A53&amp;"|landac",Market_Data!$K$5:$K$304,0)),"Market-County",IF(ISNUMBER(MATCH(Location!$C$6&amp;"|"&amp;$A53&amp;"|landac",Market_Data!$K$5:$K$304,0)),"Market-State",IF(ISNUMBER(MATCH(Org_Profile!$C$4&amp;"|"&amp;$A53&amp;"|landac",Org_Overrides!$H$5:$H$304,0)),"Org","Default x index"))))</f>
        <v/>
      </c>
      <c r="Z53" s="2">
        <f>IF(ISNUMBER(MATCH(Location!$C$4&amp;"|"&amp;$A53&amp;"|rent",Market_Data!$K$5:$K$304,0)),"Market-City",IF(ISNUMBER(MATCH(Location!$C$5&amp;"|"&amp;$A53&amp;"|rent",Market_Data!$K$5:$K$304,0)),"Market-County",IF(ISNUMBER(MATCH(Location!$C$6&amp;"|"&amp;$A53&amp;"|rent",Market_Data!$K$5:$K$304,0)),"Market-State",IF(ISNUMBER(MATCH(Org_Profile!$C$4&amp;"|"&amp;$A53&amp;"|rent",Org_Overrides!$H$5:$H$304,0)),"Org","Default x index"))))</f>
        <v/>
      </c>
      <c r="AA53" s="2">
        <f>IF(ISNUMBER(MATCH(Location!$C$4&amp;"|"&amp;$A53&amp;"|groundrent",Market_Data!$K$5:$K$304,0)),"Market-City",IF(ISNUMBER(MATCH(Location!$C$5&amp;"|"&amp;$A53&amp;"|groundrent",Market_Data!$K$5:$K$304,0)),"Market-County",IF(ISNUMBER(MATCH(Location!$C$6&amp;"|"&amp;$A53&amp;"|groundrent",Market_Data!$K$5:$K$304,0)),"Market-State",IF(ISNUMBER(MATCH(Org_Profile!$C$4&amp;"|"&amp;$A53&amp;"|groundrent",Org_Overrides!$H$5:$H$304,0)),"Org","Default x index"))))</f>
        <v/>
      </c>
      <c r="AB53" s="2">
        <f>IF(ISNUMBER(MATCH(Location!$C$4&amp;"|"&amp;$A53&amp;"|cap",Market_Data!$K$5:$K$304,0)),"Market-City",IF(ISNUMBER(MATCH(Location!$C$5&amp;"|"&amp;$A53&amp;"|cap",Market_Data!$K$5:$K$304,0)),"Market-County",IF(ISNUMBER(MATCH(Location!$C$6&amp;"|"&amp;$A53&amp;"|cap",Market_Data!$K$5:$K$304,0)),"Market-State",IF(ISNUMBER(MATCH(Org_Profile!$C$4&amp;"|"&amp;$A53&amp;"|cap",Org_Overrides!$H$5:$H$304,0)),"Org","Default x index"))))</f>
        <v/>
      </c>
      <c r="AC53" s="2">
        <f>IF(ISNUMBER(MATCH(Location!$C$4&amp;"|"&amp;$A53&amp;"|vac",Market_Data!$K$5:$K$304,0)),"Market-City",IF(ISNUMBER(MATCH(Location!$C$5&amp;"|"&amp;$A53&amp;"|vac",Market_Data!$K$5:$K$304,0)),"Market-County",IF(ISNUMBER(MATCH(Location!$C$6&amp;"|"&amp;$A53&amp;"|vac",Market_Data!$K$5:$K$304,0)),"Market-State",IF(ISNUMBER(MATCH(Org_Profile!$C$4&amp;"|"&amp;$A53&amp;"|vac",Org_Overrides!$H$5:$H$304,0)),"Org","Default"))))</f>
        <v/>
      </c>
      <c r="AD53" s="2">
        <f>IF(ISNUMBER(MATCH(Location!$C$4&amp;"|"&amp;$A53&amp;"|absorb",Market_Data!$K$5:$K$304,0)),"Market-City",IF(ISNUMBER(MATCH(Location!$C$5&amp;"|"&amp;$A53&amp;"|absorb",Market_Data!$K$5:$K$304,0)),"Market-County",IF(ISNUMBER(MATCH(Location!$C$6&amp;"|"&amp;$A53&amp;"|absorb",Market_Data!$K$5:$K$304,0)),"Market-State",IF(ISNUMBER(MATCH(Org_Profile!$C$4&amp;"|"&amp;$A53&amp;"|absorb",Org_Overrides!$H$5:$H$304,0)),"Org","Default"))))</f>
        <v/>
      </c>
      <c r="AE53" s="2">
        <f>IF(ISNUMBER(MATCH(Location!$C$4&amp;"|"&amp;$A53&amp;"|lotabs",Market_Data!$K$5:$K$304,0)),"Market-City",IF(ISNUMBER(MATCH(Location!$C$5&amp;"|"&amp;$A53&amp;"|lotabs",Market_Data!$K$5:$K$304,0)),"Market-County",IF(ISNUMBER(MATCH(Location!$C$6&amp;"|"&amp;$A53&amp;"|lotabs",Market_Data!$K$5:$K$304,0)),"Market-State",IF(ISNUMBER(MATCH(Org_Profile!$C$4&amp;"|"&amp;$A53&amp;"|lotabs",Org_Overrides!$H$5:$H$304,0)),"Org","Default"))))</f>
        <v/>
      </c>
      <c r="AF53" s="15">
        <f>15-COUNTIF(Q53:AE53,"Default*")</f>
        <v/>
      </c>
    </row>
    <row r="54">
      <c r="A54" s="4">
        <f>Use_Library!$A$54</f>
        <v/>
      </c>
      <c r="B54" s="20">
        <f>IFERROR((INDEX(Org_Overrides!$D$5:$D$304,MATCH(Org_Profile!$C$4&amp;"|"&amp;$A54&amp;"|vert",Org_Overrides!$H$5:$H$304,0))*Location!$C$9),IFERROR(INDEX(Market_Data!$D$5:$D$304,MATCH(Location!$C$4&amp;"|"&amp;$A54&amp;"|vert",Market_Data!$K$5:$K$304,0)),IFERROR(INDEX(Market_Data!$D$5:$D$304,MATCH(Location!$C$5&amp;"|"&amp;$A54&amp;"|vert",Market_Data!$K$5:$K$304,0)),IFERROR(INDEX(Market_Data!$D$5:$D$304,MATCH(Location!$C$6&amp;"|"&amp;$A54&amp;"|vert",Market_Data!$K$5:$K$304,0)),(Use_Library!$AF$54*Location!$C$9)))))</f>
        <v/>
      </c>
      <c r="C54" s="20">
        <f>IFERROR((INDEX(Org_Overrides!$D$5:$D$304,MATCH(Org_Profile!$C$4&amp;"|"&amp;$A54&amp;"|entitle",Org_Overrides!$H$5:$H$304,0))*Location!$C$9),IFERROR(INDEX(Market_Data!$D$5:$D$304,MATCH(Location!$C$4&amp;"|"&amp;$A54&amp;"|entitle",Market_Data!$K$5:$K$304,0)),IFERROR(INDEX(Market_Data!$D$5:$D$304,MATCH(Location!$C$5&amp;"|"&amp;$A54&amp;"|entitle",Market_Data!$K$5:$K$304,0)),IFERROR(INDEX(Market_Data!$D$5:$D$304,MATCH(Location!$C$6&amp;"|"&amp;$A54&amp;"|entitle",Market_Data!$K$5:$K$304,0)),(Use_Library!$AE$54*Location!$C$9)))))</f>
        <v/>
      </c>
      <c r="D54" s="20">
        <f>IFERROR((INDEX(Org_Overrides!$D$5:$D$304,MATCH(Org_Profile!$C$4&amp;"|"&amp;$A54&amp;"|tilc",Org_Overrides!$H$5:$H$304,0))*Location!$C$9),IFERROR(INDEX(Market_Data!$D$5:$D$304,MATCH(Location!$C$4&amp;"|"&amp;$A54&amp;"|tilc",Market_Data!$K$5:$K$304,0)),IFERROR(INDEX(Market_Data!$D$5:$D$304,MATCH(Location!$C$5&amp;"|"&amp;$A54&amp;"|tilc",Market_Data!$K$5:$K$304,0)),IFERROR(INDEX(Market_Data!$D$5:$D$304,MATCH(Location!$C$6&amp;"|"&amp;$A54&amp;"|tilc",Market_Data!$K$5:$K$304,0)),(Use_Library!$AG$54*Location!$C$9)))))</f>
        <v/>
      </c>
      <c r="E54" s="20">
        <f>IFERROR((INDEX(Org_Overrides!$D$5:$D$304,MATCH(Org_Profile!$C$4&amp;"|"&amp;$A54&amp;"|opex",Org_Overrides!$H$5:$H$304,0))*Location!$C$13),IFERROR(INDEX(Market_Data!$D$5:$D$304,MATCH(Location!$C$4&amp;"|"&amp;$A54&amp;"|opex",Market_Data!$K$5:$K$304,0)),IFERROR(INDEX(Market_Data!$D$5:$D$304,MATCH(Location!$C$5&amp;"|"&amp;$A54&amp;"|opex",Market_Data!$K$5:$K$304,0)),IFERROR(INDEX(Market_Data!$D$5:$D$304,MATCH(Location!$C$6&amp;"|"&amp;$A54&amp;"|opex",Market_Data!$K$5:$K$304,0)),(Use_Library!$AN$54*Location!$C$13)))))</f>
        <v/>
      </c>
      <c r="F54" s="9">
        <f>IFERROR(INDEX(Org_Overrides!$D$5:$D$304,MATCH(Org_Profile!$C$4&amp;"|"&amp;$A54&amp;"|devmo",Org_Overrides!$H$5:$H$304,0)),IFERROR(INDEX(Market_Data!$D$5:$D$304,MATCH(Location!$C$4&amp;"|"&amp;$A54&amp;"|devmo",Market_Data!$K$5:$K$304,0)),IFERROR(INDEX(Market_Data!$D$5:$D$304,MATCH(Location!$C$5&amp;"|"&amp;$A54&amp;"|devmo",Market_Data!$K$5:$K$304,0)),IFERROR(INDEX(Market_Data!$D$5:$D$304,MATCH(Location!$C$6&amp;"|"&amp;$A54&amp;"|devmo",Market_Data!$K$5:$K$304,0)),Use_Library!$AH$54))))</f>
        <v/>
      </c>
      <c r="G54" s="23">
        <f>IFERROR(INDEX(Org_Overrides!$D$5:$D$304,MATCH(Org_Profile!$C$4&amp;"|"&amp;$A54&amp;"|margin",Org_Overrides!$H$5:$H$304,0)),IF(INDEX(Org_Profile!$C$9:$C$12,MATCH(Use_Library!$C$54,Org_Profile!$B$9:$B$12,0))&lt;&gt;"",INDEX(Org_Profile!$C$9:$C$12,MATCH(Use_Library!$C$54,Org_Profile!$B$9:$B$12,0)),Use_Library!$AU$54))</f>
        <v/>
      </c>
      <c r="H54" s="20">
        <f>IFERROR(INDEX(Market_Data!$D$5:$D$304,MATCH(Location!$C$4&amp;"|"&amp;$A54&amp;"|lotprice",Market_Data!$K$5:$K$304,0)),IFERROR(INDEX(Market_Data!$D$5:$D$304,MATCH(Location!$C$5&amp;"|"&amp;$A54&amp;"|lotprice",Market_Data!$K$5:$K$304,0)),IFERROR(INDEX(Market_Data!$D$5:$D$304,MATCH(Location!$C$6&amp;"|"&amp;$A54&amp;"|lotprice",Market_Data!$K$5:$K$304,0)),IFERROR((INDEX(Org_Overrides!$D$5:$D$304,MATCH(Org_Profile!$C$4&amp;"|"&amp;$A54&amp;"|lotprice",Org_Overrides!$H$5:$H$304,0))*Location!$C$10),(Use_Library!$AI$54*Location!$C$10)))))</f>
        <v/>
      </c>
      <c r="I54" s="20">
        <f>IFERROR(INDEX(Market_Data!$D$5:$D$304,MATCH(Location!$C$4&amp;"|"&amp;$A54&amp;"|saleprice",Market_Data!$K$5:$K$304,0)),IFERROR(INDEX(Market_Data!$D$5:$D$304,MATCH(Location!$C$5&amp;"|"&amp;$A54&amp;"|saleprice",Market_Data!$K$5:$K$304,0)),IFERROR(INDEX(Market_Data!$D$5:$D$304,MATCH(Location!$C$6&amp;"|"&amp;$A54&amp;"|saleprice",Market_Data!$K$5:$K$304,0)),IFERROR((INDEX(Org_Overrides!$D$5:$D$304,MATCH(Org_Profile!$C$4&amp;"|"&amp;$A54&amp;"|saleprice",Org_Overrides!$H$5:$H$304,0))*Location!$C$10),(Use_Library!$AJ$54*Location!$C$10)))))</f>
        <v/>
      </c>
      <c r="J54" s="20">
        <f>IFERROR(INDEX(Market_Data!$D$5:$D$304,MATCH(Location!$C$4&amp;"|"&amp;$A54&amp;"|landac",Market_Data!$K$5:$K$304,0)),IFERROR(INDEX(Market_Data!$D$5:$D$304,MATCH(Location!$C$5&amp;"|"&amp;$A54&amp;"|landac",Market_Data!$K$5:$K$304,0)),IFERROR(INDEX(Market_Data!$D$5:$D$304,MATCH(Location!$C$6&amp;"|"&amp;$A54&amp;"|landac",Market_Data!$K$5:$K$304,0)),IFERROR((INDEX(Org_Overrides!$D$5:$D$304,MATCH(Org_Profile!$C$4&amp;"|"&amp;$A54&amp;"|landac",Org_Overrides!$H$5:$H$304,0))*Location!$C$10),(Use_Library!$AS$54*Location!$C$10)))))</f>
        <v/>
      </c>
      <c r="K54" s="20">
        <f>IFERROR(INDEX(Market_Data!$D$5:$D$304,MATCH(Location!$C$4&amp;"|"&amp;$A54&amp;"|rent",Market_Data!$K$5:$K$304,0)),IFERROR(INDEX(Market_Data!$D$5:$D$304,MATCH(Location!$C$5&amp;"|"&amp;$A54&amp;"|rent",Market_Data!$K$5:$K$304,0)),IFERROR(INDEX(Market_Data!$D$5:$D$304,MATCH(Location!$C$6&amp;"|"&amp;$A54&amp;"|rent",Market_Data!$K$5:$K$304,0)),IFERROR((INDEX(Org_Overrides!$D$5:$D$304,MATCH(Org_Profile!$C$4&amp;"|"&amp;$A54&amp;"|rent",Org_Overrides!$H$5:$H$304,0))*Location!$C$11),(Use_Library!$AK$54*Location!$C$11)))))</f>
        <v/>
      </c>
      <c r="L54" s="20">
        <f>IFERROR(INDEX(Market_Data!$D$5:$D$304,MATCH(Location!$C$4&amp;"|"&amp;$A54&amp;"|groundrent",Market_Data!$K$5:$K$304,0)),IFERROR(INDEX(Market_Data!$D$5:$D$304,MATCH(Location!$C$5&amp;"|"&amp;$A54&amp;"|groundrent",Market_Data!$K$5:$K$304,0)),IFERROR(INDEX(Market_Data!$D$5:$D$304,MATCH(Location!$C$6&amp;"|"&amp;$A54&amp;"|groundrent",Market_Data!$K$5:$K$304,0)),IFERROR((INDEX(Org_Overrides!$D$5:$D$304,MATCH(Org_Profile!$C$4&amp;"|"&amp;$A54&amp;"|groundrent",Org_Overrides!$H$5:$H$304,0))*Location!$C$11),(Use_Library!$AT$54*Location!$C$11)))))</f>
        <v/>
      </c>
      <c r="M54" s="23">
        <f>IFERROR(INDEX(Market_Data!$D$5:$D$304,MATCH(Location!$C$4&amp;"|"&amp;$A54&amp;"|cap",Market_Data!$K$5:$K$304,0)),IFERROR(INDEX(Market_Data!$D$5:$D$304,MATCH(Location!$C$5&amp;"|"&amp;$A54&amp;"|cap",Market_Data!$K$5:$K$304,0)),IFERROR(INDEX(Market_Data!$D$5:$D$304,MATCH(Location!$C$6&amp;"|"&amp;$A54&amp;"|cap",Market_Data!$K$5:$K$304,0)),IFERROR((INDEX(Org_Overrides!$D$5:$D$304,MATCH(Org_Profile!$C$4&amp;"|"&amp;$A54&amp;"|cap",Org_Overrides!$H$5:$H$304,0))+Location!$C$12),(Use_Library!$AR$54+Location!$C$12)))))</f>
        <v/>
      </c>
      <c r="N54" s="23">
        <f>IFERROR(INDEX(Market_Data!$D$5:$D$304,MATCH(Location!$C$4&amp;"|"&amp;$A54&amp;"|vac",Market_Data!$K$5:$K$304,0)),IFERROR(INDEX(Market_Data!$D$5:$D$304,MATCH(Location!$C$5&amp;"|"&amp;$A54&amp;"|vac",Market_Data!$K$5:$K$304,0)),IFERROR(INDEX(Market_Data!$D$5:$D$304,MATCH(Location!$C$6&amp;"|"&amp;$A54&amp;"|vac",Market_Data!$K$5:$K$304,0)),IFERROR(INDEX(Org_Overrides!$D$5:$D$304,MATCH(Org_Profile!$C$4&amp;"|"&amp;$A54&amp;"|vac",Org_Overrides!$H$5:$H$304,0)),Use_Library!$AM$54))))</f>
        <v/>
      </c>
      <c r="O54" s="24">
        <f>IFERROR(INDEX(Market_Data!$D$5:$D$304,MATCH(Location!$C$4&amp;"|"&amp;$A54&amp;"|absorb",Market_Data!$K$5:$K$304,0)),IFERROR(INDEX(Market_Data!$D$5:$D$304,MATCH(Location!$C$5&amp;"|"&amp;$A54&amp;"|absorb",Market_Data!$K$5:$K$304,0)),IFERROR(INDEX(Market_Data!$D$5:$D$304,MATCH(Location!$C$6&amp;"|"&amp;$A54&amp;"|absorb",Market_Data!$K$5:$K$304,0)),IFERROR(INDEX(Org_Overrides!$D$5:$D$304,MATCH(Org_Profile!$C$4&amp;"|"&amp;$A54&amp;"|absorb",Org_Overrides!$H$5:$H$304,0)),Use_Library!$R$54))))</f>
        <v/>
      </c>
      <c r="P54" s="24">
        <f>IFERROR(INDEX(Market_Data!$D$5:$D$304,MATCH(Location!$C$4&amp;"|"&amp;$A54&amp;"|lotabs",Market_Data!$K$5:$K$304,0)),IFERROR(INDEX(Market_Data!$D$5:$D$304,MATCH(Location!$C$5&amp;"|"&amp;$A54&amp;"|lotabs",Market_Data!$K$5:$K$304,0)),IFERROR(INDEX(Market_Data!$D$5:$D$304,MATCH(Location!$C$6&amp;"|"&amp;$A54&amp;"|lotabs",Market_Data!$K$5:$K$304,0)),IFERROR(INDEX(Org_Overrides!$D$5:$D$304,MATCH(Org_Profile!$C$4&amp;"|"&amp;$A54&amp;"|lotabs",Org_Overrides!$H$5:$H$304,0)),Use_Library!$S$54))))</f>
        <v/>
      </c>
      <c r="Q54" s="2">
        <f>IF(ISNUMBER(MATCH(Org_Profile!$C$4&amp;"|"&amp;$A54&amp;"|vert",Org_Overrides!$H$5:$H$304,0)),"Org",IF(ISNUMBER(MATCH(Location!$C$4&amp;"|"&amp;$A54&amp;"|vert",Market_Data!$K$5:$K$304,0)),"Market-City",IF(ISNUMBER(MATCH(Location!$C$5&amp;"|"&amp;$A54&amp;"|vert",Market_Data!$K$5:$K$304,0)),"Market-County",IF(ISNUMBER(MATCH(Location!$C$6&amp;"|"&amp;$A54&amp;"|vert",Market_Data!$K$5:$K$304,0)),"Market-State","Default x index"))))</f>
        <v/>
      </c>
      <c r="R54" s="2">
        <f>IF(ISNUMBER(MATCH(Org_Profile!$C$4&amp;"|"&amp;$A54&amp;"|entitle",Org_Overrides!$H$5:$H$304,0)),"Org",IF(ISNUMBER(MATCH(Location!$C$4&amp;"|"&amp;$A54&amp;"|entitle",Market_Data!$K$5:$K$304,0)),"Market-City",IF(ISNUMBER(MATCH(Location!$C$5&amp;"|"&amp;$A54&amp;"|entitle",Market_Data!$K$5:$K$304,0)),"Market-County",IF(ISNUMBER(MATCH(Location!$C$6&amp;"|"&amp;$A54&amp;"|entitle",Market_Data!$K$5:$K$304,0)),"Market-State","Default x index"))))</f>
        <v/>
      </c>
      <c r="S54" s="2">
        <f>IF(ISNUMBER(MATCH(Org_Profile!$C$4&amp;"|"&amp;$A54&amp;"|tilc",Org_Overrides!$H$5:$H$304,0)),"Org",IF(ISNUMBER(MATCH(Location!$C$4&amp;"|"&amp;$A54&amp;"|tilc",Market_Data!$K$5:$K$304,0)),"Market-City",IF(ISNUMBER(MATCH(Location!$C$5&amp;"|"&amp;$A54&amp;"|tilc",Market_Data!$K$5:$K$304,0)),"Market-County",IF(ISNUMBER(MATCH(Location!$C$6&amp;"|"&amp;$A54&amp;"|tilc",Market_Data!$K$5:$K$304,0)),"Market-State","Default x index"))))</f>
        <v/>
      </c>
      <c r="T54" s="2">
        <f>IF(ISNUMBER(MATCH(Org_Profile!$C$4&amp;"|"&amp;$A54&amp;"|opex",Org_Overrides!$H$5:$H$304,0)),"Org",IF(ISNUMBER(MATCH(Location!$C$4&amp;"|"&amp;$A54&amp;"|opex",Market_Data!$K$5:$K$304,0)),"Market-City",IF(ISNUMBER(MATCH(Location!$C$5&amp;"|"&amp;$A54&amp;"|opex",Market_Data!$K$5:$K$304,0)),"Market-County",IF(ISNUMBER(MATCH(Location!$C$6&amp;"|"&amp;$A54&amp;"|opex",Market_Data!$K$5:$K$304,0)),"Market-State","Default x index"))))</f>
        <v/>
      </c>
      <c r="U54" s="2">
        <f>IF(ISNUMBER(MATCH(Org_Profile!$C$4&amp;"|"&amp;$A54&amp;"|devmo",Org_Overrides!$H$5:$H$304,0)),"Org",IF(ISNUMBER(MATCH(Location!$C$4&amp;"|"&amp;$A54&amp;"|devmo",Market_Data!$K$5:$K$304,0)),"Market-City",IF(ISNUMBER(MATCH(Location!$C$5&amp;"|"&amp;$A54&amp;"|devmo",Market_Data!$K$5:$K$304,0)),"Market-County",IF(ISNUMBER(MATCH(Location!$C$6&amp;"|"&amp;$A54&amp;"|devmo",Market_Data!$K$5:$K$304,0)),"Market-State","Default"))))</f>
        <v/>
      </c>
      <c r="V54" s="2">
        <f>IF(ISNUMBER(MATCH(Org_Profile!$C$4&amp;"|"&amp;$A54&amp;"|margin",Org_Overrides!$H$5:$H$304,0)),"Org",IF(INDEX(Org_Profile!$C$9:$C$12,MATCH(Use_Library!$C$54,Org_Profile!$B$9:$B$12,0))&lt;&gt;"","Org engine margin","Default"))</f>
        <v/>
      </c>
      <c r="W54" s="2">
        <f>IF(ISNUMBER(MATCH(Location!$C$4&amp;"|"&amp;$A54&amp;"|lotprice",Market_Data!$K$5:$K$304,0)),"Market-City",IF(ISNUMBER(MATCH(Location!$C$5&amp;"|"&amp;$A54&amp;"|lotprice",Market_Data!$K$5:$K$304,0)),"Market-County",IF(ISNUMBER(MATCH(Location!$C$6&amp;"|"&amp;$A54&amp;"|lotprice",Market_Data!$K$5:$K$304,0)),"Market-State",IF(ISNUMBER(MATCH(Org_Profile!$C$4&amp;"|"&amp;$A54&amp;"|lotprice",Org_Overrides!$H$5:$H$304,0)),"Org","Default x index"))))</f>
        <v/>
      </c>
      <c r="X54" s="2">
        <f>IF(ISNUMBER(MATCH(Location!$C$4&amp;"|"&amp;$A54&amp;"|saleprice",Market_Data!$K$5:$K$304,0)),"Market-City",IF(ISNUMBER(MATCH(Location!$C$5&amp;"|"&amp;$A54&amp;"|saleprice",Market_Data!$K$5:$K$304,0)),"Market-County",IF(ISNUMBER(MATCH(Location!$C$6&amp;"|"&amp;$A54&amp;"|saleprice",Market_Data!$K$5:$K$304,0)),"Market-State",IF(ISNUMBER(MATCH(Org_Profile!$C$4&amp;"|"&amp;$A54&amp;"|saleprice",Org_Overrides!$H$5:$H$304,0)),"Org","Default x index"))))</f>
        <v/>
      </c>
      <c r="Y54" s="2">
        <f>IF(ISNUMBER(MATCH(Location!$C$4&amp;"|"&amp;$A54&amp;"|landac",Market_Data!$K$5:$K$304,0)),"Market-City",IF(ISNUMBER(MATCH(Location!$C$5&amp;"|"&amp;$A54&amp;"|landac",Market_Data!$K$5:$K$304,0)),"Market-County",IF(ISNUMBER(MATCH(Location!$C$6&amp;"|"&amp;$A54&amp;"|landac",Market_Data!$K$5:$K$304,0)),"Market-State",IF(ISNUMBER(MATCH(Org_Profile!$C$4&amp;"|"&amp;$A54&amp;"|landac",Org_Overrides!$H$5:$H$304,0)),"Org","Default x index"))))</f>
        <v/>
      </c>
      <c r="Z54" s="2">
        <f>IF(ISNUMBER(MATCH(Location!$C$4&amp;"|"&amp;$A54&amp;"|rent",Market_Data!$K$5:$K$304,0)),"Market-City",IF(ISNUMBER(MATCH(Location!$C$5&amp;"|"&amp;$A54&amp;"|rent",Market_Data!$K$5:$K$304,0)),"Market-County",IF(ISNUMBER(MATCH(Location!$C$6&amp;"|"&amp;$A54&amp;"|rent",Market_Data!$K$5:$K$304,0)),"Market-State",IF(ISNUMBER(MATCH(Org_Profile!$C$4&amp;"|"&amp;$A54&amp;"|rent",Org_Overrides!$H$5:$H$304,0)),"Org","Default x index"))))</f>
        <v/>
      </c>
      <c r="AA54" s="2">
        <f>IF(ISNUMBER(MATCH(Location!$C$4&amp;"|"&amp;$A54&amp;"|groundrent",Market_Data!$K$5:$K$304,0)),"Market-City",IF(ISNUMBER(MATCH(Location!$C$5&amp;"|"&amp;$A54&amp;"|groundrent",Market_Data!$K$5:$K$304,0)),"Market-County",IF(ISNUMBER(MATCH(Location!$C$6&amp;"|"&amp;$A54&amp;"|groundrent",Market_Data!$K$5:$K$304,0)),"Market-State",IF(ISNUMBER(MATCH(Org_Profile!$C$4&amp;"|"&amp;$A54&amp;"|groundrent",Org_Overrides!$H$5:$H$304,0)),"Org","Default x index"))))</f>
        <v/>
      </c>
      <c r="AB54" s="2">
        <f>IF(ISNUMBER(MATCH(Location!$C$4&amp;"|"&amp;$A54&amp;"|cap",Market_Data!$K$5:$K$304,0)),"Market-City",IF(ISNUMBER(MATCH(Location!$C$5&amp;"|"&amp;$A54&amp;"|cap",Market_Data!$K$5:$K$304,0)),"Market-County",IF(ISNUMBER(MATCH(Location!$C$6&amp;"|"&amp;$A54&amp;"|cap",Market_Data!$K$5:$K$304,0)),"Market-State",IF(ISNUMBER(MATCH(Org_Profile!$C$4&amp;"|"&amp;$A54&amp;"|cap",Org_Overrides!$H$5:$H$304,0)),"Org","Default x index"))))</f>
        <v/>
      </c>
      <c r="AC54" s="2">
        <f>IF(ISNUMBER(MATCH(Location!$C$4&amp;"|"&amp;$A54&amp;"|vac",Market_Data!$K$5:$K$304,0)),"Market-City",IF(ISNUMBER(MATCH(Location!$C$5&amp;"|"&amp;$A54&amp;"|vac",Market_Data!$K$5:$K$304,0)),"Market-County",IF(ISNUMBER(MATCH(Location!$C$6&amp;"|"&amp;$A54&amp;"|vac",Market_Data!$K$5:$K$304,0)),"Market-State",IF(ISNUMBER(MATCH(Org_Profile!$C$4&amp;"|"&amp;$A54&amp;"|vac",Org_Overrides!$H$5:$H$304,0)),"Org","Default"))))</f>
        <v/>
      </c>
      <c r="AD54" s="2">
        <f>IF(ISNUMBER(MATCH(Location!$C$4&amp;"|"&amp;$A54&amp;"|absorb",Market_Data!$K$5:$K$304,0)),"Market-City",IF(ISNUMBER(MATCH(Location!$C$5&amp;"|"&amp;$A54&amp;"|absorb",Market_Data!$K$5:$K$304,0)),"Market-County",IF(ISNUMBER(MATCH(Location!$C$6&amp;"|"&amp;$A54&amp;"|absorb",Market_Data!$K$5:$K$304,0)),"Market-State",IF(ISNUMBER(MATCH(Org_Profile!$C$4&amp;"|"&amp;$A54&amp;"|absorb",Org_Overrides!$H$5:$H$304,0)),"Org","Default"))))</f>
        <v/>
      </c>
      <c r="AE54" s="2">
        <f>IF(ISNUMBER(MATCH(Location!$C$4&amp;"|"&amp;$A54&amp;"|lotabs",Market_Data!$K$5:$K$304,0)),"Market-City",IF(ISNUMBER(MATCH(Location!$C$5&amp;"|"&amp;$A54&amp;"|lotabs",Market_Data!$K$5:$K$304,0)),"Market-County",IF(ISNUMBER(MATCH(Location!$C$6&amp;"|"&amp;$A54&amp;"|lotabs",Market_Data!$K$5:$K$304,0)),"Market-State",IF(ISNUMBER(MATCH(Org_Profile!$C$4&amp;"|"&amp;$A54&amp;"|lotabs",Org_Overrides!$H$5:$H$304,0)),"Org","Default"))))</f>
        <v/>
      </c>
      <c r="AF54" s="15">
        <f>15-COUNTIF(Q54:AE54,"Default*")</f>
        <v/>
      </c>
    </row>
    <row r="55">
      <c r="A55" s="4">
        <f>Use_Library!$A$55</f>
        <v/>
      </c>
      <c r="B55" s="20">
        <f>IFERROR((INDEX(Org_Overrides!$D$5:$D$304,MATCH(Org_Profile!$C$4&amp;"|"&amp;$A55&amp;"|vert",Org_Overrides!$H$5:$H$304,0))*Location!$C$9),IFERROR(INDEX(Market_Data!$D$5:$D$304,MATCH(Location!$C$4&amp;"|"&amp;$A55&amp;"|vert",Market_Data!$K$5:$K$304,0)),IFERROR(INDEX(Market_Data!$D$5:$D$304,MATCH(Location!$C$5&amp;"|"&amp;$A55&amp;"|vert",Market_Data!$K$5:$K$304,0)),IFERROR(INDEX(Market_Data!$D$5:$D$304,MATCH(Location!$C$6&amp;"|"&amp;$A55&amp;"|vert",Market_Data!$K$5:$K$304,0)),(Use_Library!$AF$55*Location!$C$9)))))</f>
        <v/>
      </c>
      <c r="C55" s="20">
        <f>IFERROR((INDEX(Org_Overrides!$D$5:$D$304,MATCH(Org_Profile!$C$4&amp;"|"&amp;$A55&amp;"|entitle",Org_Overrides!$H$5:$H$304,0))*Location!$C$9),IFERROR(INDEX(Market_Data!$D$5:$D$304,MATCH(Location!$C$4&amp;"|"&amp;$A55&amp;"|entitle",Market_Data!$K$5:$K$304,0)),IFERROR(INDEX(Market_Data!$D$5:$D$304,MATCH(Location!$C$5&amp;"|"&amp;$A55&amp;"|entitle",Market_Data!$K$5:$K$304,0)),IFERROR(INDEX(Market_Data!$D$5:$D$304,MATCH(Location!$C$6&amp;"|"&amp;$A55&amp;"|entitle",Market_Data!$K$5:$K$304,0)),(Use_Library!$AE$55*Location!$C$9)))))</f>
        <v/>
      </c>
      <c r="D55" s="20">
        <f>IFERROR((INDEX(Org_Overrides!$D$5:$D$304,MATCH(Org_Profile!$C$4&amp;"|"&amp;$A55&amp;"|tilc",Org_Overrides!$H$5:$H$304,0))*Location!$C$9),IFERROR(INDEX(Market_Data!$D$5:$D$304,MATCH(Location!$C$4&amp;"|"&amp;$A55&amp;"|tilc",Market_Data!$K$5:$K$304,0)),IFERROR(INDEX(Market_Data!$D$5:$D$304,MATCH(Location!$C$5&amp;"|"&amp;$A55&amp;"|tilc",Market_Data!$K$5:$K$304,0)),IFERROR(INDEX(Market_Data!$D$5:$D$304,MATCH(Location!$C$6&amp;"|"&amp;$A55&amp;"|tilc",Market_Data!$K$5:$K$304,0)),(Use_Library!$AG$55*Location!$C$9)))))</f>
        <v/>
      </c>
      <c r="E55" s="20">
        <f>IFERROR((INDEX(Org_Overrides!$D$5:$D$304,MATCH(Org_Profile!$C$4&amp;"|"&amp;$A55&amp;"|opex",Org_Overrides!$H$5:$H$304,0))*Location!$C$13),IFERROR(INDEX(Market_Data!$D$5:$D$304,MATCH(Location!$C$4&amp;"|"&amp;$A55&amp;"|opex",Market_Data!$K$5:$K$304,0)),IFERROR(INDEX(Market_Data!$D$5:$D$304,MATCH(Location!$C$5&amp;"|"&amp;$A55&amp;"|opex",Market_Data!$K$5:$K$304,0)),IFERROR(INDEX(Market_Data!$D$5:$D$304,MATCH(Location!$C$6&amp;"|"&amp;$A55&amp;"|opex",Market_Data!$K$5:$K$304,0)),(Use_Library!$AN$55*Location!$C$13)))))</f>
        <v/>
      </c>
      <c r="F55" s="9">
        <f>IFERROR(INDEX(Org_Overrides!$D$5:$D$304,MATCH(Org_Profile!$C$4&amp;"|"&amp;$A55&amp;"|devmo",Org_Overrides!$H$5:$H$304,0)),IFERROR(INDEX(Market_Data!$D$5:$D$304,MATCH(Location!$C$4&amp;"|"&amp;$A55&amp;"|devmo",Market_Data!$K$5:$K$304,0)),IFERROR(INDEX(Market_Data!$D$5:$D$304,MATCH(Location!$C$5&amp;"|"&amp;$A55&amp;"|devmo",Market_Data!$K$5:$K$304,0)),IFERROR(INDEX(Market_Data!$D$5:$D$304,MATCH(Location!$C$6&amp;"|"&amp;$A55&amp;"|devmo",Market_Data!$K$5:$K$304,0)),Use_Library!$AH$55))))</f>
        <v/>
      </c>
      <c r="G55" s="23">
        <f>IFERROR(INDEX(Org_Overrides!$D$5:$D$304,MATCH(Org_Profile!$C$4&amp;"|"&amp;$A55&amp;"|margin",Org_Overrides!$H$5:$H$304,0)),IF(INDEX(Org_Profile!$C$9:$C$12,MATCH(Use_Library!$C$55,Org_Profile!$B$9:$B$12,0))&lt;&gt;"",INDEX(Org_Profile!$C$9:$C$12,MATCH(Use_Library!$C$55,Org_Profile!$B$9:$B$12,0)),Use_Library!$AU$55))</f>
        <v/>
      </c>
      <c r="H55" s="20">
        <f>IFERROR(INDEX(Market_Data!$D$5:$D$304,MATCH(Location!$C$4&amp;"|"&amp;$A55&amp;"|lotprice",Market_Data!$K$5:$K$304,0)),IFERROR(INDEX(Market_Data!$D$5:$D$304,MATCH(Location!$C$5&amp;"|"&amp;$A55&amp;"|lotprice",Market_Data!$K$5:$K$304,0)),IFERROR(INDEX(Market_Data!$D$5:$D$304,MATCH(Location!$C$6&amp;"|"&amp;$A55&amp;"|lotprice",Market_Data!$K$5:$K$304,0)),IFERROR((INDEX(Org_Overrides!$D$5:$D$304,MATCH(Org_Profile!$C$4&amp;"|"&amp;$A55&amp;"|lotprice",Org_Overrides!$H$5:$H$304,0))*Location!$C$10),(Use_Library!$AI$55*Location!$C$10)))))</f>
        <v/>
      </c>
      <c r="I55" s="20">
        <f>IFERROR(INDEX(Market_Data!$D$5:$D$304,MATCH(Location!$C$4&amp;"|"&amp;$A55&amp;"|saleprice",Market_Data!$K$5:$K$304,0)),IFERROR(INDEX(Market_Data!$D$5:$D$304,MATCH(Location!$C$5&amp;"|"&amp;$A55&amp;"|saleprice",Market_Data!$K$5:$K$304,0)),IFERROR(INDEX(Market_Data!$D$5:$D$304,MATCH(Location!$C$6&amp;"|"&amp;$A55&amp;"|saleprice",Market_Data!$K$5:$K$304,0)),IFERROR((INDEX(Org_Overrides!$D$5:$D$304,MATCH(Org_Profile!$C$4&amp;"|"&amp;$A55&amp;"|saleprice",Org_Overrides!$H$5:$H$304,0))*Location!$C$10),(Use_Library!$AJ$55*Location!$C$10)))))</f>
        <v/>
      </c>
      <c r="J55" s="20">
        <f>IFERROR(INDEX(Market_Data!$D$5:$D$304,MATCH(Location!$C$4&amp;"|"&amp;$A55&amp;"|landac",Market_Data!$K$5:$K$304,0)),IFERROR(INDEX(Market_Data!$D$5:$D$304,MATCH(Location!$C$5&amp;"|"&amp;$A55&amp;"|landac",Market_Data!$K$5:$K$304,0)),IFERROR(INDEX(Market_Data!$D$5:$D$304,MATCH(Location!$C$6&amp;"|"&amp;$A55&amp;"|landac",Market_Data!$K$5:$K$304,0)),IFERROR((INDEX(Org_Overrides!$D$5:$D$304,MATCH(Org_Profile!$C$4&amp;"|"&amp;$A55&amp;"|landac",Org_Overrides!$H$5:$H$304,0))*Location!$C$10),(Use_Library!$AS$55*Location!$C$10)))))</f>
        <v/>
      </c>
      <c r="K55" s="36">
        <f>IFERROR(INDEX(Market_Data!$D$5:$D$304,MATCH(Location!$C$4&amp;"|"&amp;$A55&amp;"|rent",Market_Data!$K$5:$K$304,0)),IFERROR(INDEX(Market_Data!$D$5:$D$304,MATCH(Location!$C$5&amp;"|"&amp;$A55&amp;"|rent",Market_Data!$K$5:$K$304,0)),IFERROR(INDEX(Market_Data!$D$5:$D$304,MATCH(Location!$C$6&amp;"|"&amp;$A55&amp;"|rent",Market_Data!$K$5:$K$304,0)),IFERROR((INDEX(Org_Overrides!$D$5:$D$304,MATCH(Org_Profile!$C$4&amp;"|"&amp;$A55&amp;"|rent",Org_Overrides!$H$5:$H$304,0))*Location!$C$11),(Use_Library!$AK$55*Location!$C$11)))))</f>
        <v/>
      </c>
      <c r="L55" s="20">
        <f>IFERROR(INDEX(Market_Data!$D$5:$D$304,MATCH(Location!$C$4&amp;"|"&amp;$A55&amp;"|groundrent",Market_Data!$K$5:$K$304,0)),IFERROR(INDEX(Market_Data!$D$5:$D$304,MATCH(Location!$C$5&amp;"|"&amp;$A55&amp;"|groundrent",Market_Data!$K$5:$K$304,0)),IFERROR(INDEX(Market_Data!$D$5:$D$304,MATCH(Location!$C$6&amp;"|"&amp;$A55&amp;"|groundrent",Market_Data!$K$5:$K$304,0)),IFERROR((INDEX(Org_Overrides!$D$5:$D$304,MATCH(Org_Profile!$C$4&amp;"|"&amp;$A55&amp;"|groundrent",Org_Overrides!$H$5:$H$304,0))*Location!$C$11),(Use_Library!$AT$55*Location!$C$11)))))</f>
        <v/>
      </c>
      <c r="M55" s="23">
        <f>IFERROR(INDEX(Market_Data!$D$5:$D$304,MATCH(Location!$C$4&amp;"|"&amp;$A55&amp;"|cap",Market_Data!$K$5:$K$304,0)),IFERROR(INDEX(Market_Data!$D$5:$D$304,MATCH(Location!$C$5&amp;"|"&amp;$A55&amp;"|cap",Market_Data!$K$5:$K$304,0)),IFERROR(INDEX(Market_Data!$D$5:$D$304,MATCH(Location!$C$6&amp;"|"&amp;$A55&amp;"|cap",Market_Data!$K$5:$K$304,0)),IFERROR((INDEX(Org_Overrides!$D$5:$D$304,MATCH(Org_Profile!$C$4&amp;"|"&amp;$A55&amp;"|cap",Org_Overrides!$H$5:$H$304,0))+Location!$C$12),(Use_Library!$AR$55+Location!$C$12)))))</f>
        <v/>
      </c>
      <c r="N55" s="23">
        <f>IFERROR(INDEX(Market_Data!$D$5:$D$304,MATCH(Location!$C$4&amp;"|"&amp;$A55&amp;"|vac",Market_Data!$K$5:$K$304,0)),IFERROR(INDEX(Market_Data!$D$5:$D$304,MATCH(Location!$C$5&amp;"|"&amp;$A55&amp;"|vac",Market_Data!$K$5:$K$304,0)),IFERROR(INDEX(Market_Data!$D$5:$D$304,MATCH(Location!$C$6&amp;"|"&amp;$A55&amp;"|vac",Market_Data!$K$5:$K$304,0)),IFERROR(INDEX(Org_Overrides!$D$5:$D$304,MATCH(Org_Profile!$C$4&amp;"|"&amp;$A55&amp;"|vac",Org_Overrides!$H$5:$H$304,0)),Use_Library!$AM$55))))</f>
        <v/>
      </c>
      <c r="O55" s="24">
        <f>IFERROR(INDEX(Market_Data!$D$5:$D$304,MATCH(Location!$C$4&amp;"|"&amp;$A55&amp;"|absorb",Market_Data!$K$5:$K$304,0)),IFERROR(INDEX(Market_Data!$D$5:$D$304,MATCH(Location!$C$5&amp;"|"&amp;$A55&amp;"|absorb",Market_Data!$K$5:$K$304,0)),IFERROR(INDEX(Market_Data!$D$5:$D$304,MATCH(Location!$C$6&amp;"|"&amp;$A55&amp;"|absorb",Market_Data!$K$5:$K$304,0)),IFERROR(INDEX(Org_Overrides!$D$5:$D$304,MATCH(Org_Profile!$C$4&amp;"|"&amp;$A55&amp;"|absorb",Org_Overrides!$H$5:$H$304,0)),Use_Library!$R$55))))</f>
        <v/>
      </c>
      <c r="P55" s="24">
        <f>IFERROR(INDEX(Market_Data!$D$5:$D$304,MATCH(Location!$C$4&amp;"|"&amp;$A55&amp;"|lotabs",Market_Data!$K$5:$K$304,0)),IFERROR(INDEX(Market_Data!$D$5:$D$304,MATCH(Location!$C$5&amp;"|"&amp;$A55&amp;"|lotabs",Market_Data!$K$5:$K$304,0)),IFERROR(INDEX(Market_Data!$D$5:$D$304,MATCH(Location!$C$6&amp;"|"&amp;$A55&amp;"|lotabs",Market_Data!$K$5:$K$304,0)),IFERROR(INDEX(Org_Overrides!$D$5:$D$304,MATCH(Org_Profile!$C$4&amp;"|"&amp;$A55&amp;"|lotabs",Org_Overrides!$H$5:$H$304,0)),Use_Library!$S$55))))</f>
        <v/>
      </c>
      <c r="Q55" s="2">
        <f>IF(ISNUMBER(MATCH(Org_Profile!$C$4&amp;"|"&amp;$A55&amp;"|vert",Org_Overrides!$H$5:$H$304,0)),"Org",IF(ISNUMBER(MATCH(Location!$C$4&amp;"|"&amp;$A55&amp;"|vert",Market_Data!$K$5:$K$304,0)),"Market-City",IF(ISNUMBER(MATCH(Location!$C$5&amp;"|"&amp;$A55&amp;"|vert",Market_Data!$K$5:$K$304,0)),"Market-County",IF(ISNUMBER(MATCH(Location!$C$6&amp;"|"&amp;$A55&amp;"|vert",Market_Data!$K$5:$K$304,0)),"Market-State","Default x index"))))</f>
        <v/>
      </c>
      <c r="R55" s="2">
        <f>IF(ISNUMBER(MATCH(Org_Profile!$C$4&amp;"|"&amp;$A55&amp;"|entitle",Org_Overrides!$H$5:$H$304,0)),"Org",IF(ISNUMBER(MATCH(Location!$C$4&amp;"|"&amp;$A55&amp;"|entitle",Market_Data!$K$5:$K$304,0)),"Market-City",IF(ISNUMBER(MATCH(Location!$C$5&amp;"|"&amp;$A55&amp;"|entitle",Market_Data!$K$5:$K$304,0)),"Market-County",IF(ISNUMBER(MATCH(Location!$C$6&amp;"|"&amp;$A55&amp;"|entitle",Market_Data!$K$5:$K$304,0)),"Market-State","Default x index"))))</f>
        <v/>
      </c>
      <c r="S55" s="2">
        <f>IF(ISNUMBER(MATCH(Org_Profile!$C$4&amp;"|"&amp;$A55&amp;"|tilc",Org_Overrides!$H$5:$H$304,0)),"Org",IF(ISNUMBER(MATCH(Location!$C$4&amp;"|"&amp;$A55&amp;"|tilc",Market_Data!$K$5:$K$304,0)),"Market-City",IF(ISNUMBER(MATCH(Location!$C$5&amp;"|"&amp;$A55&amp;"|tilc",Market_Data!$K$5:$K$304,0)),"Market-County",IF(ISNUMBER(MATCH(Location!$C$6&amp;"|"&amp;$A55&amp;"|tilc",Market_Data!$K$5:$K$304,0)),"Market-State","Default x index"))))</f>
        <v/>
      </c>
      <c r="T55" s="2">
        <f>IF(ISNUMBER(MATCH(Org_Profile!$C$4&amp;"|"&amp;$A55&amp;"|opex",Org_Overrides!$H$5:$H$304,0)),"Org",IF(ISNUMBER(MATCH(Location!$C$4&amp;"|"&amp;$A55&amp;"|opex",Market_Data!$K$5:$K$304,0)),"Market-City",IF(ISNUMBER(MATCH(Location!$C$5&amp;"|"&amp;$A55&amp;"|opex",Market_Data!$K$5:$K$304,0)),"Market-County",IF(ISNUMBER(MATCH(Location!$C$6&amp;"|"&amp;$A55&amp;"|opex",Market_Data!$K$5:$K$304,0)),"Market-State","Default x index"))))</f>
        <v/>
      </c>
      <c r="U55" s="2">
        <f>IF(ISNUMBER(MATCH(Org_Profile!$C$4&amp;"|"&amp;$A55&amp;"|devmo",Org_Overrides!$H$5:$H$304,0)),"Org",IF(ISNUMBER(MATCH(Location!$C$4&amp;"|"&amp;$A55&amp;"|devmo",Market_Data!$K$5:$K$304,0)),"Market-City",IF(ISNUMBER(MATCH(Location!$C$5&amp;"|"&amp;$A55&amp;"|devmo",Market_Data!$K$5:$K$304,0)),"Market-County",IF(ISNUMBER(MATCH(Location!$C$6&amp;"|"&amp;$A55&amp;"|devmo",Market_Data!$K$5:$K$304,0)),"Market-State","Default"))))</f>
        <v/>
      </c>
      <c r="V55" s="2">
        <f>IF(ISNUMBER(MATCH(Org_Profile!$C$4&amp;"|"&amp;$A55&amp;"|margin",Org_Overrides!$H$5:$H$304,0)),"Org",IF(INDEX(Org_Profile!$C$9:$C$12,MATCH(Use_Library!$C$55,Org_Profile!$B$9:$B$12,0))&lt;&gt;"","Org engine margin","Default"))</f>
        <v/>
      </c>
      <c r="W55" s="2">
        <f>IF(ISNUMBER(MATCH(Location!$C$4&amp;"|"&amp;$A55&amp;"|lotprice",Market_Data!$K$5:$K$304,0)),"Market-City",IF(ISNUMBER(MATCH(Location!$C$5&amp;"|"&amp;$A55&amp;"|lotprice",Market_Data!$K$5:$K$304,0)),"Market-County",IF(ISNUMBER(MATCH(Location!$C$6&amp;"|"&amp;$A55&amp;"|lotprice",Market_Data!$K$5:$K$304,0)),"Market-State",IF(ISNUMBER(MATCH(Org_Profile!$C$4&amp;"|"&amp;$A55&amp;"|lotprice",Org_Overrides!$H$5:$H$304,0)),"Org","Default x index"))))</f>
        <v/>
      </c>
      <c r="X55" s="2">
        <f>IF(ISNUMBER(MATCH(Location!$C$4&amp;"|"&amp;$A55&amp;"|saleprice",Market_Data!$K$5:$K$304,0)),"Market-City",IF(ISNUMBER(MATCH(Location!$C$5&amp;"|"&amp;$A55&amp;"|saleprice",Market_Data!$K$5:$K$304,0)),"Market-County",IF(ISNUMBER(MATCH(Location!$C$6&amp;"|"&amp;$A55&amp;"|saleprice",Market_Data!$K$5:$K$304,0)),"Market-State",IF(ISNUMBER(MATCH(Org_Profile!$C$4&amp;"|"&amp;$A55&amp;"|saleprice",Org_Overrides!$H$5:$H$304,0)),"Org","Default x index"))))</f>
        <v/>
      </c>
      <c r="Y55" s="2">
        <f>IF(ISNUMBER(MATCH(Location!$C$4&amp;"|"&amp;$A55&amp;"|landac",Market_Data!$K$5:$K$304,0)),"Market-City",IF(ISNUMBER(MATCH(Location!$C$5&amp;"|"&amp;$A55&amp;"|landac",Market_Data!$K$5:$K$304,0)),"Market-County",IF(ISNUMBER(MATCH(Location!$C$6&amp;"|"&amp;$A55&amp;"|landac",Market_Data!$K$5:$K$304,0)),"Market-State",IF(ISNUMBER(MATCH(Org_Profile!$C$4&amp;"|"&amp;$A55&amp;"|landac",Org_Overrides!$H$5:$H$304,0)),"Org","Default x index"))))</f>
        <v/>
      </c>
      <c r="Z55" s="2">
        <f>IF(ISNUMBER(MATCH(Location!$C$4&amp;"|"&amp;$A55&amp;"|rent",Market_Data!$K$5:$K$304,0)),"Market-City",IF(ISNUMBER(MATCH(Location!$C$5&amp;"|"&amp;$A55&amp;"|rent",Market_Data!$K$5:$K$304,0)),"Market-County",IF(ISNUMBER(MATCH(Location!$C$6&amp;"|"&amp;$A55&amp;"|rent",Market_Data!$K$5:$K$304,0)),"Market-State",IF(ISNUMBER(MATCH(Org_Profile!$C$4&amp;"|"&amp;$A55&amp;"|rent",Org_Overrides!$H$5:$H$304,0)),"Org","Default x index"))))</f>
        <v/>
      </c>
      <c r="AA55" s="2">
        <f>IF(ISNUMBER(MATCH(Location!$C$4&amp;"|"&amp;$A55&amp;"|groundrent",Market_Data!$K$5:$K$304,0)),"Market-City",IF(ISNUMBER(MATCH(Location!$C$5&amp;"|"&amp;$A55&amp;"|groundrent",Market_Data!$K$5:$K$304,0)),"Market-County",IF(ISNUMBER(MATCH(Location!$C$6&amp;"|"&amp;$A55&amp;"|groundrent",Market_Data!$K$5:$K$304,0)),"Market-State",IF(ISNUMBER(MATCH(Org_Profile!$C$4&amp;"|"&amp;$A55&amp;"|groundrent",Org_Overrides!$H$5:$H$304,0)),"Org","Default x index"))))</f>
        <v/>
      </c>
      <c r="AB55" s="2">
        <f>IF(ISNUMBER(MATCH(Location!$C$4&amp;"|"&amp;$A55&amp;"|cap",Market_Data!$K$5:$K$304,0)),"Market-City",IF(ISNUMBER(MATCH(Location!$C$5&amp;"|"&amp;$A55&amp;"|cap",Market_Data!$K$5:$K$304,0)),"Market-County",IF(ISNUMBER(MATCH(Location!$C$6&amp;"|"&amp;$A55&amp;"|cap",Market_Data!$K$5:$K$304,0)),"Market-State",IF(ISNUMBER(MATCH(Org_Profile!$C$4&amp;"|"&amp;$A55&amp;"|cap",Org_Overrides!$H$5:$H$304,0)),"Org","Default x index"))))</f>
        <v/>
      </c>
      <c r="AC55" s="2">
        <f>IF(ISNUMBER(MATCH(Location!$C$4&amp;"|"&amp;$A55&amp;"|vac",Market_Data!$K$5:$K$304,0)),"Market-City",IF(ISNUMBER(MATCH(Location!$C$5&amp;"|"&amp;$A55&amp;"|vac",Market_Data!$K$5:$K$304,0)),"Market-County",IF(ISNUMBER(MATCH(Location!$C$6&amp;"|"&amp;$A55&amp;"|vac",Market_Data!$K$5:$K$304,0)),"Market-State",IF(ISNUMBER(MATCH(Org_Profile!$C$4&amp;"|"&amp;$A55&amp;"|vac",Org_Overrides!$H$5:$H$304,0)),"Org","Default"))))</f>
        <v/>
      </c>
      <c r="AD55" s="2">
        <f>IF(ISNUMBER(MATCH(Location!$C$4&amp;"|"&amp;$A55&amp;"|absorb",Market_Data!$K$5:$K$304,0)),"Market-City",IF(ISNUMBER(MATCH(Location!$C$5&amp;"|"&amp;$A55&amp;"|absorb",Market_Data!$K$5:$K$304,0)),"Market-County",IF(ISNUMBER(MATCH(Location!$C$6&amp;"|"&amp;$A55&amp;"|absorb",Market_Data!$K$5:$K$304,0)),"Market-State",IF(ISNUMBER(MATCH(Org_Profile!$C$4&amp;"|"&amp;$A55&amp;"|absorb",Org_Overrides!$H$5:$H$304,0)),"Org","Default"))))</f>
        <v/>
      </c>
      <c r="AE55" s="2">
        <f>IF(ISNUMBER(MATCH(Location!$C$4&amp;"|"&amp;$A55&amp;"|lotabs",Market_Data!$K$5:$K$304,0)),"Market-City",IF(ISNUMBER(MATCH(Location!$C$5&amp;"|"&amp;$A55&amp;"|lotabs",Market_Data!$K$5:$K$304,0)),"Market-County",IF(ISNUMBER(MATCH(Location!$C$6&amp;"|"&amp;$A55&amp;"|lotabs",Market_Data!$K$5:$K$304,0)),"Market-State",IF(ISNUMBER(MATCH(Org_Profile!$C$4&amp;"|"&amp;$A55&amp;"|lotabs",Org_Overrides!$H$5:$H$304,0)),"Org","Default"))))</f>
        <v/>
      </c>
      <c r="AF55" s="15">
        <f>15-COUNTIF(Q55:AE55,"Default*")</f>
        <v/>
      </c>
    </row>
    <row r="56">
      <c r="A56" s="4">
        <f>Use_Library!$A$56</f>
        <v/>
      </c>
      <c r="B56" s="20">
        <f>IFERROR((INDEX(Org_Overrides!$D$5:$D$304,MATCH(Org_Profile!$C$4&amp;"|"&amp;$A56&amp;"|vert",Org_Overrides!$H$5:$H$304,0))*Location!$C$9),IFERROR(INDEX(Market_Data!$D$5:$D$304,MATCH(Location!$C$4&amp;"|"&amp;$A56&amp;"|vert",Market_Data!$K$5:$K$304,0)),IFERROR(INDEX(Market_Data!$D$5:$D$304,MATCH(Location!$C$5&amp;"|"&amp;$A56&amp;"|vert",Market_Data!$K$5:$K$304,0)),IFERROR(INDEX(Market_Data!$D$5:$D$304,MATCH(Location!$C$6&amp;"|"&amp;$A56&amp;"|vert",Market_Data!$K$5:$K$304,0)),(Use_Library!$AF$56*Location!$C$9)))))</f>
        <v/>
      </c>
      <c r="C56" s="20">
        <f>IFERROR((INDEX(Org_Overrides!$D$5:$D$304,MATCH(Org_Profile!$C$4&amp;"|"&amp;$A56&amp;"|entitle",Org_Overrides!$H$5:$H$304,0))*Location!$C$9),IFERROR(INDEX(Market_Data!$D$5:$D$304,MATCH(Location!$C$4&amp;"|"&amp;$A56&amp;"|entitle",Market_Data!$K$5:$K$304,0)),IFERROR(INDEX(Market_Data!$D$5:$D$304,MATCH(Location!$C$5&amp;"|"&amp;$A56&amp;"|entitle",Market_Data!$K$5:$K$304,0)),IFERROR(INDEX(Market_Data!$D$5:$D$304,MATCH(Location!$C$6&amp;"|"&amp;$A56&amp;"|entitle",Market_Data!$K$5:$K$304,0)),(Use_Library!$AE$56*Location!$C$9)))))</f>
        <v/>
      </c>
      <c r="D56" s="20">
        <f>IFERROR((INDEX(Org_Overrides!$D$5:$D$304,MATCH(Org_Profile!$C$4&amp;"|"&amp;$A56&amp;"|tilc",Org_Overrides!$H$5:$H$304,0))*Location!$C$9),IFERROR(INDEX(Market_Data!$D$5:$D$304,MATCH(Location!$C$4&amp;"|"&amp;$A56&amp;"|tilc",Market_Data!$K$5:$K$304,0)),IFERROR(INDEX(Market_Data!$D$5:$D$304,MATCH(Location!$C$5&amp;"|"&amp;$A56&amp;"|tilc",Market_Data!$K$5:$K$304,0)),IFERROR(INDEX(Market_Data!$D$5:$D$304,MATCH(Location!$C$6&amp;"|"&amp;$A56&amp;"|tilc",Market_Data!$K$5:$K$304,0)),(Use_Library!$AG$56*Location!$C$9)))))</f>
        <v/>
      </c>
      <c r="E56" s="20">
        <f>IFERROR((INDEX(Org_Overrides!$D$5:$D$304,MATCH(Org_Profile!$C$4&amp;"|"&amp;$A56&amp;"|opex",Org_Overrides!$H$5:$H$304,0))*Location!$C$13),IFERROR(INDEX(Market_Data!$D$5:$D$304,MATCH(Location!$C$4&amp;"|"&amp;$A56&amp;"|opex",Market_Data!$K$5:$K$304,0)),IFERROR(INDEX(Market_Data!$D$5:$D$304,MATCH(Location!$C$5&amp;"|"&amp;$A56&amp;"|opex",Market_Data!$K$5:$K$304,0)),IFERROR(INDEX(Market_Data!$D$5:$D$304,MATCH(Location!$C$6&amp;"|"&amp;$A56&amp;"|opex",Market_Data!$K$5:$K$304,0)),(Use_Library!$AN$56*Location!$C$13)))))</f>
        <v/>
      </c>
      <c r="F56" s="9">
        <f>IFERROR(INDEX(Org_Overrides!$D$5:$D$304,MATCH(Org_Profile!$C$4&amp;"|"&amp;$A56&amp;"|devmo",Org_Overrides!$H$5:$H$304,0)),IFERROR(INDEX(Market_Data!$D$5:$D$304,MATCH(Location!$C$4&amp;"|"&amp;$A56&amp;"|devmo",Market_Data!$K$5:$K$304,0)),IFERROR(INDEX(Market_Data!$D$5:$D$304,MATCH(Location!$C$5&amp;"|"&amp;$A56&amp;"|devmo",Market_Data!$K$5:$K$304,0)),IFERROR(INDEX(Market_Data!$D$5:$D$304,MATCH(Location!$C$6&amp;"|"&amp;$A56&amp;"|devmo",Market_Data!$K$5:$K$304,0)),Use_Library!$AH$56))))</f>
        <v/>
      </c>
      <c r="G56" s="23">
        <f>IFERROR(INDEX(Org_Overrides!$D$5:$D$304,MATCH(Org_Profile!$C$4&amp;"|"&amp;$A56&amp;"|margin",Org_Overrides!$H$5:$H$304,0)),IF(INDEX(Org_Profile!$C$9:$C$12,MATCH(Use_Library!$C$56,Org_Profile!$B$9:$B$12,0))&lt;&gt;"",INDEX(Org_Profile!$C$9:$C$12,MATCH(Use_Library!$C$56,Org_Profile!$B$9:$B$12,0)),Use_Library!$AU$56))</f>
        <v/>
      </c>
      <c r="H56" s="20">
        <f>IFERROR(INDEX(Market_Data!$D$5:$D$304,MATCH(Location!$C$4&amp;"|"&amp;$A56&amp;"|lotprice",Market_Data!$K$5:$K$304,0)),IFERROR(INDEX(Market_Data!$D$5:$D$304,MATCH(Location!$C$5&amp;"|"&amp;$A56&amp;"|lotprice",Market_Data!$K$5:$K$304,0)),IFERROR(INDEX(Market_Data!$D$5:$D$304,MATCH(Location!$C$6&amp;"|"&amp;$A56&amp;"|lotprice",Market_Data!$K$5:$K$304,0)),IFERROR((INDEX(Org_Overrides!$D$5:$D$304,MATCH(Org_Profile!$C$4&amp;"|"&amp;$A56&amp;"|lotprice",Org_Overrides!$H$5:$H$304,0))*Location!$C$10),(Use_Library!$AI$56*Location!$C$10)))))</f>
        <v/>
      </c>
      <c r="I56" s="20">
        <f>IFERROR(INDEX(Market_Data!$D$5:$D$304,MATCH(Location!$C$4&amp;"|"&amp;$A56&amp;"|saleprice",Market_Data!$K$5:$K$304,0)),IFERROR(INDEX(Market_Data!$D$5:$D$304,MATCH(Location!$C$5&amp;"|"&amp;$A56&amp;"|saleprice",Market_Data!$K$5:$K$304,0)),IFERROR(INDEX(Market_Data!$D$5:$D$304,MATCH(Location!$C$6&amp;"|"&amp;$A56&amp;"|saleprice",Market_Data!$K$5:$K$304,0)),IFERROR((INDEX(Org_Overrides!$D$5:$D$304,MATCH(Org_Profile!$C$4&amp;"|"&amp;$A56&amp;"|saleprice",Org_Overrides!$H$5:$H$304,0))*Location!$C$10),(Use_Library!$AJ$56*Location!$C$10)))))</f>
        <v/>
      </c>
      <c r="J56" s="20">
        <f>IFERROR(INDEX(Market_Data!$D$5:$D$304,MATCH(Location!$C$4&amp;"|"&amp;$A56&amp;"|landac",Market_Data!$K$5:$K$304,0)),IFERROR(INDEX(Market_Data!$D$5:$D$304,MATCH(Location!$C$5&amp;"|"&amp;$A56&amp;"|landac",Market_Data!$K$5:$K$304,0)),IFERROR(INDEX(Market_Data!$D$5:$D$304,MATCH(Location!$C$6&amp;"|"&amp;$A56&amp;"|landac",Market_Data!$K$5:$K$304,0)),IFERROR((INDEX(Org_Overrides!$D$5:$D$304,MATCH(Org_Profile!$C$4&amp;"|"&amp;$A56&amp;"|landac",Org_Overrides!$H$5:$H$304,0))*Location!$C$10),(Use_Library!$AS$56*Location!$C$10)))))</f>
        <v/>
      </c>
      <c r="K56" s="20">
        <f>IFERROR(INDEX(Market_Data!$D$5:$D$304,MATCH(Location!$C$4&amp;"|"&amp;$A56&amp;"|rent",Market_Data!$K$5:$K$304,0)),IFERROR(INDEX(Market_Data!$D$5:$D$304,MATCH(Location!$C$5&amp;"|"&amp;$A56&amp;"|rent",Market_Data!$K$5:$K$304,0)),IFERROR(INDEX(Market_Data!$D$5:$D$304,MATCH(Location!$C$6&amp;"|"&amp;$A56&amp;"|rent",Market_Data!$K$5:$K$304,0)),IFERROR((INDEX(Org_Overrides!$D$5:$D$304,MATCH(Org_Profile!$C$4&amp;"|"&amp;$A56&amp;"|rent",Org_Overrides!$H$5:$H$304,0))*Location!$C$11),(Use_Library!$AK$56*Location!$C$11)))))</f>
        <v/>
      </c>
      <c r="L56" s="20">
        <f>IFERROR(INDEX(Market_Data!$D$5:$D$304,MATCH(Location!$C$4&amp;"|"&amp;$A56&amp;"|groundrent",Market_Data!$K$5:$K$304,0)),IFERROR(INDEX(Market_Data!$D$5:$D$304,MATCH(Location!$C$5&amp;"|"&amp;$A56&amp;"|groundrent",Market_Data!$K$5:$K$304,0)),IFERROR(INDEX(Market_Data!$D$5:$D$304,MATCH(Location!$C$6&amp;"|"&amp;$A56&amp;"|groundrent",Market_Data!$K$5:$K$304,0)),IFERROR((INDEX(Org_Overrides!$D$5:$D$304,MATCH(Org_Profile!$C$4&amp;"|"&amp;$A56&amp;"|groundrent",Org_Overrides!$H$5:$H$304,0))*Location!$C$11),(Use_Library!$AT$56*Location!$C$11)))))</f>
        <v/>
      </c>
      <c r="M56" s="23">
        <f>IFERROR(INDEX(Market_Data!$D$5:$D$304,MATCH(Location!$C$4&amp;"|"&amp;$A56&amp;"|cap",Market_Data!$K$5:$K$304,0)),IFERROR(INDEX(Market_Data!$D$5:$D$304,MATCH(Location!$C$5&amp;"|"&amp;$A56&amp;"|cap",Market_Data!$K$5:$K$304,0)),IFERROR(INDEX(Market_Data!$D$5:$D$304,MATCH(Location!$C$6&amp;"|"&amp;$A56&amp;"|cap",Market_Data!$K$5:$K$304,0)),IFERROR((INDEX(Org_Overrides!$D$5:$D$304,MATCH(Org_Profile!$C$4&amp;"|"&amp;$A56&amp;"|cap",Org_Overrides!$H$5:$H$304,0))+Location!$C$12),(Use_Library!$AR$56+Location!$C$12)))))</f>
        <v/>
      </c>
      <c r="N56" s="23">
        <f>IFERROR(INDEX(Market_Data!$D$5:$D$304,MATCH(Location!$C$4&amp;"|"&amp;$A56&amp;"|vac",Market_Data!$K$5:$K$304,0)),IFERROR(INDEX(Market_Data!$D$5:$D$304,MATCH(Location!$C$5&amp;"|"&amp;$A56&amp;"|vac",Market_Data!$K$5:$K$304,0)),IFERROR(INDEX(Market_Data!$D$5:$D$304,MATCH(Location!$C$6&amp;"|"&amp;$A56&amp;"|vac",Market_Data!$K$5:$K$304,0)),IFERROR(INDEX(Org_Overrides!$D$5:$D$304,MATCH(Org_Profile!$C$4&amp;"|"&amp;$A56&amp;"|vac",Org_Overrides!$H$5:$H$304,0)),Use_Library!$AM$56))))</f>
        <v/>
      </c>
      <c r="O56" s="24">
        <f>IFERROR(INDEX(Market_Data!$D$5:$D$304,MATCH(Location!$C$4&amp;"|"&amp;$A56&amp;"|absorb",Market_Data!$K$5:$K$304,0)),IFERROR(INDEX(Market_Data!$D$5:$D$304,MATCH(Location!$C$5&amp;"|"&amp;$A56&amp;"|absorb",Market_Data!$K$5:$K$304,0)),IFERROR(INDEX(Market_Data!$D$5:$D$304,MATCH(Location!$C$6&amp;"|"&amp;$A56&amp;"|absorb",Market_Data!$K$5:$K$304,0)),IFERROR(INDEX(Org_Overrides!$D$5:$D$304,MATCH(Org_Profile!$C$4&amp;"|"&amp;$A56&amp;"|absorb",Org_Overrides!$H$5:$H$304,0)),Use_Library!$R$56))))</f>
        <v/>
      </c>
      <c r="P56" s="24">
        <f>IFERROR(INDEX(Market_Data!$D$5:$D$304,MATCH(Location!$C$4&amp;"|"&amp;$A56&amp;"|lotabs",Market_Data!$K$5:$K$304,0)),IFERROR(INDEX(Market_Data!$D$5:$D$304,MATCH(Location!$C$5&amp;"|"&amp;$A56&amp;"|lotabs",Market_Data!$K$5:$K$304,0)),IFERROR(INDEX(Market_Data!$D$5:$D$304,MATCH(Location!$C$6&amp;"|"&amp;$A56&amp;"|lotabs",Market_Data!$K$5:$K$304,0)),IFERROR(INDEX(Org_Overrides!$D$5:$D$304,MATCH(Org_Profile!$C$4&amp;"|"&amp;$A56&amp;"|lotabs",Org_Overrides!$H$5:$H$304,0)),Use_Library!$S$56))))</f>
        <v/>
      </c>
      <c r="Q56" s="2">
        <f>IF(ISNUMBER(MATCH(Org_Profile!$C$4&amp;"|"&amp;$A56&amp;"|vert",Org_Overrides!$H$5:$H$304,0)),"Org",IF(ISNUMBER(MATCH(Location!$C$4&amp;"|"&amp;$A56&amp;"|vert",Market_Data!$K$5:$K$304,0)),"Market-City",IF(ISNUMBER(MATCH(Location!$C$5&amp;"|"&amp;$A56&amp;"|vert",Market_Data!$K$5:$K$304,0)),"Market-County",IF(ISNUMBER(MATCH(Location!$C$6&amp;"|"&amp;$A56&amp;"|vert",Market_Data!$K$5:$K$304,0)),"Market-State","Default x index"))))</f>
        <v/>
      </c>
      <c r="R56" s="2">
        <f>IF(ISNUMBER(MATCH(Org_Profile!$C$4&amp;"|"&amp;$A56&amp;"|entitle",Org_Overrides!$H$5:$H$304,0)),"Org",IF(ISNUMBER(MATCH(Location!$C$4&amp;"|"&amp;$A56&amp;"|entitle",Market_Data!$K$5:$K$304,0)),"Market-City",IF(ISNUMBER(MATCH(Location!$C$5&amp;"|"&amp;$A56&amp;"|entitle",Market_Data!$K$5:$K$304,0)),"Market-County",IF(ISNUMBER(MATCH(Location!$C$6&amp;"|"&amp;$A56&amp;"|entitle",Market_Data!$K$5:$K$304,0)),"Market-State","Default x index"))))</f>
        <v/>
      </c>
      <c r="S56" s="2">
        <f>IF(ISNUMBER(MATCH(Org_Profile!$C$4&amp;"|"&amp;$A56&amp;"|tilc",Org_Overrides!$H$5:$H$304,0)),"Org",IF(ISNUMBER(MATCH(Location!$C$4&amp;"|"&amp;$A56&amp;"|tilc",Market_Data!$K$5:$K$304,0)),"Market-City",IF(ISNUMBER(MATCH(Location!$C$5&amp;"|"&amp;$A56&amp;"|tilc",Market_Data!$K$5:$K$304,0)),"Market-County",IF(ISNUMBER(MATCH(Location!$C$6&amp;"|"&amp;$A56&amp;"|tilc",Market_Data!$K$5:$K$304,0)),"Market-State","Default x index"))))</f>
        <v/>
      </c>
      <c r="T56" s="2">
        <f>IF(ISNUMBER(MATCH(Org_Profile!$C$4&amp;"|"&amp;$A56&amp;"|opex",Org_Overrides!$H$5:$H$304,0)),"Org",IF(ISNUMBER(MATCH(Location!$C$4&amp;"|"&amp;$A56&amp;"|opex",Market_Data!$K$5:$K$304,0)),"Market-City",IF(ISNUMBER(MATCH(Location!$C$5&amp;"|"&amp;$A56&amp;"|opex",Market_Data!$K$5:$K$304,0)),"Market-County",IF(ISNUMBER(MATCH(Location!$C$6&amp;"|"&amp;$A56&amp;"|opex",Market_Data!$K$5:$K$304,0)),"Market-State","Default x index"))))</f>
        <v/>
      </c>
      <c r="U56" s="2">
        <f>IF(ISNUMBER(MATCH(Org_Profile!$C$4&amp;"|"&amp;$A56&amp;"|devmo",Org_Overrides!$H$5:$H$304,0)),"Org",IF(ISNUMBER(MATCH(Location!$C$4&amp;"|"&amp;$A56&amp;"|devmo",Market_Data!$K$5:$K$304,0)),"Market-City",IF(ISNUMBER(MATCH(Location!$C$5&amp;"|"&amp;$A56&amp;"|devmo",Market_Data!$K$5:$K$304,0)),"Market-County",IF(ISNUMBER(MATCH(Location!$C$6&amp;"|"&amp;$A56&amp;"|devmo",Market_Data!$K$5:$K$304,0)),"Market-State","Default"))))</f>
        <v/>
      </c>
      <c r="V56" s="2">
        <f>IF(ISNUMBER(MATCH(Org_Profile!$C$4&amp;"|"&amp;$A56&amp;"|margin",Org_Overrides!$H$5:$H$304,0)),"Org",IF(INDEX(Org_Profile!$C$9:$C$12,MATCH(Use_Library!$C$56,Org_Profile!$B$9:$B$12,0))&lt;&gt;"","Org engine margin","Default"))</f>
        <v/>
      </c>
      <c r="W56" s="2">
        <f>IF(ISNUMBER(MATCH(Location!$C$4&amp;"|"&amp;$A56&amp;"|lotprice",Market_Data!$K$5:$K$304,0)),"Market-City",IF(ISNUMBER(MATCH(Location!$C$5&amp;"|"&amp;$A56&amp;"|lotprice",Market_Data!$K$5:$K$304,0)),"Market-County",IF(ISNUMBER(MATCH(Location!$C$6&amp;"|"&amp;$A56&amp;"|lotprice",Market_Data!$K$5:$K$304,0)),"Market-State",IF(ISNUMBER(MATCH(Org_Profile!$C$4&amp;"|"&amp;$A56&amp;"|lotprice",Org_Overrides!$H$5:$H$304,0)),"Org","Default x index"))))</f>
        <v/>
      </c>
      <c r="X56" s="2">
        <f>IF(ISNUMBER(MATCH(Location!$C$4&amp;"|"&amp;$A56&amp;"|saleprice",Market_Data!$K$5:$K$304,0)),"Market-City",IF(ISNUMBER(MATCH(Location!$C$5&amp;"|"&amp;$A56&amp;"|saleprice",Market_Data!$K$5:$K$304,0)),"Market-County",IF(ISNUMBER(MATCH(Location!$C$6&amp;"|"&amp;$A56&amp;"|saleprice",Market_Data!$K$5:$K$304,0)),"Market-State",IF(ISNUMBER(MATCH(Org_Profile!$C$4&amp;"|"&amp;$A56&amp;"|saleprice",Org_Overrides!$H$5:$H$304,0)),"Org","Default x index"))))</f>
        <v/>
      </c>
      <c r="Y56" s="2">
        <f>IF(ISNUMBER(MATCH(Location!$C$4&amp;"|"&amp;$A56&amp;"|landac",Market_Data!$K$5:$K$304,0)),"Market-City",IF(ISNUMBER(MATCH(Location!$C$5&amp;"|"&amp;$A56&amp;"|landac",Market_Data!$K$5:$K$304,0)),"Market-County",IF(ISNUMBER(MATCH(Location!$C$6&amp;"|"&amp;$A56&amp;"|landac",Market_Data!$K$5:$K$304,0)),"Market-State",IF(ISNUMBER(MATCH(Org_Profile!$C$4&amp;"|"&amp;$A56&amp;"|landac",Org_Overrides!$H$5:$H$304,0)),"Org","Default x index"))))</f>
        <v/>
      </c>
      <c r="Z56" s="2">
        <f>IF(ISNUMBER(MATCH(Location!$C$4&amp;"|"&amp;$A56&amp;"|rent",Market_Data!$K$5:$K$304,0)),"Market-City",IF(ISNUMBER(MATCH(Location!$C$5&amp;"|"&amp;$A56&amp;"|rent",Market_Data!$K$5:$K$304,0)),"Market-County",IF(ISNUMBER(MATCH(Location!$C$6&amp;"|"&amp;$A56&amp;"|rent",Market_Data!$K$5:$K$304,0)),"Market-State",IF(ISNUMBER(MATCH(Org_Profile!$C$4&amp;"|"&amp;$A56&amp;"|rent",Org_Overrides!$H$5:$H$304,0)),"Org","Default x index"))))</f>
        <v/>
      </c>
      <c r="AA56" s="2">
        <f>IF(ISNUMBER(MATCH(Location!$C$4&amp;"|"&amp;$A56&amp;"|groundrent",Market_Data!$K$5:$K$304,0)),"Market-City",IF(ISNUMBER(MATCH(Location!$C$5&amp;"|"&amp;$A56&amp;"|groundrent",Market_Data!$K$5:$K$304,0)),"Market-County",IF(ISNUMBER(MATCH(Location!$C$6&amp;"|"&amp;$A56&amp;"|groundrent",Market_Data!$K$5:$K$304,0)),"Market-State",IF(ISNUMBER(MATCH(Org_Profile!$C$4&amp;"|"&amp;$A56&amp;"|groundrent",Org_Overrides!$H$5:$H$304,0)),"Org","Default x index"))))</f>
        <v/>
      </c>
      <c r="AB56" s="2">
        <f>IF(ISNUMBER(MATCH(Location!$C$4&amp;"|"&amp;$A56&amp;"|cap",Market_Data!$K$5:$K$304,0)),"Market-City",IF(ISNUMBER(MATCH(Location!$C$5&amp;"|"&amp;$A56&amp;"|cap",Market_Data!$K$5:$K$304,0)),"Market-County",IF(ISNUMBER(MATCH(Location!$C$6&amp;"|"&amp;$A56&amp;"|cap",Market_Data!$K$5:$K$304,0)),"Market-State",IF(ISNUMBER(MATCH(Org_Profile!$C$4&amp;"|"&amp;$A56&amp;"|cap",Org_Overrides!$H$5:$H$304,0)),"Org","Default x index"))))</f>
        <v/>
      </c>
      <c r="AC56" s="2">
        <f>IF(ISNUMBER(MATCH(Location!$C$4&amp;"|"&amp;$A56&amp;"|vac",Market_Data!$K$5:$K$304,0)),"Market-City",IF(ISNUMBER(MATCH(Location!$C$5&amp;"|"&amp;$A56&amp;"|vac",Market_Data!$K$5:$K$304,0)),"Market-County",IF(ISNUMBER(MATCH(Location!$C$6&amp;"|"&amp;$A56&amp;"|vac",Market_Data!$K$5:$K$304,0)),"Market-State",IF(ISNUMBER(MATCH(Org_Profile!$C$4&amp;"|"&amp;$A56&amp;"|vac",Org_Overrides!$H$5:$H$304,0)),"Org","Default"))))</f>
        <v/>
      </c>
      <c r="AD56" s="2">
        <f>IF(ISNUMBER(MATCH(Location!$C$4&amp;"|"&amp;$A56&amp;"|absorb",Market_Data!$K$5:$K$304,0)),"Market-City",IF(ISNUMBER(MATCH(Location!$C$5&amp;"|"&amp;$A56&amp;"|absorb",Market_Data!$K$5:$K$304,0)),"Market-County",IF(ISNUMBER(MATCH(Location!$C$6&amp;"|"&amp;$A56&amp;"|absorb",Market_Data!$K$5:$K$304,0)),"Market-State",IF(ISNUMBER(MATCH(Org_Profile!$C$4&amp;"|"&amp;$A56&amp;"|absorb",Org_Overrides!$H$5:$H$304,0)),"Org","Default"))))</f>
        <v/>
      </c>
      <c r="AE56" s="2">
        <f>IF(ISNUMBER(MATCH(Location!$C$4&amp;"|"&amp;$A56&amp;"|lotabs",Market_Data!$K$5:$K$304,0)),"Market-City",IF(ISNUMBER(MATCH(Location!$C$5&amp;"|"&amp;$A56&amp;"|lotabs",Market_Data!$K$5:$K$304,0)),"Market-County",IF(ISNUMBER(MATCH(Location!$C$6&amp;"|"&amp;$A56&amp;"|lotabs",Market_Data!$K$5:$K$304,0)),"Market-State",IF(ISNUMBER(MATCH(Org_Profile!$C$4&amp;"|"&amp;$A56&amp;"|lotabs",Org_Overrides!$H$5:$H$304,0)),"Org","Default"))))</f>
        <v/>
      </c>
      <c r="AF56" s="15">
        <f>15-COUNTIF(Q56:AE56,"Default*")</f>
        <v/>
      </c>
    </row>
    <row r="57">
      <c r="A57" s="4">
        <f>Use_Library!$A$57</f>
        <v/>
      </c>
      <c r="B57" s="20">
        <f>IFERROR((INDEX(Org_Overrides!$D$5:$D$304,MATCH(Org_Profile!$C$4&amp;"|"&amp;$A57&amp;"|vert",Org_Overrides!$H$5:$H$304,0))*Location!$C$9),IFERROR(INDEX(Market_Data!$D$5:$D$304,MATCH(Location!$C$4&amp;"|"&amp;$A57&amp;"|vert",Market_Data!$K$5:$K$304,0)),IFERROR(INDEX(Market_Data!$D$5:$D$304,MATCH(Location!$C$5&amp;"|"&amp;$A57&amp;"|vert",Market_Data!$K$5:$K$304,0)),IFERROR(INDEX(Market_Data!$D$5:$D$304,MATCH(Location!$C$6&amp;"|"&amp;$A57&amp;"|vert",Market_Data!$K$5:$K$304,0)),(Use_Library!$AF$57*Location!$C$9)))))</f>
        <v/>
      </c>
      <c r="C57" s="20">
        <f>IFERROR((INDEX(Org_Overrides!$D$5:$D$304,MATCH(Org_Profile!$C$4&amp;"|"&amp;$A57&amp;"|entitle",Org_Overrides!$H$5:$H$304,0))*Location!$C$9),IFERROR(INDEX(Market_Data!$D$5:$D$304,MATCH(Location!$C$4&amp;"|"&amp;$A57&amp;"|entitle",Market_Data!$K$5:$K$304,0)),IFERROR(INDEX(Market_Data!$D$5:$D$304,MATCH(Location!$C$5&amp;"|"&amp;$A57&amp;"|entitle",Market_Data!$K$5:$K$304,0)),IFERROR(INDEX(Market_Data!$D$5:$D$304,MATCH(Location!$C$6&amp;"|"&amp;$A57&amp;"|entitle",Market_Data!$K$5:$K$304,0)),(Use_Library!$AE$57*Location!$C$9)))))</f>
        <v/>
      </c>
      <c r="D57" s="20">
        <f>IFERROR((INDEX(Org_Overrides!$D$5:$D$304,MATCH(Org_Profile!$C$4&amp;"|"&amp;$A57&amp;"|tilc",Org_Overrides!$H$5:$H$304,0))*Location!$C$9),IFERROR(INDEX(Market_Data!$D$5:$D$304,MATCH(Location!$C$4&amp;"|"&amp;$A57&amp;"|tilc",Market_Data!$K$5:$K$304,0)),IFERROR(INDEX(Market_Data!$D$5:$D$304,MATCH(Location!$C$5&amp;"|"&amp;$A57&amp;"|tilc",Market_Data!$K$5:$K$304,0)),IFERROR(INDEX(Market_Data!$D$5:$D$304,MATCH(Location!$C$6&amp;"|"&amp;$A57&amp;"|tilc",Market_Data!$K$5:$K$304,0)),(Use_Library!$AG$57*Location!$C$9)))))</f>
        <v/>
      </c>
      <c r="E57" s="20">
        <f>IFERROR((INDEX(Org_Overrides!$D$5:$D$304,MATCH(Org_Profile!$C$4&amp;"|"&amp;$A57&amp;"|opex",Org_Overrides!$H$5:$H$304,0))*Location!$C$13),IFERROR(INDEX(Market_Data!$D$5:$D$304,MATCH(Location!$C$4&amp;"|"&amp;$A57&amp;"|opex",Market_Data!$K$5:$K$304,0)),IFERROR(INDEX(Market_Data!$D$5:$D$304,MATCH(Location!$C$5&amp;"|"&amp;$A57&amp;"|opex",Market_Data!$K$5:$K$304,0)),IFERROR(INDEX(Market_Data!$D$5:$D$304,MATCH(Location!$C$6&amp;"|"&amp;$A57&amp;"|opex",Market_Data!$K$5:$K$304,0)),(Use_Library!$AN$57*Location!$C$13)))))</f>
        <v/>
      </c>
      <c r="F57" s="9">
        <f>IFERROR(INDEX(Org_Overrides!$D$5:$D$304,MATCH(Org_Profile!$C$4&amp;"|"&amp;$A57&amp;"|devmo",Org_Overrides!$H$5:$H$304,0)),IFERROR(INDEX(Market_Data!$D$5:$D$304,MATCH(Location!$C$4&amp;"|"&amp;$A57&amp;"|devmo",Market_Data!$K$5:$K$304,0)),IFERROR(INDEX(Market_Data!$D$5:$D$304,MATCH(Location!$C$5&amp;"|"&amp;$A57&amp;"|devmo",Market_Data!$K$5:$K$304,0)),IFERROR(INDEX(Market_Data!$D$5:$D$304,MATCH(Location!$C$6&amp;"|"&amp;$A57&amp;"|devmo",Market_Data!$K$5:$K$304,0)),Use_Library!$AH$57))))</f>
        <v/>
      </c>
      <c r="G57" s="23">
        <f>IFERROR(INDEX(Org_Overrides!$D$5:$D$304,MATCH(Org_Profile!$C$4&amp;"|"&amp;$A57&amp;"|margin",Org_Overrides!$H$5:$H$304,0)),IF(INDEX(Org_Profile!$C$9:$C$12,MATCH(Use_Library!$C$57,Org_Profile!$B$9:$B$12,0))&lt;&gt;"",INDEX(Org_Profile!$C$9:$C$12,MATCH(Use_Library!$C$57,Org_Profile!$B$9:$B$12,0)),Use_Library!$AU$57))</f>
        <v/>
      </c>
      <c r="H57" s="20">
        <f>IFERROR(INDEX(Market_Data!$D$5:$D$304,MATCH(Location!$C$4&amp;"|"&amp;$A57&amp;"|lotprice",Market_Data!$K$5:$K$304,0)),IFERROR(INDEX(Market_Data!$D$5:$D$304,MATCH(Location!$C$5&amp;"|"&amp;$A57&amp;"|lotprice",Market_Data!$K$5:$K$304,0)),IFERROR(INDEX(Market_Data!$D$5:$D$304,MATCH(Location!$C$6&amp;"|"&amp;$A57&amp;"|lotprice",Market_Data!$K$5:$K$304,0)),IFERROR((INDEX(Org_Overrides!$D$5:$D$304,MATCH(Org_Profile!$C$4&amp;"|"&amp;$A57&amp;"|lotprice",Org_Overrides!$H$5:$H$304,0))*Location!$C$10),(Use_Library!$AI$57*Location!$C$10)))))</f>
        <v/>
      </c>
      <c r="I57" s="20">
        <f>IFERROR(INDEX(Market_Data!$D$5:$D$304,MATCH(Location!$C$4&amp;"|"&amp;$A57&amp;"|saleprice",Market_Data!$K$5:$K$304,0)),IFERROR(INDEX(Market_Data!$D$5:$D$304,MATCH(Location!$C$5&amp;"|"&amp;$A57&amp;"|saleprice",Market_Data!$K$5:$K$304,0)),IFERROR(INDEX(Market_Data!$D$5:$D$304,MATCH(Location!$C$6&amp;"|"&amp;$A57&amp;"|saleprice",Market_Data!$K$5:$K$304,0)),IFERROR((INDEX(Org_Overrides!$D$5:$D$304,MATCH(Org_Profile!$C$4&amp;"|"&amp;$A57&amp;"|saleprice",Org_Overrides!$H$5:$H$304,0))*Location!$C$10),(Use_Library!$AJ$57*Location!$C$10)))))</f>
        <v/>
      </c>
      <c r="J57" s="20">
        <f>IFERROR(INDEX(Market_Data!$D$5:$D$304,MATCH(Location!$C$4&amp;"|"&amp;$A57&amp;"|landac",Market_Data!$K$5:$K$304,0)),IFERROR(INDEX(Market_Data!$D$5:$D$304,MATCH(Location!$C$5&amp;"|"&amp;$A57&amp;"|landac",Market_Data!$K$5:$K$304,0)),IFERROR(INDEX(Market_Data!$D$5:$D$304,MATCH(Location!$C$6&amp;"|"&amp;$A57&amp;"|landac",Market_Data!$K$5:$K$304,0)),IFERROR((INDEX(Org_Overrides!$D$5:$D$304,MATCH(Org_Profile!$C$4&amp;"|"&amp;$A57&amp;"|landac",Org_Overrides!$H$5:$H$304,0))*Location!$C$10),(Use_Library!$AS$57*Location!$C$10)))))</f>
        <v/>
      </c>
      <c r="K57" s="20">
        <f>IFERROR(INDEX(Market_Data!$D$5:$D$304,MATCH(Location!$C$4&amp;"|"&amp;$A57&amp;"|rent",Market_Data!$K$5:$K$304,0)),IFERROR(INDEX(Market_Data!$D$5:$D$304,MATCH(Location!$C$5&amp;"|"&amp;$A57&amp;"|rent",Market_Data!$K$5:$K$304,0)),IFERROR(INDEX(Market_Data!$D$5:$D$304,MATCH(Location!$C$6&amp;"|"&amp;$A57&amp;"|rent",Market_Data!$K$5:$K$304,0)),IFERROR((INDEX(Org_Overrides!$D$5:$D$304,MATCH(Org_Profile!$C$4&amp;"|"&amp;$A57&amp;"|rent",Org_Overrides!$H$5:$H$304,0))*Location!$C$11),(Use_Library!$AK$57*Location!$C$11)))))</f>
        <v/>
      </c>
      <c r="L57" s="20">
        <f>IFERROR(INDEX(Market_Data!$D$5:$D$304,MATCH(Location!$C$4&amp;"|"&amp;$A57&amp;"|groundrent",Market_Data!$K$5:$K$304,0)),IFERROR(INDEX(Market_Data!$D$5:$D$304,MATCH(Location!$C$5&amp;"|"&amp;$A57&amp;"|groundrent",Market_Data!$K$5:$K$304,0)),IFERROR(INDEX(Market_Data!$D$5:$D$304,MATCH(Location!$C$6&amp;"|"&amp;$A57&amp;"|groundrent",Market_Data!$K$5:$K$304,0)),IFERROR((INDEX(Org_Overrides!$D$5:$D$304,MATCH(Org_Profile!$C$4&amp;"|"&amp;$A57&amp;"|groundrent",Org_Overrides!$H$5:$H$304,0))*Location!$C$11),(Use_Library!$AT$57*Location!$C$11)))))</f>
        <v/>
      </c>
      <c r="M57" s="23">
        <f>IFERROR(INDEX(Market_Data!$D$5:$D$304,MATCH(Location!$C$4&amp;"|"&amp;$A57&amp;"|cap",Market_Data!$K$5:$K$304,0)),IFERROR(INDEX(Market_Data!$D$5:$D$304,MATCH(Location!$C$5&amp;"|"&amp;$A57&amp;"|cap",Market_Data!$K$5:$K$304,0)),IFERROR(INDEX(Market_Data!$D$5:$D$304,MATCH(Location!$C$6&amp;"|"&amp;$A57&amp;"|cap",Market_Data!$K$5:$K$304,0)),IFERROR((INDEX(Org_Overrides!$D$5:$D$304,MATCH(Org_Profile!$C$4&amp;"|"&amp;$A57&amp;"|cap",Org_Overrides!$H$5:$H$304,0))+Location!$C$12),(Use_Library!$AR$57+Location!$C$12)))))</f>
        <v/>
      </c>
      <c r="N57" s="23">
        <f>IFERROR(INDEX(Market_Data!$D$5:$D$304,MATCH(Location!$C$4&amp;"|"&amp;$A57&amp;"|vac",Market_Data!$K$5:$K$304,0)),IFERROR(INDEX(Market_Data!$D$5:$D$304,MATCH(Location!$C$5&amp;"|"&amp;$A57&amp;"|vac",Market_Data!$K$5:$K$304,0)),IFERROR(INDEX(Market_Data!$D$5:$D$304,MATCH(Location!$C$6&amp;"|"&amp;$A57&amp;"|vac",Market_Data!$K$5:$K$304,0)),IFERROR(INDEX(Org_Overrides!$D$5:$D$304,MATCH(Org_Profile!$C$4&amp;"|"&amp;$A57&amp;"|vac",Org_Overrides!$H$5:$H$304,0)),Use_Library!$AM$57))))</f>
        <v/>
      </c>
      <c r="O57" s="24">
        <f>IFERROR(INDEX(Market_Data!$D$5:$D$304,MATCH(Location!$C$4&amp;"|"&amp;$A57&amp;"|absorb",Market_Data!$K$5:$K$304,0)),IFERROR(INDEX(Market_Data!$D$5:$D$304,MATCH(Location!$C$5&amp;"|"&amp;$A57&amp;"|absorb",Market_Data!$K$5:$K$304,0)),IFERROR(INDEX(Market_Data!$D$5:$D$304,MATCH(Location!$C$6&amp;"|"&amp;$A57&amp;"|absorb",Market_Data!$K$5:$K$304,0)),IFERROR(INDEX(Org_Overrides!$D$5:$D$304,MATCH(Org_Profile!$C$4&amp;"|"&amp;$A57&amp;"|absorb",Org_Overrides!$H$5:$H$304,0)),Use_Library!$R$57))))</f>
        <v/>
      </c>
      <c r="P57" s="24">
        <f>IFERROR(INDEX(Market_Data!$D$5:$D$304,MATCH(Location!$C$4&amp;"|"&amp;$A57&amp;"|lotabs",Market_Data!$K$5:$K$304,0)),IFERROR(INDEX(Market_Data!$D$5:$D$304,MATCH(Location!$C$5&amp;"|"&amp;$A57&amp;"|lotabs",Market_Data!$K$5:$K$304,0)),IFERROR(INDEX(Market_Data!$D$5:$D$304,MATCH(Location!$C$6&amp;"|"&amp;$A57&amp;"|lotabs",Market_Data!$K$5:$K$304,0)),IFERROR(INDEX(Org_Overrides!$D$5:$D$304,MATCH(Org_Profile!$C$4&amp;"|"&amp;$A57&amp;"|lotabs",Org_Overrides!$H$5:$H$304,0)),Use_Library!$S$57))))</f>
        <v/>
      </c>
      <c r="Q57" s="2">
        <f>IF(ISNUMBER(MATCH(Org_Profile!$C$4&amp;"|"&amp;$A57&amp;"|vert",Org_Overrides!$H$5:$H$304,0)),"Org",IF(ISNUMBER(MATCH(Location!$C$4&amp;"|"&amp;$A57&amp;"|vert",Market_Data!$K$5:$K$304,0)),"Market-City",IF(ISNUMBER(MATCH(Location!$C$5&amp;"|"&amp;$A57&amp;"|vert",Market_Data!$K$5:$K$304,0)),"Market-County",IF(ISNUMBER(MATCH(Location!$C$6&amp;"|"&amp;$A57&amp;"|vert",Market_Data!$K$5:$K$304,0)),"Market-State","Default x index"))))</f>
        <v/>
      </c>
      <c r="R57" s="2">
        <f>IF(ISNUMBER(MATCH(Org_Profile!$C$4&amp;"|"&amp;$A57&amp;"|entitle",Org_Overrides!$H$5:$H$304,0)),"Org",IF(ISNUMBER(MATCH(Location!$C$4&amp;"|"&amp;$A57&amp;"|entitle",Market_Data!$K$5:$K$304,0)),"Market-City",IF(ISNUMBER(MATCH(Location!$C$5&amp;"|"&amp;$A57&amp;"|entitle",Market_Data!$K$5:$K$304,0)),"Market-County",IF(ISNUMBER(MATCH(Location!$C$6&amp;"|"&amp;$A57&amp;"|entitle",Market_Data!$K$5:$K$304,0)),"Market-State","Default x index"))))</f>
        <v/>
      </c>
      <c r="S57" s="2">
        <f>IF(ISNUMBER(MATCH(Org_Profile!$C$4&amp;"|"&amp;$A57&amp;"|tilc",Org_Overrides!$H$5:$H$304,0)),"Org",IF(ISNUMBER(MATCH(Location!$C$4&amp;"|"&amp;$A57&amp;"|tilc",Market_Data!$K$5:$K$304,0)),"Market-City",IF(ISNUMBER(MATCH(Location!$C$5&amp;"|"&amp;$A57&amp;"|tilc",Market_Data!$K$5:$K$304,0)),"Market-County",IF(ISNUMBER(MATCH(Location!$C$6&amp;"|"&amp;$A57&amp;"|tilc",Market_Data!$K$5:$K$304,0)),"Market-State","Default x index"))))</f>
        <v/>
      </c>
      <c r="T57" s="2">
        <f>IF(ISNUMBER(MATCH(Org_Profile!$C$4&amp;"|"&amp;$A57&amp;"|opex",Org_Overrides!$H$5:$H$304,0)),"Org",IF(ISNUMBER(MATCH(Location!$C$4&amp;"|"&amp;$A57&amp;"|opex",Market_Data!$K$5:$K$304,0)),"Market-City",IF(ISNUMBER(MATCH(Location!$C$5&amp;"|"&amp;$A57&amp;"|opex",Market_Data!$K$5:$K$304,0)),"Market-County",IF(ISNUMBER(MATCH(Location!$C$6&amp;"|"&amp;$A57&amp;"|opex",Market_Data!$K$5:$K$304,0)),"Market-State","Default x index"))))</f>
        <v/>
      </c>
      <c r="U57" s="2">
        <f>IF(ISNUMBER(MATCH(Org_Profile!$C$4&amp;"|"&amp;$A57&amp;"|devmo",Org_Overrides!$H$5:$H$304,0)),"Org",IF(ISNUMBER(MATCH(Location!$C$4&amp;"|"&amp;$A57&amp;"|devmo",Market_Data!$K$5:$K$304,0)),"Market-City",IF(ISNUMBER(MATCH(Location!$C$5&amp;"|"&amp;$A57&amp;"|devmo",Market_Data!$K$5:$K$304,0)),"Market-County",IF(ISNUMBER(MATCH(Location!$C$6&amp;"|"&amp;$A57&amp;"|devmo",Market_Data!$K$5:$K$304,0)),"Market-State","Default"))))</f>
        <v/>
      </c>
      <c r="V57" s="2">
        <f>IF(ISNUMBER(MATCH(Org_Profile!$C$4&amp;"|"&amp;$A57&amp;"|margin",Org_Overrides!$H$5:$H$304,0)),"Org",IF(INDEX(Org_Profile!$C$9:$C$12,MATCH(Use_Library!$C$57,Org_Profile!$B$9:$B$12,0))&lt;&gt;"","Org engine margin","Default"))</f>
        <v/>
      </c>
      <c r="W57" s="2">
        <f>IF(ISNUMBER(MATCH(Location!$C$4&amp;"|"&amp;$A57&amp;"|lotprice",Market_Data!$K$5:$K$304,0)),"Market-City",IF(ISNUMBER(MATCH(Location!$C$5&amp;"|"&amp;$A57&amp;"|lotprice",Market_Data!$K$5:$K$304,0)),"Market-County",IF(ISNUMBER(MATCH(Location!$C$6&amp;"|"&amp;$A57&amp;"|lotprice",Market_Data!$K$5:$K$304,0)),"Market-State",IF(ISNUMBER(MATCH(Org_Profile!$C$4&amp;"|"&amp;$A57&amp;"|lotprice",Org_Overrides!$H$5:$H$304,0)),"Org","Default x index"))))</f>
        <v/>
      </c>
      <c r="X57" s="2">
        <f>IF(ISNUMBER(MATCH(Location!$C$4&amp;"|"&amp;$A57&amp;"|saleprice",Market_Data!$K$5:$K$304,0)),"Market-City",IF(ISNUMBER(MATCH(Location!$C$5&amp;"|"&amp;$A57&amp;"|saleprice",Market_Data!$K$5:$K$304,0)),"Market-County",IF(ISNUMBER(MATCH(Location!$C$6&amp;"|"&amp;$A57&amp;"|saleprice",Market_Data!$K$5:$K$304,0)),"Market-State",IF(ISNUMBER(MATCH(Org_Profile!$C$4&amp;"|"&amp;$A57&amp;"|saleprice",Org_Overrides!$H$5:$H$304,0)),"Org","Default x index"))))</f>
        <v/>
      </c>
      <c r="Y57" s="2">
        <f>IF(ISNUMBER(MATCH(Location!$C$4&amp;"|"&amp;$A57&amp;"|landac",Market_Data!$K$5:$K$304,0)),"Market-City",IF(ISNUMBER(MATCH(Location!$C$5&amp;"|"&amp;$A57&amp;"|landac",Market_Data!$K$5:$K$304,0)),"Market-County",IF(ISNUMBER(MATCH(Location!$C$6&amp;"|"&amp;$A57&amp;"|landac",Market_Data!$K$5:$K$304,0)),"Market-State",IF(ISNUMBER(MATCH(Org_Profile!$C$4&amp;"|"&amp;$A57&amp;"|landac",Org_Overrides!$H$5:$H$304,0)),"Org","Default x index"))))</f>
        <v/>
      </c>
      <c r="Z57" s="2">
        <f>IF(ISNUMBER(MATCH(Location!$C$4&amp;"|"&amp;$A57&amp;"|rent",Market_Data!$K$5:$K$304,0)),"Market-City",IF(ISNUMBER(MATCH(Location!$C$5&amp;"|"&amp;$A57&amp;"|rent",Market_Data!$K$5:$K$304,0)),"Market-County",IF(ISNUMBER(MATCH(Location!$C$6&amp;"|"&amp;$A57&amp;"|rent",Market_Data!$K$5:$K$304,0)),"Market-State",IF(ISNUMBER(MATCH(Org_Profile!$C$4&amp;"|"&amp;$A57&amp;"|rent",Org_Overrides!$H$5:$H$304,0)),"Org","Default x index"))))</f>
        <v/>
      </c>
      <c r="AA57" s="2">
        <f>IF(ISNUMBER(MATCH(Location!$C$4&amp;"|"&amp;$A57&amp;"|groundrent",Market_Data!$K$5:$K$304,0)),"Market-City",IF(ISNUMBER(MATCH(Location!$C$5&amp;"|"&amp;$A57&amp;"|groundrent",Market_Data!$K$5:$K$304,0)),"Market-County",IF(ISNUMBER(MATCH(Location!$C$6&amp;"|"&amp;$A57&amp;"|groundrent",Market_Data!$K$5:$K$304,0)),"Market-State",IF(ISNUMBER(MATCH(Org_Profile!$C$4&amp;"|"&amp;$A57&amp;"|groundrent",Org_Overrides!$H$5:$H$304,0)),"Org","Default x index"))))</f>
        <v/>
      </c>
      <c r="AB57" s="2">
        <f>IF(ISNUMBER(MATCH(Location!$C$4&amp;"|"&amp;$A57&amp;"|cap",Market_Data!$K$5:$K$304,0)),"Market-City",IF(ISNUMBER(MATCH(Location!$C$5&amp;"|"&amp;$A57&amp;"|cap",Market_Data!$K$5:$K$304,0)),"Market-County",IF(ISNUMBER(MATCH(Location!$C$6&amp;"|"&amp;$A57&amp;"|cap",Market_Data!$K$5:$K$304,0)),"Market-State",IF(ISNUMBER(MATCH(Org_Profile!$C$4&amp;"|"&amp;$A57&amp;"|cap",Org_Overrides!$H$5:$H$304,0)),"Org","Default x index"))))</f>
        <v/>
      </c>
      <c r="AC57" s="2">
        <f>IF(ISNUMBER(MATCH(Location!$C$4&amp;"|"&amp;$A57&amp;"|vac",Market_Data!$K$5:$K$304,0)),"Market-City",IF(ISNUMBER(MATCH(Location!$C$5&amp;"|"&amp;$A57&amp;"|vac",Market_Data!$K$5:$K$304,0)),"Market-County",IF(ISNUMBER(MATCH(Location!$C$6&amp;"|"&amp;$A57&amp;"|vac",Market_Data!$K$5:$K$304,0)),"Market-State",IF(ISNUMBER(MATCH(Org_Profile!$C$4&amp;"|"&amp;$A57&amp;"|vac",Org_Overrides!$H$5:$H$304,0)),"Org","Default"))))</f>
        <v/>
      </c>
      <c r="AD57" s="2">
        <f>IF(ISNUMBER(MATCH(Location!$C$4&amp;"|"&amp;$A57&amp;"|absorb",Market_Data!$K$5:$K$304,0)),"Market-City",IF(ISNUMBER(MATCH(Location!$C$5&amp;"|"&amp;$A57&amp;"|absorb",Market_Data!$K$5:$K$304,0)),"Market-County",IF(ISNUMBER(MATCH(Location!$C$6&amp;"|"&amp;$A57&amp;"|absorb",Market_Data!$K$5:$K$304,0)),"Market-State",IF(ISNUMBER(MATCH(Org_Profile!$C$4&amp;"|"&amp;$A57&amp;"|absorb",Org_Overrides!$H$5:$H$304,0)),"Org","Default"))))</f>
        <v/>
      </c>
      <c r="AE57" s="2">
        <f>IF(ISNUMBER(MATCH(Location!$C$4&amp;"|"&amp;$A57&amp;"|lotabs",Market_Data!$K$5:$K$304,0)),"Market-City",IF(ISNUMBER(MATCH(Location!$C$5&amp;"|"&amp;$A57&amp;"|lotabs",Market_Data!$K$5:$K$304,0)),"Market-County",IF(ISNUMBER(MATCH(Location!$C$6&amp;"|"&amp;$A57&amp;"|lotabs",Market_Data!$K$5:$K$304,0)),"Market-State",IF(ISNUMBER(MATCH(Org_Profile!$C$4&amp;"|"&amp;$A57&amp;"|lotabs",Org_Overrides!$H$5:$H$304,0)),"Org","Default"))))</f>
        <v/>
      </c>
      <c r="AF57" s="15">
        <f>15-COUNTIF(Q57:AE57,"Default*")</f>
        <v/>
      </c>
    </row>
    <row r="58">
      <c r="A58" s="4">
        <f>Use_Library!$A$58</f>
        <v/>
      </c>
      <c r="B58" s="20">
        <f>IFERROR((INDEX(Org_Overrides!$D$5:$D$304,MATCH(Org_Profile!$C$4&amp;"|"&amp;$A58&amp;"|vert",Org_Overrides!$H$5:$H$304,0))*Location!$C$9),IFERROR(INDEX(Market_Data!$D$5:$D$304,MATCH(Location!$C$4&amp;"|"&amp;$A58&amp;"|vert",Market_Data!$K$5:$K$304,0)),IFERROR(INDEX(Market_Data!$D$5:$D$304,MATCH(Location!$C$5&amp;"|"&amp;$A58&amp;"|vert",Market_Data!$K$5:$K$304,0)),IFERROR(INDEX(Market_Data!$D$5:$D$304,MATCH(Location!$C$6&amp;"|"&amp;$A58&amp;"|vert",Market_Data!$K$5:$K$304,0)),(Use_Library!$AF$58*Location!$C$9)))))</f>
        <v/>
      </c>
      <c r="C58" s="20">
        <f>IFERROR((INDEX(Org_Overrides!$D$5:$D$304,MATCH(Org_Profile!$C$4&amp;"|"&amp;$A58&amp;"|entitle",Org_Overrides!$H$5:$H$304,0))*Location!$C$9),IFERROR(INDEX(Market_Data!$D$5:$D$304,MATCH(Location!$C$4&amp;"|"&amp;$A58&amp;"|entitle",Market_Data!$K$5:$K$304,0)),IFERROR(INDEX(Market_Data!$D$5:$D$304,MATCH(Location!$C$5&amp;"|"&amp;$A58&amp;"|entitle",Market_Data!$K$5:$K$304,0)),IFERROR(INDEX(Market_Data!$D$5:$D$304,MATCH(Location!$C$6&amp;"|"&amp;$A58&amp;"|entitle",Market_Data!$K$5:$K$304,0)),(Use_Library!$AE$58*Location!$C$9)))))</f>
        <v/>
      </c>
      <c r="D58" s="20">
        <f>IFERROR((INDEX(Org_Overrides!$D$5:$D$304,MATCH(Org_Profile!$C$4&amp;"|"&amp;$A58&amp;"|tilc",Org_Overrides!$H$5:$H$304,0))*Location!$C$9),IFERROR(INDEX(Market_Data!$D$5:$D$304,MATCH(Location!$C$4&amp;"|"&amp;$A58&amp;"|tilc",Market_Data!$K$5:$K$304,0)),IFERROR(INDEX(Market_Data!$D$5:$D$304,MATCH(Location!$C$5&amp;"|"&amp;$A58&amp;"|tilc",Market_Data!$K$5:$K$304,0)),IFERROR(INDEX(Market_Data!$D$5:$D$304,MATCH(Location!$C$6&amp;"|"&amp;$A58&amp;"|tilc",Market_Data!$K$5:$K$304,0)),(Use_Library!$AG$58*Location!$C$9)))))</f>
        <v/>
      </c>
      <c r="E58" s="20">
        <f>IFERROR((INDEX(Org_Overrides!$D$5:$D$304,MATCH(Org_Profile!$C$4&amp;"|"&amp;$A58&amp;"|opex",Org_Overrides!$H$5:$H$304,0))*Location!$C$13),IFERROR(INDEX(Market_Data!$D$5:$D$304,MATCH(Location!$C$4&amp;"|"&amp;$A58&amp;"|opex",Market_Data!$K$5:$K$304,0)),IFERROR(INDEX(Market_Data!$D$5:$D$304,MATCH(Location!$C$5&amp;"|"&amp;$A58&amp;"|opex",Market_Data!$K$5:$K$304,0)),IFERROR(INDEX(Market_Data!$D$5:$D$304,MATCH(Location!$C$6&amp;"|"&amp;$A58&amp;"|opex",Market_Data!$K$5:$K$304,0)),(Use_Library!$AN$58*Location!$C$13)))))</f>
        <v/>
      </c>
      <c r="F58" s="9">
        <f>IFERROR(INDEX(Org_Overrides!$D$5:$D$304,MATCH(Org_Profile!$C$4&amp;"|"&amp;$A58&amp;"|devmo",Org_Overrides!$H$5:$H$304,0)),IFERROR(INDEX(Market_Data!$D$5:$D$304,MATCH(Location!$C$4&amp;"|"&amp;$A58&amp;"|devmo",Market_Data!$K$5:$K$304,0)),IFERROR(INDEX(Market_Data!$D$5:$D$304,MATCH(Location!$C$5&amp;"|"&amp;$A58&amp;"|devmo",Market_Data!$K$5:$K$304,0)),IFERROR(INDEX(Market_Data!$D$5:$D$304,MATCH(Location!$C$6&amp;"|"&amp;$A58&amp;"|devmo",Market_Data!$K$5:$K$304,0)),Use_Library!$AH$58))))</f>
        <v/>
      </c>
      <c r="G58" s="23">
        <f>IFERROR(INDEX(Org_Overrides!$D$5:$D$304,MATCH(Org_Profile!$C$4&amp;"|"&amp;$A58&amp;"|margin",Org_Overrides!$H$5:$H$304,0)),IF(INDEX(Org_Profile!$C$9:$C$12,MATCH(Use_Library!$C$58,Org_Profile!$B$9:$B$12,0))&lt;&gt;"",INDEX(Org_Profile!$C$9:$C$12,MATCH(Use_Library!$C$58,Org_Profile!$B$9:$B$12,0)),Use_Library!$AU$58))</f>
        <v/>
      </c>
      <c r="H58" s="20">
        <f>IFERROR(INDEX(Market_Data!$D$5:$D$304,MATCH(Location!$C$4&amp;"|"&amp;$A58&amp;"|lotprice",Market_Data!$K$5:$K$304,0)),IFERROR(INDEX(Market_Data!$D$5:$D$304,MATCH(Location!$C$5&amp;"|"&amp;$A58&amp;"|lotprice",Market_Data!$K$5:$K$304,0)),IFERROR(INDEX(Market_Data!$D$5:$D$304,MATCH(Location!$C$6&amp;"|"&amp;$A58&amp;"|lotprice",Market_Data!$K$5:$K$304,0)),IFERROR((INDEX(Org_Overrides!$D$5:$D$304,MATCH(Org_Profile!$C$4&amp;"|"&amp;$A58&amp;"|lotprice",Org_Overrides!$H$5:$H$304,0))*Location!$C$10),(Use_Library!$AI$58*Location!$C$10)))))</f>
        <v/>
      </c>
      <c r="I58" s="20">
        <f>IFERROR(INDEX(Market_Data!$D$5:$D$304,MATCH(Location!$C$4&amp;"|"&amp;$A58&amp;"|saleprice",Market_Data!$K$5:$K$304,0)),IFERROR(INDEX(Market_Data!$D$5:$D$304,MATCH(Location!$C$5&amp;"|"&amp;$A58&amp;"|saleprice",Market_Data!$K$5:$K$304,0)),IFERROR(INDEX(Market_Data!$D$5:$D$304,MATCH(Location!$C$6&amp;"|"&amp;$A58&amp;"|saleprice",Market_Data!$K$5:$K$304,0)),IFERROR((INDEX(Org_Overrides!$D$5:$D$304,MATCH(Org_Profile!$C$4&amp;"|"&amp;$A58&amp;"|saleprice",Org_Overrides!$H$5:$H$304,0))*Location!$C$10),(Use_Library!$AJ$58*Location!$C$10)))))</f>
        <v/>
      </c>
      <c r="J58" s="20">
        <f>IFERROR(INDEX(Market_Data!$D$5:$D$304,MATCH(Location!$C$4&amp;"|"&amp;$A58&amp;"|landac",Market_Data!$K$5:$K$304,0)),IFERROR(INDEX(Market_Data!$D$5:$D$304,MATCH(Location!$C$5&amp;"|"&amp;$A58&amp;"|landac",Market_Data!$K$5:$K$304,0)),IFERROR(INDEX(Market_Data!$D$5:$D$304,MATCH(Location!$C$6&amp;"|"&amp;$A58&amp;"|landac",Market_Data!$K$5:$K$304,0)),IFERROR((INDEX(Org_Overrides!$D$5:$D$304,MATCH(Org_Profile!$C$4&amp;"|"&amp;$A58&amp;"|landac",Org_Overrides!$H$5:$H$304,0))*Location!$C$10),(Use_Library!$AS$58*Location!$C$10)))))</f>
        <v/>
      </c>
      <c r="K58" s="20">
        <f>IFERROR(INDEX(Market_Data!$D$5:$D$304,MATCH(Location!$C$4&amp;"|"&amp;$A58&amp;"|rent",Market_Data!$K$5:$K$304,0)),IFERROR(INDEX(Market_Data!$D$5:$D$304,MATCH(Location!$C$5&amp;"|"&amp;$A58&amp;"|rent",Market_Data!$K$5:$K$304,0)),IFERROR(INDEX(Market_Data!$D$5:$D$304,MATCH(Location!$C$6&amp;"|"&amp;$A58&amp;"|rent",Market_Data!$K$5:$K$304,0)),IFERROR((INDEX(Org_Overrides!$D$5:$D$304,MATCH(Org_Profile!$C$4&amp;"|"&amp;$A58&amp;"|rent",Org_Overrides!$H$5:$H$304,0))*Location!$C$11),(Use_Library!$AK$58*Location!$C$11)))))</f>
        <v/>
      </c>
      <c r="L58" s="20">
        <f>IFERROR(INDEX(Market_Data!$D$5:$D$304,MATCH(Location!$C$4&amp;"|"&amp;$A58&amp;"|groundrent",Market_Data!$K$5:$K$304,0)),IFERROR(INDEX(Market_Data!$D$5:$D$304,MATCH(Location!$C$5&amp;"|"&amp;$A58&amp;"|groundrent",Market_Data!$K$5:$K$304,0)),IFERROR(INDEX(Market_Data!$D$5:$D$304,MATCH(Location!$C$6&amp;"|"&amp;$A58&amp;"|groundrent",Market_Data!$K$5:$K$304,0)),IFERROR((INDEX(Org_Overrides!$D$5:$D$304,MATCH(Org_Profile!$C$4&amp;"|"&amp;$A58&amp;"|groundrent",Org_Overrides!$H$5:$H$304,0))*Location!$C$11),(Use_Library!$AT$58*Location!$C$11)))))</f>
        <v/>
      </c>
      <c r="M58" s="23">
        <f>IFERROR(INDEX(Market_Data!$D$5:$D$304,MATCH(Location!$C$4&amp;"|"&amp;$A58&amp;"|cap",Market_Data!$K$5:$K$304,0)),IFERROR(INDEX(Market_Data!$D$5:$D$304,MATCH(Location!$C$5&amp;"|"&amp;$A58&amp;"|cap",Market_Data!$K$5:$K$304,0)),IFERROR(INDEX(Market_Data!$D$5:$D$304,MATCH(Location!$C$6&amp;"|"&amp;$A58&amp;"|cap",Market_Data!$K$5:$K$304,0)),IFERROR((INDEX(Org_Overrides!$D$5:$D$304,MATCH(Org_Profile!$C$4&amp;"|"&amp;$A58&amp;"|cap",Org_Overrides!$H$5:$H$304,0))+Location!$C$12),(Use_Library!$AR$58+Location!$C$12)))))</f>
        <v/>
      </c>
      <c r="N58" s="23">
        <f>IFERROR(INDEX(Market_Data!$D$5:$D$304,MATCH(Location!$C$4&amp;"|"&amp;$A58&amp;"|vac",Market_Data!$K$5:$K$304,0)),IFERROR(INDEX(Market_Data!$D$5:$D$304,MATCH(Location!$C$5&amp;"|"&amp;$A58&amp;"|vac",Market_Data!$K$5:$K$304,0)),IFERROR(INDEX(Market_Data!$D$5:$D$304,MATCH(Location!$C$6&amp;"|"&amp;$A58&amp;"|vac",Market_Data!$K$5:$K$304,0)),IFERROR(INDEX(Org_Overrides!$D$5:$D$304,MATCH(Org_Profile!$C$4&amp;"|"&amp;$A58&amp;"|vac",Org_Overrides!$H$5:$H$304,0)),Use_Library!$AM$58))))</f>
        <v/>
      </c>
      <c r="O58" s="24">
        <f>IFERROR(INDEX(Market_Data!$D$5:$D$304,MATCH(Location!$C$4&amp;"|"&amp;$A58&amp;"|absorb",Market_Data!$K$5:$K$304,0)),IFERROR(INDEX(Market_Data!$D$5:$D$304,MATCH(Location!$C$5&amp;"|"&amp;$A58&amp;"|absorb",Market_Data!$K$5:$K$304,0)),IFERROR(INDEX(Market_Data!$D$5:$D$304,MATCH(Location!$C$6&amp;"|"&amp;$A58&amp;"|absorb",Market_Data!$K$5:$K$304,0)),IFERROR(INDEX(Org_Overrides!$D$5:$D$304,MATCH(Org_Profile!$C$4&amp;"|"&amp;$A58&amp;"|absorb",Org_Overrides!$H$5:$H$304,0)),Use_Library!$R$58))))</f>
        <v/>
      </c>
      <c r="P58" s="24">
        <f>IFERROR(INDEX(Market_Data!$D$5:$D$304,MATCH(Location!$C$4&amp;"|"&amp;$A58&amp;"|lotabs",Market_Data!$K$5:$K$304,0)),IFERROR(INDEX(Market_Data!$D$5:$D$304,MATCH(Location!$C$5&amp;"|"&amp;$A58&amp;"|lotabs",Market_Data!$K$5:$K$304,0)),IFERROR(INDEX(Market_Data!$D$5:$D$304,MATCH(Location!$C$6&amp;"|"&amp;$A58&amp;"|lotabs",Market_Data!$K$5:$K$304,0)),IFERROR(INDEX(Org_Overrides!$D$5:$D$304,MATCH(Org_Profile!$C$4&amp;"|"&amp;$A58&amp;"|lotabs",Org_Overrides!$H$5:$H$304,0)),Use_Library!$S$58))))</f>
        <v/>
      </c>
      <c r="Q58" s="2">
        <f>IF(ISNUMBER(MATCH(Org_Profile!$C$4&amp;"|"&amp;$A58&amp;"|vert",Org_Overrides!$H$5:$H$304,0)),"Org",IF(ISNUMBER(MATCH(Location!$C$4&amp;"|"&amp;$A58&amp;"|vert",Market_Data!$K$5:$K$304,0)),"Market-City",IF(ISNUMBER(MATCH(Location!$C$5&amp;"|"&amp;$A58&amp;"|vert",Market_Data!$K$5:$K$304,0)),"Market-County",IF(ISNUMBER(MATCH(Location!$C$6&amp;"|"&amp;$A58&amp;"|vert",Market_Data!$K$5:$K$304,0)),"Market-State","Default x index"))))</f>
        <v/>
      </c>
      <c r="R58" s="2">
        <f>IF(ISNUMBER(MATCH(Org_Profile!$C$4&amp;"|"&amp;$A58&amp;"|entitle",Org_Overrides!$H$5:$H$304,0)),"Org",IF(ISNUMBER(MATCH(Location!$C$4&amp;"|"&amp;$A58&amp;"|entitle",Market_Data!$K$5:$K$304,0)),"Market-City",IF(ISNUMBER(MATCH(Location!$C$5&amp;"|"&amp;$A58&amp;"|entitle",Market_Data!$K$5:$K$304,0)),"Market-County",IF(ISNUMBER(MATCH(Location!$C$6&amp;"|"&amp;$A58&amp;"|entitle",Market_Data!$K$5:$K$304,0)),"Market-State","Default x index"))))</f>
        <v/>
      </c>
      <c r="S58" s="2">
        <f>IF(ISNUMBER(MATCH(Org_Profile!$C$4&amp;"|"&amp;$A58&amp;"|tilc",Org_Overrides!$H$5:$H$304,0)),"Org",IF(ISNUMBER(MATCH(Location!$C$4&amp;"|"&amp;$A58&amp;"|tilc",Market_Data!$K$5:$K$304,0)),"Market-City",IF(ISNUMBER(MATCH(Location!$C$5&amp;"|"&amp;$A58&amp;"|tilc",Market_Data!$K$5:$K$304,0)),"Market-County",IF(ISNUMBER(MATCH(Location!$C$6&amp;"|"&amp;$A58&amp;"|tilc",Market_Data!$K$5:$K$304,0)),"Market-State","Default x index"))))</f>
        <v/>
      </c>
      <c r="T58" s="2">
        <f>IF(ISNUMBER(MATCH(Org_Profile!$C$4&amp;"|"&amp;$A58&amp;"|opex",Org_Overrides!$H$5:$H$304,0)),"Org",IF(ISNUMBER(MATCH(Location!$C$4&amp;"|"&amp;$A58&amp;"|opex",Market_Data!$K$5:$K$304,0)),"Market-City",IF(ISNUMBER(MATCH(Location!$C$5&amp;"|"&amp;$A58&amp;"|opex",Market_Data!$K$5:$K$304,0)),"Market-County",IF(ISNUMBER(MATCH(Location!$C$6&amp;"|"&amp;$A58&amp;"|opex",Market_Data!$K$5:$K$304,0)),"Market-State","Default x index"))))</f>
        <v/>
      </c>
      <c r="U58" s="2">
        <f>IF(ISNUMBER(MATCH(Org_Profile!$C$4&amp;"|"&amp;$A58&amp;"|devmo",Org_Overrides!$H$5:$H$304,0)),"Org",IF(ISNUMBER(MATCH(Location!$C$4&amp;"|"&amp;$A58&amp;"|devmo",Market_Data!$K$5:$K$304,0)),"Market-City",IF(ISNUMBER(MATCH(Location!$C$5&amp;"|"&amp;$A58&amp;"|devmo",Market_Data!$K$5:$K$304,0)),"Market-County",IF(ISNUMBER(MATCH(Location!$C$6&amp;"|"&amp;$A58&amp;"|devmo",Market_Data!$K$5:$K$304,0)),"Market-State","Default"))))</f>
        <v/>
      </c>
      <c r="V58" s="2">
        <f>IF(ISNUMBER(MATCH(Org_Profile!$C$4&amp;"|"&amp;$A58&amp;"|margin",Org_Overrides!$H$5:$H$304,0)),"Org",IF(INDEX(Org_Profile!$C$9:$C$12,MATCH(Use_Library!$C$58,Org_Profile!$B$9:$B$12,0))&lt;&gt;"","Org engine margin","Default"))</f>
        <v/>
      </c>
      <c r="W58" s="2">
        <f>IF(ISNUMBER(MATCH(Location!$C$4&amp;"|"&amp;$A58&amp;"|lotprice",Market_Data!$K$5:$K$304,0)),"Market-City",IF(ISNUMBER(MATCH(Location!$C$5&amp;"|"&amp;$A58&amp;"|lotprice",Market_Data!$K$5:$K$304,0)),"Market-County",IF(ISNUMBER(MATCH(Location!$C$6&amp;"|"&amp;$A58&amp;"|lotprice",Market_Data!$K$5:$K$304,0)),"Market-State",IF(ISNUMBER(MATCH(Org_Profile!$C$4&amp;"|"&amp;$A58&amp;"|lotprice",Org_Overrides!$H$5:$H$304,0)),"Org","Default x index"))))</f>
        <v/>
      </c>
      <c r="X58" s="2">
        <f>IF(ISNUMBER(MATCH(Location!$C$4&amp;"|"&amp;$A58&amp;"|saleprice",Market_Data!$K$5:$K$304,0)),"Market-City",IF(ISNUMBER(MATCH(Location!$C$5&amp;"|"&amp;$A58&amp;"|saleprice",Market_Data!$K$5:$K$304,0)),"Market-County",IF(ISNUMBER(MATCH(Location!$C$6&amp;"|"&amp;$A58&amp;"|saleprice",Market_Data!$K$5:$K$304,0)),"Market-State",IF(ISNUMBER(MATCH(Org_Profile!$C$4&amp;"|"&amp;$A58&amp;"|saleprice",Org_Overrides!$H$5:$H$304,0)),"Org","Default x index"))))</f>
        <v/>
      </c>
      <c r="Y58" s="2">
        <f>IF(ISNUMBER(MATCH(Location!$C$4&amp;"|"&amp;$A58&amp;"|landac",Market_Data!$K$5:$K$304,0)),"Market-City",IF(ISNUMBER(MATCH(Location!$C$5&amp;"|"&amp;$A58&amp;"|landac",Market_Data!$K$5:$K$304,0)),"Market-County",IF(ISNUMBER(MATCH(Location!$C$6&amp;"|"&amp;$A58&amp;"|landac",Market_Data!$K$5:$K$304,0)),"Market-State",IF(ISNUMBER(MATCH(Org_Profile!$C$4&amp;"|"&amp;$A58&amp;"|landac",Org_Overrides!$H$5:$H$304,0)),"Org","Default x index"))))</f>
        <v/>
      </c>
      <c r="Z58" s="2">
        <f>IF(ISNUMBER(MATCH(Location!$C$4&amp;"|"&amp;$A58&amp;"|rent",Market_Data!$K$5:$K$304,0)),"Market-City",IF(ISNUMBER(MATCH(Location!$C$5&amp;"|"&amp;$A58&amp;"|rent",Market_Data!$K$5:$K$304,0)),"Market-County",IF(ISNUMBER(MATCH(Location!$C$6&amp;"|"&amp;$A58&amp;"|rent",Market_Data!$K$5:$K$304,0)),"Market-State",IF(ISNUMBER(MATCH(Org_Profile!$C$4&amp;"|"&amp;$A58&amp;"|rent",Org_Overrides!$H$5:$H$304,0)),"Org","Default x index"))))</f>
        <v/>
      </c>
      <c r="AA58" s="2">
        <f>IF(ISNUMBER(MATCH(Location!$C$4&amp;"|"&amp;$A58&amp;"|groundrent",Market_Data!$K$5:$K$304,0)),"Market-City",IF(ISNUMBER(MATCH(Location!$C$5&amp;"|"&amp;$A58&amp;"|groundrent",Market_Data!$K$5:$K$304,0)),"Market-County",IF(ISNUMBER(MATCH(Location!$C$6&amp;"|"&amp;$A58&amp;"|groundrent",Market_Data!$K$5:$K$304,0)),"Market-State",IF(ISNUMBER(MATCH(Org_Profile!$C$4&amp;"|"&amp;$A58&amp;"|groundrent",Org_Overrides!$H$5:$H$304,0)),"Org","Default x index"))))</f>
        <v/>
      </c>
      <c r="AB58" s="2">
        <f>IF(ISNUMBER(MATCH(Location!$C$4&amp;"|"&amp;$A58&amp;"|cap",Market_Data!$K$5:$K$304,0)),"Market-City",IF(ISNUMBER(MATCH(Location!$C$5&amp;"|"&amp;$A58&amp;"|cap",Market_Data!$K$5:$K$304,0)),"Market-County",IF(ISNUMBER(MATCH(Location!$C$6&amp;"|"&amp;$A58&amp;"|cap",Market_Data!$K$5:$K$304,0)),"Market-State",IF(ISNUMBER(MATCH(Org_Profile!$C$4&amp;"|"&amp;$A58&amp;"|cap",Org_Overrides!$H$5:$H$304,0)),"Org","Default x index"))))</f>
        <v/>
      </c>
      <c r="AC58" s="2">
        <f>IF(ISNUMBER(MATCH(Location!$C$4&amp;"|"&amp;$A58&amp;"|vac",Market_Data!$K$5:$K$304,0)),"Market-City",IF(ISNUMBER(MATCH(Location!$C$5&amp;"|"&amp;$A58&amp;"|vac",Market_Data!$K$5:$K$304,0)),"Market-County",IF(ISNUMBER(MATCH(Location!$C$6&amp;"|"&amp;$A58&amp;"|vac",Market_Data!$K$5:$K$304,0)),"Market-State",IF(ISNUMBER(MATCH(Org_Profile!$C$4&amp;"|"&amp;$A58&amp;"|vac",Org_Overrides!$H$5:$H$304,0)),"Org","Default"))))</f>
        <v/>
      </c>
      <c r="AD58" s="2">
        <f>IF(ISNUMBER(MATCH(Location!$C$4&amp;"|"&amp;$A58&amp;"|absorb",Market_Data!$K$5:$K$304,0)),"Market-City",IF(ISNUMBER(MATCH(Location!$C$5&amp;"|"&amp;$A58&amp;"|absorb",Market_Data!$K$5:$K$304,0)),"Market-County",IF(ISNUMBER(MATCH(Location!$C$6&amp;"|"&amp;$A58&amp;"|absorb",Market_Data!$K$5:$K$304,0)),"Market-State",IF(ISNUMBER(MATCH(Org_Profile!$C$4&amp;"|"&amp;$A58&amp;"|absorb",Org_Overrides!$H$5:$H$304,0)),"Org","Default"))))</f>
        <v/>
      </c>
      <c r="AE58" s="2">
        <f>IF(ISNUMBER(MATCH(Location!$C$4&amp;"|"&amp;$A58&amp;"|lotabs",Market_Data!$K$5:$K$304,0)),"Market-City",IF(ISNUMBER(MATCH(Location!$C$5&amp;"|"&amp;$A58&amp;"|lotabs",Market_Data!$K$5:$K$304,0)),"Market-County",IF(ISNUMBER(MATCH(Location!$C$6&amp;"|"&amp;$A58&amp;"|lotabs",Market_Data!$K$5:$K$304,0)),"Market-State",IF(ISNUMBER(MATCH(Org_Profile!$C$4&amp;"|"&amp;$A58&amp;"|lotabs",Org_Overrides!$H$5:$H$304,0)),"Org","Default"))))</f>
        <v/>
      </c>
      <c r="AF58" s="15">
        <f>15-COUNTIF(Q58:AE58,"Default*")</f>
        <v/>
      </c>
    </row>
    <row r="59">
      <c r="A59" s="4">
        <f>Use_Library!$A$59</f>
        <v/>
      </c>
      <c r="B59" s="20">
        <f>IFERROR((INDEX(Org_Overrides!$D$5:$D$304,MATCH(Org_Profile!$C$4&amp;"|"&amp;$A59&amp;"|vert",Org_Overrides!$H$5:$H$304,0))*Location!$C$9),IFERROR(INDEX(Market_Data!$D$5:$D$304,MATCH(Location!$C$4&amp;"|"&amp;$A59&amp;"|vert",Market_Data!$K$5:$K$304,0)),IFERROR(INDEX(Market_Data!$D$5:$D$304,MATCH(Location!$C$5&amp;"|"&amp;$A59&amp;"|vert",Market_Data!$K$5:$K$304,0)),IFERROR(INDEX(Market_Data!$D$5:$D$304,MATCH(Location!$C$6&amp;"|"&amp;$A59&amp;"|vert",Market_Data!$K$5:$K$304,0)),(Use_Library!$AF$59*Location!$C$9)))))</f>
        <v/>
      </c>
      <c r="C59" s="20">
        <f>IFERROR((INDEX(Org_Overrides!$D$5:$D$304,MATCH(Org_Profile!$C$4&amp;"|"&amp;$A59&amp;"|entitle",Org_Overrides!$H$5:$H$304,0))*Location!$C$9),IFERROR(INDEX(Market_Data!$D$5:$D$304,MATCH(Location!$C$4&amp;"|"&amp;$A59&amp;"|entitle",Market_Data!$K$5:$K$304,0)),IFERROR(INDEX(Market_Data!$D$5:$D$304,MATCH(Location!$C$5&amp;"|"&amp;$A59&amp;"|entitle",Market_Data!$K$5:$K$304,0)),IFERROR(INDEX(Market_Data!$D$5:$D$304,MATCH(Location!$C$6&amp;"|"&amp;$A59&amp;"|entitle",Market_Data!$K$5:$K$304,0)),(Use_Library!$AE$59*Location!$C$9)))))</f>
        <v/>
      </c>
      <c r="D59" s="20">
        <f>IFERROR((INDEX(Org_Overrides!$D$5:$D$304,MATCH(Org_Profile!$C$4&amp;"|"&amp;$A59&amp;"|tilc",Org_Overrides!$H$5:$H$304,0))*Location!$C$9),IFERROR(INDEX(Market_Data!$D$5:$D$304,MATCH(Location!$C$4&amp;"|"&amp;$A59&amp;"|tilc",Market_Data!$K$5:$K$304,0)),IFERROR(INDEX(Market_Data!$D$5:$D$304,MATCH(Location!$C$5&amp;"|"&amp;$A59&amp;"|tilc",Market_Data!$K$5:$K$304,0)),IFERROR(INDEX(Market_Data!$D$5:$D$304,MATCH(Location!$C$6&amp;"|"&amp;$A59&amp;"|tilc",Market_Data!$K$5:$K$304,0)),(Use_Library!$AG$59*Location!$C$9)))))</f>
        <v/>
      </c>
      <c r="E59" s="20">
        <f>IFERROR((INDEX(Org_Overrides!$D$5:$D$304,MATCH(Org_Profile!$C$4&amp;"|"&amp;$A59&amp;"|opex",Org_Overrides!$H$5:$H$304,0))*Location!$C$13),IFERROR(INDEX(Market_Data!$D$5:$D$304,MATCH(Location!$C$4&amp;"|"&amp;$A59&amp;"|opex",Market_Data!$K$5:$K$304,0)),IFERROR(INDEX(Market_Data!$D$5:$D$304,MATCH(Location!$C$5&amp;"|"&amp;$A59&amp;"|opex",Market_Data!$K$5:$K$304,0)),IFERROR(INDEX(Market_Data!$D$5:$D$304,MATCH(Location!$C$6&amp;"|"&amp;$A59&amp;"|opex",Market_Data!$K$5:$K$304,0)),(Use_Library!$AN$59*Location!$C$13)))))</f>
        <v/>
      </c>
      <c r="F59" s="9">
        <f>IFERROR(INDEX(Org_Overrides!$D$5:$D$304,MATCH(Org_Profile!$C$4&amp;"|"&amp;$A59&amp;"|devmo",Org_Overrides!$H$5:$H$304,0)),IFERROR(INDEX(Market_Data!$D$5:$D$304,MATCH(Location!$C$4&amp;"|"&amp;$A59&amp;"|devmo",Market_Data!$K$5:$K$304,0)),IFERROR(INDEX(Market_Data!$D$5:$D$304,MATCH(Location!$C$5&amp;"|"&amp;$A59&amp;"|devmo",Market_Data!$K$5:$K$304,0)),IFERROR(INDEX(Market_Data!$D$5:$D$304,MATCH(Location!$C$6&amp;"|"&amp;$A59&amp;"|devmo",Market_Data!$K$5:$K$304,0)),Use_Library!$AH$59))))</f>
        <v/>
      </c>
      <c r="G59" s="23">
        <f>IFERROR(INDEX(Org_Overrides!$D$5:$D$304,MATCH(Org_Profile!$C$4&amp;"|"&amp;$A59&amp;"|margin",Org_Overrides!$H$5:$H$304,0)),IF(INDEX(Org_Profile!$C$9:$C$12,MATCH(Use_Library!$C$59,Org_Profile!$B$9:$B$12,0))&lt;&gt;"",INDEX(Org_Profile!$C$9:$C$12,MATCH(Use_Library!$C$59,Org_Profile!$B$9:$B$12,0)),Use_Library!$AU$59))</f>
        <v/>
      </c>
      <c r="H59" s="20">
        <f>IFERROR(INDEX(Market_Data!$D$5:$D$304,MATCH(Location!$C$4&amp;"|"&amp;$A59&amp;"|lotprice",Market_Data!$K$5:$K$304,0)),IFERROR(INDEX(Market_Data!$D$5:$D$304,MATCH(Location!$C$5&amp;"|"&amp;$A59&amp;"|lotprice",Market_Data!$K$5:$K$304,0)),IFERROR(INDEX(Market_Data!$D$5:$D$304,MATCH(Location!$C$6&amp;"|"&amp;$A59&amp;"|lotprice",Market_Data!$K$5:$K$304,0)),IFERROR((INDEX(Org_Overrides!$D$5:$D$304,MATCH(Org_Profile!$C$4&amp;"|"&amp;$A59&amp;"|lotprice",Org_Overrides!$H$5:$H$304,0))*Location!$C$10),(Use_Library!$AI$59*Location!$C$10)))))</f>
        <v/>
      </c>
      <c r="I59" s="20">
        <f>IFERROR(INDEX(Market_Data!$D$5:$D$304,MATCH(Location!$C$4&amp;"|"&amp;$A59&amp;"|saleprice",Market_Data!$K$5:$K$304,0)),IFERROR(INDEX(Market_Data!$D$5:$D$304,MATCH(Location!$C$5&amp;"|"&amp;$A59&amp;"|saleprice",Market_Data!$K$5:$K$304,0)),IFERROR(INDEX(Market_Data!$D$5:$D$304,MATCH(Location!$C$6&amp;"|"&amp;$A59&amp;"|saleprice",Market_Data!$K$5:$K$304,0)),IFERROR((INDEX(Org_Overrides!$D$5:$D$304,MATCH(Org_Profile!$C$4&amp;"|"&amp;$A59&amp;"|saleprice",Org_Overrides!$H$5:$H$304,0))*Location!$C$10),(Use_Library!$AJ$59*Location!$C$10)))))</f>
        <v/>
      </c>
      <c r="J59" s="20">
        <f>IFERROR(INDEX(Market_Data!$D$5:$D$304,MATCH(Location!$C$4&amp;"|"&amp;$A59&amp;"|landac",Market_Data!$K$5:$K$304,0)),IFERROR(INDEX(Market_Data!$D$5:$D$304,MATCH(Location!$C$5&amp;"|"&amp;$A59&amp;"|landac",Market_Data!$K$5:$K$304,0)),IFERROR(INDEX(Market_Data!$D$5:$D$304,MATCH(Location!$C$6&amp;"|"&amp;$A59&amp;"|landac",Market_Data!$K$5:$K$304,0)),IFERROR((INDEX(Org_Overrides!$D$5:$D$304,MATCH(Org_Profile!$C$4&amp;"|"&amp;$A59&amp;"|landac",Org_Overrides!$H$5:$H$304,0))*Location!$C$10),(Use_Library!$AS$59*Location!$C$10)))))</f>
        <v/>
      </c>
      <c r="K59" s="20">
        <f>IFERROR(INDEX(Market_Data!$D$5:$D$304,MATCH(Location!$C$4&amp;"|"&amp;$A59&amp;"|rent",Market_Data!$K$5:$K$304,0)),IFERROR(INDEX(Market_Data!$D$5:$D$304,MATCH(Location!$C$5&amp;"|"&amp;$A59&amp;"|rent",Market_Data!$K$5:$K$304,0)),IFERROR(INDEX(Market_Data!$D$5:$D$304,MATCH(Location!$C$6&amp;"|"&amp;$A59&amp;"|rent",Market_Data!$K$5:$K$304,0)),IFERROR((INDEX(Org_Overrides!$D$5:$D$304,MATCH(Org_Profile!$C$4&amp;"|"&amp;$A59&amp;"|rent",Org_Overrides!$H$5:$H$304,0))*Location!$C$11),(Use_Library!$AK$59*Location!$C$11)))))</f>
        <v/>
      </c>
      <c r="L59" s="20">
        <f>IFERROR(INDEX(Market_Data!$D$5:$D$304,MATCH(Location!$C$4&amp;"|"&amp;$A59&amp;"|groundrent",Market_Data!$K$5:$K$304,0)),IFERROR(INDEX(Market_Data!$D$5:$D$304,MATCH(Location!$C$5&amp;"|"&amp;$A59&amp;"|groundrent",Market_Data!$K$5:$K$304,0)),IFERROR(INDEX(Market_Data!$D$5:$D$304,MATCH(Location!$C$6&amp;"|"&amp;$A59&amp;"|groundrent",Market_Data!$K$5:$K$304,0)),IFERROR((INDEX(Org_Overrides!$D$5:$D$304,MATCH(Org_Profile!$C$4&amp;"|"&amp;$A59&amp;"|groundrent",Org_Overrides!$H$5:$H$304,0))*Location!$C$11),(Use_Library!$AT$59*Location!$C$11)))))</f>
        <v/>
      </c>
      <c r="M59" s="23">
        <f>IFERROR(INDEX(Market_Data!$D$5:$D$304,MATCH(Location!$C$4&amp;"|"&amp;$A59&amp;"|cap",Market_Data!$K$5:$K$304,0)),IFERROR(INDEX(Market_Data!$D$5:$D$304,MATCH(Location!$C$5&amp;"|"&amp;$A59&amp;"|cap",Market_Data!$K$5:$K$304,0)),IFERROR(INDEX(Market_Data!$D$5:$D$304,MATCH(Location!$C$6&amp;"|"&amp;$A59&amp;"|cap",Market_Data!$K$5:$K$304,0)),IFERROR((INDEX(Org_Overrides!$D$5:$D$304,MATCH(Org_Profile!$C$4&amp;"|"&amp;$A59&amp;"|cap",Org_Overrides!$H$5:$H$304,0))+Location!$C$12),(Use_Library!$AR$59+Location!$C$12)))))</f>
        <v/>
      </c>
      <c r="N59" s="23">
        <f>IFERROR(INDEX(Market_Data!$D$5:$D$304,MATCH(Location!$C$4&amp;"|"&amp;$A59&amp;"|vac",Market_Data!$K$5:$K$304,0)),IFERROR(INDEX(Market_Data!$D$5:$D$304,MATCH(Location!$C$5&amp;"|"&amp;$A59&amp;"|vac",Market_Data!$K$5:$K$304,0)),IFERROR(INDEX(Market_Data!$D$5:$D$304,MATCH(Location!$C$6&amp;"|"&amp;$A59&amp;"|vac",Market_Data!$K$5:$K$304,0)),IFERROR(INDEX(Org_Overrides!$D$5:$D$304,MATCH(Org_Profile!$C$4&amp;"|"&amp;$A59&amp;"|vac",Org_Overrides!$H$5:$H$304,0)),Use_Library!$AM$59))))</f>
        <v/>
      </c>
      <c r="O59" s="24">
        <f>IFERROR(INDEX(Market_Data!$D$5:$D$304,MATCH(Location!$C$4&amp;"|"&amp;$A59&amp;"|absorb",Market_Data!$K$5:$K$304,0)),IFERROR(INDEX(Market_Data!$D$5:$D$304,MATCH(Location!$C$5&amp;"|"&amp;$A59&amp;"|absorb",Market_Data!$K$5:$K$304,0)),IFERROR(INDEX(Market_Data!$D$5:$D$304,MATCH(Location!$C$6&amp;"|"&amp;$A59&amp;"|absorb",Market_Data!$K$5:$K$304,0)),IFERROR(INDEX(Org_Overrides!$D$5:$D$304,MATCH(Org_Profile!$C$4&amp;"|"&amp;$A59&amp;"|absorb",Org_Overrides!$H$5:$H$304,0)),Use_Library!$R$59))))</f>
        <v/>
      </c>
      <c r="P59" s="24">
        <f>IFERROR(INDEX(Market_Data!$D$5:$D$304,MATCH(Location!$C$4&amp;"|"&amp;$A59&amp;"|lotabs",Market_Data!$K$5:$K$304,0)),IFERROR(INDEX(Market_Data!$D$5:$D$304,MATCH(Location!$C$5&amp;"|"&amp;$A59&amp;"|lotabs",Market_Data!$K$5:$K$304,0)),IFERROR(INDEX(Market_Data!$D$5:$D$304,MATCH(Location!$C$6&amp;"|"&amp;$A59&amp;"|lotabs",Market_Data!$K$5:$K$304,0)),IFERROR(INDEX(Org_Overrides!$D$5:$D$304,MATCH(Org_Profile!$C$4&amp;"|"&amp;$A59&amp;"|lotabs",Org_Overrides!$H$5:$H$304,0)),Use_Library!$S$59))))</f>
        <v/>
      </c>
      <c r="Q59" s="2">
        <f>IF(ISNUMBER(MATCH(Org_Profile!$C$4&amp;"|"&amp;$A59&amp;"|vert",Org_Overrides!$H$5:$H$304,0)),"Org",IF(ISNUMBER(MATCH(Location!$C$4&amp;"|"&amp;$A59&amp;"|vert",Market_Data!$K$5:$K$304,0)),"Market-City",IF(ISNUMBER(MATCH(Location!$C$5&amp;"|"&amp;$A59&amp;"|vert",Market_Data!$K$5:$K$304,0)),"Market-County",IF(ISNUMBER(MATCH(Location!$C$6&amp;"|"&amp;$A59&amp;"|vert",Market_Data!$K$5:$K$304,0)),"Market-State","Default x index"))))</f>
        <v/>
      </c>
      <c r="R59" s="2">
        <f>IF(ISNUMBER(MATCH(Org_Profile!$C$4&amp;"|"&amp;$A59&amp;"|entitle",Org_Overrides!$H$5:$H$304,0)),"Org",IF(ISNUMBER(MATCH(Location!$C$4&amp;"|"&amp;$A59&amp;"|entitle",Market_Data!$K$5:$K$304,0)),"Market-City",IF(ISNUMBER(MATCH(Location!$C$5&amp;"|"&amp;$A59&amp;"|entitle",Market_Data!$K$5:$K$304,0)),"Market-County",IF(ISNUMBER(MATCH(Location!$C$6&amp;"|"&amp;$A59&amp;"|entitle",Market_Data!$K$5:$K$304,0)),"Market-State","Default x index"))))</f>
        <v/>
      </c>
      <c r="S59" s="2">
        <f>IF(ISNUMBER(MATCH(Org_Profile!$C$4&amp;"|"&amp;$A59&amp;"|tilc",Org_Overrides!$H$5:$H$304,0)),"Org",IF(ISNUMBER(MATCH(Location!$C$4&amp;"|"&amp;$A59&amp;"|tilc",Market_Data!$K$5:$K$304,0)),"Market-City",IF(ISNUMBER(MATCH(Location!$C$5&amp;"|"&amp;$A59&amp;"|tilc",Market_Data!$K$5:$K$304,0)),"Market-County",IF(ISNUMBER(MATCH(Location!$C$6&amp;"|"&amp;$A59&amp;"|tilc",Market_Data!$K$5:$K$304,0)),"Market-State","Default x index"))))</f>
        <v/>
      </c>
      <c r="T59" s="2">
        <f>IF(ISNUMBER(MATCH(Org_Profile!$C$4&amp;"|"&amp;$A59&amp;"|opex",Org_Overrides!$H$5:$H$304,0)),"Org",IF(ISNUMBER(MATCH(Location!$C$4&amp;"|"&amp;$A59&amp;"|opex",Market_Data!$K$5:$K$304,0)),"Market-City",IF(ISNUMBER(MATCH(Location!$C$5&amp;"|"&amp;$A59&amp;"|opex",Market_Data!$K$5:$K$304,0)),"Market-County",IF(ISNUMBER(MATCH(Location!$C$6&amp;"|"&amp;$A59&amp;"|opex",Market_Data!$K$5:$K$304,0)),"Market-State","Default x index"))))</f>
        <v/>
      </c>
      <c r="U59" s="2">
        <f>IF(ISNUMBER(MATCH(Org_Profile!$C$4&amp;"|"&amp;$A59&amp;"|devmo",Org_Overrides!$H$5:$H$304,0)),"Org",IF(ISNUMBER(MATCH(Location!$C$4&amp;"|"&amp;$A59&amp;"|devmo",Market_Data!$K$5:$K$304,0)),"Market-City",IF(ISNUMBER(MATCH(Location!$C$5&amp;"|"&amp;$A59&amp;"|devmo",Market_Data!$K$5:$K$304,0)),"Market-County",IF(ISNUMBER(MATCH(Location!$C$6&amp;"|"&amp;$A59&amp;"|devmo",Market_Data!$K$5:$K$304,0)),"Market-State","Default"))))</f>
        <v/>
      </c>
      <c r="V59" s="2">
        <f>IF(ISNUMBER(MATCH(Org_Profile!$C$4&amp;"|"&amp;$A59&amp;"|margin",Org_Overrides!$H$5:$H$304,0)),"Org",IF(INDEX(Org_Profile!$C$9:$C$12,MATCH(Use_Library!$C$59,Org_Profile!$B$9:$B$12,0))&lt;&gt;"","Org engine margin","Default"))</f>
        <v/>
      </c>
      <c r="W59" s="2">
        <f>IF(ISNUMBER(MATCH(Location!$C$4&amp;"|"&amp;$A59&amp;"|lotprice",Market_Data!$K$5:$K$304,0)),"Market-City",IF(ISNUMBER(MATCH(Location!$C$5&amp;"|"&amp;$A59&amp;"|lotprice",Market_Data!$K$5:$K$304,0)),"Market-County",IF(ISNUMBER(MATCH(Location!$C$6&amp;"|"&amp;$A59&amp;"|lotprice",Market_Data!$K$5:$K$304,0)),"Market-State",IF(ISNUMBER(MATCH(Org_Profile!$C$4&amp;"|"&amp;$A59&amp;"|lotprice",Org_Overrides!$H$5:$H$304,0)),"Org","Default x index"))))</f>
        <v/>
      </c>
      <c r="X59" s="2">
        <f>IF(ISNUMBER(MATCH(Location!$C$4&amp;"|"&amp;$A59&amp;"|saleprice",Market_Data!$K$5:$K$304,0)),"Market-City",IF(ISNUMBER(MATCH(Location!$C$5&amp;"|"&amp;$A59&amp;"|saleprice",Market_Data!$K$5:$K$304,0)),"Market-County",IF(ISNUMBER(MATCH(Location!$C$6&amp;"|"&amp;$A59&amp;"|saleprice",Market_Data!$K$5:$K$304,0)),"Market-State",IF(ISNUMBER(MATCH(Org_Profile!$C$4&amp;"|"&amp;$A59&amp;"|saleprice",Org_Overrides!$H$5:$H$304,0)),"Org","Default x index"))))</f>
        <v/>
      </c>
      <c r="Y59" s="2">
        <f>IF(ISNUMBER(MATCH(Location!$C$4&amp;"|"&amp;$A59&amp;"|landac",Market_Data!$K$5:$K$304,0)),"Market-City",IF(ISNUMBER(MATCH(Location!$C$5&amp;"|"&amp;$A59&amp;"|landac",Market_Data!$K$5:$K$304,0)),"Market-County",IF(ISNUMBER(MATCH(Location!$C$6&amp;"|"&amp;$A59&amp;"|landac",Market_Data!$K$5:$K$304,0)),"Market-State",IF(ISNUMBER(MATCH(Org_Profile!$C$4&amp;"|"&amp;$A59&amp;"|landac",Org_Overrides!$H$5:$H$304,0)),"Org","Default x index"))))</f>
        <v/>
      </c>
      <c r="Z59" s="2">
        <f>IF(ISNUMBER(MATCH(Location!$C$4&amp;"|"&amp;$A59&amp;"|rent",Market_Data!$K$5:$K$304,0)),"Market-City",IF(ISNUMBER(MATCH(Location!$C$5&amp;"|"&amp;$A59&amp;"|rent",Market_Data!$K$5:$K$304,0)),"Market-County",IF(ISNUMBER(MATCH(Location!$C$6&amp;"|"&amp;$A59&amp;"|rent",Market_Data!$K$5:$K$304,0)),"Market-State",IF(ISNUMBER(MATCH(Org_Profile!$C$4&amp;"|"&amp;$A59&amp;"|rent",Org_Overrides!$H$5:$H$304,0)),"Org","Default x index"))))</f>
        <v/>
      </c>
      <c r="AA59" s="2">
        <f>IF(ISNUMBER(MATCH(Location!$C$4&amp;"|"&amp;$A59&amp;"|groundrent",Market_Data!$K$5:$K$304,0)),"Market-City",IF(ISNUMBER(MATCH(Location!$C$5&amp;"|"&amp;$A59&amp;"|groundrent",Market_Data!$K$5:$K$304,0)),"Market-County",IF(ISNUMBER(MATCH(Location!$C$6&amp;"|"&amp;$A59&amp;"|groundrent",Market_Data!$K$5:$K$304,0)),"Market-State",IF(ISNUMBER(MATCH(Org_Profile!$C$4&amp;"|"&amp;$A59&amp;"|groundrent",Org_Overrides!$H$5:$H$304,0)),"Org","Default x index"))))</f>
        <v/>
      </c>
      <c r="AB59" s="2">
        <f>IF(ISNUMBER(MATCH(Location!$C$4&amp;"|"&amp;$A59&amp;"|cap",Market_Data!$K$5:$K$304,0)),"Market-City",IF(ISNUMBER(MATCH(Location!$C$5&amp;"|"&amp;$A59&amp;"|cap",Market_Data!$K$5:$K$304,0)),"Market-County",IF(ISNUMBER(MATCH(Location!$C$6&amp;"|"&amp;$A59&amp;"|cap",Market_Data!$K$5:$K$304,0)),"Market-State",IF(ISNUMBER(MATCH(Org_Profile!$C$4&amp;"|"&amp;$A59&amp;"|cap",Org_Overrides!$H$5:$H$304,0)),"Org","Default x index"))))</f>
        <v/>
      </c>
      <c r="AC59" s="2">
        <f>IF(ISNUMBER(MATCH(Location!$C$4&amp;"|"&amp;$A59&amp;"|vac",Market_Data!$K$5:$K$304,0)),"Market-City",IF(ISNUMBER(MATCH(Location!$C$5&amp;"|"&amp;$A59&amp;"|vac",Market_Data!$K$5:$K$304,0)),"Market-County",IF(ISNUMBER(MATCH(Location!$C$6&amp;"|"&amp;$A59&amp;"|vac",Market_Data!$K$5:$K$304,0)),"Market-State",IF(ISNUMBER(MATCH(Org_Profile!$C$4&amp;"|"&amp;$A59&amp;"|vac",Org_Overrides!$H$5:$H$304,0)),"Org","Default"))))</f>
        <v/>
      </c>
      <c r="AD59" s="2">
        <f>IF(ISNUMBER(MATCH(Location!$C$4&amp;"|"&amp;$A59&amp;"|absorb",Market_Data!$K$5:$K$304,0)),"Market-City",IF(ISNUMBER(MATCH(Location!$C$5&amp;"|"&amp;$A59&amp;"|absorb",Market_Data!$K$5:$K$304,0)),"Market-County",IF(ISNUMBER(MATCH(Location!$C$6&amp;"|"&amp;$A59&amp;"|absorb",Market_Data!$K$5:$K$304,0)),"Market-State",IF(ISNUMBER(MATCH(Org_Profile!$C$4&amp;"|"&amp;$A59&amp;"|absorb",Org_Overrides!$H$5:$H$304,0)),"Org","Default"))))</f>
        <v/>
      </c>
      <c r="AE59" s="2">
        <f>IF(ISNUMBER(MATCH(Location!$C$4&amp;"|"&amp;$A59&amp;"|lotabs",Market_Data!$K$5:$K$304,0)),"Market-City",IF(ISNUMBER(MATCH(Location!$C$5&amp;"|"&amp;$A59&amp;"|lotabs",Market_Data!$K$5:$K$304,0)),"Market-County",IF(ISNUMBER(MATCH(Location!$C$6&amp;"|"&amp;$A59&amp;"|lotabs",Market_Data!$K$5:$K$304,0)),"Market-State",IF(ISNUMBER(MATCH(Org_Profile!$C$4&amp;"|"&amp;$A59&amp;"|lotabs",Org_Overrides!$H$5:$H$304,0)),"Org","Default"))))</f>
        <v/>
      </c>
      <c r="AF59" s="15">
        <f>15-COUNTIF(Q59:AE59,"Default*")</f>
        <v/>
      </c>
    </row>
    <row r="60">
      <c r="A60" s="4">
        <f>Use_Library!$A$60</f>
        <v/>
      </c>
      <c r="B60" s="20">
        <f>IFERROR((INDEX(Org_Overrides!$D$5:$D$304,MATCH(Org_Profile!$C$4&amp;"|"&amp;$A60&amp;"|vert",Org_Overrides!$H$5:$H$304,0))*Location!$C$9),IFERROR(INDEX(Market_Data!$D$5:$D$304,MATCH(Location!$C$4&amp;"|"&amp;$A60&amp;"|vert",Market_Data!$K$5:$K$304,0)),IFERROR(INDEX(Market_Data!$D$5:$D$304,MATCH(Location!$C$5&amp;"|"&amp;$A60&amp;"|vert",Market_Data!$K$5:$K$304,0)),IFERROR(INDEX(Market_Data!$D$5:$D$304,MATCH(Location!$C$6&amp;"|"&amp;$A60&amp;"|vert",Market_Data!$K$5:$K$304,0)),(Use_Library!$AF$60*Location!$C$9)))))</f>
        <v/>
      </c>
      <c r="C60" s="20">
        <f>IFERROR((INDEX(Org_Overrides!$D$5:$D$304,MATCH(Org_Profile!$C$4&amp;"|"&amp;$A60&amp;"|entitle",Org_Overrides!$H$5:$H$304,0))*Location!$C$9),IFERROR(INDEX(Market_Data!$D$5:$D$304,MATCH(Location!$C$4&amp;"|"&amp;$A60&amp;"|entitle",Market_Data!$K$5:$K$304,0)),IFERROR(INDEX(Market_Data!$D$5:$D$304,MATCH(Location!$C$5&amp;"|"&amp;$A60&amp;"|entitle",Market_Data!$K$5:$K$304,0)),IFERROR(INDEX(Market_Data!$D$5:$D$304,MATCH(Location!$C$6&amp;"|"&amp;$A60&amp;"|entitle",Market_Data!$K$5:$K$304,0)),(Use_Library!$AE$60*Location!$C$9)))))</f>
        <v/>
      </c>
      <c r="D60" s="20">
        <f>IFERROR((INDEX(Org_Overrides!$D$5:$D$304,MATCH(Org_Profile!$C$4&amp;"|"&amp;$A60&amp;"|tilc",Org_Overrides!$H$5:$H$304,0))*Location!$C$9),IFERROR(INDEX(Market_Data!$D$5:$D$304,MATCH(Location!$C$4&amp;"|"&amp;$A60&amp;"|tilc",Market_Data!$K$5:$K$304,0)),IFERROR(INDEX(Market_Data!$D$5:$D$304,MATCH(Location!$C$5&amp;"|"&amp;$A60&amp;"|tilc",Market_Data!$K$5:$K$304,0)),IFERROR(INDEX(Market_Data!$D$5:$D$304,MATCH(Location!$C$6&amp;"|"&amp;$A60&amp;"|tilc",Market_Data!$K$5:$K$304,0)),(Use_Library!$AG$60*Location!$C$9)))))</f>
        <v/>
      </c>
      <c r="E60" s="20">
        <f>IFERROR((INDEX(Org_Overrides!$D$5:$D$304,MATCH(Org_Profile!$C$4&amp;"|"&amp;$A60&amp;"|opex",Org_Overrides!$H$5:$H$304,0))*Location!$C$13),IFERROR(INDEX(Market_Data!$D$5:$D$304,MATCH(Location!$C$4&amp;"|"&amp;$A60&amp;"|opex",Market_Data!$K$5:$K$304,0)),IFERROR(INDEX(Market_Data!$D$5:$D$304,MATCH(Location!$C$5&amp;"|"&amp;$A60&amp;"|opex",Market_Data!$K$5:$K$304,0)),IFERROR(INDEX(Market_Data!$D$5:$D$304,MATCH(Location!$C$6&amp;"|"&amp;$A60&amp;"|opex",Market_Data!$K$5:$K$304,0)),(Use_Library!$AN$60*Location!$C$13)))))</f>
        <v/>
      </c>
      <c r="F60" s="9">
        <f>IFERROR(INDEX(Org_Overrides!$D$5:$D$304,MATCH(Org_Profile!$C$4&amp;"|"&amp;$A60&amp;"|devmo",Org_Overrides!$H$5:$H$304,0)),IFERROR(INDEX(Market_Data!$D$5:$D$304,MATCH(Location!$C$4&amp;"|"&amp;$A60&amp;"|devmo",Market_Data!$K$5:$K$304,0)),IFERROR(INDEX(Market_Data!$D$5:$D$304,MATCH(Location!$C$5&amp;"|"&amp;$A60&amp;"|devmo",Market_Data!$K$5:$K$304,0)),IFERROR(INDEX(Market_Data!$D$5:$D$304,MATCH(Location!$C$6&amp;"|"&amp;$A60&amp;"|devmo",Market_Data!$K$5:$K$304,0)),Use_Library!$AH$60))))</f>
        <v/>
      </c>
      <c r="G60" s="23">
        <f>IFERROR(INDEX(Org_Overrides!$D$5:$D$304,MATCH(Org_Profile!$C$4&amp;"|"&amp;$A60&amp;"|margin",Org_Overrides!$H$5:$H$304,0)),IF(INDEX(Org_Profile!$C$9:$C$12,MATCH(Use_Library!$C$60,Org_Profile!$B$9:$B$12,0))&lt;&gt;"",INDEX(Org_Profile!$C$9:$C$12,MATCH(Use_Library!$C$60,Org_Profile!$B$9:$B$12,0)),Use_Library!$AU$60))</f>
        <v/>
      </c>
      <c r="H60" s="20">
        <f>IFERROR(INDEX(Market_Data!$D$5:$D$304,MATCH(Location!$C$4&amp;"|"&amp;$A60&amp;"|lotprice",Market_Data!$K$5:$K$304,0)),IFERROR(INDEX(Market_Data!$D$5:$D$304,MATCH(Location!$C$5&amp;"|"&amp;$A60&amp;"|lotprice",Market_Data!$K$5:$K$304,0)),IFERROR(INDEX(Market_Data!$D$5:$D$304,MATCH(Location!$C$6&amp;"|"&amp;$A60&amp;"|lotprice",Market_Data!$K$5:$K$304,0)),IFERROR((INDEX(Org_Overrides!$D$5:$D$304,MATCH(Org_Profile!$C$4&amp;"|"&amp;$A60&amp;"|lotprice",Org_Overrides!$H$5:$H$304,0))*Location!$C$10),(Use_Library!$AI$60*Location!$C$10)))))</f>
        <v/>
      </c>
      <c r="I60" s="20">
        <f>IFERROR(INDEX(Market_Data!$D$5:$D$304,MATCH(Location!$C$4&amp;"|"&amp;$A60&amp;"|saleprice",Market_Data!$K$5:$K$304,0)),IFERROR(INDEX(Market_Data!$D$5:$D$304,MATCH(Location!$C$5&amp;"|"&amp;$A60&amp;"|saleprice",Market_Data!$K$5:$K$304,0)),IFERROR(INDEX(Market_Data!$D$5:$D$304,MATCH(Location!$C$6&amp;"|"&amp;$A60&amp;"|saleprice",Market_Data!$K$5:$K$304,0)),IFERROR((INDEX(Org_Overrides!$D$5:$D$304,MATCH(Org_Profile!$C$4&amp;"|"&amp;$A60&amp;"|saleprice",Org_Overrides!$H$5:$H$304,0))*Location!$C$10),(Use_Library!$AJ$60*Location!$C$10)))))</f>
        <v/>
      </c>
      <c r="J60" s="20">
        <f>IFERROR(INDEX(Market_Data!$D$5:$D$304,MATCH(Location!$C$4&amp;"|"&amp;$A60&amp;"|landac",Market_Data!$K$5:$K$304,0)),IFERROR(INDEX(Market_Data!$D$5:$D$304,MATCH(Location!$C$5&amp;"|"&amp;$A60&amp;"|landac",Market_Data!$K$5:$K$304,0)),IFERROR(INDEX(Market_Data!$D$5:$D$304,MATCH(Location!$C$6&amp;"|"&amp;$A60&amp;"|landac",Market_Data!$K$5:$K$304,0)),IFERROR((INDEX(Org_Overrides!$D$5:$D$304,MATCH(Org_Profile!$C$4&amp;"|"&amp;$A60&amp;"|landac",Org_Overrides!$H$5:$H$304,0))*Location!$C$10),(Use_Library!$AS$60*Location!$C$10)))))</f>
        <v/>
      </c>
      <c r="K60" s="20">
        <f>IFERROR(INDEX(Market_Data!$D$5:$D$304,MATCH(Location!$C$4&amp;"|"&amp;$A60&amp;"|rent",Market_Data!$K$5:$K$304,0)),IFERROR(INDEX(Market_Data!$D$5:$D$304,MATCH(Location!$C$5&amp;"|"&amp;$A60&amp;"|rent",Market_Data!$K$5:$K$304,0)),IFERROR(INDEX(Market_Data!$D$5:$D$304,MATCH(Location!$C$6&amp;"|"&amp;$A60&amp;"|rent",Market_Data!$K$5:$K$304,0)),IFERROR((INDEX(Org_Overrides!$D$5:$D$304,MATCH(Org_Profile!$C$4&amp;"|"&amp;$A60&amp;"|rent",Org_Overrides!$H$5:$H$304,0))*Location!$C$11),(Use_Library!$AK$60*Location!$C$11)))))</f>
        <v/>
      </c>
      <c r="L60" s="20">
        <f>IFERROR(INDEX(Market_Data!$D$5:$D$304,MATCH(Location!$C$4&amp;"|"&amp;$A60&amp;"|groundrent",Market_Data!$K$5:$K$304,0)),IFERROR(INDEX(Market_Data!$D$5:$D$304,MATCH(Location!$C$5&amp;"|"&amp;$A60&amp;"|groundrent",Market_Data!$K$5:$K$304,0)),IFERROR(INDEX(Market_Data!$D$5:$D$304,MATCH(Location!$C$6&amp;"|"&amp;$A60&amp;"|groundrent",Market_Data!$K$5:$K$304,0)),IFERROR((INDEX(Org_Overrides!$D$5:$D$304,MATCH(Org_Profile!$C$4&amp;"|"&amp;$A60&amp;"|groundrent",Org_Overrides!$H$5:$H$304,0))*Location!$C$11),(Use_Library!$AT$60*Location!$C$11)))))</f>
        <v/>
      </c>
      <c r="M60" s="23">
        <f>IFERROR(INDEX(Market_Data!$D$5:$D$304,MATCH(Location!$C$4&amp;"|"&amp;$A60&amp;"|cap",Market_Data!$K$5:$K$304,0)),IFERROR(INDEX(Market_Data!$D$5:$D$304,MATCH(Location!$C$5&amp;"|"&amp;$A60&amp;"|cap",Market_Data!$K$5:$K$304,0)),IFERROR(INDEX(Market_Data!$D$5:$D$304,MATCH(Location!$C$6&amp;"|"&amp;$A60&amp;"|cap",Market_Data!$K$5:$K$304,0)),IFERROR((INDEX(Org_Overrides!$D$5:$D$304,MATCH(Org_Profile!$C$4&amp;"|"&amp;$A60&amp;"|cap",Org_Overrides!$H$5:$H$304,0))+Location!$C$12),(Use_Library!$AR$60+Location!$C$12)))))</f>
        <v/>
      </c>
      <c r="N60" s="23">
        <f>IFERROR(INDEX(Market_Data!$D$5:$D$304,MATCH(Location!$C$4&amp;"|"&amp;$A60&amp;"|vac",Market_Data!$K$5:$K$304,0)),IFERROR(INDEX(Market_Data!$D$5:$D$304,MATCH(Location!$C$5&amp;"|"&amp;$A60&amp;"|vac",Market_Data!$K$5:$K$304,0)),IFERROR(INDEX(Market_Data!$D$5:$D$304,MATCH(Location!$C$6&amp;"|"&amp;$A60&amp;"|vac",Market_Data!$K$5:$K$304,0)),IFERROR(INDEX(Org_Overrides!$D$5:$D$304,MATCH(Org_Profile!$C$4&amp;"|"&amp;$A60&amp;"|vac",Org_Overrides!$H$5:$H$304,0)),Use_Library!$AM$60))))</f>
        <v/>
      </c>
      <c r="O60" s="24">
        <f>IFERROR(INDEX(Market_Data!$D$5:$D$304,MATCH(Location!$C$4&amp;"|"&amp;$A60&amp;"|absorb",Market_Data!$K$5:$K$304,0)),IFERROR(INDEX(Market_Data!$D$5:$D$304,MATCH(Location!$C$5&amp;"|"&amp;$A60&amp;"|absorb",Market_Data!$K$5:$K$304,0)),IFERROR(INDEX(Market_Data!$D$5:$D$304,MATCH(Location!$C$6&amp;"|"&amp;$A60&amp;"|absorb",Market_Data!$K$5:$K$304,0)),IFERROR(INDEX(Org_Overrides!$D$5:$D$304,MATCH(Org_Profile!$C$4&amp;"|"&amp;$A60&amp;"|absorb",Org_Overrides!$H$5:$H$304,0)),Use_Library!$R$60))))</f>
        <v/>
      </c>
      <c r="P60" s="24">
        <f>IFERROR(INDEX(Market_Data!$D$5:$D$304,MATCH(Location!$C$4&amp;"|"&amp;$A60&amp;"|lotabs",Market_Data!$K$5:$K$304,0)),IFERROR(INDEX(Market_Data!$D$5:$D$304,MATCH(Location!$C$5&amp;"|"&amp;$A60&amp;"|lotabs",Market_Data!$K$5:$K$304,0)),IFERROR(INDEX(Market_Data!$D$5:$D$304,MATCH(Location!$C$6&amp;"|"&amp;$A60&amp;"|lotabs",Market_Data!$K$5:$K$304,0)),IFERROR(INDEX(Org_Overrides!$D$5:$D$304,MATCH(Org_Profile!$C$4&amp;"|"&amp;$A60&amp;"|lotabs",Org_Overrides!$H$5:$H$304,0)),Use_Library!$S$60))))</f>
        <v/>
      </c>
      <c r="Q60" s="2">
        <f>IF(ISNUMBER(MATCH(Org_Profile!$C$4&amp;"|"&amp;$A60&amp;"|vert",Org_Overrides!$H$5:$H$304,0)),"Org",IF(ISNUMBER(MATCH(Location!$C$4&amp;"|"&amp;$A60&amp;"|vert",Market_Data!$K$5:$K$304,0)),"Market-City",IF(ISNUMBER(MATCH(Location!$C$5&amp;"|"&amp;$A60&amp;"|vert",Market_Data!$K$5:$K$304,0)),"Market-County",IF(ISNUMBER(MATCH(Location!$C$6&amp;"|"&amp;$A60&amp;"|vert",Market_Data!$K$5:$K$304,0)),"Market-State","Default x index"))))</f>
        <v/>
      </c>
      <c r="R60" s="2">
        <f>IF(ISNUMBER(MATCH(Org_Profile!$C$4&amp;"|"&amp;$A60&amp;"|entitle",Org_Overrides!$H$5:$H$304,0)),"Org",IF(ISNUMBER(MATCH(Location!$C$4&amp;"|"&amp;$A60&amp;"|entitle",Market_Data!$K$5:$K$304,0)),"Market-City",IF(ISNUMBER(MATCH(Location!$C$5&amp;"|"&amp;$A60&amp;"|entitle",Market_Data!$K$5:$K$304,0)),"Market-County",IF(ISNUMBER(MATCH(Location!$C$6&amp;"|"&amp;$A60&amp;"|entitle",Market_Data!$K$5:$K$304,0)),"Market-State","Default x index"))))</f>
        <v/>
      </c>
      <c r="S60" s="2">
        <f>IF(ISNUMBER(MATCH(Org_Profile!$C$4&amp;"|"&amp;$A60&amp;"|tilc",Org_Overrides!$H$5:$H$304,0)),"Org",IF(ISNUMBER(MATCH(Location!$C$4&amp;"|"&amp;$A60&amp;"|tilc",Market_Data!$K$5:$K$304,0)),"Market-City",IF(ISNUMBER(MATCH(Location!$C$5&amp;"|"&amp;$A60&amp;"|tilc",Market_Data!$K$5:$K$304,0)),"Market-County",IF(ISNUMBER(MATCH(Location!$C$6&amp;"|"&amp;$A60&amp;"|tilc",Market_Data!$K$5:$K$304,0)),"Market-State","Default x index"))))</f>
        <v/>
      </c>
      <c r="T60" s="2">
        <f>IF(ISNUMBER(MATCH(Org_Profile!$C$4&amp;"|"&amp;$A60&amp;"|opex",Org_Overrides!$H$5:$H$304,0)),"Org",IF(ISNUMBER(MATCH(Location!$C$4&amp;"|"&amp;$A60&amp;"|opex",Market_Data!$K$5:$K$304,0)),"Market-City",IF(ISNUMBER(MATCH(Location!$C$5&amp;"|"&amp;$A60&amp;"|opex",Market_Data!$K$5:$K$304,0)),"Market-County",IF(ISNUMBER(MATCH(Location!$C$6&amp;"|"&amp;$A60&amp;"|opex",Market_Data!$K$5:$K$304,0)),"Market-State","Default x index"))))</f>
        <v/>
      </c>
      <c r="U60" s="2">
        <f>IF(ISNUMBER(MATCH(Org_Profile!$C$4&amp;"|"&amp;$A60&amp;"|devmo",Org_Overrides!$H$5:$H$304,0)),"Org",IF(ISNUMBER(MATCH(Location!$C$4&amp;"|"&amp;$A60&amp;"|devmo",Market_Data!$K$5:$K$304,0)),"Market-City",IF(ISNUMBER(MATCH(Location!$C$5&amp;"|"&amp;$A60&amp;"|devmo",Market_Data!$K$5:$K$304,0)),"Market-County",IF(ISNUMBER(MATCH(Location!$C$6&amp;"|"&amp;$A60&amp;"|devmo",Market_Data!$K$5:$K$304,0)),"Market-State","Default"))))</f>
        <v/>
      </c>
      <c r="V60" s="2">
        <f>IF(ISNUMBER(MATCH(Org_Profile!$C$4&amp;"|"&amp;$A60&amp;"|margin",Org_Overrides!$H$5:$H$304,0)),"Org",IF(INDEX(Org_Profile!$C$9:$C$12,MATCH(Use_Library!$C$60,Org_Profile!$B$9:$B$12,0))&lt;&gt;"","Org engine margin","Default"))</f>
        <v/>
      </c>
      <c r="W60" s="2">
        <f>IF(ISNUMBER(MATCH(Location!$C$4&amp;"|"&amp;$A60&amp;"|lotprice",Market_Data!$K$5:$K$304,0)),"Market-City",IF(ISNUMBER(MATCH(Location!$C$5&amp;"|"&amp;$A60&amp;"|lotprice",Market_Data!$K$5:$K$304,0)),"Market-County",IF(ISNUMBER(MATCH(Location!$C$6&amp;"|"&amp;$A60&amp;"|lotprice",Market_Data!$K$5:$K$304,0)),"Market-State",IF(ISNUMBER(MATCH(Org_Profile!$C$4&amp;"|"&amp;$A60&amp;"|lotprice",Org_Overrides!$H$5:$H$304,0)),"Org","Default x index"))))</f>
        <v/>
      </c>
      <c r="X60" s="2">
        <f>IF(ISNUMBER(MATCH(Location!$C$4&amp;"|"&amp;$A60&amp;"|saleprice",Market_Data!$K$5:$K$304,0)),"Market-City",IF(ISNUMBER(MATCH(Location!$C$5&amp;"|"&amp;$A60&amp;"|saleprice",Market_Data!$K$5:$K$304,0)),"Market-County",IF(ISNUMBER(MATCH(Location!$C$6&amp;"|"&amp;$A60&amp;"|saleprice",Market_Data!$K$5:$K$304,0)),"Market-State",IF(ISNUMBER(MATCH(Org_Profile!$C$4&amp;"|"&amp;$A60&amp;"|saleprice",Org_Overrides!$H$5:$H$304,0)),"Org","Default x index"))))</f>
        <v/>
      </c>
      <c r="Y60" s="2">
        <f>IF(ISNUMBER(MATCH(Location!$C$4&amp;"|"&amp;$A60&amp;"|landac",Market_Data!$K$5:$K$304,0)),"Market-City",IF(ISNUMBER(MATCH(Location!$C$5&amp;"|"&amp;$A60&amp;"|landac",Market_Data!$K$5:$K$304,0)),"Market-County",IF(ISNUMBER(MATCH(Location!$C$6&amp;"|"&amp;$A60&amp;"|landac",Market_Data!$K$5:$K$304,0)),"Market-State",IF(ISNUMBER(MATCH(Org_Profile!$C$4&amp;"|"&amp;$A60&amp;"|landac",Org_Overrides!$H$5:$H$304,0)),"Org","Default x index"))))</f>
        <v/>
      </c>
      <c r="Z60" s="2">
        <f>IF(ISNUMBER(MATCH(Location!$C$4&amp;"|"&amp;$A60&amp;"|rent",Market_Data!$K$5:$K$304,0)),"Market-City",IF(ISNUMBER(MATCH(Location!$C$5&amp;"|"&amp;$A60&amp;"|rent",Market_Data!$K$5:$K$304,0)),"Market-County",IF(ISNUMBER(MATCH(Location!$C$6&amp;"|"&amp;$A60&amp;"|rent",Market_Data!$K$5:$K$304,0)),"Market-State",IF(ISNUMBER(MATCH(Org_Profile!$C$4&amp;"|"&amp;$A60&amp;"|rent",Org_Overrides!$H$5:$H$304,0)),"Org","Default x index"))))</f>
        <v/>
      </c>
      <c r="AA60" s="2">
        <f>IF(ISNUMBER(MATCH(Location!$C$4&amp;"|"&amp;$A60&amp;"|groundrent",Market_Data!$K$5:$K$304,0)),"Market-City",IF(ISNUMBER(MATCH(Location!$C$5&amp;"|"&amp;$A60&amp;"|groundrent",Market_Data!$K$5:$K$304,0)),"Market-County",IF(ISNUMBER(MATCH(Location!$C$6&amp;"|"&amp;$A60&amp;"|groundrent",Market_Data!$K$5:$K$304,0)),"Market-State",IF(ISNUMBER(MATCH(Org_Profile!$C$4&amp;"|"&amp;$A60&amp;"|groundrent",Org_Overrides!$H$5:$H$304,0)),"Org","Default x index"))))</f>
        <v/>
      </c>
      <c r="AB60" s="2">
        <f>IF(ISNUMBER(MATCH(Location!$C$4&amp;"|"&amp;$A60&amp;"|cap",Market_Data!$K$5:$K$304,0)),"Market-City",IF(ISNUMBER(MATCH(Location!$C$5&amp;"|"&amp;$A60&amp;"|cap",Market_Data!$K$5:$K$304,0)),"Market-County",IF(ISNUMBER(MATCH(Location!$C$6&amp;"|"&amp;$A60&amp;"|cap",Market_Data!$K$5:$K$304,0)),"Market-State",IF(ISNUMBER(MATCH(Org_Profile!$C$4&amp;"|"&amp;$A60&amp;"|cap",Org_Overrides!$H$5:$H$304,0)),"Org","Default x index"))))</f>
        <v/>
      </c>
      <c r="AC60" s="2">
        <f>IF(ISNUMBER(MATCH(Location!$C$4&amp;"|"&amp;$A60&amp;"|vac",Market_Data!$K$5:$K$304,0)),"Market-City",IF(ISNUMBER(MATCH(Location!$C$5&amp;"|"&amp;$A60&amp;"|vac",Market_Data!$K$5:$K$304,0)),"Market-County",IF(ISNUMBER(MATCH(Location!$C$6&amp;"|"&amp;$A60&amp;"|vac",Market_Data!$K$5:$K$304,0)),"Market-State",IF(ISNUMBER(MATCH(Org_Profile!$C$4&amp;"|"&amp;$A60&amp;"|vac",Org_Overrides!$H$5:$H$304,0)),"Org","Default"))))</f>
        <v/>
      </c>
      <c r="AD60" s="2">
        <f>IF(ISNUMBER(MATCH(Location!$C$4&amp;"|"&amp;$A60&amp;"|absorb",Market_Data!$K$5:$K$304,0)),"Market-City",IF(ISNUMBER(MATCH(Location!$C$5&amp;"|"&amp;$A60&amp;"|absorb",Market_Data!$K$5:$K$304,0)),"Market-County",IF(ISNUMBER(MATCH(Location!$C$6&amp;"|"&amp;$A60&amp;"|absorb",Market_Data!$K$5:$K$304,0)),"Market-State",IF(ISNUMBER(MATCH(Org_Profile!$C$4&amp;"|"&amp;$A60&amp;"|absorb",Org_Overrides!$H$5:$H$304,0)),"Org","Default"))))</f>
        <v/>
      </c>
      <c r="AE60" s="2">
        <f>IF(ISNUMBER(MATCH(Location!$C$4&amp;"|"&amp;$A60&amp;"|lotabs",Market_Data!$K$5:$K$304,0)),"Market-City",IF(ISNUMBER(MATCH(Location!$C$5&amp;"|"&amp;$A60&amp;"|lotabs",Market_Data!$K$5:$K$304,0)),"Market-County",IF(ISNUMBER(MATCH(Location!$C$6&amp;"|"&amp;$A60&amp;"|lotabs",Market_Data!$K$5:$K$304,0)),"Market-State",IF(ISNUMBER(MATCH(Org_Profile!$C$4&amp;"|"&amp;$A60&amp;"|lotabs",Org_Overrides!$H$5:$H$304,0)),"Org","Default"))))</f>
        <v/>
      </c>
      <c r="AF60" s="15">
        <f>15-COUNTIF(Q60:AE60,"Default*")</f>
        <v/>
      </c>
    </row>
    <row r="61">
      <c r="A61" s="4">
        <f>Use_Library!$A$61</f>
        <v/>
      </c>
      <c r="B61" s="20">
        <f>IFERROR((INDEX(Org_Overrides!$D$5:$D$304,MATCH(Org_Profile!$C$4&amp;"|"&amp;$A61&amp;"|vert",Org_Overrides!$H$5:$H$304,0))*Location!$C$9),IFERROR(INDEX(Market_Data!$D$5:$D$304,MATCH(Location!$C$4&amp;"|"&amp;$A61&amp;"|vert",Market_Data!$K$5:$K$304,0)),IFERROR(INDEX(Market_Data!$D$5:$D$304,MATCH(Location!$C$5&amp;"|"&amp;$A61&amp;"|vert",Market_Data!$K$5:$K$304,0)),IFERROR(INDEX(Market_Data!$D$5:$D$304,MATCH(Location!$C$6&amp;"|"&amp;$A61&amp;"|vert",Market_Data!$K$5:$K$304,0)),(Use_Library!$AF$61*Location!$C$9)))))</f>
        <v/>
      </c>
      <c r="C61" s="20">
        <f>IFERROR((INDEX(Org_Overrides!$D$5:$D$304,MATCH(Org_Profile!$C$4&amp;"|"&amp;$A61&amp;"|entitle",Org_Overrides!$H$5:$H$304,0))*Location!$C$9),IFERROR(INDEX(Market_Data!$D$5:$D$304,MATCH(Location!$C$4&amp;"|"&amp;$A61&amp;"|entitle",Market_Data!$K$5:$K$304,0)),IFERROR(INDEX(Market_Data!$D$5:$D$304,MATCH(Location!$C$5&amp;"|"&amp;$A61&amp;"|entitle",Market_Data!$K$5:$K$304,0)),IFERROR(INDEX(Market_Data!$D$5:$D$304,MATCH(Location!$C$6&amp;"|"&amp;$A61&amp;"|entitle",Market_Data!$K$5:$K$304,0)),(Use_Library!$AE$61*Location!$C$9)))))</f>
        <v/>
      </c>
      <c r="D61" s="20">
        <f>IFERROR((INDEX(Org_Overrides!$D$5:$D$304,MATCH(Org_Profile!$C$4&amp;"|"&amp;$A61&amp;"|tilc",Org_Overrides!$H$5:$H$304,0))*Location!$C$9),IFERROR(INDEX(Market_Data!$D$5:$D$304,MATCH(Location!$C$4&amp;"|"&amp;$A61&amp;"|tilc",Market_Data!$K$5:$K$304,0)),IFERROR(INDEX(Market_Data!$D$5:$D$304,MATCH(Location!$C$5&amp;"|"&amp;$A61&amp;"|tilc",Market_Data!$K$5:$K$304,0)),IFERROR(INDEX(Market_Data!$D$5:$D$304,MATCH(Location!$C$6&amp;"|"&amp;$A61&amp;"|tilc",Market_Data!$K$5:$K$304,0)),(Use_Library!$AG$61*Location!$C$9)))))</f>
        <v/>
      </c>
      <c r="E61" s="36">
        <f>IFERROR((INDEX(Org_Overrides!$D$5:$D$304,MATCH(Org_Profile!$C$4&amp;"|"&amp;$A61&amp;"|opex",Org_Overrides!$H$5:$H$304,0))*Location!$C$13),IFERROR(INDEX(Market_Data!$D$5:$D$304,MATCH(Location!$C$4&amp;"|"&amp;$A61&amp;"|opex",Market_Data!$K$5:$K$304,0)),IFERROR(INDEX(Market_Data!$D$5:$D$304,MATCH(Location!$C$5&amp;"|"&amp;$A61&amp;"|opex",Market_Data!$K$5:$K$304,0)),IFERROR(INDEX(Market_Data!$D$5:$D$304,MATCH(Location!$C$6&amp;"|"&amp;$A61&amp;"|opex",Market_Data!$K$5:$K$304,0)),(Use_Library!$AN$61*Location!$C$13)))))</f>
        <v/>
      </c>
      <c r="F61" s="9">
        <f>IFERROR(INDEX(Org_Overrides!$D$5:$D$304,MATCH(Org_Profile!$C$4&amp;"|"&amp;$A61&amp;"|devmo",Org_Overrides!$H$5:$H$304,0)),IFERROR(INDEX(Market_Data!$D$5:$D$304,MATCH(Location!$C$4&amp;"|"&amp;$A61&amp;"|devmo",Market_Data!$K$5:$K$304,0)),IFERROR(INDEX(Market_Data!$D$5:$D$304,MATCH(Location!$C$5&amp;"|"&amp;$A61&amp;"|devmo",Market_Data!$K$5:$K$304,0)),IFERROR(INDEX(Market_Data!$D$5:$D$304,MATCH(Location!$C$6&amp;"|"&amp;$A61&amp;"|devmo",Market_Data!$K$5:$K$304,0)),Use_Library!$AH$61))))</f>
        <v/>
      </c>
      <c r="G61" s="23">
        <f>IFERROR(INDEX(Org_Overrides!$D$5:$D$304,MATCH(Org_Profile!$C$4&amp;"|"&amp;$A61&amp;"|margin",Org_Overrides!$H$5:$H$304,0)),IF(INDEX(Org_Profile!$C$9:$C$12,MATCH(Use_Library!$C$61,Org_Profile!$B$9:$B$12,0))&lt;&gt;"",INDEX(Org_Profile!$C$9:$C$12,MATCH(Use_Library!$C$61,Org_Profile!$B$9:$B$12,0)),Use_Library!$AU$61))</f>
        <v/>
      </c>
      <c r="H61" s="20">
        <f>IFERROR(INDEX(Market_Data!$D$5:$D$304,MATCH(Location!$C$4&amp;"|"&amp;$A61&amp;"|lotprice",Market_Data!$K$5:$K$304,0)),IFERROR(INDEX(Market_Data!$D$5:$D$304,MATCH(Location!$C$5&amp;"|"&amp;$A61&amp;"|lotprice",Market_Data!$K$5:$K$304,0)),IFERROR(INDEX(Market_Data!$D$5:$D$304,MATCH(Location!$C$6&amp;"|"&amp;$A61&amp;"|lotprice",Market_Data!$K$5:$K$304,0)),IFERROR((INDEX(Org_Overrides!$D$5:$D$304,MATCH(Org_Profile!$C$4&amp;"|"&amp;$A61&amp;"|lotprice",Org_Overrides!$H$5:$H$304,0))*Location!$C$10),(Use_Library!$AI$61*Location!$C$10)))))</f>
        <v/>
      </c>
      <c r="I61" s="20">
        <f>IFERROR(INDEX(Market_Data!$D$5:$D$304,MATCH(Location!$C$4&amp;"|"&amp;$A61&amp;"|saleprice",Market_Data!$K$5:$K$304,0)),IFERROR(INDEX(Market_Data!$D$5:$D$304,MATCH(Location!$C$5&amp;"|"&amp;$A61&amp;"|saleprice",Market_Data!$K$5:$K$304,0)),IFERROR(INDEX(Market_Data!$D$5:$D$304,MATCH(Location!$C$6&amp;"|"&amp;$A61&amp;"|saleprice",Market_Data!$K$5:$K$304,0)),IFERROR((INDEX(Org_Overrides!$D$5:$D$304,MATCH(Org_Profile!$C$4&amp;"|"&amp;$A61&amp;"|saleprice",Org_Overrides!$H$5:$H$304,0))*Location!$C$10),(Use_Library!$AJ$61*Location!$C$10)))))</f>
        <v/>
      </c>
      <c r="J61" s="20">
        <f>IFERROR(INDEX(Market_Data!$D$5:$D$304,MATCH(Location!$C$4&amp;"|"&amp;$A61&amp;"|landac",Market_Data!$K$5:$K$304,0)),IFERROR(INDEX(Market_Data!$D$5:$D$304,MATCH(Location!$C$5&amp;"|"&amp;$A61&amp;"|landac",Market_Data!$K$5:$K$304,0)),IFERROR(INDEX(Market_Data!$D$5:$D$304,MATCH(Location!$C$6&amp;"|"&amp;$A61&amp;"|landac",Market_Data!$K$5:$K$304,0)),IFERROR((INDEX(Org_Overrides!$D$5:$D$304,MATCH(Org_Profile!$C$4&amp;"|"&amp;$A61&amp;"|landac",Org_Overrides!$H$5:$H$304,0))*Location!$C$10),(Use_Library!$AS$61*Location!$C$10)))))</f>
        <v/>
      </c>
      <c r="K61" s="20">
        <f>IFERROR(INDEX(Market_Data!$D$5:$D$304,MATCH(Location!$C$4&amp;"|"&amp;$A61&amp;"|rent",Market_Data!$K$5:$K$304,0)),IFERROR(INDEX(Market_Data!$D$5:$D$304,MATCH(Location!$C$5&amp;"|"&amp;$A61&amp;"|rent",Market_Data!$K$5:$K$304,0)),IFERROR(INDEX(Market_Data!$D$5:$D$304,MATCH(Location!$C$6&amp;"|"&amp;$A61&amp;"|rent",Market_Data!$K$5:$K$304,0)),IFERROR((INDEX(Org_Overrides!$D$5:$D$304,MATCH(Org_Profile!$C$4&amp;"|"&amp;$A61&amp;"|rent",Org_Overrides!$H$5:$H$304,0))*Location!$C$11),(Use_Library!$AK$61*Location!$C$11)))))</f>
        <v/>
      </c>
      <c r="L61" s="20">
        <f>IFERROR(INDEX(Market_Data!$D$5:$D$304,MATCH(Location!$C$4&amp;"|"&amp;$A61&amp;"|groundrent",Market_Data!$K$5:$K$304,0)),IFERROR(INDEX(Market_Data!$D$5:$D$304,MATCH(Location!$C$5&amp;"|"&amp;$A61&amp;"|groundrent",Market_Data!$K$5:$K$304,0)),IFERROR(INDEX(Market_Data!$D$5:$D$304,MATCH(Location!$C$6&amp;"|"&amp;$A61&amp;"|groundrent",Market_Data!$K$5:$K$304,0)),IFERROR((INDEX(Org_Overrides!$D$5:$D$304,MATCH(Org_Profile!$C$4&amp;"|"&amp;$A61&amp;"|groundrent",Org_Overrides!$H$5:$H$304,0))*Location!$C$11),(Use_Library!$AT$61*Location!$C$11)))))</f>
        <v/>
      </c>
      <c r="M61" s="23">
        <f>IFERROR(INDEX(Market_Data!$D$5:$D$304,MATCH(Location!$C$4&amp;"|"&amp;$A61&amp;"|cap",Market_Data!$K$5:$K$304,0)),IFERROR(INDEX(Market_Data!$D$5:$D$304,MATCH(Location!$C$5&amp;"|"&amp;$A61&amp;"|cap",Market_Data!$K$5:$K$304,0)),IFERROR(INDEX(Market_Data!$D$5:$D$304,MATCH(Location!$C$6&amp;"|"&amp;$A61&amp;"|cap",Market_Data!$K$5:$K$304,0)),IFERROR((INDEX(Org_Overrides!$D$5:$D$304,MATCH(Org_Profile!$C$4&amp;"|"&amp;$A61&amp;"|cap",Org_Overrides!$H$5:$H$304,0))+Location!$C$12),(Use_Library!$AR$61+Location!$C$12)))))</f>
        <v/>
      </c>
      <c r="N61" s="23">
        <f>IFERROR(INDEX(Market_Data!$D$5:$D$304,MATCH(Location!$C$4&amp;"|"&amp;$A61&amp;"|vac",Market_Data!$K$5:$K$304,0)),IFERROR(INDEX(Market_Data!$D$5:$D$304,MATCH(Location!$C$5&amp;"|"&amp;$A61&amp;"|vac",Market_Data!$K$5:$K$304,0)),IFERROR(INDEX(Market_Data!$D$5:$D$304,MATCH(Location!$C$6&amp;"|"&amp;$A61&amp;"|vac",Market_Data!$K$5:$K$304,0)),IFERROR(INDEX(Org_Overrides!$D$5:$D$304,MATCH(Org_Profile!$C$4&amp;"|"&amp;$A61&amp;"|vac",Org_Overrides!$H$5:$H$304,0)),Use_Library!$AM$61))))</f>
        <v/>
      </c>
      <c r="O61" s="24">
        <f>IFERROR(INDEX(Market_Data!$D$5:$D$304,MATCH(Location!$C$4&amp;"|"&amp;$A61&amp;"|absorb",Market_Data!$K$5:$K$304,0)),IFERROR(INDEX(Market_Data!$D$5:$D$304,MATCH(Location!$C$5&amp;"|"&amp;$A61&amp;"|absorb",Market_Data!$K$5:$K$304,0)),IFERROR(INDEX(Market_Data!$D$5:$D$304,MATCH(Location!$C$6&amp;"|"&amp;$A61&amp;"|absorb",Market_Data!$K$5:$K$304,0)),IFERROR(INDEX(Org_Overrides!$D$5:$D$304,MATCH(Org_Profile!$C$4&amp;"|"&amp;$A61&amp;"|absorb",Org_Overrides!$H$5:$H$304,0)),Use_Library!$R$61))))</f>
        <v/>
      </c>
      <c r="P61" s="24">
        <f>IFERROR(INDEX(Market_Data!$D$5:$D$304,MATCH(Location!$C$4&amp;"|"&amp;$A61&amp;"|lotabs",Market_Data!$K$5:$K$304,0)),IFERROR(INDEX(Market_Data!$D$5:$D$304,MATCH(Location!$C$5&amp;"|"&amp;$A61&amp;"|lotabs",Market_Data!$K$5:$K$304,0)),IFERROR(INDEX(Market_Data!$D$5:$D$304,MATCH(Location!$C$6&amp;"|"&amp;$A61&amp;"|lotabs",Market_Data!$K$5:$K$304,0)),IFERROR(INDEX(Org_Overrides!$D$5:$D$304,MATCH(Org_Profile!$C$4&amp;"|"&amp;$A61&amp;"|lotabs",Org_Overrides!$H$5:$H$304,0)),Use_Library!$S$61))))</f>
        <v/>
      </c>
      <c r="Q61" s="2">
        <f>IF(ISNUMBER(MATCH(Org_Profile!$C$4&amp;"|"&amp;$A61&amp;"|vert",Org_Overrides!$H$5:$H$304,0)),"Org",IF(ISNUMBER(MATCH(Location!$C$4&amp;"|"&amp;$A61&amp;"|vert",Market_Data!$K$5:$K$304,0)),"Market-City",IF(ISNUMBER(MATCH(Location!$C$5&amp;"|"&amp;$A61&amp;"|vert",Market_Data!$K$5:$K$304,0)),"Market-County",IF(ISNUMBER(MATCH(Location!$C$6&amp;"|"&amp;$A61&amp;"|vert",Market_Data!$K$5:$K$304,0)),"Market-State","Default x index"))))</f>
        <v/>
      </c>
      <c r="R61" s="2">
        <f>IF(ISNUMBER(MATCH(Org_Profile!$C$4&amp;"|"&amp;$A61&amp;"|entitle",Org_Overrides!$H$5:$H$304,0)),"Org",IF(ISNUMBER(MATCH(Location!$C$4&amp;"|"&amp;$A61&amp;"|entitle",Market_Data!$K$5:$K$304,0)),"Market-City",IF(ISNUMBER(MATCH(Location!$C$5&amp;"|"&amp;$A61&amp;"|entitle",Market_Data!$K$5:$K$304,0)),"Market-County",IF(ISNUMBER(MATCH(Location!$C$6&amp;"|"&amp;$A61&amp;"|entitle",Market_Data!$K$5:$K$304,0)),"Market-State","Default x index"))))</f>
        <v/>
      </c>
      <c r="S61" s="2">
        <f>IF(ISNUMBER(MATCH(Org_Profile!$C$4&amp;"|"&amp;$A61&amp;"|tilc",Org_Overrides!$H$5:$H$304,0)),"Org",IF(ISNUMBER(MATCH(Location!$C$4&amp;"|"&amp;$A61&amp;"|tilc",Market_Data!$K$5:$K$304,0)),"Market-City",IF(ISNUMBER(MATCH(Location!$C$5&amp;"|"&amp;$A61&amp;"|tilc",Market_Data!$K$5:$K$304,0)),"Market-County",IF(ISNUMBER(MATCH(Location!$C$6&amp;"|"&amp;$A61&amp;"|tilc",Market_Data!$K$5:$K$304,0)),"Market-State","Default x index"))))</f>
        <v/>
      </c>
      <c r="T61" s="2">
        <f>IF(ISNUMBER(MATCH(Org_Profile!$C$4&amp;"|"&amp;$A61&amp;"|opex",Org_Overrides!$H$5:$H$304,0)),"Org",IF(ISNUMBER(MATCH(Location!$C$4&amp;"|"&amp;$A61&amp;"|opex",Market_Data!$K$5:$K$304,0)),"Market-City",IF(ISNUMBER(MATCH(Location!$C$5&amp;"|"&amp;$A61&amp;"|opex",Market_Data!$K$5:$K$304,0)),"Market-County",IF(ISNUMBER(MATCH(Location!$C$6&amp;"|"&amp;$A61&amp;"|opex",Market_Data!$K$5:$K$304,0)),"Market-State","Default x index"))))</f>
        <v/>
      </c>
      <c r="U61" s="2">
        <f>IF(ISNUMBER(MATCH(Org_Profile!$C$4&amp;"|"&amp;$A61&amp;"|devmo",Org_Overrides!$H$5:$H$304,0)),"Org",IF(ISNUMBER(MATCH(Location!$C$4&amp;"|"&amp;$A61&amp;"|devmo",Market_Data!$K$5:$K$304,0)),"Market-City",IF(ISNUMBER(MATCH(Location!$C$5&amp;"|"&amp;$A61&amp;"|devmo",Market_Data!$K$5:$K$304,0)),"Market-County",IF(ISNUMBER(MATCH(Location!$C$6&amp;"|"&amp;$A61&amp;"|devmo",Market_Data!$K$5:$K$304,0)),"Market-State","Default"))))</f>
        <v/>
      </c>
      <c r="V61" s="2">
        <f>IF(ISNUMBER(MATCH(Org_Profile!$C$4&amp;"|"&amp;$A61&amp;"|margin",Org_Overrides!$H$5:$H$304,0)),"Org",IF(INDEX(Org_Profile!$C$9:$C$12,MATCH(Use_Library!$C$61,Org_Profile!$B$9:$B$12,0))&lt;&gt;"","Org engine margin","Default"))</f>
        <v/>
      </c>
      <c r="W61" s="2">
        <f>IF(ISNUMBER(MATCH(Location!$C$4&amp;"|"&amp;$A61&amp;"|lotprice",Market_Data!$K$5:$K$304,0)),"Market-City",IF(ISNUMBER(MATCH(Location!$C$5&amp;"|"&amp;$A61&amp;"|lotprice",Market_Data!$K$5:$K$304,0)),"Market-County",IF(ISNUMBER(MATCH(Location!$C$6&amp;"|"&amp;$A61&amp;"|lotprice",Market_Data!$K$5:$K$304,0)),"Market-State",IF(ISNUMBER(MATCH(Org_Profile!$C$4&amp;"|"&amp;$A61&amp;"|lotprice",Org_Overrides!$H$5:$H$304,0)),"Org","Default x index"))))</f>
        <v/>
      </c>
      <c r="X61" s="2">
        <f>IF(ISNUMBER(MATCH(Location!$C$4&amp;"|"&amp;$A61&amp;"|saleprice",Market_Data!$K$5:$K$304,0)),"Market-City",IF(ISNUMBER(MATCH(Location!$C$5&amp;"|"&amp;$A61&amp;"|saleprice",Market_Data!$K$5:$K$304,0)),"Market-County",IF(ISNUMBER(MATCH(Location!$C$6&amp;"|"&amp;$A61&amp;"|saleprice",Market_Data!$K$5:$K$304,0)),"Market-State",IF(ISNUMBER(MATCH(Org_Profile!$C$4&amp;"|"&amp;$A61&amp;"|saleprice",Org_Overrides!$H$5:$H$304,0)),"Org","Default x index"))))</f>
        <v/>
      </c>
      <c r="Y61" s="2">
        <f>IF(ISNUMBER(MATCH(Location!$C$4&amp;"|"&amp;$A61&amp;"|landac",Market_Data!$K$5:$K$304,0)),"Market-City",IF(ISNUMBER(MATCH(Location!$C$5&amp;"|"&amp;$A61&amp;"|landac",Market_Data!$K$5:$K$304,0)),"Market-County",IF(ISNUMBER(MATCH(Location!$C$6&amp;"|"&amp;$A61&amp;"|landac",Market_Data!$K$5:$K$304,0)),"Market-State",IF(ISNUMBER(MATCH(Org_Profile!$C$4&amp;"|"&amp;$A61&amp;"|landac",Org_Overrides!$H$5:$H$304,0)),"Org","Default x index"))))</f>
        <v/>
      </c>
      <c r="Z61" s="2">
        <f>IF(ISNUMBER(MATCH(Location!$C$4&amp;"|"&amp;$A61&amp;"|rent",Market_Data!$K$5:$K$304,0)),"Market-City",IF(ISNUMBER(MATCH(Location!$C$5&amp;"|"&amp;$A61&amp;"|rent",Market_Data!$K$5:$K$304,0)),"Market-County",IF(ISNUMBER(MATCH(Location!$C$6&amp;"|"&amp;$A61&amp;"|rent",Market_Data!$K$5:$K$304,0)),"Market-State",IF(ISNUMBER(MATCH(Org_Profile!$C$4&amp;"|"&amp;$A61&amp;"|rent",Org_Overrides!$H$5:$H$304,0)),"Org","Default x index"))))</f>
        <v/>
      </c>
      <c r="AA61" s="2">
        <f>IF(ISNUMBER(MATCH(Location!$C$4&amp;"|"&amp;$A61&amp;"|groundrent",Market_Data!$K$5:$K$304,0)),"Market-City",IF(ISNUMBER(MATCH(Location!$C$5&amp;"|"&amp;$A61&amp;"|groundrent",Market_Data!$K$5:$K$304,0)),"Market-County",IF(ISNUMBER(MATCH(Location!$C$6&amp;"|"&amp;$A61&amp;"|groundrent",Market_Data!$K$5:$K$304,0)),"Market-State",IF(ISNUMBER(MATCH(Org_Profile!$C$4&amp;"|"&amp;$A61&amp;"|groundrent",Org_Overrides!$H$5:$H$304,0)),"Org","Default x index"))))</f>
        <v/>
      </c>
      <c r="AB61" s="2">
        <f>IF(ISNUMBER(MATCH(Location!$C$4&amp;"|"&amp;$A61&amp;"|cap",Market_Data!$K$5:$K$304,0)),"Market-City",IF(ISNUMBER(MATCH(Location!$C$5&amp;"|"&amp;$A61&amp;"|cap",Market_Data!$K$5:$K$304,0)),"Market-County",IF(ISNUMBER(MATCH(Location!$C$6&amp;"|"&amp;$A61&amp;"|cap",Market_Data!$K$5:$K$304,0)),"Market-State",IF(ISNUMBER(MATCH(Org_Profile!$C$4&amp;"|"&amp;$A61&amp;"|cap",Org_Overrides!$H$5:$H$304,0)),"Org","Default x index"))))</f>
        <v/>
      </c>
      <c r="AC61" s="2">
        <f>IF(ISNUMBER(MATCH(Location!$C$4&amp;"|"&amp;$A61&amp;"|vac",Market_Data!$K$5:$K$304,0)),"Market-City",IF(ISNUMBER(MATCH(Location!$C$5&amp;"|"&amp;$A61&amp;"|vac",Market_Data!$K$5:$K$304,0)),"Market-County",IF(ISNUMBER(MATCH(Location!$C$6&amp;"|"&amp;$A61&amp;"|vac",Market_Data!$K$5:$K$304,0)),"Market-State",IF(ISNUMBER(MATCH(Org_Profile!$C$4&amp;"|"&amp;$A61&amp;"|vac",Org_Overrides!$H$5:$H$304,0)),"Org","Default"))))</f>
        <v/>
      </c>
      <c r="AD61" s="2">
        <f>IF(ISNUMBER(MATCH(Location!$C$4&amp;"|"&amp;$A61&amp;"|absorb",Market_Data!$K$5:$K$304,0)),"Market-City",IF(ISNUMBER(MATCH(Location!$C$5&amp;"|"&amp;$A61&amp;"|absorb",Market_Data!$K$5:$K$304,0)),"Market-County",IF(ISNUMBER(MATCH(Location!$C$6&amp;"|"&amp;$A61&amp;"|absorb",Market_Data!$K$5:$K$304,0)),"Market-State",IF(ISNUMBER(MATCH(Org_Profile!$C$4&amp;"|"&amp;$A61&amp;"|absorb",Org_Overrides!$H$5:$H$304,0)),"Org","Default"))))</f>
        <v/>
      </c>
      <c r="AE61" s="2">
        <f>IF(ISNUMBER(MATCH(Location!$C$4&amp;"|"&amp;$A61&amp;"|lotabs",Market_Data!$K$5:$K$304,0)),"Market-City",IF(ISNUMBER(MATCH(Location!$C$5&amp;"|"&amp;$A61&amp;"|lotabs",Market_Data!$K$5:$K$304,0)),"Market-County",IF(ISNUMBER(MATCH(Location!$C$6&amp;"|"&amp;$A61&amp;"|lotabs",Market_Data!$K$5:$K$304,0)),"Market-State",IF(ISNUMBER(MATCH(Org_Profile!$C$4&amp;"|"&amp;$A61&amp;"|lotabs",Org_Overrides!$H$5:$H$304,0)),"Org","Default"))))</f>
        <v/>
      </c>
      <c r="AF61" s="15">
        <f>15-COUNTIF(Q61:AE61,"Default*")</f>
        <v/>
      </c>
    </row>
    <row r="62">
      <c r="A62" s="4">
        <f>Use_Library!$A$62</f>
        <v/>
      </c>
      <c r="B62" s="20">
        <f>IFERROR((INDEX(Org_Overrides!$D$5:$D$304,MATCH(Org_Profile!$C$4&amp;"|"&amp;$A62&amp;"|vert",Org_Overrides!$H$5:$H$304,0))*Location!$C$9),IFERROR(INDEX(Market_Data!$D$5:$D$304,MATCH(Location!$C$4&amp;"|"&amp;$A62&amp;"|vert",Market_Data!$K$5:$K$304,0)),IFERROR(INDEX(Market_Data!$D$5:$D$304,MATCH(Location!$C$5&amp;"|"&amp;$A62&amp;"|vert",Market_Data!$K$5:$K$304,0)),IFERROR(INDEX(Market_Data!$D$5:$D$304,MATCH(Location!$C$6&amp;"|"&amp;$A62&amp;"|vert",Market_Data!$K$5:$K$304,0)),(Use_Library!$AF$62*Location!$C$9)))))</f>
        <v/>
      </c>
      <c r="C62" s="20">
        <f>IFERROR((INDEX(Org_Overrides!$D$5:$D$304,MATCH(Org_Profile!$C$4&amp;"|"&amp;$A62&amp;"|entitle",Org_Overrides!$H$5:$H$304,0))*Location!$C$9),IFERROR(INDEX(Market_Data!$D$5:$D$304,MATCH(Location!$C$4&amp;"|"&amp;$A62&amp;"|entitle",Market_Data!$K$5:$K$304,0)),IFERROR(INDEX(Market_Data!$D$5:$D$304,MATCH(Location!$C$5&amp;"|"&amp;$A62&amp;"|entitle",Market_Data!$K$5:$K$304,0)),IFERROR(INDEX(Market_Data!$D$5:$D$304,MATCH(Location!$C$6&amp;"|"&amp;$A62&amp;"|entitle",Market_Data!$K$5:$K$304,0)),(Use_Library!$AE$62*Location!$C$9)))))</f>
        <v/>
      </c>
      <c r="D62" s="20">
        <f>IFERROR((INDEX(Org_Overrides!$D$5:$D$304,MATCH(Org_Profile!$C$4&amp;"|"&amp;$A62&amp;"|tilc",Org_Overrides!$H$5:$H$304,0))*Location!$C$9),IFERROR(INDEX(Market_Data!$D$5:$D$304,MATCH(Location!$C$4&amp;"|"&amp;$A62&amp;"|tilc",Market_Data!$K$5:$K$304,0)),IFERROR(INDEX(Market_Data!$D$5:$D$304,MATCH(Location!$C$5&amp;"|"&amp;$A62&amp;"|tilc",Market_Data!$K$5:$K$304,0)),IFERROR(INDEX(Market_Data!$D$5:$D$304,MATCH(Location!$C$6&amp;"|"&amp;$A62&amp;"|tilc",Market_Data!$K$5:$K$304,0)),(Use_Library!$AG$62*Location!$C$9)))))</f>
        <v/>
      </c>
      <c r="E62" s="20">
        <f>IFERROR((INDEX(Org_Overrides!$D$5:$D$304,MATCH(Org_Profile!$C$4&amp;"|"&amp;$A62&amp;"|opex",Org_Overrides!$H$5:$H$304,0))*Location!$C$13),IFERROR(INDEX(Market_Data!$D$5:$D$304,MATCH(Location!$C$4&amp;"|"&amp;$A62&amp;"|opex",Market_Data!$K$5:$K$304,0)),IFERROR(INDEX(Market_Data!$D$5:$D$304,MATCH(Location!$C$5&amp;"|"&amp;$A62&amp;"|opex",Market_Data!$K$5:$K$304,0)),IFERROR(INDEX(Market_Data!$D$5:$D$304,MATCH(Location!$C$6&amp;"|"&amp;$A62&amp;"|opex",Market_Data!$K$5:$K$304,0)),(Use_Library!$AN$62*Location!$C$13)))))</f>
        <v/>
      </c>
      <c r="F62" s="9">
        <f>IFERROR(INDEX(Org_Overrides!$D$5:$D$304,MATCH(Org_Profile!$C$4&amp;"|"&amp;$A62&amp;"|devmo",Org_Overrides!$H$5:$H$304,0)),IFERROR(INDEX(Market_Data!$D$5:$D$304,MATCH(Location!$C$4&amp;"|"&amp;$A62&amp;"|devmo",Market_Data!$K$5:$K$304,0)),IFERROR(INDEX(Market_Data!$D$5:$D$304,MATCH(Location!$C$5&amp;"|"&amp;$A62&amp;"|devmo",Market_Data!$K$5:$K$304,0)),IFERROR(INDEX(Market_Data!$D$5:$D$304,MATCH(Location!$C$6&amp;"|"&amp;$A62&amp;"|devmo",Market_Data!$K$5:$K$304,0)),Use_Library!$AH$62))))</f>
        <v/>
      </c>
      <c r="G62" s="23">
        <f>IFERROR(INDEX(Org_Overrides!$D$5:$D$304,MATCH(Org_Profile!$C$4&amp;"|"&amp;$A62&amp;"|margin",Org_Overrides!$H$5:$H$304,0)),IF(INDEX(Org_Profile!$C$9:$C$12,MATCH(Use_Library!$C$62,Org_Profile!$B$9:$B$12,0))&lt;&gt;"",INDEX(Org_Profile!$C$9:$C$12,MATCH(Use_Library!$C$62,Org_Profile!$B$9:$B$12,0)),Use_Library!$AU$62))</f>
        <v/>
      </c>
      <c r="H62" s="20">
        <f>IFERROR(INDEX(Market_Data!$D$5:$D$304,MATCH(Location!$C$4&amp;"|"&amp;$A62&amp;"|lotprice",Market_Data!$K$5:$K$304,0)),IFERROR(INDEX(Market_Data!$D$5:$D$304,MATCH(Location!$C$5&amp;"|"&amp;$A62&amp;"|lotprice",Market_Data!$K$5:$K$304,0)),IFERROR(INDEX(Market_Data!$D$5:$D$304,MATCH(Location!$C$6&amp;"|"&amp;$A62&amp;"|lotprice",Market_Data!$K$5:$K$304,0)),IFERROR((INDEX(Org_Overrides!$D$5:$D$304,MATCH(Org_Profile!$C$4&amp;"|"&amp;$A62&amp;"|lotprice",Org_Overrides!$H$5:$H$304,0))*Location!$C$10),(Use_Library!$AI$62*Location!$C$10)))))</f>
        <v/>
      </c>
      <c r="I62" s="20">
        <f>IFERROR(INDEX(Market_Data!$D$5:$D$304,MATCH(Location!$C$4&amp;"|"&amp;$A62&amp;"|saleprice",Market_Data!$K$5:$K$304,0)),IFERROR(INDEX(Market_Data!$D$5:$D$304,MATCH(Location!$C$5&amp;"|"&amp;$A62&amp;"|saleprice",Market_Data!$K$5:$K$304,0)),IFERROR(INDEX(Market_Data!$D$5:$D$304,MATCH(Location!$C$6&amp;"|"&amp;$A62&amp;"|saleprice",Market_Data!$K$5:$K$304,0)),IFERROR((INDEX(Org_Overrides!$D$5:$D$304,MATCH(Org_Profile!$C$4&amp;"|"&amp;$A62&amp;"|saleprice",Org_Overrides!$H$5:$H$304,0))*Location!$C$10),(Use_Library!$AJ$62*Location!$C$10)))))</f>
        <v/>
      </c>
      <c r="J62" s="20">
        <f>IFERROR(INDEX(Market_Data!$D$5:$D$304,MATCH(Location!$C$4&amp;"|"&amp;$A62&amp;"|landac",Market_Data!$K$5:$K$304,0)),IFERROR(INDEX(Market_Data!$D$5:$D$304,MATCH(Location!$C$5&amp;"|"&amp;$A62&amp;"|landac",Market_Data!$K$5:$K$304,0)),IFERROR(INDEX(Market_Data!$D$5:$D$304,MATCH(Location!$C$6&amp;"|"&amp;$A62&amp;"|landac",Market_Data!$K$5:$K$304,0)),IFERROR((INDEX(Org_Overrides!$D$5:$D$304,MATCH(Org_Profile!$C$4&amp;"|"&amp;$A62&amp;"|landac",Org_Overrides!$H$5:$H$304,0))*Location!$C$10),(Use_Library!$AS$62*Location!$C$10)))))</f>
        <v/>
      </c>
      <c r="K62" s="20">
        <f>IFERROR(INDEX(Market_Data!$D$5:$D$304,MATCH(Location!$C$4&amp;"|"&amp;$A62&amp;"|rent",Market_Data!$K$5:$K$304,0)),IFERROR(INDEX(Market_Data!$D$5:$D$304,MATCH(Location!$C$5&amp;"|"&amp;$A62&amp;"|rent",Market_Data!$K$5:$K$304,0)),IFERROR(INDEX(Market_Data!$D$5:$D$304,MATCH(Location!$C$6&amp;"|"&amp;$A62&amp;"|rent",Market_Data!$K$5:$K$304,0)),IFERROR((INDEX(Org_Overrides!$D$5:$D$304,MATCH(Org_Profile!$C$4&amp;"|"&amp;$A62&amp;"|rent",Org_Overrides!$H$5:$H$304,0))*Location!$C$11),(Use_Library!$AK$62*Location!$C$11)))))</f>
        <v/>
      </c>
      <c r="L62" s="20">
        <f>IFERROR(INDEX(Market_Data!$D$5:$D$304,MATCH(Location!$C$4&amp;"|"&amp;$A62&amp;"|groundrent",Market_Data!$K$5:$K$304,0)),IFERROR(INDEX(Market_Data!$D$5:$D$304,MATCH(Location!$C$5&amp;"|"&amp;$A62&amp;"|groundrent",Market_Data!$K$5:$K$304,0)),IFERROR(INDEX(Market_Data!$D$5:$D$304,MATCH(Location!$C$6&amp;"|"&amp;$A62&amp;"|groundrent",Market_Data!$K$5:$K$304,0)),IFERROR((INDEX(Org_Overrides!$D$5:$D$304,MATCH(Org_Profile!$C$4&amp;"|"&amp;$A62&amp;"|groundrent",Org_Overrides!$H$5:$H$304,0))*Location!$C$11),(Use_Library!$AT$62*Location!$C$11)))))</f>
        <v/>
      </c>
      <c r="M62" s="23">
        <f>IFERROR(INDEX(Market_Data!$D$5:$D$304,MATCH(Location!$C$4&amp;"|"&amp;$A62&amp;"|cap",Market_Data!$K$5:$K$304,0)),IFERROR(INDEX(Market_Data!$D$5:$D$304,MATCH(Location!$C$5&amp;"|"&amp;$A62&amp;"|cap",Market_Data!$K$5:$K$304,0)),IFERROR(INDEX(Market_Data!$D$5:$D$304,MATCH(Location!$C$6&amp;"|"&amp;$A62&amp;"|cap",Market_Data!$K$5:$K$304,0)),IFERROR((INDEX(Org_Overrides!$D$5:$D$304,MATCH(Org_Profile!$C$4&amp;"|"&amp;$A62&amp;"|cap",Org_Overrides!$H$5:$H$304,0))+Location!$C$12),(Use_Library!$AR$62+Location!$C$12)))))</f>
        <v/>
      </c>
      <c r="N62" s="23">
        <f>IFERROR(INDEX(Market_Data!$D$5:$D$304,MATCH(Location!$C$4&amp;"|"&amp;$A62&amp;"|vac",Market_Data!$K$5:$K$304,0)),IFERROR(INDEX(Market_Data!$D$5:$D$304,MATCH(Location!$C$5&amp;"|"&amp;$A62&amp;"|vac",Market_Data!$K$5:$K$304,0)),IFERROR(INDEX(Market_Data!$D$5:$D$304,MATCH(Location!$C$6&amp;"|"&amp;$A62&amp;"|vac",Market_Data!$K$5:$K$304,0)),IFERROR(INDEX(Org_Overrides!$D$5:$D$304,MATCH(Org_Profile!$C$4&amp;"|"&amp;$A62&amp;"|vac",Org_Overrides!$H$5:$H$304,0)),Use_Library!$AM$62))))</f>
        <v/>
      </c>
      <c r="O62" s="24">
        <f>IFERROR(INDEX(Market_Data!$D$5:$D$304,MATCH(Location!$C$4&amp;"|"&amp;$A62&amp;"|absorb",Market_Data!$K$5:$K$304,0)),IFERROR(INDEX(Market_Data!$D$5:$D$304,MATCH(Location!$C$5&amp;"|"&amp;$A62&amp;"|absorb",Market_Data!$K$5:$K$304,0)),IFERROR(INDEX(Market_Data!$D$5:$D$304,MATCH(Location!$C$6&amp;"|"&amp;$A62&amp;"|absorb",Market_Data!$K$5:$K$304,0)),IFERROR(INDEX(Org_Overrides!$D$5:$D$304,MATCH(Org_Profile!$C$4&amp;"|"&amp;$A62&amp;"|absorb",Org_Overrides!$H$5:$H$304,0)),Use_Library!$R$62))))</f>
        <v/>
      </c>
      <c r="P62" s="24">
        <f>IFERROR(INDEX(Market_Data!$D$5:$D$304,MATCH(Location!$C$4&amp;"|"&amp;$A62&amp;"|lotabs",Market_Data!$K$5:$K$304,0)),IFERROR(INDEX(Market_Data!$D$5:$D$304,MATCH(Location!$C$5&amp;"|"&amp;$A62&amp;"|lotabs",Market_Data!$K$5:$K$304,0)),IFERROR(INDEX(Market_Data!$D$5:$D$304,MATCH(Location!$C$6&amp;"|"&amp;$A62&amp;"|lotabs",Market_Data!$K$5:$K$304,0)),IFERROR(INDEX(Org_Overrides!$D$5:$D$304,MATCH(Org_Profile!$C$4&amp;"|"&amp;$A62&amp;"|lotabs",Org_Overrides!$H$5:$H$304,0)),Use_Library!$S$62))))</f>
        <v/>
      </c>
      <c r="Q62" s="2">
        <f>IF(ISNUMBER(MATCH(Org_Profile!$C$4&amp;"|"&amp;$A62&amp;"|vert",Org_Overrides!$H$5:$H$304,0)),"Org",IF(ISNUMBER(MATCH(Location!$C$4&amp;"|"&amp;$A62&amp;"|vert",Market_Data!$K$5:$K$304,0)),"Market-City",IF(ISNUMBER(MATCH(Location!$C$5&amp;"|"&amp;$A62&amp;"|vert",Market_Data!$K$5:$K$304,0)),"Market-County",IF(ISNUMBER(MATCH(Location!$C$6&amp;"|"&amp;$A62&amp;"|vert",Market_Data!$K$5:$K$304,0)),"Market-State","Default x index"))))</f>
        <v/>
      </c>
      <c r="R62" s="2">
        <f>IF(ISNUMBER(MATCH(Org_Profile!$C$4&amp;"|"&amp;$A62&amp;"|entitle",Org_Overrides!$H$5:$H$304,0)),"Org",IF(ISNUMBER(MATCH(Location!$C$4&amp;"|"&amp;$A62&amp;"|entitle",Market_Data!$K$5:$K$304,0)),"Market-City",IF(ISNUMBER(MATCH(Location!$C$5&amp;"|"&amp;$A62&amp;"|entitle",Market_Data!$K$5:$K$304,0)),"Market-County",IF(ISNUMBER(MATCH(Location!$C$6&amp;"|"&amp;$A62&amp;"|entitle",Market_Data!$K$5:$K$304,0)),"Market-State","Default x index"))))</f>
        <v/>
      </c>
      <c r="S62" s="2">
        <f>IF(ISNUMBER(MATCH(Org_Profile!$C$4&amp;"|"&amp;$A62&amp;"|tilc",Org_Overrides!$H$5:$H$304,0)),"Org",IF(ISNUMBER(MATCH(Location!$C$4&amp;"|"&amp;$A62&amp;"|tilc",Market_Data!$K$5:$K$304,0)),"Market-City",IF(ISNUMBER(MATCH(Location!$C$5&amp;"|"&amp;$A62&amp;"|tilc",Market_Data!$K$5:$K$304,0)),"Market-County",IF(ISNUMBER(MATCH(Location!$C$6&amp;"|"&amp;$A62&amp;"|tilc",Market_Data!$K$5:$K$304,0)),"Market-State","Default x index"))))</f>
        <v/>
      </c>
      <c r="T62" s="2">
        <f>IF(ISNUMBER(MATCH(Org_Profile!$C$4&amp;"|"&amp;$A62&amp;"|opex",Org_Overrides!$H$5:$H$304,0)),"Org",IF(ISNUMBER(MATCH(Location!$C$4&amp;"|"&amp;$A62&amp;"|opex",Market_Data!$K$5:$K$304,0)),"Market-City",IF(ISNUMBER(MATCH(Location!$C$5&amp;"|"&amp;$A62&amp;"|opex",Market_Data!$K$5:$K$304,0)),"Market-County",IF(ISNUMBER(MATCH(Location!$C$6&amp;"|"&amp;$A62&amp;"|opex",Market_Data!$K$5:$K$304,0)),"Market-State","Default x index"))))</f>
        <v/>
      </c>
      <c r="U62" s="2">
        <f>IF(ISNUMBER(MATCH(Org_Profile!$C$4&amp;"|"&amp;$A62&amp;"|devmo",Org_Overrides!$H$5:$H$304,0)),"Org",IF(ISNUMBER(MATCH(Location!$C$4&amp;"|"&amp;$A62&amp;"|devmo",Market_Data!$K$5:$K$304,0)),"Market-City",IF(ISNUMBER(MATCH(Location!$C$5&amp;"|"&amp;$A62&amp;"|devmo",Market_Data!$K$5:$K$304,0)),"Market-County",IF(ISNUMBER(MATCH(Location!$C$6&amp;"|"&amp;$A62&amp;"|devmo",Market_Data!$K$5:$K$304,0)),"Market-State","Default"))))</f>
        <v/>
      </c>
      <c r="V62" s="2">
        <f>IF(ISNUMBER(MATCH(Org_Profile!$C$4&amp;"|"&amp;$A62&amp;"|margin",Org_Overrides!$H$5:$H$304,0)),"Org",IF(INDEX(Org_Profile!$C$9:$C$12,MATCH(Use_Library!$C$62,Org_Profile!$B$9:$B$12,0))&lt;&gt;"","Org engine margin","Default"))</f>
        <v/>
      </c>
      <c r="W62" s="2">
        <f>IF(ISNUMBER(MATCH(Location!$C$4&amp;"|"&amp;$A62&amp;"|lotprice",Market_Data!$K$5:$K$304,0)),"Market-City",IF(ISNUMBER(MATCH(Location!$C$5&amp;"|"&amp;$A62&amp;"|lotprice",Market_Data!$K$5:$K$304,0)),"Market-County",IF(ISNUMBER(MATCH(Location!$C$6&amp;"|"&amp;$A62&amp;"|lotprice",Market_Data!$K$5:$K$304,0)),"Market-State",IF(ISNUMBER(MATCH(Org_Profile!$C$4&amp;"|"&amp;$A62&amp;"|lotprice",Org_Overrides!$H$5:$H$304,0)),"Org","Default x index"))))</f>
        <v/>
      </c>
      <c r="X62" s="2">
        <f>IF(ISNUMBER(MATCH(Location!$C$4&amp;"|"&amp;$A62&amp;"|saleprice",Market_Data!$K$5:$K$304,0)),"Market-City",IF(ISNUMBER(MATCH(Location!$C$5&amp;"|"&amp;$A62&amp;"|saleprice",Market_Data!$K$5:$K$304,0)),"Market-County",IF(ISNUMBER(MATCH(Location!$C$6&amp;"|"&amp;$A62&amp;"|saleprice",Market_Data!$K$5:$K$304,0)),"Market-State",IF(ISNUMBER(MATCH(Org_Profile!$C$4&amp;"|"&amp;$A62&amp;"|saleprice",Org_Overrides!$H$5:$H$304,0)),"Org","Default x index"))))</f>
        <v/>
      </c>
      <c r="Y62" s="2">
        <f>IF(ISNUMBER(MATCH(Location!$C$4&amp;"|"&amp;$A62&amp;"|landac",Market_Data!$K$5:$K$304,0)),"Market-City",IF(ISNUMBER(MATCH(Location!$C$5&amp;"|"&amp;$A62&amp;"|landac",Market_Data!$K$5:$K$304,0)),"Market-County",IF(ISNUMBER(MATCH(Location!$C$6&amp;"|"&amp;$A62&amp;"|landac",Market_Data!$K$5:$K$304,0)),"Market-State",IF(ISNUMBER(MATCH(Org_Profile!$C$4&amp;"|"&amp;$A62&amp;"|landac",Org_Overrides!$H$5:$H$304,0)),"Org","Default x index"))))</f>
        <v/>
      </c>
      <c r="Z62" s="2">
        <f>IF(ISNUMBER(MATCH(Location!$C$4&amp;"|"&amp;$A62&amp;"|rent",Market_Data!$K$5:$K$304,0)),"Market-City",IF(ISNUMBER(MATCH(Location!$C$5&amp;"|"&amp;$A62&amp;"|rent",Market_Data!$K$5:$K$304,0)),"Market-County",IF(ISNUMBER(MATCH(Location!$C$6&amp;"|"&amp;$A62&amp;"|rent",Market_Data!$K$5:$K$304,0)),"Market-State",IF(ISNUMBER(MATCH(Org_Profile!$C$4&amp;"|"&amp;$A62&amp;"|rent",Org_Overrides!$H$5:$H$304,0)),"Org","Default x index"))))</f>
        <v/>
      </c>
      <c r="AA62" s="2">
        <f>IF(ISNUMBER(MATCH(Location!$C$4&amp;"|"&amp;$A62&amp;"|groundrent",Market_Data!$K$5:$K$304,0)),"Market-City",IF(ISNUMBER(MATCH(Location!$C$5&amp;"|"&amp;$A62&amp;"|groundrent",Market_Data!$K$5:$K$304,0)),"Market-County",IF(ISNUMBER(MATCH(Location!$C$6&amp;"|"&amp;$A62&amp;"|groundrent",Market_Data!$K$5:$K$304,0)),"Market-State",IF(ISNUMBER(MATCH(Org_Profile!$C$4&amp;"|"&amp;$A62&amp;"|groundrent",Org_Overrides!$H$5:$H$304,0)),"Org","Default x index"))))</f>
        <v/>
      </c>
      <c r="AB62" s="2">
        <f>IF(ISNUMBER(MATCH(Location!$C$4&amp;"|"&amp;$A62&amp;"|cap",Market_Data!$K$5:$K$304,0)),"Market-City",IF(ISNUMBER(MATCH(Location!$C$5&amp;"|"&amp;$A62&amp;"|cap",Market_Data!$K$5:$K$304,0)),"Market-County",IF(ISNUMBER(MATCH(Location!$C$6&amp;"|"&amp;$A62&amp;"|cap",Market_Data!$K$5:$K$304,0)),"Market-State",IF(ISNUMBER(MATCH(Org_Profile!$C$4&amp;"|"&amp;$A62&amp;"|cap",Org_Overrides!$H$5:$H$304,0)),"Org","Default x index"))))</f>
        <v/>
      </c>
      <c r="AC62" s="2">
        <f>IF(ISNUMBER(MATCH(Location!$C$4&amp;"|"&amp;$A62&amp;"|vac",Market_Data!$K$5:$K$304,0)),"Market-City",IF(ISNUMBER(MATCH(Location!$C$5&amp;"|"&amp;$A62&amp;"|vac",Market_Data!$K$5:$K$304,0)),"Market-County",IF(ISNUMBER(MATCH(Location!$C$6&amp;"|"&amp;$A62&amp;"|vac",Market_Data!$K$5:$K$304,0)),"Market-State",IF(ISNUMBER(MATCH(Org_Profile!$C$4&amp;"|"&amp;$A62&amp;"|vac",Org_Overrides!$H$5:$H$304,0)),"Org","Default"))))</f>
        <v/>
      </c>
      <c r="AD62" s="2">
        <f>IF(ISNUMBER(MATCH(Location!$C$4&amp;"|"&amp;$A62&amp;"|absorb",Market_Data!$K$5:$K$304,0)),"Market-City",IF(ISNUMBER(MATCH(Location!$C$5&amp;"|"&amp;$A62&amp;"|absorb",Market_Data!$K$5:$K$304,0)),"Market-County",IF(ISNUMBER(MATCH(Location!$C$6&amp;"|"&amp;$A62&amp;"|absorb",Market_Data!$K$5:$K$304,0)),"Market-State",IF(ISNUMBER(MATCH(Org_Profile!$C$4&amp;"|"&amp;$A62&amp;"|absorb",Org_Overrides!$H$5:$H$304,0)),"Org","Default"))))</f>
        <v/>
      </c>
      <c r="AE62" s="2">
        <f>IF(ISNUMBER(MATCH(Location!$C$4&amp;"|"&amp;$A62&amp;"|lotabs",Market_Data!$K$5:$K$304,0)),"Market-City",IF(ISNUMBER(MATCH(Location!$C$5&amp;"|"&amp;$A62&amp;"|lotabs",Market_Data!$K$5:$K$304,0)),"Market-County",IF(ISNUMBER(MATCH(Location!$C$6&amp;"|"&amp;$A62&amp;"|lotabs",Market_Data!$K$5:$K$304,0)),"Market-State",IF(ISNUMBER(MATCH(Org_Profile!$C$4&amp;"|"&amp;$A62&amp;"|lotabs",Org_Overrides!$H$5:$H$304,0)),"Org","Default"))))</f>
        <v/>
      </c>
      <c r="AF62" s="15">
        <f>15-COUNTIF(Q62:AE62,"Default*")</f>
        <v/>
      </c>
    </row>
    <row r="63">
      <c r="A63" s="4">
        <f>Use_Library!$A$63</f>
        <v/>
      </c>
      <c r="B63" s="20">
        <f>IFERROR((INDEX(Org_Overrides!$D$5:$D$304,MATCH(Org_Profile!$C$4&amp;"|"&amp;$A63&amp;"|vert",Org_Overrides!$H$5:$H$304,0))*Location!$C$9),IFERROR(INDEX(Market_Data!$D$5:$D$304,MATCH(Location!$C$4&amp;"|"&amp;$A63&amp;"|vert",Market_Data!$K$5:$K$304,0)),IFERROR(INDEX(Market_Data!$D$5:$D$304,MATCH(Location!$C$5&amp;"|"&amp;$A63&amp;"|vert",Market_Data!$K$5:$K$304,0)),IFERROR(INDEX(Market_Data!$D$5:$D$304,MATCH(Location!$C$6&amp;"|"&amp;$A63&amp;"|vert",Market_Data!$K$5:$K$304,0)),(Use_Library!$AF$63*Location!$C$9)))))</f>
        <v/>
      </c>
      <c r="C63" s="20">
        <f>IFERROR((INDEX(Org_Overrides!$D$5:$D$304,MATCH(Org_Profile!$C$4&amp;"|"&amp;$A63&amp;"|entitle",Org_Overrides!$H$5:$H$304,0))*Location!$C$9),IFERROR(INDEX(Market_Data!$D$5:$D$304,MATCH(Location!$C$4&amp;"|"&amp;$A63&amp;"|entitle",Market_Data!$K$5:$K$304,0)),IFERROR(INDEX(Market_Data!$D$5:$D$304,MATCH(Location!$C$5&amp;"|"&amp;$A63&amp;"|entitle",Market_Data!$K$5:$K$304,0)),IFERROR(INDEX(Market_Data!$D$5:$D$304,MATCH(Location!$C$6&amp;"|"&amp;$A63&amp;"|entitle",Market_Data!$K$5:$K$304,0)),(Use_Library!$AE$63*Location!$C$9)))))</f>
        <v/>
      </c>
      <c r="D63" s="20">
        <f>IFERROR((INDEX(Org_Overrides!$D$5:$D$304,MATCH(Org_Profile!$C$4&amp;"|"&amp;$A63&amp;"|tilc",Org_Overrides!$H$5:$H$304,0))*Location!$C$9),IFERROR(INDEX(Market_Data!$D$5:$D$304,MATCH(Location!$C$4&amp;"|"&amp;$A63&amp;"|tilc",Market_Data!$K$5:$K$304,0)),IFERROR(INDEX(Market_Data!$D$5:$D$304,MATCH(Location!$C$5&amp;"|"&amp;$A63&amp;"|tilc",Market_Data!$K$5:$K$304,0)),IFERROR(INDEX(Market_Data!$D$5:$D$304,MATCH(Location!$C$6&amp;"|"&amp;$A63&amp;"|tilc",Market_Data!$K$5:$K$304,0)),(Use_Library!$AG$63*Location!$C$9)))))</f>
        <v/>
      </c>
      <c r="E63" s="20">
        <f>IFERROR((INDEX(Org_Overrides!$D$5:$D$304,MATCH(Org_Profile!$C$4&amp;"|"&amp;$A63&amp;"|opex",Org_Overrides!$H$5:$H$304,0))*Location!$C$13),IFERROR(INDEX(Market_Data!$D$5:$D$304,MATCH(Location!$C$4&amp;"|"&amp;$A63&amp;"|opex",Market_Data!$K$5:$K$304,0)),IFERROR(INDEX(Market_Data!$D$5:$D$304,MATCH(Location!$C$5&amp;"|"&amp;$A63&amp;"|opex",Market_Data!$K$5:$K$304,0)),IFERROR(INDEX(Market_Data!$D$5:$D$304,MATCH(Location!$C$6&amp;"|"&amp;$A63&amp;"|opex",Market_Data!$K$5:$K$304,0)),(Use_Library!$AN$63*Location!$C$13)))))</f>
        <v/>
      </c>
      <c r="F63" s="9">
        <f>IFERROR(INDEX(Org_Overrides!$D$5:$D$304,MATCH(Org_Profile!$C$4&amp;"|"&amp;$A63&amp;"|devmo",Org_Overrides!$H$5:$H$304,0)),IFERROR(INDEX(Market_Data!$D$5:$D$304,MATCH(Location!$C$4&amp;"|"&amp;$A63&amp;"|devmo",Market_Data!$K$5:$K$304,0)),IFERROR(INDEX(Market_Data!$D$5:$D$304,MATCH(Location!$C$5&amp;"|"&amp;$A63&amp;"|devmo",Market_Data!$K$5:$K$304,0)),IFERROR(INDEX(Market_Data!$D$5:$D$304,MATCH(Location!$C$6&amp;"|"&amp;$A63&amp;"|devmo",Market_Data!$K$5:$K$304,0)),Use_Library!$AH$63))))</f>
        <v/>
      </c>
      <c r="G63" s="23">
        <f>IFERROR(INDEX(Org_Overrides!$D$5:$D$304,MATCH(Org_Profile!$C$4&amp;"|"&amp;$A63&amp;"|margin",Org_Overrides!$H$5:$H$304,0)),IF(INDEX(Org_Profile!$C$9:$C$12,MATCH(Use_Library!$C$63,Org_Profile!$B$9:$B$12,0))&lt;&gt;"",INDEX(Org_Profile!$C$9:$C$12,MATCH(Use_Library!$C$63,Org_Profile!$B$9:$B$12,0)),Use_Library!$AU$63))</f>
        <v/>
      </c>
      <c r="H63" s="20">
        <f>IFERROR(INDEX(Market_Data!$D$5:$D$304,MATCH(Location!$C$4&amp;"|"&amp;$A63&amp;"|lotprice",Market_Data!$K$5:$K$304,0)),IFERROR(INDEX(Market_Data!$D$5:$D$304,MATCH(Location!$C$5&amp;"|"&amp;$A63&amp;"|lotprice",Market_Data!$K$5:$K$304,0)),IFERROR(INDEX(Market_Data!$D$5:$D$304,MATCH(Location!$C$6&amp;"|"&amp;$A63&amp;"|lotprice",Market_Data!$K$5:$K$304,0)),IFERROR((INDEX(Org_Overrides!$D$5:$D$304,MATCH(Org_Profile!$C$4&amp;"|"&amp;$A63&amp;"|lotprice",Org_Overrides!$H$5:$H$304,0))*Location!$C$10),(Use_Library!$AI$63*Location!$C$10)))))</f>
        <v/>
      </c>
      <c r="I63" s="20">
        <f>IFERROR(INDEX(Market_Data!$D$5:$D$304,MATCH(Location!$C$4&amp;"|"&amp;$A63&amp;"|saleprice",Market_Data!$K$5:$K$304,0)),IFERROR(INDEX(Market_Data!$D$5:$D$304,MATCH(Location!$C$5&amp;"|"&amp;$A63&amp;"|saleprice",Market_Data!$K$5:$K$304,0)),IFERROR(INDEX(Market_Data!$D$5:$D$304,MATCH(Location!$C$6&amp;"|"&amp;$A63&amp;"|saleprice",Market_Data!$K$5:$K$304,0)),IFERROR((INDEX(Org_Overrides!$D$5:$D$304,MATCH(Org_Profile!$C$4&amp;"|"&amp;$A63&amp;"|saleprice",Org_Overrides!$H$5:$H$304,0))*Location!$C$10),(Use_Library!$AJ$63*Location!$C$10)))))</f>
        <v/>
      </c>
      <c r="J63" s="20">
        <f>IFERROR(INDEX(Market_Data!$D$5:$D$304,MATCH(Location!$C$4&amp;"|"&amp;$A63&amp;"|landac",Market_Data!$K$5:$K$304,0)),IFERROR(INDEX(Market_Data!$D$5:$D$304,MATCH(Location!$C$5&amp;"|"&amp;$A63&amp;"|landac",Market_Data!$K$5:$K$304,0)),IFERROR(INDEX(Market_Data!$D$5:$D$304,MATCH(Location!$C$6&amp;"|"&amp;$A63&amp;"|landac",Market_Data!$K$5:$K$304,0)),IFERROR((INDEX(Org_Overrides!$D$5:$D$304,MATCH(Org_Profile!$C$4&amp;"|"&amp;$A63&amp;"|landac",Org_Overrides!$H$5:$H$304,0))*Location!$C$10),(Use_Library!$AS$63*Location!$C$10)))))</f>
        <v/>
      </c>
      <c r="K63" s="20">
        <f>IFERROR(INDEX(Market_Data!$D$5:$D$304,MATCH(Location!$C$4&amp;"|"&amp;$A63&amp;"|rent",Market_Data!$K$5:$K$304,0)),IFERROR(INDEX(Market_Data!$D$5:$D$304,MATCH(Location!$C$5&amp;"|"&amp;$A63&amp;"|rent",Market_Data!$K$5:$K$304,0)),IFERROR(INDEX(Market_Data!$D$5:$D$304,MATCH(Location!$C$6&amp;"|"&amp;$A63&amp;"|rent",Market_Data!$K$5:$K$304,0)),IFERROR((INDEX(Org_Overrides!$D$5:$D$304,MATCH(Org_Profile!$C$4&amp;"|"&amp;$A63&amp;"|rent",Org_Overrides!$H$5:$H$304,0))*Location!$C$11),(Use_Library!$AK$63*Location!$C$11)))))</f>
        <v/>
      </c>
      <c r="L63" s="20">
        <f>IFERROR(INDEX(Market_Data!$D$5:$D$304,MATCH(Location!$C$4&amp;"|"&amp;$A63&amp;"|groundrent",Market_Data!$K$5:$K$304,0)),IFERROR(INDEX(Market_Data!$D$5:$D$304,MATCH(Location!$C$5&amp;"|"&amp;$A63&amp;"|groundrent",Market_Data!$K$5:$K$304,0)),IFERROR(INDEX(Market_Data!$D$5:$D$304,MATCH(Location!$C$6&amp;"|"&amp;$A63&amp;"|groundrent",Market_Data!$K$5:$K$304,0)),IFERROR((INDEX(Org_Overrides!$D$5:$D$304,MATCH(Org_Profile!$C$4&amp;"|"&amp;$A63&amp;"|groundrent",Org_Overrides!$H$5:$H$304,0))*Location!$C$11),(Use_Library!$AT$63*Location!$C$11)))))</f>
        <v/>
      </c>
      <c r="M63" s="23">
        <f>IFERROR(INDEX(Market_Data!$D$5:$D$304,MATCH(Location!$C$4&amp;"|"&amp;$A63&amp;"|cap",Market_Data!$K$5:$K$304,0)),IFERROR(INDEX(Market_Data!$D$5:$D$304,MATCH(Location!$C$5&amp;"|"&amp;$A63&amp;"|cap",Market_Data!$K$5:$K$304,0)),IFERROR(INDEX(Market_Data!$D$5:$D$304,MATCH(Location!$C$6&amp;"|"&amp;$A63&amp;"|cap",Market_Data!$K$5:$K$304,0)),IFERROR((INDEX(Org_Overrides!$D$5:$D$304,MATCH(Org_Profile!$C$4&amp;"|"&amp;$A63&amp;"|cap",Org_Overrides!$H$5:$H$304,0))+Location!$C$12),(Use_Library!$AR$63+Location!$C$12)))))</f>
        <v/>
      </c>
      <c r="N63" s="23">
        <f>IFERROR(INDEX(Market_Data!$D$5:$D$304,MATCH(Location!$C$4&amp;"|"&amp;$A63&amp;"|vac",Market_Data!$K$5:$K$304,0)),IFERROR(INDEX(Market_Data!$D$5:$D$304,MATCH(Location!$C$5&amp;"|"&amp;$A63&amp;"|vac",Market_Data!$K$5:$K$304,0)),IFERROR(INDEX(Market_Data!$D$5:$D$304,MATCH(Location!$C$6&amp;"|"&amp;$A63&amp;"|vac",Market_Data!$K$5:$K$304,0)),IFERROR(INDEX(Org_Overrides!$D$5:$D$304,MATCH(Org_Profile!$C$4&amp;"|"&amp;$A63&amp;"|vac",Org_Overrides!$H$5:$H$304,0)),Use_Library!$AM$63))))</f>
        <v/>
      </c>
      <c r="O63" s="24">
        <f>IFERROR(INDEX(Market_Data!$D$5:$D$304,MATCH(Location!$C$4&amp;"|"&amp;$A63&amp;"|absorb",Market_Data!$K$5:$K$304,0)),IFERROR(INDEX(Market_Data!$D$5:$D$304,MATCH(Location!$C$5&amp;"|"&amp;$A63&amp;"|absorb",Market_Data!$K$5:$K$304,0)),IFERROR(INDEX(Market_Data!$D$5:$D$304,MATCH(Location!$C$6&amp;"|"&amp;$A63&amp;"|absorb",Market_Data!$K$5:$K$304,0)),IFERROR(INDEX(Org_Overrides!$D$5:$D$304,MATCH(Org_Profile!$C$4&amp;"|"&amp;$A63&amp;"|absorb",Org_Overrides!$H$5:$H$304,0)),Use_Library!$R$63))))</f>
        <v/>
      </c>
      <c r="P63" s="24">
        <f>IFERROR(INDEX(Market_Data!$D$5:$D$304,MATCH(Location!$C$4&amp;"|"&amp;$A63&amp;"|lotabs",Market_Data!$K$5:$K$304,0)),IFERROR(INDEX(Market_Data!$D$5:$D$304,MATCH(Location!$C$5&amp;"|"&amp;$A63&amp;"|lotabs",Market_Data!$K$5:$K$304,0)),IFERROR(INDEX(Market_Data!$D$5:$D$304,MATCH(Location!$C$6&amp;"|"&amp;$A63&amp;"|lotabs",Market_Data!$K$5:$K$304,0)),IFERROR(INDEX(Org_Overrides!$D$5:$D$304,MATCH(Org_Profile!$C$4&amp;"|"&amp;$A63&amp;"|lotabs",Org_Overrides!$H$5:$H$304,0)),Use_Library!$S$63))))</f>
        <v/>
      </c>
      <c r="Q63" s="2">
        <f>IF(ISNUMBER(MATCH(Org_Profile!$C$4&amp;"|"&amp;$A63&amp;"|vert",Org_Overrides!$H$5:$H$304,0)),"Org",IF(ISNUMBER(MATCH(Location!$C$4&amp;"|"&amp;$A63&amp;"|vert",Market_Data!$K$5:$K$304,0)),"Market-City",IF(ISNUMBER(MATCH(Location!$C$5&amp;"|"&amp;$A63&amp;"|vert",Market_Data!$K$5:$K$304,0)),"Market-County",IF(ISNUMBER(MATCH(Location!$C$6&amp;"|"&amp;$A63&amp;"|vert",Market_Data!$K$5:$K$304,0)),"Market-State","Default x index"))))</f>
        <v/>
      </c>
      <c r="R63" s="2">
        <f>IF(ISNUMBER(MATCH(Org_Profile!$C$4&amp;"|"&amp;$A63&amp;"|entitle",Org_Overrides!$H$5:$H$304,0)),"Org",IF(ISNUMBER(MATCH(Location!$C$4&amp;"|"&amp;$A63&amp;"|entitle",Market_Data!$K$5:$K$304,0)),"Market-City",IF(ISNUMBER(MATCH(Location!$C$5&amp;"|"&amp;$A63&amp;"|entitle",Market_Data!$K$5:$K$304,0)),"Market-County",IF(ISNUMBER(MATCH(Location!$C$6&amp;"|"&amp;$A63&amp;"|entitle",Market_Data!$K$5:$K$304,0)),"Market-State","Default x index"))))</f>
        <v/>
      </c>
      <c r="S63" s="2">
        <f>IF(ISNUMBER(MATCH(Org_Profile!$C$4&amp;"|"&amp;$A63&amp;"|tilc",Org_Overrides!$H$5:$H$304,0)),"Org",IF(ISNUMBER(MATCH(Location!$C$4&amp;"|"&amp;$A63&amp;"|tilc",Market_Data!$K$5:$K$304,0)),"Market-City",IF(ISNUMBER(MATCH(Location!$C$5&amp;"|"&amp;$A63&amp;"|tilc",Market_Data!$K$5:$K$304,0)),"Market-County",IF(ISNUMBER(MATCH(Location!$C$6&amp;"|"&amp;$A63&amp;"|tilc",Market_Data!$K$5:$K$304,0)),"Market-State","Default x index"))))</f>
        <v/>
      </c>
      <c r="T63" s="2">
        <f>IF(ISNUMBER(MATCH(Org_Profile!$C$4&amp;"|"&amp;$A63&amp;"|opex",Org_Overrides!$H$5:$H$304,0)),"Org",IF(ISNUMBER(MATCH(Location!$C$4&amp;"|"&amp;$A63&amp;"|opex",Market_Data!$K$5:$K$304,0)),"Market-City",IF(ISNUMBER(MATCH(Location!$C$5&amp;"|"&amp;$A63&amp;"|opex",Market_Data!$K$5:$K$304,0)),"Market-County",IF(ISNUMBER(MATCH(Location!$C$6&amp;"|"&amp;$A63&amp;"|opex",Market_Data!$K$5:$K$304,0)),"Market-State","Default x index"))))</f>
        <v/>
      </c>
      <c r="U63" s="2">
        <f>IF(ISNUMBER(MATCH(Org_Profile!$C$4&amp;"|"&amp;$A63&amp;"|devmo",Org_Overrides!$H$5:$H$304,0)),"Org",IF(ISNUMBER(MATCH(Location!$C$4&amp;"|"&amp;$A63&amp;"|devmo",Market_Data!$K$5:$K$304,0)),"Market-City",IF(ISNUMBER(MATCH(Location!$C$5&amp;"|"&amp;$A63&amp;"|devmo",Market_Data!$K$5:$K$304,0)),"Market-County",IF(ISNUMBER(MATCH(Location!$C$6&amp;"|"&amp;$A63&amp;"|devmo",Market_Data!$K$5:$K$304,0)),"Market-State","Default"))))</f>
        <v/>
      </c>
      <c r="V63" s="2">
        <f>IF(ISNUMBER(MATCH(Org_Profile!$C$4&amp;"|"&amp;$A63&amp;"|margin",Org_Overrides!$H$5:$H$304,0)),"Org",IF(INDEX(Org_Profile!$C$9:$C$12,MATCH(Use_Library!$C$63,Org_Profile!$B$9:$B$12,0))&lt;&gt;"","Org engine margin","Default"))</f>
        <v/>
      </c>
      <c r="W63" s="2">
        <f>IF(ISNUMBER(MATCH(Location!$C$4&amp;"|"&amp;$A63&amp;"|lotprice",Market_Data!$K$5:$K$304,0)),"Market-City",IF(ISNUMBER(MATCH(Location!$C$5&amp;"|"&amp;$A63&amp;"|lotprice",Market_Data!$K$5:$K$304,0)),"Market-County",IF(ISNUMBER(MATCH(Location!$C$6&amp;"|"&amp;$A63&amp;"|lotprice",Market_Data!$K$5:$K$304,0)),"Market-State",IF(ISNUMBER(MATCH(Org_Profile!$C$4&amp;"|"&amp;$A63&amp;"|lotprice",Org_Overrides!$H$5:$H$304,0)),"Org","Default x index"))))</f>
        <v/>
      </c>
      <c r="X63" s="2">
        <f>IF(ISNUMBER(MATCH(Location!$C$4&amp;"|"&amp;$A63&amp;"|saleprice",Market_Data!$K$5:$K$304,0)),"Market-City",IF(ISNUMBER(MATCH(Location!$C$5&amp;"|"&amp;$A63&amp;"|saleprice",Market_Data!$K$5:$K$304,0)),"Market-County",IF(ISNUMBER(MATCH(Location!$C$6&amp;"|"&amp;$A63&amp;"|saleprice",Market_Data!$K$5:$K$304,0)),"Market-State",IF(ISNUMBER(MATCH(Org_Profile!$C$4&amp;"|"&amp;$A63&amp;"|saleprice",Org_Overrides!$H$5:$H$304,0)),"Org","Default x index"))))</f>
        <v/>
      </c>
      <c r="Y63" s="2">
        <f>IF(ISNUMBER(MATCH(Location!$C$4&amp;"|"&amp;$A63&amp;"|landac",Market_Data!$K$5:$K$304,0)),"Market-City",IF(ISNUMBER(MATCH(Location!$C$5&amp;"|"&amp;$A63&amp;"|landac",Market_Data!$K$5:$K$304,0)),"Market-County",IF(ISNUMBER(MATCH(Location!$C$6&amp;"|"&amp;$A63&amp;"|landac",Market_Data!$K$5:$K$304,0)),"Market-State",IF(ISNUMBER(MATCH(Org_Profile!$C$4&amp;"|"&amp;$A63&amp;"|landac",Org_Overrides!$H$5:$H$304,0)),"Org","Default x index"))))</f>
        <v/>
      </c>
      <c r="Z63" s="2">
        <f>IF(ISNUMBER(MATCH(Location!$C$4&amp;"|"&amp;$A63&amp;"|rent",Market_Data!$K$5:$K$304,0)),"Market-City",IF(ISNUMBER(MATCH(Location!$C$5&amp;"|"&amp;$A63&amp;"|rent",Market_Data!$K$5:$K$304,0)),"Market-County",IF(ISNUMBER(MATCH(Location!$C$6&amp;"|"&amp;$A63&amp;"|rent",Market_Data!$K$5:$K$304,0)),"Market-State",IF(ISNUMBER(MATCH(Org_Profile!$C$4&amp;"|"&amp;$A63&amp;"|rent",Org_Overrides!$H$5:$H$304,0)),"Org","Default x index"))))</f>
        <v/>
      </c>
      <c r="AA63" s="2">
        <f>IF(ISNUMBER(MATCH(Location!$C$4&amp;"|"&amp;$A63&amp;"|groundrent",Market_Data!$K$5:$K$304,0)),"Market-City",IF(ISNUMBER(MATCH(Location!$C$5&amp;"|"&amp;$A63&amp;"|groundrent",Market_Data!$K$5:$K$304,0)),"Market-County",IF(ISNUMBER(MATCH(Location!$C$6&amp;"|"&amp;$A63&amp;"|groundrent",Market_Data!$K$5:$K$304,0)),"Market-State",IF(ISNUMBER(MATCH(Org_Profile!$C$4&amp;"|"&amp;$A63&amp;"|groundrent",Org_Overrides!$H$5:$H$304,0)),"Org","Default x index"))))</f>
        <v/>
      </c>
      <c r="AB63" s="2">
        <f>IF(ISNUMBER(MATCH(Location!$C$4&amp;"|"&amp;$A63&amp;"|cap",Market_Data!$K$5:$K$304,0)),"Market-City",IF(ISNUMBER(MATCH(Location!$C$5&amp;"|"&amp;$A63&amp;"|cap",Market_Data!$K$5:$K$304,0)),"Market-County",IF(ISNUMBER(MATCH(Location!$C$6&amp;"|"&amp;$A63&amp;"|cap",Market_Data!$K$5:$K$304,0)),"Market-State",IF(ISNUMBER(MATCH(Org_Profile!$C$4&amp;"|"&amp;$A63&amp;"|cap",Org_Overrides!$H$5:$H$304,0)),"Org","Default x index"))))</f>
        <v/>
      </c>
      <c r="AC63" s="2">
        <f>IF(ISNUMBER(MATCH(Location!$C$4&amp;"|"&amp;$A63&amp;"|vac",Market_Data!$K$5:$K$304,0)),"Market-City",IF(ISNUMBER(MATCH(Location!$C$5&amp;"|"&amp;$A63&amp;"|vac",Market_Data!$K$5:$K$304,0)),"Market-County",IF(ISNUMBER(MATCH(Location!$C$6&amp;"|"&amp;$A63&amp;"|vac",Market_Data!$K$5:$K$304,0)),"Market-State",IF(ISNUMBER(MATCH(Org_Profile!$C$4&amp;"|"&amp;$A63&amp;"|vac",Org_Overrides!$H$5:$H$304,0)),"Org","Default"))))</f>
        <v/>
      </c>
      <c r="AD63" s="2">
        <f>IF(ISNUMBER(MATCH(Location!$C$4&amp;"|"&amp;$A63&amp;"|absorb",Market_Data!$K$5:$K$304,0)),"Market-City",IF(ISNUMBER(MATCH(Location!$C$5&amp;"|"&amp;$A63&amp;"|absorb",Market_Data!$K$5:$K$304,0)),"Market-County",IF(ISNUMBER(MATCH(Location!$C$6&amp;"|"&amp;$A63&amp;"|absorb",Market_Data!$K$5:$K$304,0)),"Market-State",IF(ISNUMBER(MATCH(Org_Profile!$C$4&amp;"|"&amp;$A63&amp;"|absorb",Org_Overrides!$H$5:$H$304,0)),"Org","Default"))))</f>
        <v/>
      </c>
      <c r="AE63" s="2">
        <f>IF(ISNUMBER(MATCH(Location!$C$4&amp;"|"&amp;$A63&amp;"|lotabs",Market_Data!$K$5:$K$304,0)),"Market-City",IF(ISNUMBER(MATCH(Location!$C$5&amp;"|"&amp;$A63&amp;"|lotabs",Market_Data!$K$5:$K$304,0)),"Market-County",IF(ISNUMBER(MATCH(Location!$C$6&amp;"|"&amp;$A63&amp;"|lotabs",Market_Data!$K$5:$K$304,0)),"Market-State",IF(ISNUMBER(MATCH(Org_Profile!$C$4&amp;"|"&amp;$A63&amp;"|lotabs",Org_Overrides!$H$5:$H$304,0)),"Org","Default"))))</f>
        <v/>
      </c>
      <c r="AF63" s="15">
        <f>15-COUNTIF(Q63:AE63,"Default*")</f>
        <v/>
      </c>
    </row>
    <row r="64">
      <c r="A64" s="4">
        <f>Use_Library!$A$64</f>
        <v/>
      </c>
      <c r="B64" s="20">
        <f>IFERROR((INDEX(Org_Overrides!$D$5:$D$304,MATCH(Org_Profile!$C$4&amp;"|"&amp;$A64&amp;"|vert",Org_Overrides!$H$5:$H$304,0))*Location!$C$9),IFERROR(INDEX(Market_Data!$D$5:$D$304,MATCH(Location!$C$4&amp;"|"&amp;$A64&amp;"|vert",Market_Data!$K$5:$K$304,0)),IFERROR(INDEX(Market_Data!$D$5:$D$304,MATCH(Location!$C$5&amp;"|"&amp;$A64&amp;"|vert",Market_Data!$K$5:$K$304,0)),IFERROR(INDEX(Market_Data!$D$5:$D$304,MATCH(Location!$C$6&amp;"|"&amp;$A64&amp;"|vert",Market_Data!$K$5:$K$304,0)),(Use_Library!$AF$64*Location!$C$9)))))</f>
        <v/>
      </c>
      <c r="C64" s="20">
        <f>IFERROR((INDEX(Org_Overrides!$D$5:$D$304,MATCH(Org_Profile!$C$4&amp;"|"&amp;$A64&amp;"|entitle",Org_Overrides!$H$5:$H$304,0))*Location!$C$9),IFERROR(INDEX(Market_Data!$D$5:$D$304,MATCH(Location!$C$4&amp;"|"&amp;$A64&amp;"|entitle",Market_Data!$K$5:$K$304,0)),IFERROR(INDEX(Market_Data!$D$5:$D$304,MATCH(Location!$C$5&amp;"|"&amp;$A64&amp;"|entitle",Market_Data!$K$5:$K$304,0)),IFERROR(INDEX(Market_Data!$D$5:$D$304,MATCH(Location!$C$6&amp;"|"&amp;$A64&amp;"|entitle",Market_Data!$K$5:$K$304,0)),(Use_Library!$AE$64*Location!$C$9)))))</f>
        <v/>
      </c>
      <c r="D64" s="20">
        <f>IFERROR((INDEX(Org_Overrides!$D$5:$D$304,MATCH(Org_Profile!$C$4&amp;"|"&amp;$A64&amp;"|tilc",Org_Overrides!$H$5:$H$304,0))*Location!$C$9),IFERROR(INDEX(Market_Data!$D$5:$D$304,MATCH(Location!$C$4&amp;"|"&amp;$A64&amp;"|tilc",Market_Data!$K$5:$K$304,0)),IFERROR(INDEX(Market_Data!$D$5:$D$304,MATCH(Location!$C$5&amp;"|"&amp;$A64&amp;"|tilc",Market_Data!$K$5:$K$304,0)),IFERROR(INDEX(Market_Data!$D$5:$D$304,MATCH(Location!$C$6&amp;"|"&amp;$A64&amp;"|tilc",Market_Data!$K$5:$K$304,0)),(Use_Library!$AG$64*Location!$C$9)))))</f>
        <v/>
      </c>
      <c r="E64" s="20">
        <f>IFERROR((INDEX(Org_Overrides!$D$5:$D$304,MATCH(Org_Profile!$C$4&amp;"|"&amp;$A64&amp;"|opex",Org_Overrides!$H$5:$H$304,0))*Location!$C$13),IFERROR(INDEX(Market_Data!$D$5:$D$304,MATCH(Location!$C$4&amp;"|"&amp;$A64&amp;"|opex",Market_Data!$K$5:$K$304,0)),IFERROR(INDEX(Market_Data!$D$5:$D$304,MATCH(Location!$C$5&amp;"|"&amp;$A64&amp;"|opex",Market_Data!$K$5:$K$304,0)),IFERROR(INDEX(Market_Data!$D$5:$D$304,MATCH(Location!$C$6&amp;"|"&amp;$A64&amp;"|opex",Market_Data!$K$5:$K$304,0)),(Use_Library!$AN$64*Location!$C$13)))))</f>
        <v/>
      </c>
      <c r="F64" s="9">
        <f>IFERROR(INDEX(Org_Overrides!$D$5:$D$304,MATCH(Org_Profile!$C$4&amp;"|"&amp;$A64&amp;"|devmo",Org_Overrides!$H$5:$H$304,0)),IFERROR(INDEX(Market_Data!$D$5:$D$304,MATCH(Location!$C$4&amp;"|"&amp;$A64&amp;"|devmo",Market_Data!$K$5:$K$304,0)),IFERROR(INDEX(Market_Data!$D$5:$D$304,MATCH(Location!$C$5&amp;"|"&amp;$A64&amp;"|devmo",Market_Data!$K$5:$K$304,0)),IFERROR(INDEX(Market_Data!$D$5:$D$304,MATCH(Location!$C$6&amp;"|"&amp;$A64&amp;"|devmo",Market_Data!$K$5:$K$304,0)),Use_Library!$AH$64))))</f>
        <v/>
      </c>
      <c r="G64" s="23">
        <f>IFERROR(INDEX(Org_Overrides!$D$5:$D$304,MATCH(Org_Profile!$C$4&amp;"|"&amp;$A64&amp;"|margin",Org_Overrides!$H$5:$H$304,0)),IF(INDEX(Org_Profile!$C$9:$C$12,MATCH(Use_Library!$C$64,Org_Profile!$B$9:$B$12,0))&lt;&gt;"",INDEX(Org_Profile!$C$9:$C$12,MATCH(Use_Library!$C$64,Org_Profile!$B$9:$B$12,0)),Use_Library!$AU$64))</f>
        <v/>
      </c>
      <c r="H64" s="20">
        <f>IFERROR(INDEX(Market_Data!$D$5:$D$304,MATCH(Location!$C$4&amp;"|"&amp;$A64&amp;"|lotprice",Market_Data!$K$5:$K$304,0)),IFERROR(INDEX(Market_Data!$D$5:$D$304,MATCH(Location!$C$5&amp;"|"&amp;$A64&amp;"|lotprice",Market_Data!$K$5:$K$304,0)),IFERROR(INDEX(Market_Data!$D$5:$D$304,MATCH(Location!$C$6&amp;"|"&amp;$A64&amp;"|lotprice",Market_Data!$K$5:$K$304,0)),IFERROR((INDEX(Org_Overrides!$D$5:$D$304,MATCH(Org_Profile!$C$4&amp;"|"&amp;$A64&amp;"|lotprice",Org_Overrides!$H$5:$H$304,0))*Location!$C$10),(Use_Library!$AI$64*Location!$C$10)))))</f>
        <v/>
      </c>
      <c r="I64" s="20">
        <f>IFERROR(INDEX(Market_Data!$D$5:$D$304,MATCH(Location!$C$4&amp;"|"&amp;$A64&amp;"|saleprice",Market_Data!$K$5:$K$304,0)),IFERROR(INDEX(Market_Data!$D$5:$D$304,MATCH(Location!$C$5&amp;"|"&amp;$A64&amp;"|saleprice",Market_Data!$K$5:$K$304,0)),IFERROR(INDEX(Market_Data!$D$5:$D$304,MATCH(Location!$C$6&amp;"|"&amp;$A64&amp;"|saleprice",Market_Data!$K$5:$K$304,0)),IFERROR((INDEX(Org_Overrides!$D$5:$D$304,MATCH(Org_Profile!$C$4&amp;"|"&amp;$A64&amp;"|saleprice",Org_Overrides!$H$5:$H$304,0))*Location!$C$10),(Use_Library!$AJ$64*Location!$C$10)))))</f>
        <v/>
      </c>
      <c r="J64" s="20">
        <f>IFERROR(INDEX(Market_Data!$D$5:$D$304,MATCH(Location!$C$4&amp;"|"&amp;$A64&amp;"|landac",Market_Data!$K$5:$K$304,0)),IFERROR(INDEX(Market_Data!$D$5:$D$304,MATCH(Location!$C$5&amp;"|"&amp;$A64&amp;"|landac",Market_Data!$K$5:$K$304,0)),IFERROR(INDEX(Market_Data!$D$5:$D$304,MATCH(Location!$C$6&amp;"|"&amp;$A64&amp;"|landac",Market_Data!$K$5:$K$304,0)),IFERROR((INDEX(Org_Overrides!$D$5:$D$304,MATCH(Org_Profile!$C$4&amp;"|"&amp;$A64&amp;"|landac",Org_Overrides!$H$5:$H$304,0))*Location!$C$10),(Use_Library!$AS$64*Location!$C$10)))))</f>
        <v/>
      </c>
      <c r="K64" s="20">
        <f>IFERROR(INDEX(Market_Data!$D$5:$D$304,MATCH(Location!$C$4&amp;"|"&amp;$A64&amp;"|rent",Market_Data!$K$5:$K$304,0)),IFERROR(INDEX(Market_Data!$D$5:$D$304,MATCH(Location!$C$5&amp;"|"&amp;$A64&amp;"|rent",Market_Data!$K$5:$K$304,0)),IFERROR(INDEX(Market_Data!$D$5:$D$304,MATCH(Location!$C$6&amp;"|"&amp;$A64&amp;"|rent",Market_Data!$K$5:$K$304,0)),IFERROR((INDEX(Org_Overrides!$D$5:$D$304,MATCH(Org_Profile!$C$4&amp;"|"&amp;$A64&amp;"|rent",Org_Overrides!$H$5:$H$304,0))*Location!$C$11),(Use_Library!$AK$64*Location!$C$11)))))</f>
        <v/>
      </c>
      <c r="L64" s="20">
        <f>IFERROR(INDEX(Market_Data!$D$5:$D$304,MATCH(Location!$C$4&amp;"|"&amp;$A64&amp;"|groundrent",Market_Data!$K$5:$K$304,0)),IFERROR(INDEX(Market_Data!$D$5:$D$304,MATCH(Location!$C$5&amp;"|"&amp;$A64&amp;"|groundrent",Market_Data!$K$5:$K$304,0)),IFERROR(INDEX(Market_Data!$D$5:$D$304,MATCH(Location!$C$6&amp;"|"&amp;$A64&amp;"|groundrent",Market_Data!$K$5:$K$304,0)),IFERROR((INDEX(Org_Overrides!$D$5:$D$304,MATCH(Org_Profile!$C$4&amp;"|"&amp;$A64&amp;"|groundrent",Org_Overrides!$H$5:$H$304,0))*Location!$C$11),(Use_Library!$AT$64*Location!$C$11)))))</f>
        <v/>
      </c>
      <c r="M64" s="23">
        <f>IFERROR(INDEX(Market_Data!$D$5:$D$304,MATCH(Location!$C$4&amp;"|"&amp;$A64&amp;"|cap",Market_Data!$K$5:$K$304,0)),IFERROR(INDEX(Market_Data!$D$5:$D$304,MATCH(Location!$C$5&amp;"|"&amp;$A64&amp;"|cap",Market_Data!$K$5:$K$304,0)),IFERROR(INDEX(Market_Data!$D$5:$D$304,MATCH(Location!$C$6&amp;"|"&amp;$A64&amp;"|cap",Market_Data!$K$5:$K$304,0)),IFERROR((INDEX(Org_Overrides!$D$5:$D$304,MATCH(Org_Profile!$C$4&amp;"|"&amp;$A64&amp;"|cap",Org_Overrides!$H$5:$H$304,0))+Location!$C$12),(Use_Library!$AR$64+Location!$C$12)))))</f>
        <v/>
      </c>
      <c r="N64" s="23">
        <f>IFERROR(INDEX(Market_Data!$D$5:$D$304,MATCH(Location!$C$4&amp;"|"&amp;$A64&amp;"|vac",Market_Data!$K$5:$K$304,0)),IFERROR(INDEX(Market_Data!$D$5:$D$304,MATCH(Location!$C$5&amp;"|"&amp;$A64&amp;"|vac",Market_Data!$K$5:$K$304,0)),IFERROR(INDEX(Market_Data!$D$5:$D$304,MATCH(Location!$C$6&amp;"|"&amp;$A64&amp;"|vac",Market_Data!$K$5:$K$304,0)),IFERROR(INDEX(Org_Overrides!$D$5:$D$304,MATCH(Org_Profile!$C$4&amp;"|"&amp;$A64&amp;"|vac",Org_Overrides!$H$5:$H$304,0)),Use_Library!$AM$64))))</f>
        <v/>
      </c>
      <c r="O64" s="24">
        <f>IFERROR(INDEX(Market_Data!$D$5:$D$304,MATCH(Location!$C$4&amp;"|"&amp;$A64&amp;"|absorb",Market_Data!$K$5:$K$304,0)),IFERROR(INDEX(Market_Data!$D$5:$D$304,MATCH(Location!$C$5&amp;"|"&amp;$A64&amp;"|absorb",Market_Data!$K$5:$K$304,0)),IFERROR(INDEX(Market_Data!$D$5:$D$304,MATCH(Location!$C$6&amp;"|"&amp;$A64&amp;"|absorb",Market_Data!$K$5:$K$304,0)),IFERROR(INDEX(Org_Overrides!$D$5:$D$304,MATCH(Org_Profile!$C$4&amp;"|"&amp;$A64&amp;"|absorb",Org_Overrides!$H$5:$H$304,0)),Use_Library!$R$64))))</f>
        <v/>
      </c>
      <c r="P64" s="24">
        <f>IFERROR(INDEX(Market_Data!$D$5:$D$304,MATCH(Location!$C$4&amp;"|"&amp;$A64&amp;"|lotabs",Market_Data!$K$5:$K$304,0)),IFERROR(INDEX(Market_Data!$D$5:$D$304,MATCH(Location!$C$5&amp;"|"&amp;$A64&amp;"|lotabs",Market_Data!$K$5:$K$304,0)),IFERROR(INDEX(Market_Data!$D$5:$D$304,MATCH(Location!$C$6&amp;"|"&amp;$A64&amp;"|lotabs",Market_Data!$K$5:$K$304,0)),IFERROR(INDEX(Org_Overrides!$D$5:$D$304,MATCH(Org_Profile!$C$4&amp;"|"&amp;$A64&amp;"|lotabs",Org_Overrides!$H$5:$H$304,0)),Use_Library!$S$64))))</f>
        <v/>
      </c>
      <c r="Q64" s="2">
        <f>IF(ISNUMBER(MATCH(Org_Profile!$C$4&amp;"|"&amp;$A64&amp;"|vert",Org_Overrides!$H$5:$H$304,0)),"Org",IF(ISNUMBER(MATCH(Location!$C$4&amp;"|"&amp;$A64&amp;"|vert",Market_Data!$K$5:$K$304,0)),"Market-City",IF(ISNUMBER(MATCH(Location!$C$5&amp;"|"&amp;$A64&amp;"|vert",Market_Data!$K$5:$K$304,0)),"Market-County",IF(ISNUMBER(MATCH(Location!$C$6&amp;"|"&amp;$A64&amp;"|vert",Market_Data!$K$5:$K$304,0)),"Market-State","Default x index"))))</f>
        <v/>
      </c>
      <c r="R64" s="2">
        <f>IF(ISNUMBER(MATCH(Org_Profile!$C$4&amp;"|"&amp;$A64&amp;"|entitle",Org_Overrides!$H$5:$H$304,0)),"Org",IF(ISNUMBER(MATCH(Location!$C$4&amp;"|"&amp;$A64&amp;"|entitle",Market_Data!$K$5:$K$304,0)),"Market-City",IF(ISNUMBER(MATCH(Location!$C$5&amp;"|"&amp;$A64&amp;"|entitle",Market_Data!$K$5:$K$304,0)),"Market-County",IF(ISNUMBER(MATCH(Location!$C$6&amp;"|"&amp;$A64&amp;"|entitle",Market_Data!$K$5:$K$304,0)),"Market-State","Default x index"))))</f>
        <v/>
      </c>
      <c r="S64" s="2">
        <f>IF(ISNUMBER(MATCH(Org_Profile!$C$4&amp;"|"&amp;$A64&amp;"|tilc",Org_Overrides!$H$5:$H$304,0)),"Org",IF(ISNUMBER(MATCH(Location!$C$4&amp;"|"&amp;$A64&amp;"|tilc",Market_Data!$K$5:$K$304,0)),"Market-City",IF(ISNUMBER(MATCH(Location!$C$5&amp;"|"&amp;$A64&amp;"|tilc",Market_Data!$K$5:$K$304,0)),"Market-County",IF(ISNUMBER(MATCH(Location!$C$6&amp;"|"&amp;$A64&amp;"|tilc",Market_Data!$K$5:$K$304,0)),"Market-State","Default x index"))))</f>
        <v/>
      </c>
      <c r="T64" s="2">
        <f>IF(ISNUMBER(MATCH(Org_Profile!$C$4&amp;"|"&amp;$A64&amp;"|opex",Org_Overrides!$H$5:$H$304,0)),"Org",IF(ISNUMBER(MATCH(Location!$C$4&amp;"|"&amp;$A64&amp;"|opex",Market_Data!$K$5:$K$304,0)),"Market-City",IF(ISNUMBER(MATCH(Location!$C$5&amp;"|"&amp;$A64&amp;"|opex",Market_Data!$K$5:$K$304,0)),"Market-County",IF(ISNUMBER(MATCH(Location!$C$6&amp;"|"&amp;$A64&amp;"|opex",Market_Data!$K$5:$K$304,0)),"Market-State","Default x index"))))</f>
        <v/>
      </c>
      <c r="U64" s="2">
        <f>IF(ISNUMBER(MATCH(Org_Profile!$C$4&amp;"|"&amp;$A64&amp;"|devmo",Org_Overrides!$H$5:$H$304,0)),"Org",IF(ISNUMBER(MATCH(Location!$C$4&amp;"|"&amp;$A64&amp;"|devmo",Market_Data!$K$5:$K$304,0)),"Market-City",IF(ISNUMBER(MATCH(Location!$C$5&amp;"|"&amp;$A64&amp;"|devmo",Market_Data!$K$5:$K$304,0)),"Market-County",IF(ISNUMBER(MATCH(Location!$C$6&amp;"|"&amp;$A64&amp;"|devmo",Market_Data!$K$5:$K$304,0)),"Market-State","Default"))))</f>
        <v/>
      </c>
      <c r="V64" s="2">
        <f>IF(ISNUMBER(MATCH(Org_Profile!$C$4&amp;"|"&amp;$A64&amp;"|margin",Org_Overrides!$H$5:$H$304,0)),"Org",IF(INDEX(Org_Profile!$C$9:$C$12,MATCH(Use_Library!$C$64,Org_Profile!$B$9:$B$12,0))&lt;&gt;"","Org engine margin","Default"))</f>
        <v/>
      </c>
      <c r="W64" s="2">
        <f>IF(ISNUMBER(MATCH(Location!$C$4&amp;"|"&amp;$A64&amp;"|lotprice",Market_Data!$K$5:$K$304,0)),"Market-City",IF(ISNUMBER(MATCH(Location!$C$5&amp;"|"&amp;$A64&amp;"|lotprice",Market_Data!$K$5:$K$304,0)),"Market-County",IF(ISNUMBER(MATCH(Location!$C$6&amp;"|"&amp;$A64&amp;"|lotprice",Market_Data!$K$5:$K$304,0)),"Market-State",IF(ISNUMBER(MATCH(Org_Profile!$C$4&amp;"|"&amp;$A64&amp;"|lotprice",Org_Overrides!$H$5:$H$304,0)),"Org","Default x index"))))</f>
        <v/>
      </c>
      <c r="X64" s="2">
        <f>IF(ISNUMBER(MATCH(Location!$C$4&amp;"|"&amp;$A64&amp;"|saleprice",Market_Data!$K$5:$K$304,0)),"Market-City",IF(ISNUMBER(MATCH(Location!$C$5&amp;"|"&amp;$A64&amp;"|saleprice",Market_Data!$K$5:$K$304,0)),"Market-County",IF(ISNUMBER(MATCH(Location!$C$6&amp;"|"&amp;$A64&amp;"|saleprice",Market_Data!$K$5:$K$304,0)),"Market-State",IF(ISNUMBER(MATCH(Org_Profile!$C$4&amp;"|"&amp;$A64&amp;"|saleprice",Org_Overrides!$H$5:$H$304,0)),"Org","Default x index"))))</f>
        <v/>
      </c>
      <c r="Y64" s="2">
        <f>IF(ISNUMBER(MATCH(Location!$C$4&amp;"|"&amp;$A64&amp;"|landac",Market_Data!$K$5:$K$304,0)),"Market-City",IF(ISNUMBER(MATCH(Location!$C$5&amp;"|"&amp;$A64&amp;"|landac",Market_Data!$K$5:$K$304,0)),"Market-County",IF(ISNUMBER(MATCH(Location!$C$6&amp;"|"&amp;$A64&amp;"|landac",Market_Data!$K$5:$K$304,0)),"Market-State",IF(ISNUMBER(MATCH(Org_Profile!$C$4&amp;"|"&amp;$A64&amp;"|landac",Org_Overrides!$H$5:$H$304,0)),"Org","Default x index"))))</f>
        <v/>
      </c>
      <c r="Z64" s="2">
        <f>IF(ISNUMBER(MATCH(Location!$C$4&amp;"|"&amp;$A64&amp;"|rent",Market_Data!$K$5:$K$304,0)),"Market-City",IF(ISNUMBER(MATCH(Location!$C$5&amp;"|"&amp;$A64&amp;"|rent",Market_Data!$K$5:$K$304,0)),"Market-County",IF(ISNUMBER(MATCH(Location!$C$6&amp;"|"&amp;$A64&amp;"|rent",Market_Data!$K$5:$K$304,0)),"Market-State",IF(ISNUMBER(MATCH(Org_Profile!$C$4&amp;"|"&amp;$A64&amp;"|rent",Org_Overrides!$H$5:$H$304,0)),"Org","Default x index"))))</f>
        <v/>
      </c>
      <c r="AA64" s="2">
        <f>IF(ISNUMBER(MATCH(Location!$C$4&amp;"|"&amp;$A64&amp;"|groundrent",Market_Data!$K$5:$K$304,0)),"Market-City",IF(ISNUMBER(MATCH(Location!$C$5&amp;"|"&amp;$A64&amp;"|groundrent",Market_Data!$K$5:$K$304,0)),"Market-County",IF(ISNUMBER(MATCH(Location!$C$6&amp;"|"&amp;$A64&amp;"|groundrent",Market_Data!$K$5:$K$304,0)),"Market-State",IF(ISNUMBER(MATCH(Org_Profile!$C$4&amp;"|"&amp;$A64&amp;"|groundrent",Org_Overrides!$H$5:$H$304,0)),"Org","Default x index"))))</f>
        <v/>
      </c>
      <c r="AB64" s="2">
        <f>IF(ISNUMBER(MATCH(Location!$C$4&amp;"|"&amp;$A64&amp;"|cap",Market_Data!$K$5:$K$304,0)),"Market-City",IF(ISNUMBER(MATCH(Location!$C$5&amp;"|"&amp;$A64&amp;"|cap",Market_Data!$K$5:$K$304,0)),"Market-County",IF(ISNUMBER(MATCH(Location!$C$6&amp;"|"&amp;$A64&amp;"|cap",Market_Data!$K$5:$K$304,0)),"Market-State",IF(ISNUMBER(MATCH(Org_Profile!$C$4&amp;"|"&amp;$A64&amp;"|cap",Org_Overrides!$H$5:$H$304,0)),"Org","Default x index"))))</f>
        <v/>
      </c>
      <c r="AC64" s="2">
        <f>IF(ISNUMBER(MATCH(Location!$C$4&amp;"|"&amp;$A64&amp;"|vac",Market_Data!$K$5:$K$304,0)),"Market-City",IF(ISNUMBER(MATCH(Location!$C$5&amp;"|"&amp;$A64&amp;"|vac",Market_Data!$K$5:$K$304,0)),"Market-County",IF(ISNUMBER(MATCH(Location!$C$6&amp;"|"&amp;$A64&amp;"|vac",Market_Data!$K$5:$K$304,0)),"Market-State",IF(ISNUMBER(MATCH(Org_Profile!$C$4&amp;"|"&amp;$A64&amp;"|vac",Org_Overrides!$H$5:$H$304,0)),"Org","Default"))))</f>
        <v/>
      </c>
      <c r="AD64" s="2">
        <f>IF(ISNUMBER(MATCH(Location!$C$4&amp;"|"&amp;$A64&amp;"|absorb",Market_Data!$K$5:$K$304,0)),"Market-City",IF(ISNUMBER(MATCH(Location!$C$5&amp;"|"&amp;$A64&amp;"|absorb",Market_Data!$K$5:$K$304,0)),"Market-County",IF(ISNUMBER(MATCH(Location!$C$6&amp;"|"&amp;$A64&amp;"|absorb",Market_Data!$K$5:$K$304,0)),"Market-State",IF(ISNUMBER(MATCH(Org_Profile!$C$4&amp;"|"&amp;$A64&amp;"|absorb",Org_Overrides!$H$5:$H$304,0)),"Org","Default"))))</f>
        <v/>
      </c>
      <c r="AE64" s="2">
        <f>IF(ISNUMBER(MATCH(Location!$C$4&amp;"|"&amp;$A64&amp;"|lotabs",Market_Data!$K$5:$K$304,0)),"Market-City",IF(ISNUMBER(MATCH(Location!$C$5&amp;"|"&amp;$A64&amp;"|lotabs",Market_Data!$K$5:$K$304,0)),"Market-County",IF(ISNUMBER(MATCH(Location!$C$6&amp;"|"&amp;$A64&amp;"|lotabs",Market_Data!$K$5:$K$304,0)),"Market-State",IF(ISNUMBER(MATCH(Org_Profile!$C$4&amp;"|"&amp;$A64&amp;"|lotabs",Org_Overrides!$H$5:$H$304,0)),"Org","Default"))))</f>
        <v/>
      </c>
      <c r="AF64" s="15">
        <f>15-COUNTIF(Q64:AE64,"Default*")</f>
        <v/>
      </c>
    </row>
    <row r="65">
      <c r="A65" s="4">
        <f>Use_Library!$A$65</f>
        <v/>
      </c>
      <c r="B65" s="20">
        <f>IFERROR((INDEX(Org_Overrides!$D$5:$D$304,MATCH(Org_Profile!$C$4&amp;"|"&amp;$A65&amp;"|vert",Org_Overrides!$H$5:$H$304,0))*Location!$C$9),IFERROR(INDEX(Market_Data!$D$5:$D$304,MATCH(Location!$C$4&amp;"|"&amp;$A65&amp;"|vert",Market_Data!$K$5:$K$304,0)),IFERROR(INDEX(Market_Data!$D$5:$D$304,MATCH(Location!$C$5&amp;"|"&amp;$A65&amp;"|vert",Market_Data!$K$5:$K$304,0)),IFERROR(INDEX(Market_Data!$D$5:$D$304,MATCH(Location!$C$6&amp;"|"&amp;$A65&amp;"|vert",Market_Data!$K$5:$K$304,0)),(Use_Library!$AF$65*Location!$C$9)))))</f>
        <v/>
      </c>
      <c r="C65" s="20">
        <f>IFERROR((INDEX(Org_Overrides!$D$5:$D$304,MATCH(Org_Profile!$C$4&amp;"|"&amp;$A65&amp;"|entitle",Org_Overrides!$H$5:$H$304,0))*Location!$C$9),IFERROR(INDEX(Market_Data!$D$5:$D$304,MATCH(Location!$C$4&amp;"|"&amp;$A65&amp;"|entitle",Market_Data!$K$5:$K$304,0)),IFERROR(INDEX(Market_Data!$D$5:$D$304,MATCH(Location!$C$5&amp;"|"&amp;$A65&amp;"|entitle",Market_Data!$K$5:$K$304,0)),IFERROR(INDEX(Market_Data!$D$5:$D$304,MATCH(Location!$C$6&amp;"|"&amp;$A65&amp;"|entitle",Market_Data!$K$5:$K$304,0)),(Use_Library!$AE$65*Location!$C$9)))))</f>
        <v/>
      </c>
      <c r="D65" s="20">
        <f>IFERROR((INDEX(Org_Overrides!$D$5:$D$304,MATCH(Org_Profile!$C$4&amp;"|"&amp;$A65&amp;"|tilc",Org_Overrides!$H$5:$H$304,0))*Location!$C$9),IFERROR(INDEX(Market_Data!$D$5:$D$304,MATCH(Location!$C$4&amp;"|"&amp;$A65&amp;"|tilc",Market_Data!$K$5:$K$304,0)),IFERROR(INDEX(Market_Data!$D$5:$D$304,MATCH(Location!$C$5&amp;"|"&amp;$A65&amp;"|tilc",Market_Data!$K$5:$K$304,0)),IFERROR(INDEX(Market_Data!$D$5:$D$304,MATCH(Location!$C$6&amp;"|"&amp;$A65&amp;"|tilc",Market_Data!$K$5:$K$304,0)),(Use_Library!$AG$65*Location!$C$9)))))</f>
        <v/>
      </c>
      <c r="E65" s="20">
        <f>IFERROR((INDEX(Org_Overrides!$D$5:$D$304,MATCH(Org_Profile!$C$4&amp;"|"&amp;$A65&amp;"|opex",Org_Overrides!$H$5:$H$304,0))*Location!$C$13),IFERROR(INDEX(Market_Data!$D$5:$D$304,MATCH(Location!$C$4&amp;"|"&amp;$A65&amp;"|opex",Market_Data!$K$5:$K$304,0)),IFERROR(INDEX(Market_Data!$D$5:$D$304,MATCH(Location!$C$5&amp;"|"&amp;$A65&amp;"|opex",Market_Data!$K$5:$K$304,0)),IFERROR(INDEX(Market_Data!$D$5:$D$304,MATCH(Location!$C$6&amp;"|"&amp;$A65&amp;"|opex",Market_Data!$K$5:$K$304,0)),(Use_Library!$AN$65*Location!$C$13)))))</f>
        <v/>
      </c>
      <c r="F65" s="9">
        <f>IFERROR(INDEX(Org_Overrides!$D$5:$D$304,MATCH(Org_Profile!$C$4&amp;"|"&amp;$A65&amp;"|devmo",Org_Overrides!$H$5:$H$304,0)),IFERROR(INDEX(Market_Data!$D$5:$D$304,MATCH(Location!$C$4&amp;"|"&amp;$A65&amp;"|devmo",Market_Data!$K$5:$K$304,0)),IFERROR(INDEX(Market_Data!$D$5:$D$304,MATCH(Location!$C$5&amp;"|"&amp;$A65&amp;"|devmo",Market_Data!$K$5:$K$304,0)),IFERROR(INDEX(Market_Data!$D$5:$D$304,MATCH(Location!$C$6&amp;"|"&amp;$A65&amp;"|devmo",Market_Data!$K$5:$K$304,0)),Use_Library!$AH$65))))</f>
        <v/>
      </c>
      <c r="G65" s="23">
        <f>IFERROR(INDEX(Org_Overrides!$D$5:$D$304,MATCH(Org_Profile!$C$4&amp;"|"&amp;$A65&amp;"|margin",Org_Overrides!$H$5:$H$304,0)),IF(INDEX(Org_Profile!$C$9:$C$12,MATCH(Use_Library!$C$65,Org_Profile!$B$9:$B$12,0))&lt;&gt;"",INDEX(Org_Profile!$C$9:$C$12,MATCH(Use_Library!$C$65,Org_Profile!$B$9:$B$12,0)),Use_Library!$AU$65))</f>
        <v/>
      </c>
      <c r="H65" s="20">
        <f>IFERROR(INDEX(Market_Data!$D$5:$D$304,MATCH(Location!$C$4&amp;"|"&amp;$A65&amp;"|lotprice",Market_Data!$K$5:$K$304,0)),IFERROR(INDEX(Market_Data!$D$5:$D$304,MATCH(Location!$C$5&amp;"|"&amp;$A65&amp;"|lotprice",Market_Data!$K$5:$K$304,0)),IFERROR(INDEX(Market_Data!$D$5:$D$304,MATCH(Location!$C$6&amp;"|"&amp;$A65&amp;"|lotprice",Market_Data!$K$5:$K$304,0)),IFERROR((INDEX(Org_Overrides!$D$5:$D$304,MATCH(Org_Profile!$C$4&amp;"|"&amp;$A65&amp;"|lotprice",Org_Overrides!$H$5:$H$304,0))*Location!$C$10),(Use_Library!$AI$65*Location!$C$10)))))</f>
        <v/>
      </c>
      <c r="I65" s="20">
        <f>IFERROR(INDEX(Market_Data!$D$5:$D$304,MATCH(Location!$C$4&amp;"|"&amp;$A65&amp;"|saleprice",Market_Data!$K$5:$K$304,0)),IFERROR(INDEX(Market_Data!$D$5:$D$304,MATCH(Location!$C$5&amp;"|"&amp;$A65&amp;"|saleprice",Market_Data!$K$5:$K$304,0)),IFERROR(INDEX(Market_Data!$D$5:$D$304,MATCH(Location!$C$6&amp;"|"&amp;$A65&amp;"|saleprice",Market_Data!$K$5:$K$304,0)),IFERROR((INDEX(Org_Overrides!$D$5:$D$304,MATCH(Org_Profile!$C$4&amp;"|"&amp;$A65&amp;"|saleprice",Org_Overrides!$H$5:$H$304,0))*Location!$C$10),(Use_Library!$AJ$65*Location!$C$10)))))</f>
        <v/>
      </c>
      <c r="J65" s="20">
        <f>IFERROR(INDEX(Market_Data!$D$5:$D$304,MATCH(Location!$C$4&amp;"|"&amp;$A65&amp;"|landac",Market_Data!$K$5:$K$304,0)),IFERROR(INDEX(Market_Data!$D$5:$D$304,MATCH(Location!$C$5&amp;"|"&amp;$A65&amp;"|landac",Market_Data!$K$5:$K$304,0)),IFERROR(INDEX(Market_Data!$D$5:$D$304,MATCH(Location!$C$6&amp;"|"&amp;$A65&amp;"|landac",Market_Data!$K$5:$K$304,0)),IFERROR((INDEX(Org_Overrides!$D$5:$D$304,MATCH(Org_Profile!$C$4&amp;"|"&amp;$A65&amp;"|landac",Org_Overrides!$H$5:$H$304,0))*Location!$C$10),(Use_Library!$AS$65*Location!$C$10)))))</f>
        <v/>
      </c>
      <c r="K65" s="20">
        <f>IFERROR(INDEX(Market_Data!$D$5:$D$304,MATCH(Location!$C$4&amp;"|"&amp;$A65&amp;"|rent",Market_Data!$K$5:$K$304,0)),IFERROR(INDEX(Market_Data!$D$5:$D$304,MATCH(Location!$C$5&amp;"|"&amp;$A65&amp;"|rent",Market_Data!$K$5:$K$304,0)),IFERROR(INDEX(Market_Data!$D$5:$D$304,MATCH(Location!$C$6&amp;"|"&amp;$A65&amp;"|rent",Market_Data!$K$5:$K$304,0)),IFERROR((INDEX(Org_Overrides!$D$5:$D$304,MATCH(Org_Profile!$C$4&amp;"|"&amp;$A65&amp;"|rent",Org_Overrides!$H$5:$H$304,0))*Location!$C$11),(Use_Library!$AK$65*Location!$C$11)))))</f>
        <v/>
      </c>
      <c r="L65" s="20">
        <f>IFERROR(INDEX(Market_Data!$D$5:$D$304,MATCH(Location!$C$4&amp;"|"&amp;$A65&amp;"|groundrent",Market_Data!$K$5:$K$304,0)),IFERROR(INDEX(Market_Data!$D$5:$D$304,MATCH(Location!$C$5&amp;"|"&amp;$A65&amp;"|groundrent",Market_Data!$K$5:$K$304,0)),IFERROR(INDEX(Market_Data!$D$5:$D$304,MATCH(Location!$C$6&amp;"|"&amp;$A65&amp;"|groundrent",Market_Data!$K$5:$K$304,0)),IFERROR((INDEX(Org_Overrides!$D$5:$D$304,MATCH(Org_Profile!$C$4&amp;"|"&amp;$A65&amp;"|groundrent",Org_Overrides!$H$5:$H$304,0))*Location!$C$11),(Use_Library!$AT$65*Location!$C$11)))))</f>
        <v/>
      </c>
      <c r="M65" s="23">
        <f>IFERROR(INDEX(Market_Data!$D$5:$D$304,MATCH(Location!$C$4&amp;"|"&amp;$A65&amp;"|cap",Market_Data!$K$5:$K$304,0)),IFERROR(INDEX(Market_Data!$D$5:$D$304,MATCH(Location!$C$5&amp;"|"&amp;$A65&amp;"|cap",Market_Data!$K$5:$K$304,0)),IFERROR(INDEX(Market_Data!$D$5:$D$304,MATCH(Location!$C$6&amp;"|"&amp;$A65&amp;"|cap",Market_Data!$K$5:$K$304,0)),IFERROR((INDEX(Org_Overrides!$D$5:$D$304,MATCH(Org_Profile!$C$4&amp;"|"&amp;$A65&amp;"|cap",Org_Overrides!$H$5:$H$304,0))+Location!$C$12),(Use_Library!$AR$65+Location!$C$12)))))</f>
        <v/>
      </c>
      <c r="N65" s="23">
        <f>IFERROR(INDEX(Market_Data!$D$5:$D$304,MATCH(Location!$C$4&amp;"|"&amp;$A65&amp;"|vac",Market_Data!$K$5:$K$304,0)),IFERROR(INDEX(Market_Data!$D$5:$D$304,MATCH(Location!$C$5&amp;"|"&amp;$A65&amp;"|vac",Market_Data!$K$5:$K$304,0)),IFERROR(INDEX(Market_Data!$D$5:$D$304,MATCH(Location!$C$6&amp;"|"&amp;$A65&amp;"|vac",Market_Data!$K$5:$K$304,0)),IFERROR(INDEX(Org_Overrides!$D$5:$D$304,MATCH(Org_Profile!$C$4&amp;"|"&amp;$A65&amp;"|vac",Org_Overrides!$H$5:$H$304,0)),Use_Library!$AM$65))))</f>
        <v/>
      </c>
      <c r="O65" s="24">
        <f>IFERROR(INDEX(Market_Data!$D$5:$D$304,MATCH(Location!$C$4&amp;"|"&amp;$A65&amp;"|absorb",Market_Data!$K$5:$K$304,0)),IFERROR(INDEX(Market_Data!$D$5:$D$304,MATCH(Location!$C$5&amp;"|"&amp;$A65&amp;"|absorb",Market_Data!$K$5:$K$304,0)),IFERROR(INDEX(Market_Data!$D$5:$D$304,MATCH(Location!$C$6&amp;"|"&amp;$A65&amp;"|absorb",Market_Data!$K$5:$K$304,0)),IFERROR(INDEX(Org_Overrides!$D$5:$D$304,MATCH(Org_Profile!$C$4&amp;"|"&amp;$A65&amp;"|absorb",Org_Overrides!$H$5:$H$304,0)),Use_Library!$R$65))))</f>
        <v/>
      </c>
      <c r="P65" s="24">
        <f>IFERROR(INDEX(Market_Data!$D$5:$D$304,MATCH(Location!$C$4&amp;"|"&amp;$A65&amp;"|lotabs",Market_Data!$K$5:$K$304,0)),IFERROR(INDEX(Market_Data!$D$5:$D$304,MATCH(Location!$C$5&amp;"|"&amp;$A65&amp;"|lotabs",Market_Data!$K$5:$K$304,0)),IFERROR(INDEX(Market_Data!$D$5:$D$304,MATCH(Location!$C$6&amp;"|"&amp;$A65&amp;"|lotabs",Market_Data!$K$5:$K$304,0)),IFERROR(INDEX(Org_Overrides!$D$5:$D$304,MATCH(Org_Profile!$C$4&amp;"|"&amp;$A65&amp;"|lotabs",Org_Overrides!$H$5:$H$304,0)),Use_Library!$S$65))))</f>
        <v/>
      </c>
      <c r="Q65" s="2">
        <f>IF(ISNUMBER(MATCH(Org_Profile!$C$4&amp;"|"&amp;$A65&amp;"|vert",Org_Overrides!$H$5:$H$304,0)),"Org",IF(ISNUMBER(MATCH(Location!$C$4&amp;"|"&amp;$A65&amp;"|vert",Market_Data!$K$5:$K$304,0)),"Market-City",IF(ISNUMBER(MATCH(Location!$C$5&amp;"|"&amp;$A65&amp;"|vert",Market_Data!$K$5:$K$304,0)),"Market-County",IF(ISNUMBER(MATCH(Location!$C$6&amp;"|"&amp;$A65&amp;"|vert",Market_Data!$K$5:$K$304,0)),"Market-State","Default x index"))))</f>
        <v/>
      </c>
      <c r="R65" s="2">
        <f>IF(ISNUMBER(MATCH(Org_Profile!$C$4&amp;"|"&amp;$A65&amp;"|entitle",Org_Overrides!$H$5:$H$304,0)),"Org",IF(ISNUMBER(MATCH(Location!$C$4&amp;"|"&amp;$A65&amp;"|entitle",Market_Data!$K$5:$K$304,0)),"Market-City",IF(ISNUMBER(MATCH(Location!$C$5&amp;"|"&amp;$A65&amp;"|entitle",Market_Data!$K$5:$K$304,0)),"Market-County",IF(ISNUMBER(MATCH(Location!$C$6&amp;"|"&amp;$A65&amp;"|entitle",Market_Data!$K$5:$K$304,0)),"Market-State","Default x index"))))</f>
        <v/>
      </c>
      <c r="S65" s="2">
        <f>IF(ISNUMBER(MATCH(Org_Profile!$C$4&amp;"|"&amp;$A65&amp;"|tilc",Org_Overrides!$H$5:$H$304,0)),"Org",IF(ISNUMBER(MATCH(Location!$C$4&amp;"|"&amp;$A65&amp;"|tilc",Market_Data!$K$5:$K$304,0)),"Market-City",IF(ISNUMBER(MATCH(Location!$C$5&amp;"|"&amp;$A65&amp;"|tilc",Market_Data!$K$5:$K$304,0)),"Market-County",IF(ISNUMBER(MATCH(Location!$C$6&amp;"|"&amp;$A65&amp;"|tilc",Market_Data!$K$5:$K$304,0)),"Market-State","Default x index"))))</f>
        <v/>
      </c>
      <c r="T65" s="2">
        <f>IF(ISNUMBER(MATCH(Org_Profile!$C$4&amp;"|"&amp;$A65&amp;"|opex",Org_Overrides!$H$5:$H$304,0)),"Org",IF(ISNUMBER(MATCH(Location!$C$4&amp;"|"&amp;$A65&amp;"|opex",Market_Data!$K$5:$K$304,0)),"Market-City",IF(ISNUMBER(MATCH(Location!$C$5&amp;"|"&amp;$A65&amp;"|opex",Market_Data!$K$5:$K$304,0)),"Market-County",IF(ISNUMBER(MATCH(Location!$C$6&amp;"|"&amp;$A65&amp;"|opex",Market_Data!$K$5:$K$304,0)),"Market-State","Default x index"))))</f>
        <v/>
      </c>
      <c r="U65" s="2">
        <f>IF(ISNUMBER(MATCH(Org_Profile!$C$4&amp;"|"&amp;$A65&amp;"|devmo",Org_Overrides!$H$5:$H$304,0)),"Org",IF(ISNUMBER(MATCH(Location!$C$4&amp;"|"&amp;$A65&amp;"|devmo",Market_Data!$K$5:$K$304,0)),"Market-City",IF(ISNUMBER(MATCH(Location!$C$5&amp;"|"&amp;$A65&amp;"|devmo",Market_Data!$K$5:$K$304,0)),"Market-County",IF(ISNUMBER(MATCH(Location!$C$6&amp;"|"&amp;$A65&amp;"|devmo",Market_Data!$K$5:$K$304,0)),"Market-State","Default"))))</f>
        <v/>
      </c>
      <c r="V65" s="2">
        <f>IF(ISNUMBER(MATCH(Org_Profile!$C$4&amp;"|"&amp;$A65&amp;"|margin",Org_Overrides!$H$5:$H$304,0)),"Org",IF(INDEX(Org_Profile!$C$9:$C$12,MATCH(Use_Library!$C$65,Org_Profile!$B$9:$B$12,0))&lt;&gt;"","Org engine margin","Default"))</f>
        <v/>
      </c>
      <c r="W65" s="2">
        <f>IF(ISNUMBER(MATCH(Location!$C$4&amp;"|"&amp;$A65&amp;"|lotprice",Market_Data!$K$5:$K$304,0)),"Market-City",IF(ISNUMBER(MATCH(Location!$C$5&amp;"|"&amp;$A65&amp;"|lotprice",Market_Data!$K$5:$K$304,0)),"Market-County",IF(ISNUMBER(MATCH(Location!$C$6&amp;"|"&amp;$A65&amp;"|lotprice",Market_Data!$K$5:$K$304,0)),"Market-State",IF(ISNUMBER(MATCH(Org_Profile!$C$4&amp;"|"&amp;$A65&amp;"|lotprice",Org_Overrides!$H$5:$H$304,0)),"Org","Default x index"))))</f>
        <v/>
      </c>
      <c r="X65" s="2">
        <f>IF(ISNUMBER(MATCH(Location!$C$4&amp;"|"&amp;$A65&amp;"|saleprice",Market_Data!$K$5:$K$304,0)),"Market-City",IF(ISNUMBER(MATCH(Location!$C$5&amp;"|"&amp;$A65&amp;"|saleprice",Market_Data!$K$5:$K$304,0)),"Market-County",IF(ISNUMBER(MATCH(Location!$C$6&amp;"|"&amp;$A65&amp;"|saleprice",Market_Data!$K$5:$K$304,0)),"Market-State",IF(ISNUMBER(MATCH(Org_Profile!$C$4&amp;"|"&amp;$A65&amp;"|saleprice",Org_Overrides!$H$5:$H$304,0)),"Org","Default x index"))))</f>
        <v/>
      </c>
      <c r="Y65" s="2">
        <f>IF(ISNUMBER(MATCH(Location!$C$4&amp;"|"&amp;$A65&amp;"|landac",Market_Data!$K$5:$K$304,0)),"Market-City",IF(ISNUMBER(MATCH(Location!$C$5&amp;"|"&amp;$A65&amp;"|landac",Market_Data!$K$5:$K$304,0)),"Market-County",IF(ISNUMBER(MATCH(Location!$C$6&amp;"|"&amp;$A65&amp;"|landac",Market_Data!$K$5:$K$304,0)),"Market-State",IF(ISNUMBER(MATCH(Org_Profile!$C$4&amp;"|"&amp;$A65&amp;"|landac",Org_Overrides!$H$5:$H$304,0)),"Org","Default x index"))))</f>
        <v/>
      </c>
      <c r="Z65" s="2">
        <f>IF(ISNUMBER(MATCH(Location!$C$4&amp;"|"&amp;$A65&amp;"|rent",Market_Data!$K$5:$K$304,0)),"Market-City",IF(ISNUMBER(MATCH(Location!$C$5&amp;"|"&amp;$A65&amp;"|rent",Market_Data!$K$5:$K$304,0)),"Market-County",IF(ISNUMBER(MATCH(Location!$C$6&amp;"|"&amp;$A65&amp;"|rent",Market_Data!$K$5:$K$304,0)),"Market-State",IF(ISNUMBER(MATCH(Org_Profile!$C$4&amp;"|"&amp;$A65&amp;"|rent",Org_Overrides!$H$5:$H$304,0)),"Org","Default x index"))))</f>
        <v/>
      </c>
      <c r="AA65" s="2">
        <f>IF(ISNUMBER(MATCH(Location!$C$4&amp;"|"&amp;$A65&amp;"|groundrent",Market_Data!$K$5:$K$304,0)),"Market-City",IF(ISNUMBER(MATCH(Location!$C$5&amp;"|"&amp;$A65&amp;"|groundrent",Market_Data!$K$5:$K$304,0)),"Market-County",IF(ISNUMBER(MATCH(Location!$C$6&amp;"|"&amp;$A65&amp;"|groundrent",Market_Data!$K$5:$K$304,0)),"Market-State",IF(ISNUMBER(MATCH(Org_Profile!$C$4&amp;"|"&amp;$A65&amp;"|groundrent",Org_Overrides!$H$5:$H$304,0)),"Org","Default x index"))))</f>
        <v/>
      </c>
      <c r="AB65" s="2">
        <f>IF(ISNUMBER(MATCH(Location!$C$4&amp;"|"&amp;$A65&amp;"|cap",Market_Data!$K$5:$K$304,0)),"Market-City",IF(ISNUMBER(MATCH(Location!$C$5&amp;"|"&amp;$A65&amp;"|cap",Market_Data!$K$5:$K$304,0)),"Market-County",IF(ISNUMBER(MATCH(Location!$C$6&amp;"|"&amp;$A65&amp;"|cap",Market_Data!$K$5:$K$304,0)),"Market-State",IF(ISNUMBER(MATCH(Org_Profile!$C$4&amp;"|"&amp;$A65&amp;"|cap",Org_Overrides!$H$5:$H$304,0)),"Org","Default x index"))))</f>
        <v/>
      </c>
      <c r="AC65" s="2">
        <f>IF(ISNUMBER(MATCH(Location!$C$4&amp;"|"&amp;$A65&amp;"|vac",Market_Data!$K$5:$K$304,0)),"Market-City",IF(ISNUMBER(MATCH(Location!$C$5&amp;"|"&amp;$A65&amp;"|vac",Market_Data!$K$5:$K$304,0)),"Market-County",IF(ISNUMBER(MATCH(Location!$C$6&amp;"|"&amp;$A65&amp;"|vac",Market_Data!$K$5:$K$304,0)),"Market-State",IF(ISNUMBER(MATCH(Org_Profile!$C$4&amp;"|"&amp;$A65&amp;"|vac",Org_Overrides!$H$5:$H$304,0)),"Org","Default"))))</f>
        <v/>
      </c>
      <c r="AD65" s="2">
        <f>IF(ISNUMBER(MATCH(Location!$C$4&amp;"|"&amp;$A65&amp;"|absorb",Market_Data!$K$5:$K$304,0)),"Market-City",IF(ISNUMBER(MATCH(Location!$C$5&amp;"|"&amp;$A65&amp;"|absorb",Market_Data!$K$5:$K$304,0)),"Market-County",IF(ISNUMBER(MATCH(Location!$C$6&amp;"|"&amp;$A65&amp;"|absorb",Market_Data!$K$5:$K$304,0)),"Market-State",IF(ISNUMBER(MATCH(Org_Profile!$C$4&amp;"|"&amp;$A65&amp;"|absorb",Org_Overrides!$H$5:$H$304,0)),"Org","Default"))))</f>
        <v/>
      </c>
      <c r="AE65" s="2">
        <f>IF(ISNUMBER(MATCH(Location!$C$4&amp;"|"&amp;$A65&amp;"|lotabs",Market_Data!$K$5:$K$304,0)),"Market-City",IF(ISNUMBER(MATCH(Location!$C$5&amp;"|"&amp;$A65&amp;"|lotabs",Market_Data!$K$5:$K$304,0)),"Market-County",IF(ISNUMBER(MATCH(Location!$C$6&amp;"|"&amp;$A65&amp;"|lotabs",Market_Data!$K$5:$K$304,0)),"Market-State",IF(ISNUMBER(MATCH(Org_Profile!$C$4&amp;"|"&amp;$A65&amp;"|lotabs",Org_Overrides!$H$5:$H$304,0)),"Org","Default"))))</f>
        <v/>
      </c>
      <c r="AF65" s="15">
        <f>15-COUNTIF(Q65:AE65,"Default*")</f>
        <v/>
      </c>
    </row>
    <row r="66">
      <c r="A66" s="4">
        <f>Use_Library!$A$66</f>
        <v/>
      </c>
      <c r="B66" s="20">
        <f>IFERROR((INDEX(Org_Overrides!$D$5:$D$304,MATCH(Org_Profile!$C$4&amp;"|"&amp;$A66&amp;"|vert",Org_Overrides!$H$5:$H$304,0))*Location!$C$9),IFERROR(INDEX(Market_Data!$D$5:$D$304,MATCH(Location!$C$4&amp;"|"&amp;$A66&amp;"|vert",Market_Data!$K$5:$K$304,0)),IFERROR(INDEX(Market_Data!$D$5:$D$304,MATCH(Location!$C$5&amp;"|"&amp;$A66&amp;"|vert",Market_Data!$K$5:$K$304,0)),IFERROR(INDEX(Market_Data!$D$5:$D$304,MATCH(Location!$C$6&amp;"|"&amp;$A66&amp;"|vert",Market_Data!$K$5:$K$304,0)),(Use_Library!$AF$66*Location!$C$9)))))</f>
        <v/>
      </c>
      <c r="C66" s="20">
        <f>IFERROR((INDEX(Org_Overrides!$D$5:$D$304,MATCH(Org_Profile!$C$4&amp;"|"&amp;$A66&amp;"|entitle",Org_Overrides!$H$5:$H$304,0))*Location!$C$9),IFERROR(INDEX(Market_Data!$D$5:$D$304,MATCH(Location!$C$4&amp;"|"&amp;$A66&amp;"|entitle",Market_Data!$K$5:$K$304,0)),IFERROR(INDEX(Market_Data!$D$5:$D$304,MATCH(Location!$C$5&amp;"|"&amp;$A66&amp;"|entitle",Market_Data!$K$5:$K$304,0)),IFERROR(INDEX(Market_Data!$D$5:$D$304,MATCH(Location!$C$6&amp;"|"&amp;$A66&amp;"|entitle",Market_Data!$K$5:$K$304,0)),(Use_Library!$AE$66*Location!$C$9)))))</f>
        <v/>
      </c>
      <c r="D66" s="20">
        <f>IFERROR((INDEX(Org_Overrides!$D$5:$D$304,MATCH(Org_Profile!$C$4&amp;"|"&amp;$A66&amp;"|tilc",Org_Overrides!$H$5:$H$304,0))*Location!$C$9),IFERROR(INDEX(Market_Data!$D$5:$D$304,MATCH(Location!$C$4&amp;"|"&amp;$A66&amp;"|tilc",Market_Data!$K$5:$K$304,0)),IFERROR(INDEX(Market_Data!$D$5:$D$304,MATCH(Location!$C$5&amp;"|"&amp;$A66&amp;"|tilc",Market_Data!$K$5:$K$304,0)),IFERROR(INDEX(Market_Data!$D$5:$D$304,MATCH(Location!$C$6&amp;"|"&amp;$A66&amp;"|tilc",Market_Data!$K$5:$K$304,0)),(Use_Library!$AG$66*Location!$C$9)))))</f>
        <v/>
      </c>
      <c r="E66" s="20">
        <f>IFERROR((INDEX(Org_Overrides!$D$5:$D$304,MATCH(Org_Profile!$C$4&amp;"|"&amp;$A66&amp;"|opex",Org_Overrides!$H$5:$H$304,0))*Location!$C$13),IFERROR(INDEX(Market_Data!$D$5:$D$304,MATCH(Location!$C$4&amp;"|"&amp;$A66&amp;"|opex",Market_Data!$K$5:$K$304,0)),IFERROR(INDEX(Market_Data!$D$5:$D$304,MATCH(Location!$C$5&amp;"|"&amp;$A66&amp;"|opex",Market_Data!$K$5:$K$304,0)),IFERROR(INDEX(Market_Data!$D$5:$D$304,MATCH(Location!$C$6&amp;"|"&amp;$A66&amp;"|opex",Market_Data!$K$5:$K$304,0)),(Use_Library!$AN$66*Location!$C$13)))))</f>
        <v/>
      </c>
      <c r="F66" s="9">
        <f>IFERROR(INDEX(Org_Overrides!$D$5:$D$304,MATCH(Org_Profile!$C$4&amp;"|"&amp;$A66&amp;"|devmo",Org_Overrides!$H$5:$H$304,0)),IFERROR(INDEX(Market_Data!$D$5:$D$304,MATCH(Location!$C$4&amp;"|"&amp;$A66&amp;"|devmo",Market_Data!$K$5:$K$304,0)),IFERROR(INDEX(Market_Data!$D$5:$D$304,MATCH(Location!$C$5&amp;"|"&amp;$A66&amp;"|devmo",Market_Data!$K$5:$K$304,0)),IFERROR(INDEX(Market_Data!$D$5:$D$304,MATCH(Location!$C$6&amp;"|"&amp;$A66&amp;"|devmo",Market_Data!$K$5:$K$304,0)),Use_Library!$AH$66))))</f>
        <v/>
      </c>
      <c r="G66" s="23">
        <f>IFERROR(INDEX(Org_Overrides!$D$5:$D$304,MATCH(Org_Profile!$C$4&amp;"|"&amp;$A66&amp;"|margin",Org_Overrides!$H$5:$H$304,0)),IF(INDEX(Org_Profile!$C$9:$C$12,MATCH(Use_Library!$C$66,Org_Profile!$B$9:$B$12,0))&lt;&gt;"",INDEX(Org_Profile!$C$9:$C$12,MATCH(Use_Library!$C$66,Org_Profile!$B$9:$B$12,0)),Use_Library!$AU$66))</f>
        <v/>
      </c>
      <c r="H66" s="20">
        <f>IFERROR(INDEX(Market_Data!$D$5:$D$304,MATCH(Location!$C$4&amp;"|"&amp;$A66&amp;"|lotprice",Market_Data!$K$5:$K$304,0)),IFERROR(INDEX(Market_Data!$D$5:$D$304,MATCH(Location!$C$5&amp;"|"&amp;$A66&amp;"|lotprice",Market_Data!$K$5:$K$304,0)),IFERROR(INDEX(Market_Data!$D$5:$D$304,MATCH(Location!$C$6&amp;"|"&amp;$A66&amp;"|lotprice",Market_Data!$K$5:$K$304,0)),IFERROR((INDEX(Org_Overrides!$D$5:$D$304,MATCH(Org_Profile!$C$4&amp;"|"&amp;$A66&amp;"|lotprice",Org_Overrides!$H$5:$H$304,0))*Location!$C$10),(Use_Library!$AI$66*Location!$C$10)))))</f>
        <v/>
      </c>
      <c r="I66" s="20">
        <f>IFERROR(INDEX(Market_Data!$D$5:$D$304,MATCH(Location!$C$4&amp;"|"&amp;$A66&amp;"|saleprice",Market_Data!$K$5:$K$304,0)),IFERROR(INDEX(Market_Data!$D$5:$D$304,MATCH(Location!$C$5&amp;"|"&amp;$A66&amp;"|saleprice",Market_Data!$K$5:$K$304,0)),IFERROR(INDEX(Market_Data!$D$5:$D$304,MATCH(Location!$C$6&amp;"|"&amp;$A66&amp;"|saleprice",Market_Data!$K$5:$K$304,0)),IFERROR((INDEX(Org_Overrides!$D$5:$D$304,MATCH(Org_Profile!$C$4&amp;"|"&amp;$A66&amp;"|saleprice",Org_Overrides!$H$5:$H$304,0))*Location!$C$10),(Use_Library!$AJ$66*Location!$C$10)))))</f>
        <v/>
      </c>
      <c r="J66" s="20">
        <f>IFERROR(INDEX(Market_Data!$D$5:$D$304,MATCH(Location!$C$4&amp;"|"&amp;$A66&amp;"|landac",Market_Data!$K$5:$K$304,0)),IFERROR(INDEX(Market_Data!$D$5:$D$304,MATCH(Location!$C$5&amp;"|"&amp;$A66&amp;"|landac",Market_Data!$K$5:$K$304,0)),IFERROR(INDEX(Market_Data!$D$5:$D$304,MATCH(Location!$C$6&amp;"|"&amp;$A66&amp;"|landac",Market_Data!$K$5:$K$304,0)),IFERROR((INDEX(Org_Overrides!$D$5:$D$304,MATCH(Org_Profile!$C$4&amp;"|"&amp;$A66&amp;"|landac",Org_Overrides!$H$5:$H$304,0))*Location!$C$10),(Use_Library!$AS$66*Location!$C$10)))))</f>
        <v/>
      </c>
      <c r="K66" s="20">
        <f>IFERROR(INDEX(Market_Data!$D$5:$D$304,MATCH(Location!$C$4&amp;"|"&amp;$A66&amp;"|rent",Market_Data!$K$5:$K$304,0)),IFERROR(INDEX(Market_Data!$D$5:$D$304,MATCH(Location!$C$5&amp;"|"&amp;$A66&amp;"|rent",Market_Data!$K$5:$K$304,0)),IFERROR(INDEX(Market_Data!$D$5:$D$304,MATCH(Location!$C$6&amp;"|"&amp;$A66&amp;"|rent",Market_Data!$K$5:$K$304,0)),IFERROR((INDEX(Org_Overrides!$D$5:$D$304,MATCH(Org_Profile!$C$4&amp;"|"&amp;$A66&amp;"|rent",Org_Overrides!$H$5:$H$304,0))*Location!$C$11),(Use_Library!$AK$66*Location!$C$11)))))</f>
        <v/>
      </c>
      <c r="L66" s="20">
        <f>IFERROR(INDEX(Market_Data!$D$5:$D$304,MATCH(Location!$C$4&amp;"|"&amp;$A66&amp;"|groundrent",Market_Data!$K$5:$K$304,0)),IFERROR(INDEX(Market_Data!$D$5:$D$304,MATCH(Location!$C$5&amp;"|"&amp;$A66&amp;"|groundrent",Market_Data!$K$5:$K$304,0)),IFERROR(INDEX(Market_Data!$D$5:$D$304,MATCH(Location!$C$6&amp;"|"&amp;$A66&amp;"|groundrent",Market_Data!$K$5:$K$304,0)),IFERROR((INDEX(Org_Overrides!$D$5:$D$304,MATCH(Org_Profile!$C$4&amp;"|"&amp;$A66&amp;"|groundrent",Org_Overrides!$H$5:$H$304,0))*Location!$C$11),(Use_Library!$AT$66*Location!$C$11)))))</f>
        <v/>
      </c>
      <c r="M66" s="23">
        <f>IFERROR(INDEX(Market_Data!$D$5:$D$304,MATCH(Location!$C$4&amp;"|"&amp;$A66&amp;"|cap",Market_Data!$K$5:$K$304,0)),IFERROR(INDEX(Market_Data!$D$5:$D$304,MATCH(Location!$C$5&amp;"|"&amp;$A66&amp;"|cap",Market_Data!$K$5:$K$304,0)),IFERROR(INDEX(Market_Data!$D$5:$D$304,MATCH(Location!$C$6&amp;"|"&amp;$A66&amp;"|cap",Market_Data!$K$5:$K$304,0)),IFERROR((INDEX(Org_Overrides!$D$5:$D$304,MATCH(Org_Profile!$C$4&amp;"|"&amp;$A66&amp;"|cap",Org_Overrides!$H$5:$H$304,0))+Location!$C$12),(Use_Library!$AR$66+Location!$C$12)))))</f>
        <v/>
      </c>
      <c r="N66" s="23">
        <f>IFERROR(INDEX(Market_Data!$D$5:$D$304,MATCH(Location!$C$4&amp;"|"&amp;$A66&amp;"|vac",Market_Data!$K$5:$K$304,0)),IFERROR(INDEX(Market_Data!$D$5:$D$304,MATCH(Location!$C$5&amp;"|"&amp;$A66&amp;"|vac",Market_Data!$K$5:$K$304,0)),IFERROR(INDEX(Market_Data!$D$5:$D$304,MATCH(Location!$C$6&amp;"|"&amp;$A66&amp;"|vac",Market_Data!$K$5:$K$304,0)),IFERROR(INDEX(Org_Overrides!$D$5:$D$304,MATCH(Org_Profile!$C$4&amp;"|"&amp;$A66&amp;"|vac",Org_Overrides!$H$5:$H$304,0)),Use_Library!$AM$66))))</f>
        <v/>
      </c>
      <c r="O66" s="24">
        <f>IFERROR(INDEX(Market_Data!$D$5:$D$304,MATCH(Location!$C$4&amp;"|"&amp;$A66&amp;"|absorb",Market_Data!$K$5:$K$304,0)),IFERROR(INDEX(Market_Data!$D$5:$D$304,MATCH(Location!$C$5&amp;"|"&amp;$A66&amp;"|absorb",Market_Data!$K$5:$K$304,0)),IFERROR(INDEX(Market_Data!$D$5:$D$304,MATCH(Location!$C$6&amp;"|"&amp;$A66&amp;"|absorb",Market_Data!$K$5:$K$304,0)),IFERROR(INDEX(Org_Overrides!$D$5:$D$304,MATCH(Org_Profile!$C$4&amp;"|"&amp;$A66&amp;"|absorb",Org_Overrides!$H$5:$H$304,0)),Use_Library!$R$66))))</f>
        <v/>
      </c>
      <c r="P66" s="24">
        <f>IFERROR(INDEX(Market_Data!$D$5:$D$304,MATCH(Location!$C$4&amp;"|"&amp;$A66&amp;"|lotabs",Market_Data!$K$5:$K$304,0)),IFERROR(INDEX(Market_Data!$D$5:$D$304,MATCH(Location!$C$5&amp;"|"&amp;$A66&amp;"|lotabs",Market_Data!$K$5:$K$304,0)),IFERROR(INDEX(Market_Data!$D$5:$D$304,MATCH(Location!$C$6&amp;"|"&amp;$A66&amp;"|lotabs",Market_Data!$K$5:$K$304,0)),IFERROR(INDEX(Org_Overrides!$D$5:$D$304,MATCH(Org_Profile!$C$4&amp;"|"&amp;$A66&amp;"|lotabs",Org_Overrides!$H$5:$H$304,0)),Use_Library!$S$66))))</f>
        <v/>
      </c>
      <c r="Q66" s="2">
        <f>IF(ISNUMBER(MATCH(Org_Profile!$C$4&amp;"|"&amp;$A66&amp;"|vert",Org_Overrides!$H$5:$H$304,0)),"Org",IF(ISNUMBER(MATCH(Location!$C$4&amp;"|"&amp;$A66&amp;"|vert",Market_Data!$K$5:$K$304,0)),"Market-City",IF(ISNUMBER(MATCH(Location!$C$5&amp;"|"&amp;$A66&amp;"|vert",Market_Data!$K$5:$K$304,0)),"Market-County",IF(ISNUMBER(MATCH(Location!$C$6&amp;"|"&amp;$A66&amp;"|vert",Market_Data!$K$5:$K$304,0)),"Market-State","Default x index"))))</f>
        <v/>
      </c>
      <c r="R66" s="2">
        <f>IF(ISNUMBER(MATCH(Org_Profile!$C$4&amp;"|"&amp;$A66&amp;"|entitle",Org_Overrides!$H$5:$H$304,0)),"Org",IF(ISNUMBER(MATCH(Location!$C$4&amp;"|"&amp;$A66&amp;"|entitle",Market_Data!$K$5:$K$304,0)),"Market-City",IF(ISNUMBER(MATCH(Location!$C$5&amp;"|"&amp;$A66&amp;"|entitle",Market_Data!$K$5:$K$304,0)),"Market-County",IF(ISNUMBER(MATCH(Location!$C$6&amp;"|"&amp;$A66&amp;"|entitle",Market_Data!$K$5:$K$304,0)),"Market-State","Default x index"))))</f>
        <v/>
      </c>
      <c r="S66" s="2">
        <f>IF(ISNUMBER(MATCH(Org_Profile!$C$4&amp;"|"&amp;$A66&amp;"|tilc",Org_Overrides!$H$5:$H$304,0)),"Org",IF(ISNUMBER(MATCH(Location!$C$4&amp;"|"&amp;$A66&amp;"|tilc",Market_Data!$K$5:$K$304,0)),"Market-City",IF(ISNUMBER(MATCH(Location!$C$5&amp;"|"&amp;$A66&amp;"|tilc",Market_Data!$K$5:$K$304,0)),"Market-County",IF(ISNUMBER(MATCH(Location!$C$6&amp;"|"&amp;$A66&amp;"|tilc",Market_Data!$K$5:$K$304,0)),"Market-State","Default x index"))))</f>
        <v/>
      </c>
      <c r="T66" s="2">
        <f>IF(ISNUMBER(MATCH(Org_Profile!$C$4&amp;"|"&amp;$A66&amp;"|opex",Org_Overrides!$H$5:$H$304,0)),"Org",IF(ISNUMBER(MATCH(Location!$C$4&amp;"|"&amp;$A66&amp;"|opex",Market_Data!$K$5:$K$304,0)),"Market-City",IF(ISNUMBER(MATCH(Location!$C$5&amp;"|"&amp;$A66&amp;"|opex",Market_Data!$K$5:$K$304,0)),"Market-County",IF(ISNUMBER(MATCH(Location!$C$6&amp;"|"&amp;$A66&amp;"|opex",Market_Data!$K$5:$K$304,0)),"Market-State","Default x index"))))</f>
        <v/>
      </c>
      <c r="U66" s="2">
        <f>IF(ISNUMBER(MATCH(Org_Profile!$C$4&amp;"|"&amp;$A66&amp;"|devmo",Org_Overrides!$H$5:$H$304,0)),"Org",IF(ISNUMBER(MATCH(Location!$C$4&amp;"|"&amp;$A66&amp;"|devmo",Market_Data!$K$5:$K$304,0)),"Market-City",IF(ISNUMBER(MATCH(Location!$C$5&amp;"|"&amp;$A66&amp;"|devmo",Market_Data!$K$5:$K$304,0)),"Market-County",IF(ISNUMBER(MATCH(Location!$C$6&amp;"|"&amp;$A66&amp;"|devmo",Market_Data!$K$5:$K$304,0)),"Market-State","Default"))))</f>
        <v/>
      </c>
      <c r="V66" s="2">
        <f>IF(ISNUMBER(MATCH(Org_Profile!$C$4&amp;"|"&amp;$A66&amp;"|margin",Org_Overrides!$H$5:$H$304,0)),"Org",IF(INDEX(Org_Profile!$C$9:$C$12,MATCH(Use_Library!$C$66,Org_Profile!$B$9:$B$12,0))&lt;&gt;"","Org engine margin","Default"))</f>
        <v/>
      </c>
      <c r="W66" s="2">
        <f>IF(ISNUMBER(MATCH(Location!$C$4&amp;"|"&amp;$A66&amp;"|lotprice",Market_Data!$K$5:$K$304,0)),"Market-City",IF(ISNUMBER(MATCH(Location!$C$5&amp;"|"&amp;$A66&amp;"|lotprice",Market_Data!$K$5:$K$304,0)),"Market-County",IF(ISNUMBER(MATCH(Location!$C$6&amp;"|"&amp;$A66&amp;"|lotprice",Market_Data!$K$5:$K$304,0)),"Market-State",IF(ISNUMBER(MATCH(Org_Profile!$C$4&amp;"|"&amp;$A66&amp;"|lotprice",Org_Overrides!$H$5:$H$304,0)),"Org","Default x index"))))</f>
        <v/>
      </c>
      <c r="X66" s="2">
        <f>IF(ISNUMBER(MATCH(Location!$C$4&amp;"|"&amp;$A66&amp;"|saleprice",Market_Data!$K$5:$K$304,0)),"Market-City",IF(ISNUMBER(MATCH(Location!$C$5&amp;"|"&amp;$A66&amp;"|saleprice",Market_Data!$K$5:$K$304,0)),"Market-County",IF(ISNUMBER(MATCH(Location!$C$6&amp;"|"&amp;$A66&amp;"|saleprice",Market_Data!$K$5:$K$304,0)),"Market-State",IF(ISNUMBER(MATCH(Org_Profile!$C$4&amp;"|"&amp;$A66&amp;"|saleprice",Org_Overrides!$H$5:$H$304,0)),"Org","Default x index"))))</f>
        <v/>
      </c>
      <c r="Y66" s="2">
        <f>IF(ISNUMBER(MATCH(Location!$C$4&amp;"|"&amp;$A66&amp;"|landac",Market_Data!$K$5:$K$304,0)),"Market-City",IF(ISNUMBER(MATCH(Location!$C$5&amp;"|"&amp;$A66&amp;"|landac",Market_Data!$K$5:$K$304,0)),"Market-County",IF(ISNUMBER(MATCH(Location!$C$6&amp;"|"&amp;$A66&amp;"|landac",Market_Data!$K$5:$K$304,0)),"Market-State",IF(ISNUMBER(MATCH(Org_Profile!$C$4&amp;"|"&amp;$A66&amp;"|landac",Org_Overrides!$H$5:$H$304,0)),"Org","Default x index"))))</f>
        <v/>
      </c>
      <c r="Z66" s="2">
        <f>IF(ISNUMBER(MATCH(Location!$C$4&amp;"|"&amp;$A66&amp;"|rent",Market_Data!$K$5:$K$304,0)),"Market-City",IF(ISNUMBER(MATCH(Location!$C$5&amp;"|"&amp;$A66&amp;"|rent",Market_Data!$K$5:$K$304,0)),"Market-County",IF(ISNUMBER(MATCH(Location!$C$6&amp;"|"&amp;$A66&amp;"|rent",Market_Data!$K$5:$K$304,0)),"Market-State",IF(ISNUMBER(MATCH(Org_Profile!$C$4&amp;"|"&amp;$A66&amp;"|rent",Org_Overrides!$H$5:$H$304,0)),"Org","Default x index"))))</f>
        <v/>
      </c>
      <c r="AA66" s="2">
        <f>IF(ISNUMBER(MATCH(Location!$C$4&amp;"|"&amp;$A66&amp;"|groundrent",Market_Data!$K$5:$K$304,0)),"Market-City",IF(ISNUMBER(MATCH(Location!$C$5&amp;"|"&amp;$A66&amp;"|groundrent",Market_Data!$K$5:$K$304,0)),"Market-County",IF(ISNUMBER(MATCH(Location!$C$6&amp;"|"&amp;$A66&amp;"|groundrent",Market_Data!$K$5:$K$304,0)),"Market-State",IF(ISNUMBER(MATCH(Org_Profile!$C$4&amp;"|"&amp;$A66&amp;"|groundrent",Org_Overrides!$H$5:$H$304,0)),"Org","Default x index"))))</f>
        <v/>
      </c>
      <c r="AB66" s="2">
        <f>IF(ISNUMBER(MATCH(Location!$C$4&amp;"|"&amp;$A66&amp;"|cap",Market_Data!$K$5:$K$304,0)),"Market-City",IF(ISNUMBER(MATCH(Location!$C$5&amp;"|"&amp;$A66&amp;"|cap",Market_Data!$K$5:$K$304,0)),"Market-County",IF(ISNUMBER(MATCH(Location!$C$6&amp;"|"&amp;$A66&amp;"|cap",Market_Data!$K$5:$K$304,0)),"Market-State",IF(ISNUMBER(MATCH(Org_Profile!$C$4&amp;"|"&amp;$A66&amp;"|cap",Org_Overrides!$H$5:$H$304,0)),"Org","Default x index"))))</f>
        <v/>
      </c>
      <c r="AC66" s="2">
        <f>IF(ISNUMBER(MATCH(Location!$C$4&amp;"|"&amp;$A66&amp;"|vac",Market_Data!$K$5:$K$304,0)),"Market-City",IF(ISNUMBER(MATCH(Location!$C$5&amp;"|"&amp;$A66&amp;"|vac",Market_Data!$K$5:$K$304,0)),"Market-County",IF(ISNUMBER(MATCH(Location!$C$6&amp;"|"&amp;$A66&amp;"|vac",Market_Data!$K$5:$K$304,0)),"Market-State",IF(ISNUMBER(MATCH(Org_Profile!$C$4&amp;"|"&amp;$A66&amp;"|vac",Org_Overrides!$H$5:$H$304,0)),"Org","Default"))))</f>
        <v/>
      </c>
      <c r="AD66" s="2">
        <f>IF(ISNUMBER(MATCH(Location!$C$4&amp;"|"&amp;$A66&amp;"|absorb",Market_Data!$K$5:$K$304,0)),"Market-City",IF(ISNUMBER(MATCH(Location!$C$5&amp;"|"&amp;$A66&amp;"|absorb",Market_Data!$K$5:$K$304,0)),"Market-County",IF(ISNUMBER(MATCH(Location!$C$6&amp;"|"&amp;$A66&amp;"|absorb",Market_Data!$K$5:$K$304,0)),"Market-State",IF(ISNUMBER(MATCH(Org_Profile!$C$4&amp;"|"&amp;$A66&amp;"|absorb",Org_Overrides!$H$5:$H$304,0)),"Org","Default"))))</f>
        <v/>
      </c>
      <c r="AE66" s="2">
        <f>IF(ISNUMBER(MATCH(Location!$C$4&amp;"|"&amp;$A66&amp;"|lotabs",Market_Data!$K$5:$K$304,0)),"Market-City",IF(ISNUMBER(MATCH(Location!$C$5&amp;"|"&amp;$A66&amp;"|lotabs",Market_Data!$K$5:$K$304,0)),"Market-County",IF(ISNUMBER(MATCH(Location!$C$6&amp;"|"&amp;$A66&amp;"|lotabs",Market_Data!$K$5:$K$304,0)),"Market-State",IF(ISNUMBER(MATCH(Org_Profile!$C$4&amp;"|"&amp;$A66&amp;"|lotabs",Org_Overrides!$H$5:$H$304,0)),"Org","Default"))))</f>
        <v/>
      </c>
      <c r="AF66" s="15">
        <f>15-COUNTIF(Q66:AE66,"Default*")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E6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40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40" customWidth="1" min="159" max="159"/>
    <col width="40" customWidth="1" min="160" max="160"/>
    <col width="14" customWidth="1" min="161" max="161"/>
  </cols>
  <sheetData>
    <row r="1">
      <c r="A1" s="1" t="inlineStr">
        <is>
          <t>Engine - every use run against this parcel</t>
        </is>
      </c>
    </row>
    <row r="2">
      <c r="A2" s="2" t="inlineStr">
        <is>
          <t>One row per use, one column per calculation step, left to right. This tab IS the spec. Do not edit - change inputs on Parcel, Org_Profile, Assumptions, Regions, Use_Library.</t>
        </is>
      </c>
    </row>
    <row r="4">
      <c r="A4" s="37" t="inlineStr">
        <is>
          <t>Identity</t>
        </is>
      </c>
      <c r="F4" s="37" t="inlineStr">
        <is>
          <t>Yield (before demand)</t>
        </is>
      </c>
      <c r="J4" s="37" t="inlineStr">
        <is>
          <t>Gates</t>
        </is>
      </c>
      <c r="U4" s="37" t="inlineStr">
        <is>
          <t>Capacity</t>
        </is>
      </c>
      <c r="AQ4" s="37" t="inlineStr">
        <is>
          <t>Quantities</t>
        </is>
      </c>
      <c r="BG4" s="37" t="inlineStr">
        <is>
          <t>Horizontal budget</t>
        </is>
      </c>
      <c r="CK4" s="37" t="inlineStr">
        <is>
          <t>Vertical</t>
        </is>
      </c>
      <c r="CO4" s="37" t="inlineStr">
        <is>
          <t>Timing &amp; hurdle</t>
        </is>
      </c>
      <c r="CY4" s="37" t="inlineStr">
        <is>
          <t>Land &amp; financing factors</t>
        </is>
      </c>
      <c r="DJ4" s="37" t="inlineStr">
        <is>
          <t>Exit 1 - Land / pad sale</t>
        </is>
      </c>
      <c r="DP4" s="37" t="inlineStr">
        <is>
          <t>Build cost (exits 2 &amp; 3)</t>
        </is>
      </c>
      <c r="DS4" s="37" t="inlineStr">
        <is>
          <t>Income (Income engine)</t>
        </is>
      </c>
      <c r="ED4" s="37" t="inlineStr">
        <is>
          <t>Exit 2 - Build &amp; sell</t>
        </is>
      </c>
      <c r="EH4" s="37" t="inlineStr">
        <is>
          <t>Exit 3 - Build &amp; hold / lease</t>
        </is>
      </c>
      <c r="EO4" s="37" t="inlineStr">
        <is>
          <t>Hold financing (Income)</t>
        </is>
      </c>
      <c r="ES4" s="37" t="inlineStr">
        <is>
          <t>Answer</t>
        </is>
      </c>
    </row>
    <row r="5" ht="80" customHeight="1">
      <c r="A5" s="8" t="inlineStr">
        <is>
          <t>Use</t>
        </is>
      </c>
      <c r="B5" s="8" t="inlineStr">
        <is>
          <t>Engine</t>
        </is>
      </c>
      <c r="C5" s="8" t="inlineStr">
        <is>
          <t>Capacity unit</t>
        </is>
      </c>
      <c r="D5" s="8" t="inlineStr">
        <is>
          <t>Zoning class</t>
        </is>
      </c>
      <c r="E5" s="8" t="inlineStr">
        <is>
          <t>Org builds this (1/0)</t>
        </is>
      </c>
      <c r="F5" s="8" t="inlineStr">
        <is>
          <t>Usable acres (net - open space - detention)</t>
        </is>
      </c>
      <c r="G5" s="8" t="inlineStr">
        <is>
          <t>Usable acres used (market acre cap)</t>
        </is>
      </c>
      <c r="H5" s="8" t="inlineStr">
        <is>
          <t>Share of parcel used (before demand)</t>
        </is>
      </c>
      <c r="I5" s="8" t="inlineStr">
        <is>
          <t>Net acres in use (before demand)</t>
        </is>
      </c>
      <c r="J5" s="8" t="inlineStr">
        <is>
          <t>Zoning status</t>
        </is>
      </c>
      <c r="K5" s="8" t="inlineStr">
        <is>
          <t>Zoning / deed passes (1/0)</t>
        </is>
      </c>
      <c r="L5" s="8" t="inlineStr">
        <is>
          <t>Rezone needed (1/0)</t>
        </is>
      </c>
      <c r="M5" s="8" t="inlineStr">
        <is>
          <t>Access passes (1/0)</t>
        </is>
      </c>
      <c r="N5" s="8" t="inlineStr">
        <is>
          <t>Frontage passes (1/0)</t>
        </is>
      </c>
      <c r="O5" s="8" t="inlineStr">
        <is>
          <t>Sewer requirement met (1/0)</t>
        </is>
      </c>
      <c r="P5" s="8" t="inlineStr">
        <is>
          <t>Water requirement met (1/0)</t>
        </is>
      </c>
      <c r="Q5" s="8" t="inlineStr">
        <is>
          <t>Location test failures</t>
        </is>
      </c>
      <c r="R5" s="8" t="inlineStr">
        <is>
          <t>Location passes (1/0)</t>
        </is>
      </c>
      <c r="S5" s="8" t="inlineStr">
        <is>
          <t>Parcel big enough (1/0)</t>
        </is>
      </c>
      <c r="T5" s="8" t="inlineStr">
        <is>
          <t>All gates pass (1/0)</t>
        </is>
      </c>
      <c r="U5" s="8" t="inlineStr">
        <is>
          <t>Capacity by density</t>
        </is>
      </c>
      <c r="V5" s="8" t="inlineStr">
        <is>
          <t>Capacity by site area</t>
        </is>
      </c>
      <c r="W5" s="8" t="inlineStr">
        <is>
          <t>Capacity by septic min lot (subdivided lots)</t>
        </is>
      </c>
      <c r="X5" s="8" t="inlineStr">
        <is>
          <t>Capacity by min lot size (gross)</t>
        </is>
      </c>
      <c r="Y5" s="8" t="inlineStr">
        <is>
          <t>Capacity by road frontage</t>
        </is>
      </c>
      <c r="Z5" s="8" t="inlineStr">
        <is>
          <t>Capacity by on-site septic (gal/day)</t>
        </is>
      </c>
      <c r="AA5" s="8" t="inlineStr">
        <is>
          <t>Physical capacity</t>
        </is>
      </c>
      <c r="AB5" s="8" t="inlineStr">
        <is>
          <t>Capacity by market demand</t>
        </is>
      </c>
      <c r="AC5" s="8" t="inlineStr">
        <is>
          <t>Demand ratio (share of physical capacity the market takes)</t>
        </is>
      </c>
      <c r="AD5" s="8" t="inlineStr">
        <is>
          <t>Usable acres used by this use</t>
        </is>
      </c>
      <c r="AE5" s="8" t="inlineStr">
        <is>
          <t>Share of parcel used</t>
        </is>
      </c>
      <c r="AF5" s="8" t="inlineStr">
        <is>
          <t>Net acres in use</t>
        </is>
      </c>
      <c r="AG5" s="8" t="inlineStr">
        <is>
          <t>Detention acres</t>
        </is>
      </c>
      <c r="AH5" s="8" t="inlineStr">
        <is>
          <t>Developed acres</t>
        </is>
      </c>
      <c r="AI5" s="8" t="inlineStr">
        <is>
          <t>Excess gross acres (resold as raw land)</t>
        </is>
      </c>
      <c r="AJ5" s="8" t="inlineStr">
        <is>
          <t>Binding capacity (physical or demand)</t>
        </is>
      </c>
      <c r="AK5" s="8" t="inlineStr">
        <is>
          <t>CAPACITY (units / SF / acres)</t>
        </is>
      </c>
      <c r="AL5" s="8" t="inlineStr">
        <is>
          <t>Binding constraint</t>
        </is>
      </c>
      <c r="AM5" s="8" t="inlineStr">
        <is>
          <t>Anything fits (1/0)</t>
        </is>
      </c>
      <c r="AN5" s="8" t="inlineStr">
        <is>
          <t>Horizontal by us (1/0)</t>
        </is>
      </c>
      <c r="AO5" s="8" t="inlineStr">
        <is>
          <t>Capacity if sewer were available</t>
        </is>
      </c>
      <c r="AP5" s="8" t="inlineStr">
        <is>
          <t>Unlock</t>
        </is>
      </c>
      <c r="AQ5" s="8" t="inlineStr">
        <is>
          <t>Internal road LF</t>
        </is>
      </c>
      <c r="AR5" s="8" t="inlineStr">
        <is>
          <t>Paving / hardscape SF</t>
        </is>
      </c>
      <c r="AS5" s="8" t="inlineStr">
        <is>
          <t>Utility connections</t>
        </is>
      </c>
      <c r="AT5" s="8" t="inlineStr">
        <is>
          <t>Water line LF</t>
        </is>
      </c>
      <c r="AU5" s="8" t="inlineStr">
        <is>
          <t>Water taps</t>
        </is>
      </c>
      <c r="AV5" s="8" t="inlineStr">
        <is>
          <t>Public water system needed (1/0)</t>
        </is>
      </c>
      <c r="AW5" s="8" t="inlineStr">
        <is>
          <t>Sewer line LF</t>
        </is>
      </c>
      <c r="AX5" s="8" t="inlineStr">
        <is>
          <t>Sewer taps</t>
        </is>
      </c>
      <c r="AY5" s="8" t="inlineStr">
        <is>
          <t>Septic systems</t>
        </is>
      </c>
      <c r="AZ5" s="8" t="inlineStr">
        <is>
          <t>On-site wastewater gal/day</t>
        </is>
      </c>
      <c r="BA5" s="8" t="inlineStr">
        <is>
          <t>State wastewater permit needed (1/0)</t>
        </is>
      </c>
      <c r="BB5" s="8" t="inlineStr">
        <is>
          <t>Private wells</t>
        </is>
      </c>
      <c r="BC5" s="8" t="inlineStr">
        <is>
          <t>Acres to clear</t>
        </is>
      </c>
      <c r="BD5" s="8" t="inlineStr">
        <is>
          <t>Acres to grade (disturbed)</t>
        </is>
      </c>
      <c r="BE5" s="8" t="inlineStr">
        <is>
          <t>Lots to plat</t>
        </is>
      </c>
      <c r="BF5" s="8" t="inlineStr">
        <is>
          <t>Dwelling (pays impact fees) (1/0)</t>
        </is>
      </c>
      <c r="BG5" s="8" t="inlineStr">
        <is>
          <t>02-100 Survey</t>
        </is>
      </c>
      <c r="BH5" s="8" t="inlineStr">
        <is>
          <t>02-110 Platting</t>
        </is>
      </c>
      <c r="BI5" s="8" t="inlineStr">
        <is>
          <t>02-200 Civil engineering</t>
        </is>
      </c>
      <c r="BJ5" s="8" t="inlineStr">
        <is>
          <t>02-300 Geotech (only when most of the site is disturbed)</t>
        </is>
      </c>
      <c r="BK5" s="8" t="inlineStr">
        <is>
          <t>02-310 Septic evaluations</t>
        </is>
      </c>
      <c r="BL5" s="8" t="inlineStr">
        <is>
          <t>02-320 State wastewater permit</t>
        </is>
      </c>
      <c r="BM5" s="8" t="inlineStr">
        <is>
          <t>02-400 Phase I</t>
        </is>
      </c>
      <c r="BN5" s="8" t="inlineStr">
        <is>
          <t>02-500 Drainage study (when detention applies)</t>
        </is>
      </c>
      <c r="BO5" s="8" t="inlineStr">
        <is>
          <t>Entitlement (use-specific, localized)</t>
        </is>
      </c>
      <c r="BP5" s="8" t="inlineStr">
        <is>
          <t>Rezoning (location)</t>
        </is>
      </c>
      <c r="BQ5" s="8" t="inlineStr">
        <is>
          <t>02-700 Legal &amp; title</t>
        </is>
      </c>
      <c r="BR5" s="8" t="inlineStr">
        <is>
          <t>03-100 Clearing</t>
        </is>
      </c>
      <c r="BS5" s="8" t="inlineStr">
        <is>
          <t>03-200 Grading</t>
        </is>
      </c>
      <c r="BT5" s="8" t="inlineStr">
        <is>
          <t>03-300 Roads / drives</t>
        </is>
      </c>
      <c r="BU5" s="8" t="inlineStr">
        <is>
          <t>03-350 Paving / parking</t>
        </is>
      </c>
      <c r="BV5" s="8" t="inlineStr">
        <is>
          <t>03-400 Detention</t>
        </is>
      </c>
      <c r="BW5" s="8" t="inlineStr">
        <is>
          <t>03-500 SWPPP</t>
        </is>
      </c>
      <c r="BX5" s="8" t="inlineStr">
        <is>
          <t>03-600 Driveway / turn lane</t>
        </is>
      </c>
      <c r="BY5" s="8" t="inlineStr">
        <is>
          <t>04-100 Water line</t>
        </is>
      </c>
      <c r="BZ5" s="8" t="inlineStr">
        <is>
          <t>04-110 Water taps</t>
        </is>
      </c>
      <c r="CA5" s="8" t="inlineStr">
        <is>
          <t>04-200 Sewer line</t>
        </is>
      </c>
      <c r="CB5" s="8" t="inlineStr">
        <is>
          <t>04-210 Sewer taps</t>
        </is>
      </c>
      <c r="CC5" s="8" t="inlineStr">
        <is>
          <t>04-300 Septic systems</t>
        </is>
      </c>
      <c r="CD5" s="8" t="inlineStr">
        <is>
          <t>04-310 Wells</t>
        </is>
      </c>
      <c r="CE5" s="8" t="inlineStr">
        <is>
          <t>04-320/330 Public water system</t>
        </is>
      </c>
      <c r="CF5" s="8" t="inlineStr">
        <is>
          <t>04-400 Electric</t>
        </is>
      </c>
      <c r="CG5" s="8" t="inlineStr">
        <is>
          <t>Horizontal subtotal</t>
        </is>
      </c>
      <c r="CH5" s="8" t="inlineStr">
        <is>
          <t>Horizontal contingency</t>
        </is>
      </c>
      <c r="CI5" s="8" t="inlineStr">
        <is>
          <t>Org estimating bias (learned)</t>
        </is>
      </c>
      <c r="CJ5" s="8" t="inlineStr">
        <is>
          <t>HORIZONTAL TOTAL (ex land)</t>
        </is>
      </c>
      <c r="CK5" s="8" t="inlineStr">
        <is>
          <t>Vertical hard cost</t>
        </is>
      </c>
      <c r="CL5" s="8" t="inlineStr">
        <is>
          <t>Vertical soft + contingency</t>
        </is>
      </c>
      <c r="CM5" s="8" t="inlineStr">
        <is>
          <t>TI + leasing commissions</t>
        </is>
      </c>
      <c r="CN5" s="8" t="inlineStr">
        <is>
          <t>Impact fees (location)</t>
        </is>
      </c>
      <c r="CO5" s="8" t="inlineStr">
        <is>
          <t>Development months (incl. rezoning / permits)</t>
        </is>
      </c>
      <c r="CP5" s="8" t="inlineStr">
        <is>
          <t>Exit 1 sell-out months</t>
        </is>
      </c>
      <c r="CQ5" s="8" t="inlineStr">
        <is>
          <t>Exit 2 sell-out months (For-Sale)</t>
        </is>
      </c>
      <c r="CR5" s="8" t="inlineStr">
        <is>
          <t>Lease-up months (Income)</t>
        </is>
      </c>
      <c r="CS5" s="8" t="inlineStr">
        <is>
          <t>Exit 1 total months</t>
        </is>
      </c>
      <c r="CT5" s="8" t="inlineStr">
        <is>
          <t>Exit 2 total months</t>
        </is>
      </c>
      <c r="CU5" s="8" t="inlineStr">
        <is>
          <t>Exit 3 total months</t>
        </is>
      </c>
      <c r="CV5" s="8" t="inlineStr">
        <is>
          <t>Exit 1 required margin</t>
        </is>
      </c>
      <c r="CW5" s="8" t="inlineStr">
        <is>
          <t>Exit 2 required margin</t>
        </is>
      </c>
      <c r="CX5" s="8" t="inlineStr">
        <is>
          <t>Exit 3 required margin</t>
        </is>
      </c>
      <c r="CY5" s="8" t="inlineStr">
        <is>
          <t>Land factor before carry (closing + conversion penalty)</t>
        </is>
      </c>
      <c r="CZ5" s="8" t="inlineStr">
        <is>
          <t>Land cost factor - exit 1</t>
        </is>
      </c>
      <c r="DA5" s="8" t="inlineStr">
        <is>
          <t>Land cost factor - exit 2</t>
        </is>
      </c>
      <c r="DB5" s="8" t="inlineStr">
        <is>
          <t>Land cost factor - exit 3</t>
        </is>
      </c>
      <c r="DC5" s="8" t="inlineStr">
        <is>
          <t>Financing factor - exit 1</t>
        </is>
      </c>
      <c r="DD5" s="8" t="inlineStr">
        <is>
          <t>Financing factor - exit 2</t>
        </is>
      </c>
      <c r="DE5" s="8" t="inlineStr">
        <is>
          <t>Financing factor - exit 3</t>
        </is>
      </c>
      <c r="DF5" s="8" t="inlineStr">
        <is>
          <t>Selling cost - land (incl. transfer tax)</t>
        </is>
      </c>
      <c r="DG5" s="8" t="inlineStr">
        <is>
          <t>Selling cost - homes (incl. transfer tax)</t>
        </is>
      </c>
      <c r="DH5" s="8" t="inlineStr">
        <is>
          <t>Sale cost - income (incl. transfer tax)</t>
        </is>
      </c>
      <c r="DI5" s="8" t="inlineStr">
        <is>
          <t>Excess land resale (net)</t>
        </is>
      </c>
      <c r="DJ5" s="8" t="inlineStr">
        <is>
          <t>Exit 1 net revenue</t>
        </is>
      </c>
      <c r="DK5" s="8" t="inlineStr">
        <is>
          <t>Exit 1 non-land cost (buyer builds paving, septic systems and wells)</t>
        </is>
      </c>
      <c r="DL5" s="8" t="inlineStr">
        <is>
          <t>Exit 1 cost per $1 of land</t>
        </is>
      </c>
      <c r="DM5" s="8" t="inlineStr">
        <is>
          <t>Exit 1 total cost at asking</t>
        </is>
      </c>
      <c r="DN5" s="8" t="inlineStr">
        <is>
          <t>Exit 1 profit at asking</t>
        </is>
      </c>
      <c r="DO5" s="8" t="inlineStr">
        <is>
          <t>EXIT 1 MAX OFFER</t>
        </is>
      </c>
      <c r="DP5" s="8" t="inlineStr">
        <is>
          <t>Build non-land cost (pre-financing)</t>
        </is>
      </c>
      <c r="DQ5" s="8" t="inlineStr">
        <is>
          <t>Build cost per $1 of land</t>
        </is>
      </c>
      <c r="DR5" s="8" t="inlineStr">
        <is>
          <t>Build total cost at asking</t>
        </is>
      </c>
      <c r="DS5" s="8" t="inlineStr">
        <is>
          <t>Gross potential rent</t>
        </is>
      </c>
      <c r="DT5" s="8" t="inlineStr">
        <is>
          <t>Effective gross income</t>
        </is>
      </c>
      <c r="DU5" s="8" t="inlineStr">
        <is>
          <t>Operating expenses (ex tax, ex mgmt)</t>
        </is>
      </c>
      <c r="DV5" s="8" t="inlineStr">
        <is>
          <t>Property tax</t>
        </is>
      </c>
      <c r="DW5" s="8" t="inlineStr">
        <is>
          <t>Management</t>
        </is>
      </c>
      <c r="DX5" s="8" t="inlineStr">
        <is>
          <t>Expense recoveries</t>
        </is>
      </c>
      <c r="DY5" s="8" t="inlineStr">
        <is>
          <t>NET OPERATING INCOME</t>
        </is>
      </c>
      <c r="DZ5" s="8" t="inlineStr">
        <is>
          <t>Cap rate used (localized)</t>
        </is>
      </c>
      <c r="EA5" s="8" t="inlineStr">
        <is>
          <t>Stabilized value (NOI / cap)</t>
        </is>
      </c>
      <c r="EB5" s="8" t="inlineStr">
        <is>
          <t>Change in NOI per $1 of land</t>
        </is>
      </c>
      <c r="EC5" s="8" t="inlineStr">
        <is>
          <t>Yield on cost</t>
        </is>
      </c>
      <c r="ED5" s="8" t="inlineStr">
        <is>
          <t>Exit 2 net revenue</t>
        </is>
      </c>
      <c r="EE5" s="8" t="inlineStr">
        <is>
          <t>Change in exit 2 revenue per $1 of land</t>
        </is>
      </c>
      <c r="EF5" s="8" t="inlineStr">
        <is>
          <t>Exit 2 profit at asking</t>
        </is>
      </c>
      <c r="EG5" s="8" t="inlineStr">
        <is>
          <t>EXIT 2 MAX OFFER</t>
        </is>
      </c>
      <c r="EH5" s="8" t="inlineStr">
        <is>
          <t>Exit 3 value</t>
        </is>
      </c>
      <c r="EI5" s="8" t="inlineStr">
        <is>
          <t>Exit 3 non-land cost</t>
        </is>
      </c>
      <c r="EJ5" s="8" t="inlineStr">
        <is>
          <t>Exit 3 cost per $1 of land</t>
        </is>
      </c>
      <c r="EK5" s="8" t="inlineStr">
        <is>
          <t>Exit 3 total cost at asking</t>
        </is>
      </c>
      <c r="EL5" s="8" t="inlineStr">
        <is>
          <t>Change in exit 3 value per $1 of land</t>
        </is>
      </c>
      <c r="EM5" s="8" t="inlineStr">
        <is>
          <t>Exit 3 value created at asking</t>
        </is>
      </c>
      <c r="EN5" s="8" t="inlineStr">
        <is>
          <t>EXIT 3 MAX OFFER</t>
        </is>
      </c>
      <c r="EO5" s="8" t="inlineStr">
        <is>
          <t>Development loan</t>
        </is>
      </c>
      <c r="EP5" s="8" t="inlineStr">
        <is>
          <t>Permanent loan (lesser of LTV, DSCR, debt yield)</t>
        </is>
      </c>
      <c r="EQ5" s="8" t="inlineStr">
        <is>
          <t>DSCR on permanent loan</t>
        </is>
      </c>
      <c r="ER5" s="8" t="inlineStr">
        <is>
          <t>Cash out at refi (perm - dev loan)</t>
        </is>
      </c>
      <c r="ES5" s="8" t="inlineStr">
        <is>
          <t>BEST MAX OFFER</t>
        </is>
      </c>
      <c r="ET5" s="8" t="inlineStr">
        <is>
          <t>Best exit number</t>
        </is>
      </c>
      <c r="EU5" s="8" t="inlineStr">
        <is>
          <t>Best exit</t>
        </is>
      </c>
      <c r="EV5" s="8" t="inlineStr">
        <is>
          <t>Months to exit (best)</t>
        </is>
      </c>
      <c r="EW5" s="8" t="inlineStr">
        <is>
          <t>Opening offer</t>
        </is>
      </c>
      <c r="EX5" s="8" t="inlineStr">
        <is>
          <t>Max offer minus asking</t>
        </is>
      </c>
      <c r="EY5" s="8" t="inlineStr">
        <is>
          <t>Max offer per gross acre</t>
        </is>
      </c>
      <c r="EZ5" s="8" t="inlineStr">
        <is>
          <t>Max offer per unit of capacity</t>
        </is>
      </c>
      <c r="FA5" s="8" t="inlineStr">
        <is>
          <t>Verdict</t>
        </is>
      </c>
      <c r="FB5" s="8" t="inlineStr">
        <is>
          <t>Confidence</t>
        </is>
      </c>
      <c r="FC5" s="8" t="inlineStr">
        <is>
          <t>Verify before relying (untested location rules)</t>
        </is>
      </c>
      <c r="FD5" s="8" t="inlineStr">
        <is>
          <t>Flags</t>
        </is>
      </c>
      <c r="FE5" s="8" t="inlineStr">
        <is>
          <t>Rank key</t>
        </is>
      </c>
    </row>
    <row r="6">
      <c r="A6" s="4">
        <f>Use_Library!$A$5</f>
        <v/>
      </c>
      <c r="B6" s="9">
        <f>Use_Library!$C$5</f>
        <v/>
      </c>
      <c r="C6" s="9">
        <f>Use_Library!$D$5</f>
        <v/>
      </c>
      <c r="D6" s="9">
        <f>Use_Library!$F$5</f>
        <v/>
      </c>
      <c r="E6" s="15">
        <f>IF(Org_Profile!$C$22="Y",1,0)</f>
        <v/>
      </c>
      <c r="F6" s="14">
        <f>MAX(0,Parcel!$C$37*(1-Use_Library!$N$5-IF(Use_Library!$AB$5="Y",Assumptions!$C$7,0)))</f>
        <v/>
      </c>
      <c r="G6" s="14">
        <f>IF(Use_Library!$M$5&gt;0,MIN(F6,Use_Library!$M$5),F6)</f>
        <v/>
      </c>
      <c r="H6" s="23">
        <f>IF(F6=0,0,G6/F6)</f>
        <v/>
      </c>
      <c r="I6" s="14">
        <f>Parcel!$C$37*H6</f>
        <v/>
      </c>
      <c r="J6" s="9">
        <f>IF(ISNUMBER(SEARCH(","&amp;Use_Library!$F$5&amp;",",","&amp;SUBSTITUTE(Parcel!$C$11," ","")&amp;",")),"Deed restricted",IF(Parcel!$C$46=0,"No zoning",IF(ISNUMBER(SEARCH(","&amp;Use_Library!$F$5&amp;",",","&amp;SUBSTITUTE(Parcel!$C$10," ","")&amp;",")),"By right",IF(OR(TRIM(Parcel!$C$12)="*",ISNUMBER(SEARCH(","&amp;Use_Library!$F$5&amp;",",","&amp;SUBSTITUTE(Parcel!$C$12," ","")&amp;","))),"Rezone required","Prohibited by zoning"))))</f>
        <v/>
      </c>
      <c r="K6" s="15">
        <f>IF(OR(J6="Deed restricted",J6="Prohibited by zoning"),0,1)</f>
        <v/>
      </c>
      <c r="L6" s="15">
        <f>IF(J6="Rezone required",1,0)</f>
        <v/>
      </c>
      <c r="M6" s="15">
        <f>IF(Parcel!$C$20="None",0,IF(AND(Parcel!$C$20="Private easement",Use_Library!$BA$5="Y"),0,1))</f>
        <v/>
      </c>
      <c r="N6" s="15">
        <f>IF(AND(Use_Library!$AZ$5="Y",Parcel!$C$19&lt;Use_Library!$AY$5),0,1)</f>
        <v/>
      </c>
      <c r="O6" s="15">
        <f>IF(AND(Use_Library!$T$5="Y",Parcel!$C$39=0),0,1)</f>
        <v/>
      </c>
      <c r="P6" s="15">
        <f>IF(AND(Use_Library!$U$5="Y",Parcel!$C$38=0),0,1)</f>
        <v/>
      </c>
      <c r="Q6" s="9">
        <f>TRIM(IF(AND(Use_Library!$BB$5&gt;0,Parcel!$C$28&lt;Use_Library!$BB$5),"Traffic under "&amp;TEXT(Use_Library!$BB$5,"#,##0")&amp;" VPD. ","")&amp;IF(AND(Use_Library!$BC$5&gt;0,Parcel!$C$29&lt;Use_Library!$BC$5),"Under "&amp;TEXT(Use_Library!$BC$5,"#,##0")&amp;" households in 3 mi. ","")&amp;IF(AND(Use_Library!$BD$5&gt;0,Parcel!$C$31&gt;Use_Library!$BD$5),"Over "&amp;Use_Library!$BD$5&amp;" mi to highway. ","")&amp;IF(AND(Use_Library!$BE$5="Y",Parcel!$C$32&lt;&gt;"Y"),"Needs a corner. ","")&amp;IF(AND(Use_Library!$BF$5&gt;0,Parcel!$C$33&gt;Use_Library!$BF$5),"Over "&amp;Use_Library!$BF$5&amp;" mi to substation. ","")&amp;IF(AND(Use_Library!$BG$5&gt;0,Parcel!$C$34&gt;Use_Library!$BG$5),"Over "&amp;Use_Library!$BG$5&amp;" mi to a major employer. ",""))</f>
        <v/>
      </c>
      <c r="R6" s="15">
        <f>IF(Q6="",1,0)</f>
        <v/>
      </c>
      <c r="S6" s="15">
        <f>IF(F6&gt;=Use_Library!$L$5,1,0)</f>
        <v/>
      </c>
      <c r="T6" s="15">
        <f>K6*M6*N6*O6*P6*R6*S6</f>
        <v/>
      </c>
      <c r="U6" s="14">
        <f>IF(Use_Library!$G$5&gt;0,I6*Use_Library!$G$5,1E+9)</f>
        <v/>
      </c>
      <c r="V6" s="14">
        <f>IF(Use_Library!$H$5&gt;0,G6*43560/Use_Library!$H$5,1E+9)</f>
        <v/>
      </c>
      <c r="W6" s="14">
        <f>IF(AND(Use_Library!$K$5="Y",Parcel!$C$39=0),G6*(1-Assumptions!$C$8)/IF(Parcel!$C$38=1,Location!$C$25,Location!$C$26),1E+9)</f>
        <v/>
      </c>
      <c r="X6" s="14">
        <f>IF(Use_Library!$I$5&gt;0,Parcel!$C$14*H6/Use_Library!$I$5,1E+9)</f>
        <v/>
      </c>
      <c r="Y6" s="14">
        <f>IF(Use_Library!$J$5&gt;0,Parcel!$C$19/Use_Library!$J$5,1E+9)</f>
        <v/>
      </c>
      <c r="Z6" s="14">
        <f>IF(AND(Parcel!$C$39=0,Use_Library!$K$5="N",Use_Library!$Y$5&gt;0,Use_Library!$Z$5="Y"),G6*Location!$C$27*Parcel!$C$45/Use_Library!$Y$5,1E+9)</f>
        <v/>
      </c>
      <c r="AA6" s="14">
        <f>MIN(U6,V6,W6,X6,Y6,Z6)</f>
        <v/>
      </c>
      <c r="AB6" s="14">
        <f>IF(Use_Library!$O$5&gt;0,IF(Use_Library!$P$5&gt;=10,Parcel!$C$30,Parcel!$C$29)*Use_Library!$O$5*Use_Library!$Q$5,1E+9)</f>
        <v/>
      </c>
      <c r="AC6" s="23">
        <f>IF(OR(AA6&gt;=1E+9,AA6&lt;=0),1,MIN(1,AB6/AA6))</f>
        <v/>
      </c>
      <c r="AD6" s="14">
        <f>G6*AC6</f>
        <v/>
      </c>
      <c r="AE6" s="23">
        <f>IF(F6=0,0,AD6/F6)</f>
        <v/>
      </c>
      <c r="AF6" s="14">
        <f>Parcel!$C$37*AE6</f>
        <v/>
      </c>
      <c r="AG6" s="14">
        <f>AF6*IF(Use_Library!$AB$5="Y",Assumptions!$C$7,0)</f>
        <v/>
      </c>
      <c r="AH6" s="14">
        <f>AF6*(1-Use_Library!$N$5)</f>
        <v/>
      </c>
      <c r="AI6" s="14">
        <f>Parcel!$C$14*(1-AE6)</f>
        <v/>
      </c>
      <c r="AJ6" s="14">
        <f>MIN(AA6,AB6)</f>
        <v/>
      </c>
      <c r="AK6" s="25">
        <f>IF(T6=0,0,IF(AJ6&gt;=1E+9,AD6,IF(Use_Library!$E$5="Y",INT(AJ6+1E-9),AJ6)))</f>
        <v/>
      </c>
      <c r="AL6" s="9">
        <f>IF(M6=0,"No public road access",IF(K6=0,J6,IF(R6=0,"Location fails",IF(N6=0,"Frontage under "&amp;Use_Library!$AY$5&amp;" LF",IF(S6=0,"Too small - needs "&amp;Use_Library!$L$5&amp;" usable ac",IF(O6=0,"Needs public sewer",IF(P6=0,"Needs public water",IF(AJ6&gt;=1E+9,"Usable acres",IF(AB6&lt;=AA6,"Market demand",IF(W6=AA6,"Septic lot size",IF(Z6=AA6,"Septic capacity (gal/day)",IF(X6=AA6,"Min lot size",IF(Y6=AA6,"Road frontage",IF(V6=AA6,"Site area / parking","Density"))))))))))))))</f>
        <v/>
      </c>
      <c r="AM6" s="15">
        <f>IF(AK6&gt;0,1,0)</f>
        <v/>
      </c>
      <c r="AN6" s="15">
        <f>IF(Use_Library!$Z$5="Y",1,0)*AM6</f>
        <v/>
      </c>
      <c r="AO6" s="14">
        <f>IF(Parcel!$C$39=0,MIN(U6,V6,X6,Y6,AB6),0)</f>
        <v/>
      </c>
      <c r="AP6" s="9">
        <f>IF(AND(Parcel!$C$39=0,M6*K6*R6*N6*S6*P6=1,AO6&lt;1E+9,AO6&gt;=MAX(1,AK6)*1.25),"Unlock: sewer or package plant allows ~"&amp;TEXT(INT(AO6),"#,##0")&amp;" "&amp;Use_Library!$D$5&amp;". ","")</f>
        <v/>
      </c>
      <c r="AQ6" s="15">
        <f>AK6*Use_Library!$AC$5*AN6</f>
        <v/>
      </c>
      <c r="AR6" s="15">
        <f>AK6*Use_Library!$AD$5*AN6</f>
        <v/>
      </c>
      <c r="AS6" s="14">
        <f>AK6*Use_Library!$V$5*AN6</f>
        <v/>
      </c>
      <c r="AT6" s="15">
        <f>IF(Parcel!$C$38=1,AQ6+Parcel!$C$40,0)*AN6</f>
        <v/>
      </c>
      <c r="AU6" s="14">
        <f>AS6*Parcel!$C$38</f>
        <v/>
      </c>
      <c r="AV6" s="15">
        <f>IF(AND(Parcel!$C$38=0,Use_Library!$K$5="N",AS6&gt;=Location!$C$30),1,0)*AN6</f>
        <v/>
      </c>
      <c r="AW6" s="15">
        <f>IF(Parcel!$C$39=1,AQ6+Parcel!$C$41,0)*AN6</f>
        <v/>
      </c>
      <c r="AX6" s="14">
        <f>AS6*Parcel!$C$39</f>
        <v/>
      </c>
      <c r="AY6" s="14">
        <f>IF(Parcel!$C$39=0,AK6*Use_Library!$W$5,0)*AN6</f>
        <v/>
      </c>
      <c r="AZ6" s="15">
        <f>IF(Parcel!$C$39=0,AK6*Use_Library!$Y$5,0)*AN6</f>
        <v/>
      </c>
      <c r="BA6" s="15">
        <f>IF(AND(Use_Library!$K$5="N",AZ6&gt;Location!$C$28),1,0)</f>
        <v/>
      </c>
      <c r="BB6" s="14">
        <f>IF(AND(Parcel!$C$38=0,AV6=0),AK6*Use_Library!$X$5,0)*AN6</f>
        <v/>
      </c>
      <c r="BC6" s="14">
        <f>AH6*Parcel!$C$18*Use_Library!$AA$5*AN6</f>
        <v/>
      </c>
      <c r="BD6" s="14">
        <f>AH6*Use_Library!$AA$5*AN6</f>
        <v/>
      </c>
      <c r="BE6" s="15">
        <f>IF(Use_Library!$C$5="For-Sale",IF(Use_Library!$E$5="Y",AK6,1),1)*AM6</f>
        <v/>
      </c>
      <c r="BF6" s="15">
        <f>IF(OR(Use_Library!$F$5="RES-SF",Use_Library!$F$5="RES-ATT",Use_Library!$F$5="RES-MF",Use_Library!$F$5="MH"),1,0)</f>
        <v/>
      </c>
      <c r="BG6" s="20">
        <f>Cost_Library!$J$5*Location!$C$9*AM6</f>
        <v/>
      </c>
      <c r="BH6" s="20">
        <f>BE6*Cost_Library!$J$6*Location!$C$9</f>
        <v/>
      </c>
      <c r="BI6" s="20">
        <f>BD6*Cost_Library!$J$7*Location!$C$9</f>
        <v/>
      </c>
      <c r="BJ6" s="20">
        <f>Cost_Library!$J$8*Location!$C$9*AN6*IF(Use_Library!$AA$5&gt;=0.5,1,0)</f>
        <v/>
      </c>
      <c r="BK6" s="20">
        <f>AY6*Cost_Library!$J$9*Location!$C$9</f>
        <v/>
      </c>
      <c r="BL6" s="20">
        <f>BA6*Cost_Library!$J$10*Location!$C$9</f>
        <v/>
      </c>
      <c r="BM6" s="20">
        <f>Cost_Library!$J$11*Location!$C$9*AM6</f>
        <v/>
      </c>
      <c r="BN6" s="20">
        <f>Cost_Library!$J$12*Location!$C$9*AN6*IF(Use_Library!$AB$5="Y",1,0)</f>
        <v/>
      </c>
      <c r="BO6" s="20">
        <f>Use_Effective!$C$5*AM6</f>
        <v/>
      </c>
      <c r="BP6" s="20">
        <f>L6*Location!$C$31*AM6</f>
        <v/>
      </c>
      <c r="BQ6" s="20">
        <f>Cost_Library!$J$13*Location!$C$9*AM6</f>
        <v/>
      </c>
      <c r="BR6" s="20">
        <f>BC6*Cost_Library!$J$14*Location!$C$9</f>
        <v/>
      </c>
      <c r="BS6" s="20">
        <f>BD6*Cost_Library!$J$15*Location!$C$9*Parcel!$C$43</f>
        <v/>
      </c>
      <c r="BT6" s="20">
        <f>AQ6*Cost_Library!$J$16*Location!$C$9</f>
        <v/>
      </c>
      <c r="BU6" s="20">
        <f>AR6*Cost_Library!$J$17*Location!$C$9</f>
        <v/>
      </c>
      <c r="BV6" s="20">
        <f>AG6*Cost_Library!$J$18*Location!$C$9*AN6</f>
        <v/>
      </c>
      <c r="BW6" s="20">
        <f>BD6*Cost_Library!$J$19*Location!$C$9</f>
        <v/>
      </c>
      <c r="BX6" s="20">
        <f>IF(Use_Library!$AZ$5="Y",1,0)*Cost_Library!$J$20*Location!$C$9*AN6</f>
        <v/>
      </c>
      <c r="BY6" s="20">
        <f>AT6*Cost_Library!$J$21*Location!$C$9</f>
        <v/>
      </c>
      <c r="BZ6" s="20">
        <f>AU6*Cost_Library!$J$22*Location!$C$9</f>
        <v/>
      </c>
      <c r="CA6" s="20">
        <f>AW6*Cost_Library!$J$23*Location!$C$9</f>
        <v/>
      </c>
      <c r="CB6" s="20">
        <f>AX6*Cost_Library!$J$24*Location!$C$9</f>
        <v/>
      </c>
      <c r="CC6" s="20">
        <f>AY6*Cost_Library!$J$25*Location!$C$9*Parcel!$C$44</f>
        <v/>
      </c>
      <c r="CD6" s="20">
        <f>BB6*Cost_Library!$J$26*Location!$C$9</f>
        <v/>
      </c>
      <c r="CE6" s="20">
        <f>AV6*(Cost_Library!$J$27+AS6*Cost_Library!$J$28)*Location!$C$9</f>
        <v/>
      </c>
      <c r="CF6" s="20">
        <f>AQ6*Cost_Library!$J$29*Location!$C$9</f>
        <v/>
      </c>
      <c r="CG6" s="20">
        <f>SUM(BG6:CF6)</f>
        <v/>
      </c>
      <c r="CH6" s="20">
        <f>CG6*Assumptions!$C$9</f>
        <v/>
      </c>
      <c r="CI6" s="20">
        <f>(CG6+CH6)*Org_Profile!$C$17</f>
        <v/>
      </c>
      <c r="CJ6" s="20">
        <f>CG6+CH6+CI6</f>
        <v/>
      </c>
      <c r="CK6" s="20">
        <f>AK6*Use_Effective!$B$5*(1+Org_Profile!$C$17)</f>
        <v/>
      </c>
      <c r="CL6" s="20">
        <f>CK6*(Assumptions!$C$10+Assumptions!$C$11)</f>
        <v/>
      </c>
      <c r="CM6" s="20">
        <f>AK6*Use_Effective!$D$5</f>
        <v/>
      </c>
      <c r="CN6" s="20">
        <f>AK6*Location!$C$21*BF6*AM6</f>
        <v/>
      </c>
      <c r="CO6" s="14">
        <f>Use_Effective!$F$5+L6*Location!$C$32+BA6*Location!$C$29</f>
        <v/>
      </c>
      <c r="CP6" s="14">
        <f>IF(Use_Effective!$P$5&gt;0,IF(Use_Library!$C$5="For-Sale",AK6,AD6)/Use_Effective!$P$5,0)*AM6</f>
        <v/>
      </c>
      <c r="CQ6" s="14">
        <f>IF(AND(Use_Library!$C$5="For-Sale",Use_Effective!$O$5&gt;0),AK6/Use_Effective!$O$5,0)*AM6</f>
        <v/>
      </c>
      <c r="CR6" s="14">
        <f>IF(Use_Library!$C$5="Income",MAX(Use_Library!$AQ$5,IF(Use_Effective!$O$5&gt;0,AK6/Use_Effective!$O$5,0)),0)</f>
        <v/>
      </c>
      <c r="CS6" s="14">
        <f>CO6+CP6</f>
        <v/>
      </c>
      <c r="CT6" s="14">
        <f>CO6+CQ6+CR6</f>
        <v/>
      </c>
      <c r="CU6" s="14">
        <f>CO6+IF(Use_Library!$C$5="Income",CR6,0)</f>
        <v/>
      </c>
      <c r="CV6" s="23">
        <f>Use_Effective!$G$5+Assumptions!$C$25*MAX(0,(CS6-12)/12)</f>
        <v/>
      </c>
      <c r="CW6" s="23">
        <f>Use_Effective!$G$5+Assumptions!$C$25*MAX(0,(CT6-12)/12)</f>
        <v/>
      </c>
      <c r="CX6" s="23">
        <f>Use_Effective!$G$5+Assumptions!$C$25*MAX(0,(CU6-12)/12)</f>
        <v/>
      </c>
      <c r="CY6" s="28">
        <f>1+Location!$C$17+IF(Parcel!$C$26="Y",Location!$C$20,0)</f>
        <v/>
      </c>
      <c r="CZ6" s="28">
        <f>CY6+Location!$C$19*(CO6+CP6/2)/12</f>
        <v/>
      </c>
      <c r="DA6" s="28">
        <f>CY6+Location!$C$19*(CO6+CQ6/2)/12</f>
        <v/>
      </c>
      <c r="DB6" s="28">
        <f>IF(Use_Library!$C$5="Income",DA6,CY6+Location!$C$19*CO6/12)</f>
        <v/>
      </c>
      <c r="DC6" s="28">
        <f>1+Assumptions!$C$15*(Assumptions!$C$16*(CO6+CP6/2)/12*Assumptions!$C$18+Assumptions!$C$17)</f>
        <v/>
      </c>
      <c r="DD6" s="28">
        <f>1+Assumptions!$C$15*(Assumptions!$C$16*((CO6+CQ6/2)/12*Assumptions!$C$18+CR6/12*Assumptions!$C$19)+Assumptions!$C$17)</f>
        <v/>
      </c>
      <c r="DE6" s="28">
        <f>IF(Use_Library!$C$5="Income",DD6,1+Assumptions!$C$15*(Assumptions!$C$16*CO6/12*Assumptions!$C$18+Assumptions!$C$17))</f>
        <v/>
      </c>
      <c r="DF6" s="23">
        <f>Assumptions!$C$13+Location!$C$18</f>
        <v/>
      </c>
      <c r="DG6" s="23">
        <f>Assumptions!$C$12+Location!$C$18</f>
        <v/>
      </c>
      <c r="DH6" s="23">
        <f>Assumptions!$C$14+Location!$C$18</f>
        <v/>
      </c>
      <c r="DI6" s="20">
        <f>AI6*Location!$C$14*(1-DF6)*AM6</f>
        <v/>
      </c>
      <c r="DJ6" s="20">
        <f>IF(Use_Library!$AV$5=1,IF(Use_Library!$C$5="For-Sale",AK6*Use_Effective!$H$5+Parcel!$C$14*AE6*Use_Effective!$J$5,AD6*Use_Effective!$J$5)*(1-DF6)+DI6,0)*AM6</f>
        <v/>
      </c>
      <c r="DK6" s="20">
        <f>(CG6-BU6-CC6-CD6)*(1+Assumptions!$C$9)*(1+Org_Profile!$C$17)</f>
        <v/>
      </c>
      <c r="DL6" s="28">
        <f>CZ6*DC6</f>
        <v/>
      </c>
      <c r="DM6" s="20">
        <f>(Parcel!$C$27*CZ6+DK6)*DC6</f>
        <v/>
      </c>
      <c r="DN6" s="20">
        <f>DJ6-DM6</f>
        <v/>
      </c>
      <c r="DO6" s="38">
        <f>IF(AND(Use_Library!$AV$5=1,AM6=1),MAX(0,((1-CV6)*DJ6-DK6*DC6)/DL6),0)</f>
        <v/>
      </c>
      <c r="DP6" s="20">
        <f>CJ6+CK6+CL6+CM6+CN6</f>
        <v/>
      </c>
      <c r="DQ6" s="28">
        <f>DA6*DD6</f>
        <v/>
      </c>
      <c r="DR6" s="20">
        <f>(Parcel!$C$27*DA6+DP6)*DD6</f>
        <v/>
      </c>
      <c r="DS6" s="20">
        <f>IF(Use_Library!$C$5="Income",AK6*Use_Effective!$K$5,0)</f>
        <v/>
      </c>
      <c r="DT6" s="20">
        <f>DS6*(1+Use_Library!$AL$5)*(1-Use_Effective!$N$5)</f>
        <v/>
      </c>
      <c r="DU6" s="20">
        <f>IF(Use_Library!$C$5="Income",AK6*Use_Effective!$E$5,0)</f>
        <v/>
      </c>
      <c r="DV6" s="20">
        <f>IF(Use_Library!$C$5="Income",Location!$C$15*Location!$C$16*DR6,0)</f>
        <v/>
      </c>
      <c r="DW6" s="20">
        <f>DT6*Use_Library!$AO$5</f>
        <v/>
      </c>
      <c r="DX6" s="20">
        <f>(DU6+DV6)*Use_Library!$AP$5</f>
        <v/>
      </c>
      <c r="DY6" s="20">
        <f>DT6-DU6-DV6-DW6+DX6</f>
        <v/>
      </c>
      <c r="DZ6" s="26">
        <f>Use_Effective!$M$5</f>
        <v/>
      </c>
      <c r="EA6" s="20">
        <f>IF(AND(Use_Library!$C$5="Income",DZ6&gt;0),DY6/DZ6,0)</f>
        <v/>
      </c>
      <c r="EB6" s="39">
        <f>IF(Use_Library!$C$5="Income",-Location!$C$15*Location!$C$16*(1-Use_Library!$AP$5)*DQ6,0)</f>
        <v/>
      </c>
      <c r="EC6" s="23">
        <f>IF(DR6=0,0,DY6/DR6)</f>
        <v/>
      </c>
      <c r="ED6" s="20">
        <f>IF(Use_Library!$AW$5=1,IF(Use_Library!$C$5="Income",EA6*(1-DH6),AK6*Use_Effective!$I$5*(1-DG6))+DI6,0)*AM6</f>
        <v/>
      </c>
      <c r="EE6" s="39">
        <f>IF(AND(Use_Library!$AW$5=1,Use_Library!$C$5="Income",DZ6&gt;0),EB6/DZ6*(1-DH6),0)</f>
        <v/>
      </c>
      <c r="EF6" s="20">
        <f>ED6-DR6</f>
        <v/>
      </c>
      <c r="EG6" s="38">
        <f>IF(AND(Use_Library!$AW$5=1,AM6=1),MAX(0,Parcel!$C$27-((1-CW6)*ED6-DR6)/((1-CW6)*EE6-DQ6)),0)</f>
        <v/>
      </c>
      <c r="EH6" s="20">
        <f>IF(Use_Library!$AX$5=1,IF(Use_Library!$C$5="Income",EA6,IF(DZ6&gt;0,AD6*Use_Effective!$L$5/DZ6,0))+DI6,0)*AM6</f>
        <v/>
      </c>
      <c r="EI6" s="20">
        <f>IF(Use_Library!$C$5="Income",DP6,CJ6)</f>
        <v/>
      </c>
      <c r="EJ6" s="28">
        <f>IF(Use_Library!$C$5="Income",DQ6,DB6*DE6)</f>
        <v/>
      </c>
      <c r="EK6" s="20">
        <f>IF(Use_Library!$C$5="Income",DR6,(Parcel!$C$27*DB6+CJ6)*DE6)</f>
        <v/>
      </c>
      <c r="EL6" s="39">
        <f>IF(AND(Use_Library!$AX$5=1,Use_Library!$C$5="Income",DZ6&gt;0),EB6/DZ6,0)</f>
        <v/>
      </c>
      <c r="EM6" s="20">
        <f>EH6-EK6</f>
        <v/>
      </c>
      <c r="EN6" s="38">
        <f>IF(AND(Use_Library!$AX$5=1,AM6=1),MAX(0,Parcel!$C$27-((1-CX6)*EH6-EK6)/((1-CX6)*EL6-EJ6)),0)</f>
        <v/>
      </c>
      <c r="EO6" s="20">
        <f>IF(Use_Library!$C$5="Income",Assumptions!$C$15*(Parcel!$C$27*DA6+DP6),0)</f>
        <v/>
      </c>
      <c r="EP6" s="20">
        <f>IF(AND(Use_Library!$C$5="Income",DY6&gt;0),MIN(Assumptions!$C$20*EA6,PV(Assumptions!$C$23/12,Assumptions!$C$24*12,-DY6/Assumptions!$C$21/12),DY6/Assumptions!$C$22),0)</f>
        <v/>
      </c>
      <c r="EQ6" s="27">
        <f>IF(EP6=0,0,DY6/(-PMT(Assumptions!$C$23/12,Assumptions!$C$24*12,EP6)*12))</f>
        <v/>
      </c>
      <c r="ER6" s="20">
        <f>EP6-EO6</f>
        <v/>
      </c>
      <c r="ES6" s="19">
        <f>MAX(DO6,EG6,EN6)</f>
        <v/>
      </c>
      <c r="ET6" s="15">
        <f>IF(ES6&lt;=0,0,IF(DO6=ES6,1,IF(EG6=ES6,2,3)))</f>
        <v/>
      </c>
      <c r="EU6" s="9">
        <f>CHOOSE(ET6+1,"None works","Land / pad sale","Build &amp; sell","Build &amp; hold / lease")</f>
        <v/>
      </c>
      <c r="EV6" s="15">
        <f>CHOOSE(ET6+1,0,CS6,CT6,CU6)</f>
        <v/>
      </c>
      <c r="EW6" s="20">
        <f>ES6*(1-Assumptions!$C$26)</f>
        <v/>
      </c>
      <c r="EX6" s="20">
        <f>ES6-Parcel!$C$27</f>
        <v/>
      </c>
      <c r="EY6" s="20">
        <f>IF(Parcel!$C$14=0,0,ES6/Parcel!$C$14)</f>
        <v/>
      </c>
      <c r="EZ6" s="36">
        <f>IF(AK6=0,0,ES6/AK6)</f>
        <v/>
      </c>
      <c r="FA6" s="9">
        <f>IF(ES6&lt;=0,"Pass",IF(ES6&gt;=Parcel!$C$27*Assumptions!$C$27,"Strong",IF(ES6&gt;=Parcel!$C$27,"Works at asking",IF(ES6&gt;=Parcel!$C$27*Assumptions!$C$28,"Negotiate","Pass"))))</f>
        <v/>
      </c>
      <c r="FB6" s="9">
        <f>IF(AM6=0,"",IF(Use_Library!$BH$5="Y",IF(Use_Effective!$AF$5&gt;=3,"High","Medium"),"Low - verify location"))</f>
        <v/>
      </c>
      <c r="FC6" s="9">
        <f>IF(AND(Use_Library!$BH$5="N",AM6=1),Use_Library!$BI$5,"")</f>
        <v/>
      </c>
      <c r="FD6" s="9">
        <f>TRIM(Q6&amp;" "&amp;IF(AND(AM6=0,T6=1),"Nothing fits. ","")&amp;IF(AND(Use_Library!$AZ$5&lt;&gt;"Y",Parcel!$C$19&lt;Use_Library!$AY$5),"Frontage under "&amp;Use_Library!$AY$5&amp;" LF. ","")&amp;IF(Parcel!$C$17&gt;0.15,"Slope over 15%. ","")&amp;IF(AND(AM6=1,AI6&gt;0.5),TEXT(AI6,"0")&amp;" ac not used - resold as raw land. ","")&amp;IF(AND(AM6=1,AC6&lt;1),"Demand caps it at "&amp;TEXT(AK6,"#,##0")&amp;" "&amp;Use_Library!$D$5&amp;". ","")&amp;IF(AND(AM6=1,L6=1),"Rezone required (+"&amp;Location!$C$32&amp;" mo). ","")&amp;IF(AND(AM6=1,BA6=1),"State wastewater permit needed. ","")&amp;IF(AND(AM6=1,AV6=1),"Public water system needed. ","")&amp;AP6&amp;IF(Parcel!$C$16&gt;Assumptions!$C$29,"Floodplain over "&amp;TEXT(Assumptions!$C$29,"0%")&amp;". ","")&amp;IF(AND(AM6=1,EV6&gt;60),"Over 5 years to exit. ",""))</f>
        <v/>
      </c>
      <c r="FE6" s="20">
        <f>IF(AND(Org_Profile!$C$5="My uses",E6=0),-1E+9,ES6)+ROW()/1000000</f>
        <v/>
      </c>
    </row>
    <row r="7">
      <c r="A7" s="4">
        <f>Use_Library!$A$6</f>
        <v/>
      </c>
      <c r="B7" s="9">
        <f>Use_Library!$C$6</f>
        <v/>
      </c>
      <c r="C7" s="9">
        <f>Use_Library!$D$6</f>
        <v/>
      </c>
      <c r="D7" s="9">
        <f>Use_Library!$F$6</f>
        <v/>
      </c>
      <c r="E7" s="15">
        <f>IF(Org_Profile!$C$23="Y",1,0)</f>
        <v/>
      </c>
      <c r="F7" s="14">
        <f>MAX(0,Parcel!$C$37*(1-Use_Library!$N$6-IF(Use_Library!$AB$6="Y",Assumptions!$C$7,0)))</f>
        <v/>
      </c>
      <c r="G7" s="14">
        <f>IF(Use_Library!$M$6&gt;0,MIN(F7,Use_Library!$M$6),F7)</f>
        <v/>
      </c>
      <c r="H7" s="23">
        <f>IF(F7=0,0,G7/F7)</f>
        <v/>
      </c>
      <c r="I7" s="14">
        <f>Parcel!$C$37*H7</f>
        <v/>
      </c>
      <c r="J7" s="9">
        <f>IF(ISNUMBER(SEARCH(","&amp;Use_Library!$F$6&amp;",",","&amp;SUBSTITUTE(Parcel!$C$11," ","")&amp;",")),"Deed restricted",IF(Parcel!$C$46=0,"No zoning",IF(ISNUMBER(SEARCH(","&amp;Use_Library!$F$6&amp;",",","&amp;SUBSTITUTE(Parcel!$C$10," ","")&amp;",")),"By right",IF(OR(TRIM(Parcel!$C$12)="*",ISNUMBER(SEARCH(","&amp;Use_Library!$F$6&amp;",",","&amp;SUBSTITUTE(Parcel!$C$12," ","")&amp;","))),"Rezone required","Prohibited by zoning"))))</f>
        <v/>
      </c>
      <c r="K7" s="15">
        <f>IF(OR(J7="Deed restricted",J7="Prohibited by zoning"),0,1)</f>
        <v/>
      </c>
      <c r="L7" s="15">
        <f>IF(J7="Rezone required",1,0)</f>
        <v/>
      </c>
      <c r="M7" s="15">
        <f>IF(Parcel!$C$20="None",0,IF(AND(Parcel!$C$20="Private easement",Use_Library!$BA$6="Y"),0,1))</f>
        <v/>
      </c>
      <c r="N7" s="15">
        <f>IF(AND(Use_Library!$AZ$6="Y",Parcel!$C$19&lt;Use_Library!$AY$6),0,1)</f>
        <v/>
      </c>
      <c r="O7" s="15">
        <f>IF(AND(Use_Library!$T$6="Y",Parcel!$C$39=0),0,1)</f>
        <v/>
      </c>
      <c r="P7" s="15">
        <f>IF(AND(Use_Library!$U$6="Y",Parcel!$C$38=0),0,1)</f>
        <v/>
      </c>
      <c r="Q7" s="9">
        <f>TRIM(IF(AND(Use_Library!$BB$6&gt;0,Parcel!$C$28&lt;Use_Library!$BB$6),"Traffic under "&amp;TEXT(Use_Library!$BB$6,"#,##0")&amp;" VPD. ","")&amp;IF(AND(Use_Library!$BC$6&gt;0,Parcel!$C$29&lt;Use_Library!$BC$6),"Under "&amp;TEXT(Use_Library!$BC$6,"#,##0")&amp;" households in 3 mi. ","")&amp;IF(AND(Use_Library!$BD$6&gt;0,Parcel!$C$31&gt;Use_Library!$BD$6),"Over "&amp;Use_Library!$BD$6&amp;" mi to highway. ","")&amp;IF(AND(Use_Library!$BE$6="Y",Parcel!$C$32&lt;&gt;"Y"),"Needs a corner. ","")&amp;IF(AND(Use_Library!$BF$6&gt;0,Parcel!$C$33&gt;Use_Library!$BF$6),"Over "&amp;Use_Library!$BF$6&amp;" mi to substation. ","")&amp;IF(AND(Use_Library!$BG$6&gt;0,Parcel!$C$34&gt;Use_Library!$BG$6),"Over "&amp;Use_Library!$BG$6&amp;" mi to a major employer. ",""))</f>
        <v/>
      </c>
      <c r="R7" s="15">
        <f>IF(Q7="",1,0)</f>
        <v/>
      </c>
      <c r="S7" s="15">
        <f>IF(F7&gt;=Use_Library!$L$6,1,0)</f>
        <v/>
      </c>
      <c r="T7" s="15">
        <f>K7*M7*N7*O7*P7*R7*S7</f>
        <v/>
      </c>
      <c r="U7" s="14">
        <f>IF(Use_Library!$G$6&gt;0,I7*Use_Library!$G$6,1E+9)</f>
        <v/>
      </c>
      <c r="V7" s="14">
        <f>IF(Use_Library!$H$6&gt;0,G7*43560/Use_Library!$H$6,1E+9)</f>
        <v/>
      </c>
      <c r="W7" s="14">
        <f>IF(AND(Use_Library!$K$6="Y",Parcel!$C$39=0),G7*(1-Assumptions!$C$8)/IF(Parcel!$C$38=1,Location!$C$25,Location!$C$26),1E+9)</f>
        <v/>
      </c>
      <c r="X7" s="14">
        <f>IF(Use_Library!$I$6&gt;0,Parcel!$C$14*H7/Use_Library!$I$6,1E+9)</f>
        <v/>
      </c>
      <c r="Y7" s="14">
        <f>IF(Use_Library!$J$6&gt;0,Parcel!$C$19/Use_Library!$J$6,1E+9)</f>
        <v/>
      </c>
      <c r="Z7" s="14">
        <f>IF(AND(Parcel!$C$39=0,Use_Library!$K$6="N",Use_Library!$Y$6&gt;0,Use_Library!$Z$6="Y"),G7*Location!$C$27*Parcel!$C$45/Use_Library!$Y$6,1E+9)</f>
        <v/>
      </c>
      <c r="AA7" s="14">
        <f>MIN(U7,V7,W7,X7,Y7,Z7)</f>
        <v/>
      </c>
      <c r="AB7" s="14">
        <f>IF(Use_Library!$O$6&gt;0,IF(Use_Library!$P$6&gt;=10,Parcel!$C$30,Parcel!$C$29)*Use_Library!$O$6*Use_Library!$Q$6,1E+9)</f>
        <v/>
      </c>
      <c r="AC7" s="23">
        <f>IF(OR(AA7&gt;=1E+9,AA7&lt;=0),1,MIN(1,AB7/AA7))</f>
        <v/>
      </c>
      <c r="AD7" s="14">
        <f>G7*AC7</f>
        <v/>
      </c>
      <c r="AE7" s="23">
        <f>IF(F7=0,0,AD7/F7)</f>
        <v/>
      </c>
      <c r="AF7" s="14">
        <f>Parcel!$C$37*AE7</f>
        <v/>
      </c>
      <c r="AG7" s="14">
        <f>AF7*IF(Use_Library!$AB$6="Y",Assumptions!$C$7,0)</f>
        <v/>
      </c>
      <c r="AH7" s="14">
        <f>AF7*(1-Use_Library!$N$6)</f>
        <v/>
      </c>
      <c r="AI7" s="14">
        <f>Parcel!$C$14*(1-AE7)</f>
        <v/>
      </c>
      <c r="AJ7" s="14">
        <f>MIN(AA7,AB7)</f>
        <v/>
      </c>
      <c r="AK7" s="25">
        <f>IF(T7=0,0,IF(AJ7&gt;=1E+9,AD7,IF(Use_Library!$E$6="Y",INT(AJ7+1E-9),AJ7)))</f>
        <v/>
      </c>
      <c r="AL7" s="9">
        <f>IF(M7=0,"No public road access",IF(K7=0,J7,IF(R7=0,"Location fails",IF(N7=0,"Frontage under "&amp;Use_Library!$AY$6&amp;" LF",IF(S7=0,"Too small - needs "&amp;Use_Library!$L$6&amp;" usable ac",IF(O7=0,"Needs public sewer",IF(P7=0,"Needs public water",IF(AJ7&gt;=1E+9,"Usable acres",IF(AB7&lt;=AA7,"Market demand",IF(W7=AA7,"Septic lot size",IF(Z7=AA7,"Septic capacity (gal/day)",IF(X7=AA7,"Min lot size",IF(Y7=AA7,"Road frontage",IF(V7=AA7,"Site area / parking","Density"))))))))))))))</f>
        <v/>
      </c>
      <c r="AM7" s="15">
        <f>IF(AK7&gt;0,1,0)</f>
        <v/>
      </c>
      <c r="AN7" s="15">
        <f>IF(Use_Library!$Z$6="Y",1,0)*AM7</f>
        <v/>
      </c>
      <c r="AO7" s="14">
        <f>IF(Parcel!$C$39=0,MIN(U7,V7,X7,Y7,AB7),0)</f>
        <v/>
      </c>
      <c r="AP7" s="9">
        <f>IF(AND(Parcel!$C$39=0,M7*K7*R7*N7*S7*P7=1,AO7&lt;1E+9,AO7&gt;=MAX(1,AK7)*1.25),"Unlock: sewer or package plant allows ~"&amp;TEXT(INT(AO7),"#,##0")&amp;" "&amp;Use_Library!$D$6&amp;". ","")</f>
        <v/>
      </c>
      <c r="AQ7" s="15">
        <f>AK7*Use_Library!$AC$6*AN7</f>
        <v/>
      </c>
      <c r="AR7" s="15">
        <f>AK7*Use_Library!$AD$6*AN7</f>
        <v/>
      </c>
      <c r="AS7" s="14">
        <f>AK7*Use_Library!$V$6*AN7</f>
        <v/>
      </c>
      <c r="AT7" s="15">
        <f>IF(Parcel!$C$38=1,AQ7+Parcel!$C$40,0)*AN7</f>
        <v/>
      </c>
      <c r="AU7" s="14">
        <f>AS7*Parcel!$C$38</f>
        <v/>
      </c>
      <c r="AV7" s="15">
        <f>IF(AND(Parcel!$C$38=0,Use_Library!$K$6="N",AS7&gt;=Location!$C$30),1,0)*AN7</f>
        <v/>
      </c>
      <c r="AW7" s="15">
        <f>IF(Parcel!$C$39=1,AQ7+Parcel!$C$41,0)*AN7</f>
        <v/>
      </c>
      <c r="AX7" s="14">
        <f>AS7*Parcel!$C$39</f>
        <v/>
      </c>
      <c r="AY7" s="14">
        <f>IF(Parcel!$C$39=0,AK7*Use_Library!$W$6,0)*AN7</f>
        <v/>
      </c>
      <c r="AZ7" s="15">
        <f>IF(Parcel!$C$39=0,AK7*Use_Library!$Y$6,0)*AN7</f>
        <v/>
      </c>
      <c r="BA7" s="15">
        <f>IF(AND(Use_Library!$K$6="N",AZ7&gt;Location!$C$28),1,0)</f>
        <v/>
      </c>
      <c r="BB7" s="14">
        <f>IF(AND(Parcel!$C$38=0,AV7=0),AK7*Use_Library!$X$6,0)*AN7</f>
        <v/>
      </c>
      <c r="BC7" s="14">
        <f>AH7*Parcel!$C$18*Use_Library!$AA$6*AN7</f>
        <v/>
      </c>
      <c r="BD7" s="14">
        <f>AH7*Use_Library!$AA$6*AN7</f>
        <v/>
      </c>
      <c r="BE7" s="15">
        <f>IF(Use_Library!$C$6="For-Sale",IF(Use_Library!$E$6="Y",AK7,1),1)*AM7</f>
        <v/>
      </c>
      <c r="BF7" s="15">
        <f>IF(OR(Use_Library!$F$6="RES-SF",Use_Library!$F$6="RES-ATT",Use_Library!$F$6="RES-MF",Use_Library!$F$6="MH"),1,0)</f>
        <v/>
      </c>
      <c r="BG7" s="20">
        <f>Cost_Library!$J$5*Location!$C$9*AM7</f>
        <v/>
      </c>
      <c r="BH7" s="20">
        <f>BE7*Cost_Library!$J$6*Location!$C$9</f>
        <v/>
      </c>
      <c r="BI7" s="20">
        <f>BD7*Cost_Library!$J$7*Location!$C$9</f>
        <v/>
      </c>
      <c r="BJ7" s="20">
        <f>Cost_Library!$J$8*Location!$C$9*AN7*IF(Use_Library!$AA$6&gt;=0.5,1,0)</f>
        <v/>
      </c>
      <c r="BK7" s="20">
        <f>AY7*Cost_Library!$J$9*Location!$C$9</f>
        <v/>
      </c>
      <c r="BL7" s="20">
        <f>BA7*Cost_Library!$J$10*Location!$C$9</f>
        <v/>
      </c>
      <c r="BM7" s="20">
        <f>Cost_Library!$J$11*Location!$C$9*AM7</f>
        <v/>
      </c>
      <c r="BN7" s="20">
        <f>Cost_Library!$J$12*Location!$C$9*AN7*IF(Use_Library!$AB$6="Y",1,0)</f>
        <v/>
      </c>
      <c r="BO7" s="20">
        <f>Use_Effective!$C$6*AM7</f>
        <v/>
      </c>
      <c r="BP7" s="20">
        <f>L7*Location!$C$31*AM7</f>
        <v/>
      </c>
      <c r="BQ7" s="20">
        <f>Cost_Library!$J$13*Location!$C$9*AM7</f>
        <v/>
      </c>
      <c r="BR7" s="20">
        <f>BC7*Cost_Library!$J$14*Location!$C$9</f>
        <v/>
      </c>
      <c r="BS7" s="20">
        <f>BD7*Cost_Library!$J$15*Location!$C$9*Parcel!$C$43</f>
        <v/>
      </c>
      <c r="BT7" s="20">
        <f>AQ7*Cost_Library!$J$16*Location!$C$9</f>
        <v/>
      </c>
      <c r="BU7" s="20">
        <f>AR7*Cost_Library!$J$17*Location!$C$9</f>
        <v/>
      </c>
      <c r="BV7" s="20">
        <f>AG7*Cost_Library!$J$18*Location!$C$9*AN7</f>
        <v/>
      </c>
      <c r="BW7" s="20">
        <f>BD7*Cost_Library!$J$19*Location!$C$9</f>
        <v/>
      </c>
      <c r="BX7" s="20">
        <f>IF(Use_Library!$AZ$6="Y",1,0)*Cost_Library!$J$20*Location!$C$9*AN7</f>
        <v/>
      </c>
      <c r="BY7" s="20">
        <f>AT7*Cost_Library!$J$21*Location!$C$9</f>
        <v/>
      </c>
      <c r="BZ7" s="20">
        <f>AU7*Cost_Library!$J$22*Location!$C$9</f>
        <v/>
      </c>
      <c r="CA7" s="20">
        <f>AW7*Cost_Library!$J$23*Location!$C$9</f>
        <v/>
      </c>
      <c r="CB7" s="20">
        <f>AX7*Cost_Library!$J$24*Location!$C$9</f>
        <v/>
      </c>
      <c r="CC7" s="20">
        <f>AY7*Cost_Library!$J$25*Location!$C$9*Parcel!$C$44</f>
        <v/>
      </c>
      <c r="CD7" s="20">
        <f>BB7*Cost_Library!$J$26*Location!$C$9</f>
        <v/>
      </c>
      <c r="CE7" s="20">
        <f>AV7*(Cost_Library!$J$27+AS7*Cost_Library!$J$28)*Location!$C$9</f>
        <v/>
      </c>
      <c r="CF7" s="20">
        <f>AQ7*Cost_Library!$J$29*Location!$C$9</f>
        <v/>
      </c>
      <c r="CG7" s="20">
        <f>SUM(BG7:CF7)</f>
        <v/>
      </c>
      <c r="CH7" s="20">
        <f>CG7*Assumptions!$C$9</f>
        <v/>
      </c>
      <c r="CI7" s="20">
        <f>(CG7+CH7)*Org_Profile!$C$17</f>
        <v/>
      </c>
      <c r="CJ7" s="20">
        <f>CG7+CH7+CI7</f>
        <v/>
      </c>
      <c r="CK7" s="20">
        <f>AK7*Use_Effective!$B$6*(1+Org_Profile!$C$17)</f>
        <v/>
      </c>
      <c r="CL7" s="20">
        <f>CK7*(Assumptions!$C$10+Assumptions!$C$11)</f>
        <v/>
      </c>
      <c r="CM7" s="20">
        <f>AK7*Use_Effective!$D$6</f>
        <v/>
      </c>
      <c r="CN7" s="20">
        <f>AK7*Location!$C$21*BF7*AM7</f>
        <v/>
      </c>
      <c r="CO7" s="14">
        <f>Use_Effective!$F$6+L7*Location!$C$32+BA7*Location!$C$29</f>
        <v/>
      </c>
      <c r="CP7" s="14">
        <f>IF(Use_Effective!$P$6&gt;0,IF(Use_Library!$C$6="For-Sale",AK7,AD7)/Use_Effective!$P$6,0)*AM7</f>
        <v/>
      </c>
      <c r="CQ7" s="14">
        <f>IF(AND(Use_Library!$C$6="For-Sale",Use_Effective!$O$6&gt;0),AK7/Use_Effective!$O$6,0)*AM7</f>
        <v/>
      </c>
      <c r="CR7" s="14">
        <f>IF(Use_Library!$C$6="Income",MAX(Use_Library!$AQ$6,IF(Use_Effective!$O$6&gt;0,AK7/Use_Effective!$O$6,0)),0)</f>
        <v/>
      </c>
      <c r="CS7" s="14">
        <f>CO7+CP7</f>
        <v/>
      </c>
      <c r="CT7" s="14">
        <f>CO7+CQ7+CR7</f>
        <v/>
      </c>
      <c r="CU7" s="14">
        <f>CO7+IF(Use_Library!$C$6="Income",CR7,0)</f>
        <v/>
      </c>
      <c r="CV7" s="23">
        <f>Use_Effective!$G$6+Assumptions!$C$25*MAX(0,(CS7-12)/12)</f>
        <v/>
      </c>
      <c r="CW7" s="23">
        <f>Use_Effective!$G$6+Assumptions!$C$25*MAX(0,(CT7-12)/12)</f>
        <v/>
      </c>
      <c r="CX7" s="23">
        <f>Use_Effective!$G$6+Assumptions!$C$25*MAX(0,(CU7-12)/12)</f>
        <v/>
      </c>
      <c r="CY7" s="28">
        <f>1+Location!$C$17+IF(Parcel!$C$26="Y",Location!$C$20,0)</f>
        <v/>
      </c>
      <c r="CZ7" s="28">
        <f>CY7+Location!$C$19*(CO7+CP7/2)/12</f>
        <v/>
      </c>
      <c r="DA7" s="28">
        <f>CY7+Location!$C$19*(CO7+CQ7/2)/12</f>
        <v/>
      </c>
      <c r="DB7" s="28">
        <f>IF(Use_Library!$C$6="Income",DA7,CY7+Location!$C$19*CO7/12)</f>
        <v/>
      </c>
      <c r="DC7" s="28">
        <f>1+Assumptions!$C$15*(Assumptions!$C$16*(CO7+CP7/2)/12*Assumptions!$C$18+Assumptions!$C$17)</f>
        <v/>
      </c>
      <c r="DD7" s="28">
        <f>1+Assumptions!$C$15*(Assumptions!$C$16*((CO7+CQ7/2)/12*Assumptions!$C$18+CR7/12*Assumptions!$C$19)+Assumptions!$C$17)</f>
        <v/>
      </c>
      <c r="DE7" s="28">
        <f>IF(Use_Library!$C$6="Income",DD7,1+Assumptions!$C$15*(Assumptions!$C$16*CO7/12*Assumptions!$C$18+Assumptions!$C$17))</f>
        <v/>
      </c>
      <c r="DF7" s="23">
        <f>Assumptions!$C$13+Location!$C$18</f>
        <v/>
      </c>
      <c r="DG7" s="23">
        <f>Assumptions!$C$12+Location!$C$18</f>
        <v/>
      </c>
      <c r="DH7" s="23">
        <f>Assumptions!$C$14+Location!$C$18</f>
        <v/>
      </c>
      <c r="DI7" s="20">
        <f>AI7*Location!$C$14*(1-DF7)*AM7</f>
        <v/>
      </c>
      <c r="DJ7" s="20">
        <f>IF(Use_Library!$AV$6=1,IF(Use_Library!$C$6="For-Sale",AK7*Use_Effective!$H$6+Parcel!$C$14*AE7*Use_Effective!$J$6,AD7*Use_Effective!$J$6)*(1-DF7)+DI7,0)*AM7</f>
        <v/>
      </c>
      <c r="DK7" s="20">
        <f>(CG7-BU7-CC7-CD7)*(1+Assumptions!$C$9)*(1+Org_Profile!$C$17)</f>
        <v/>
      </c>
      <c r="DL7" s="28">
        <f>CZ7*DC7</f>
        <v/>
      </c>
      <c r="DM7" s="20">
        <f>(Parcel!$C$27*CZ7+DK7)*DC7</f>
        <v/>
      </c>
      <c r="DN7" s="20">
        <f>DJ7-DM7</f>
        <v/>
      </c>
      <c r="DO7" s="38">
        <f>IF(AND(Use_Library!$AV$6=1,AM7=1),MAX(0,((1-CV7)*DJ7-DK7*DC7)/DL7),0)</f>
        <v/>
      </c>
      <c r="DP7" s="20">
        <f>CJ7+CK7+CL7+CM7+CN7</f>
        <v/>
      </c>
      <c r="DQ7" s="28">
        <f>DA7*DD7</f>
        <v/>
      </c>
      <c r="DR7" s="20">
        <f>(Parcel!$C$27*DA7+DP7)*DD7</f>
        <v/>
      </c>
      <c r="DS7" s="20">
        <f>IF(Use_Library!$C$6="Income",AK7*Use_Effective!$K$6,0)</f>
        <v/>
      </c>
      <c r="DT7" s="20">
        <f>DS7*(1+Use_Library!$AL$6)*(1-Use_Effective!$N$6)</f>
        <v/>
      </c>
      <c r="DU7" s="20">
        <f>IF(Use_Library!$C$6="Income",AK7*Use_Effective!$E$6,0)</f>
        <v/>
      </c>
      <c r="DV7" s="20">
        <f>IF(Use_Library!$C$6="Income",Location!$C$15*Location!$C$16*DR7,0)</f>
        <v/>
      </c>
      <c r="DW7" s="20">
        <f>DT7*Use_Library!$AO$6</f>
        <v/>
      </c>
      <c r="DX7" s="20">
        <f>(DU7+DV7)*Use_Library!$AP$6</f>
        <v/>
      </c>
      <c r="DY7" s="20">
        <f>DT7-DU7-DV7-DW7+DX7</f>
        <v/>
      </c>
      <c r="DZ7" s="26">
        <f>Use_Effective!$M$6</f>
        <v/>
      </c>
      <c r="EA7" s="20">
        <f>IF(AND(Use_Library!$C$6="Income",DZ7&gt;0),DY7/DZ7,0)</f>
        <v/>
      </c>
      <c r="EB7" s="39">
        <f>IF(Use_Library!$C$6="Income",-Location!$C$15*Location!$C$16*(1-Use_Library!$AP$6)*DQ7,0)</f>
        <v/>
      </c>
      <c r="EC7" s="23">
        <f>IF(DR7=0,0,DY7/DR7)</f>
        <v/>
      </c>
      <c r="ED7" s="20">
        <f>IF(Use_Library!$AW$6=1,IF(Use_Library!$C$6="Income",EA7*(1-DH7),AK7*Use_Effective!$I$6*(1-DG7))+DI7,0)*AM7</f>
        <v/>
      </c>
      <c r="EE7" s="39">
        <f>IF(AND(Use_Library!$AW$6=1,Use_Library!$C$6="Income",DZ7&gt;0),EB7/DZ7*(1-DH7),0)</f>
        <v/>
      </c>
      <c r="EF7" s="20">
        <f>ED7-DR7</f>
        <v/>
      </c>
      <c r="EG7" s="38">
        <f>IF(AND(Use_Library!$AW$6=1,AM7=1),MAX(0,Parcel!$C$27-((1-CW7)*ED7-DR7)/((1-CW7)*EE7-DQ7)),0)</f>
        <v/>
      </c>
      <c r="EH7" s="20">
        <f>IF(Use_Library!$AX$6=1,IF(Use_Library!$C$6="Income",EA7,IF(DZ7&gt;0,AD7*Use_Effective!$L$6/DZ7,0))+DI7,0)*AM7</f>
        <v/>
      </c>
      <c r="EI7" s="20">
        <f>IF(Use_Library!$C$6="Income",DP7,CJ7)</f>
        <v/>
      </c>
      <c r="EJ7" s="28">
        <f>IF(Use_Library!$C$6="Income",DQ7,DB7*DE7)</f>
        <v/>
      </c>
      <c r="EK7" s="20">
        <f>IF(Use_Library!$C$6="Income",DR7,(Parcel!$C$27*DB7+CJ7)*DE7)</f>
        <v/>
      </c>
      <c r="EL7" s="39">
        <f>IF(AND(Use_Library!$AX$6=1,Use_Library!$C$6="Income",DZ7&gt;0),EB7/DZ7,0)</f>
        <v/>
      </c>
      <c r="EM7" s="20">
        <f>EH7-EK7</f>
        <v/>
      </c>
      <c r="EN7" s="38">
        <f>IF(AND(Use_Library!$AX$6=1,AM7=1),MAX(0,Parcel!$C$27-((1-CX7)*EH7-EK7)/((1-CX7)*EL7-EJ7)),0)</f>
        <v/>
      </c>
      <c r="EO7" s="20">
        <f>IF(Use_Library!$C$6="Income",Assumptions!$C$15*(Parcel!$C$27*DA7+DP7),0)</f>
        <v/>
      </c>
      <c r="EP7" s="20">
        <f>IF(AND(Use_Library!$C$6="Income",DY7&gt;0),MIN(Assumptions!$C$20*EA7,PV(Assumptions!$C$23/12,Assumptions!$C$24*12,-DY7/Assumptions!$C$21/12),DY7/Assumptions!$C$22),0)</f>
        <v/>
      </c>
      <c r="EQ7" s="27">
        <f>IF(EP7=0,0,DY7/(-PMT(Assumptions!$C$23/12,Assumptions!$C$24*12,EP7)*12))</f>
        <v/>
      </c>
      <c r="ER7" s="20">
        <f>EP7-EO7</f>
        <v/>
      </c>
      <c r="ES7" s="19">
        <f>MAX(DO7,EG7,EN7)</f>
        <v/>
      </c>
      <c r="ET7" s="15">
        <f>IF(ES7&lt;=0,0,IF(DO7=ES7,1,IF(EG7=ES7,2,3)))</f>
        <v/>
      </c>
      <c r="EU7" s="9">
        <f>CHOOSE(ET7+1,"None works","Land / pad sale","Build &amp; sell","Build &amp; hold / lease")</f>
        <v/>
      </c>
      <c r="EV7" s="15">
        <f>CHOOSE(ET7+1,0,CS7,CT7,CU7)</f>
        <v/>
      </c>
      <c r="EW7" s="20">
        <f>ES7*(1-Assumptions!$C$26)</f>
        <v/>
      </c>
      <c r="EX7" s="20">
        <f>ES7-Parcel!$C$27</f>
        <v/>
      </c>
      <c r="EY7" s="20">
        <f>IF(Parcel!$C$14=0,0,ES7/Parcel!$C$14)</f>
        <v/>
      </c>
      <c r="EZ7" s="36">
        <f>IF(AK7=0,0,ES7/AK7)</f>
        <v/>
      </c>
      <c r="FA7" s="9">
        <f>IF(ES7&lt;=0,"Pass",IF(ES7&gt;=Parcel!$C$27*Assumptions!$C$27,"Strong",IF(ES7&gt;=Parcel!$C$27,"Works at asking",IF(ES7&gt;=Parcel!$C$27*Assumptions!$C$28,"Negotiate","Pass"))))</f>
        <v/>
      </c>
      <c r="FB7" s="9">
        <f>IF(AM7=0,"",IF(Use_Library!$BH$6="Y",IF(Use_Effective!$AF$6&gt;=3,"High","Medium"),"Low - verify location"))</f>
        <v/>
      </c>
      <c r="FC7" s="9">
        <f>IF(AND(Use_Library!$BH$6="N",AM7=1),Use_Library!$BI$6,"")</f>
        <v/>
      </c>
      <c r="FD7" s="9">
        <f>TRIM(Q7&amp;" "&amp;IF(AND(AM7=0,T7=1),"Nothing fits. ","")&amp;IF(AND(Use_Library!$AZ$6&lt;&gt;"Y",Parcel!$C$19&lt;Use_Library!$AY$6),"Frontage under "&amp;Use_Library!$AY$6&amp;" LF. ","")&amp;IF(Parcel!$C$17&gt;0.15,"Slope over 15%. ","")&amp;IF(AND(AM7=1,AI7&gt;0.5),TEXT(AI7,"0")&amp;" ac not used - resold as raw land. ","")&amp;IF(AND(AM7=1,AC7&lt;1),"Demand caps it at "&amp;TEXT(AK7,"#,##0")&amp;" "&amp;Use_Library!$D$6&amp;". ","")&amp;IF(AND(AM7=1,L7=1),"Rezone required (+"&amp;Location!$C$32&amp;" mo). ","")&amp;IF(AND(AM7=1,BA7=1),"State wastewater permit needed. ","")&amp;IF(AND(AM7=1,AV7=1),"Public water system needed. ","")&amp;AP7&amp;IF(Parcel!$C$16&gt;Assumptions!$C$29,"Floodplain over "&amp;TEXT(Assumptions!$C$29,"0%")&amp;". ","")&amp;IF(AND(AM7=1,EV7&gt;60),"Over 5 years to exit. ",""))</f>
        <v/>
      </c>
      <c r="FE7" s="20">
        <f>IF(AND(Org_Profile!$C$5="My uses",E7=0),-1E+9,ES7)+ROW()/1000000</f>
        <v/>
      </c>
    </row>
    <row r="8">
      <c r="A8" s="4">
        <f>Use_Library!$A$7</f>
        <v/>
      </c>
      <c r="B8" s="9">
        <f>Use_Library!$C$7</f>
        <v/>
      </c>
      <c r="C8" s="9">
        <f>Use_Library!$D$7</f>
        <v/>
      </c>
      <c r="D8" s="9">
        <f>Use_Library!$F$7</f>
        <v/>
      </c>
      <c r="E8" s="15">
        <f>IF(Org_Profile!$C$24="Y",1,0)</f>
        <v/>
      </c>
      <c r="F8" s="14">
        <f>MAX(0,Parcel!$C$37*(1-Use_Library!$N$7-IF(Use_Library!$AB$7="Y",Assumptions!$C$7,0)))</f>
        <v/>
      </c>
      <c r="G8" s="14">
        <f>IF(Use_Library!$M$7&gt;0,MIN(F8,Use_Library!$M$7),F8)</f>
        <v/>
      </c>
      <c r="H8" s="23">
        <f>IF(F8=0,0,G8/F8)</f>
        <v/>
      </c>
      <c r="I8" s="14">
        <f>Parcel!$C$37*H8</f>
        <v/>
      </c>
      <c r="J8" s="9">
        <f>IF(ISNUMBER(SEARCH(","&amp;Use_Library!$F$7&amp;",",","&amp;SUBSTITUTE(Parcel!$C$11," ","")&amp;",")),"Deed restricted",IF(Parcel!$C$46=0,"No zoning",IF(ISNUMBER(SEARCH(","&amp;Use_Library!$F$7&amp;",",","&amp;SUBSTITUTE(Parcel!$C$10," ","")&amp;",")),"By right",IF(OR(TRIM(Parcel!$C$12)="*",ISNUMBER(SEARCH(","&amp;Use_Library!$F$7&amp;",",","&amp;SUBSTITUTE(Parcel!$C$12," ","")&amp;","))),"Rezone required","Prohibited by zoning"))))</f>
        <v/>
      </c>
      <c r="K8" s="15">
        <f>IF(OR(J8="Deed restricted",J8="Prohibited by zoning"),0,1)</f>
        <v/>
      </c>
      <c r="L8" s="15">
        <f>IF(J8="Rezone required",1,0)</f>
        <v/>
      </c>
      <c r="M8" s="15">
        <f>IF(Parcel!$C$20="None",0,IF(AND(Parcel!$C$20="Private easement",Use_Library!$BA$7="Y"),0,1))</f>
        <v/>
      </c>
      <c r="N8" s="15">
        <f>IF(AND(Use_Library!$AZ$7="Y",Parcel!$C$19&lt;Use_Library!$AY$7),0,1)</f>
        <v/>
      </c>
      <c r="O8" s="15">
        <f>IF(AND(Use_Library!$T$7="Y",Parcel!$C$39=0),0,1)</f>
        <v/>
      </c>
      <c r="P8" s="15">
        <f>IF(AND(Use_Library!$U$7="Y",Parcel!$C$38=0),0,1)</f>
        <v/>
      </c>
      <c r="Q8" s="9">
        <f>TRIM(IF(AND(Use_Library!$BB$7&gt;0,Parcel!$C$28&lt;Use_Library!$BB$7),"Traffic under "&amp;TEXT(Use_Library!$BB$7,"#,##0")&amp;" VPD. ","")&amp;IF(AND(Use_Library!$BC$7&gt;0,Parcel!$C$29&lt;Use_Library!$BC$7),"Under "&amp;TEXT(Use_Library!$BC$7,"#,##0")&amp;" households in 3 mi. ","")&amp;IF(AND(Use_Library!$BD$7&gt;0,Parcel!$C$31&gt;Use_Library!$BD$7),"Over "&amp;Use_Library!$BD$7&amp;" mi to highway. ","")&amp;IF(AND(Use_Library!$BE$7="Y",Parcel!$C$32&lt;&gt;"Y"),"Needs a corner. ","")&amp;IF(AND(Use_Library!$BF$7&gt;0,Parcel!$C$33&gt;Use_Library!$BF$7),"Over "&amp;Use_Library!$BF$7&amp;" mi to substation. ","")&amp;IF(AND(Use_Library!$BG$7&gt;0,Parcel!$C$34&gt;Use_Library!$BG$7),"Over "&amp;Use_Library!$BG$7&amp;" mi to a major employer. ",""))</f>
        <v/>
      </c>
      <c r="R8" s="15">
        <f>IF(Q8="",1,0)</f>
        <v/>
      </c>
      <c r="S8" s="15">
        <f>IF(F8&gt;=Use_Library!$L$7,1,0)</f>
        <v/>
      </c>
      <c r="T8" s="15">
        <f>K8*M8*N8*O8*P8*R8*S8</f>
        <v/>
      </c>
      <c r="U8" s="14">
        <f>IF(Use_Library!$G$7&gt;0,I8*Use_Library!$G$7,1E+9)</f>
        <v/>
      </c>
      <c r="V8" s="14">
        <f>IF(Use_Library!$H$7&gt;0,G8*43560/Use_Library!$H$7,1E+9)</f>
        <v/>
      </c>
      <c r="W8" s="14">
        <f>IF(AND(Use_Library!$K$7="Y",Parcel!$C$39=0),G8*(1-Assumptions!$C$8)/IF(Parcel!$C$38=1,Location!$C$25,Location!$C$26),1E+9)</f>
        <v/>
      </c>
      <c r="X8" s="14">
        <f>IF(Use_Library!$I$7&gt;0,Parcel!$C$14*H8/Use_Library!$I$7,1E+9)</f>
        <v/>
      </c>
      <c r="Y8" s="14">
        <f>IF(Use_Library!$J$7&gt;0,Parcel!$C$19/Use_Library!$J$7,1E+9)</f>
        <v/>
      </c>
      <c r="Z8" s="14">
        <f>IF(AND(Parcel!$C$39=0,Use_Library!$K$7="N",Use_Library!$Y$7&gt;0,Use_Library!$Z$7="Y"),G8*Location!$C$27*Parcel!$C$45/Use_Library!$Y$7,1E+9)</f>
        <v/>
      </c>
      <c r="AA8" s="14">
        <f>MIN(U8,V8,W8,X8,Y8,Z8)</f>
        <v/>
      </c>
      <c r="AB8" s="14">
        <f>IF(Use_Library!$O$7&gt;0,IF(Use_Library!$P$7&gt;=10,Parcel!$C$30,Parcel!$C$29)*Use_Library!$O$7*Use_Library!$Q$7,1E+9)</f>
        <v/>
      </c>
      <c r="AC8" s="23">
        <f>IF(OR(AA8&gt;=1E+9,AA8&lt;=0),1,MIN(1,AB8/AA8))</f>
        <v/>
      </c>
      <c r="AD8" s="14">
        <f>G8*AC8</f>
        <v/>
      </c>
      <c r="AE8" s="23">
        <f>IF(F8=0,0,AD8/F8)</f>
        <v/>
      </c>
      <c r="AF8" s="14">
        <f>Parcel!$C$37*AE8</f>
        <v/>
      </c>
      <c r="AG8" s="14">
        <f>AF8*IF(Use_Library!$AB$7="Y",Assumptions!$C$7,0)</f>
        <v/>
      </c>
      <c r="AH8" s="14">
        <f>AF8*(1-Use_Library!$N$7)</f>
        <v/>
      </c>
      <c r="AI8" s="14">
        <f>Parcel!$C$14*(1-AE8)</f>
        <v/>
      </c>
      <c r="AJ8" s="14">
        <f>MIN(AA8,AB8)</f>
        <v/>
      </c>
      <c r="AK8" s="25">
        <f>IF(T8=0,0,IF(AJ8&gt;=1E+9,AD8,IF(Use_Library!$E$7="Y",INT(AJ8+1E-9),AJ8)))</f>
        <v/>
      </c>
      <c r="AL8" s="9">
        <f>IF(M8=0,"No public road access",IF(K8=0,J8,IF(R8=0,"Location fails",IF(N8=0,"Frontage under "&amp;Use_Library!$AY$7&amp;" LF",IF(S8=0,"Too small - needs "&amp;Use_Library!$L$7&amp;" usable ac",IF(O8=0,"Needs public sewer",IF(P8=0,"Needs public water",IF(AJ8&gt;=1E+9,"Usable acres",IF(AB8&lt;=AA8,"Market demand",IF(W8=AA8,"Septic lot size",IF(Z8=AA8,"Septic capacity (gal/day)",IF(X8=AA8,"Min lot size",IF(Y8=AA8,"Road frontage",IF(V8=AA8,"Site area / parking","Density"))))))))))))))</f>
        <v/>
      </c>
      <c r="AM8" s="15">
        <f>IF(AK8&gt;0,1,0)</f>
        <v/>
      </c>
      <c r="AN8" s="15">
        <f>IF(Use_Library!$Z$7="Y",1,0)*AM8</f>
        <v/>
      </c>
      <c r="AO8" s="14">
        <f>IF(Parcel!$C$39=0,MIN(U8,V8,X8,Y8,AB8),0)</f>
        <v/>
      </c>
      <c r="AP8" s="9">
        <f>IF(AND(Parcel!$C$39=0,M8*K8*R8*N8*S8*P8=1,AO8&lt;1E+9,AO8&gt;=MAX(1,AK8)*1.25),"Unlock: sewer or package plant allows ~"&amp;TEXT(INT(AO8),"#,##0")&amp;" "&amp;Use_Library!$D$7&amp;". ","")</f>
        <v/>
      </c>
      <c r="AQ8" s="15">
        <f>AK8*Use_Library!$AC$7*AN8</f>
        <v/>
      </c>
      <c r="AR8" s="15">
        <f>AK8*Use_Library!$AD$7*AN8</f>
        <v/>
      </c>
      <c r="AS8" s="14">
        <f>AK8*Use_Library!$V$7*AN8</f>
        <v/>
      </c>
      <c r="AT8" s="15">
        <f>IF(Parcel!$C$38=1,AQ8+Parcel!$C$40,0)*AN8</f>
        <v/>
      </c>
      <c r="AU8" s="14">
        <f>AS8*Parcel!$C$38</f>
        <v/>
      </c>
      <c r="AV8" s="15">
        <f>IF(AND(Parcel!$C$38=0,Use_Library!$K$7="N",AS8&gt;=Location!$C$30),1,0)*AN8</f>
        <v/>
      </c>
      <c r="AW8" s="15">
        <f>IF(Parcel!$C$39=1,AQ8+Parcel!$C$41,0)*AN8</f>
        <v/>
      </c>
      <c r="AX8" s="14">
        <f>AS8*Parcel!$C$39</f>
        <v/>
      </c>
      <c r="AY8" s="14">
        <f>IF(Parcel!$C$39=0,AK8*Use_Library!$W$7,0)*AN8</f>
        <v/>
      </c>
      <c r="AZ8" s="15">
        <f>IF(Parcel!$C$39=0,AK8*Use_Library!$Y$7,0)*AN8</f>
        <v/>
      </c>
      <c r="BA8" s="15">
        <f>IF(AND(Use_Library!$K$7="N",AZ8&gt;Location!$C$28),1,0)</f>
        <v/>
      </c>
      <c r="BB8" s="14">
        <f>IF(AND(Parcel!$C$38=0,AV8=0),AK8*Use_Library!$X$7,0)*AN8</f>
        <v/>
      </c>
      <c r="BC8" s="14">
        <f>AH8*Parcel!$C$18*Use_Library!$AA$7*AN8</f>
        <v/>
      </c>
      <c r="BD8" s="14">
        <f>AH8*Use_Library!$AA$7*AN8</f>
        <v/>
      </c>
      <c r="BE8" s="15">
        <f>IF(Use_Library!$C$7="For-Sale",IF(Use_Library!$E$7="Y",AK8,1),1)*AM8</f>
        <v/>
      </c>
      <c r="BF8" s="15">
        <f>IF(OR(Use_Library!$F$7="RES-SF",Use_Library!$F$7="RES-ATT",Use_Library!$F$7="RES-MF",Use_Library!$F$7="MH"),1,0)</f>
        <v/>
      </c>
      <c r="BG8" s="20">
        <f>Cost_Library!$J$5*Location!$C$9*AM8</f>
        <v/>
      </c>
      <c r="BH8" s="20">
        <f>BE8*Cost_Library!$J$6*Location!$C$9</f>
        <v/>
      </c>
      <c r="BI8" s="20">
        <f>BD8*Cost_Library!$J$7*Location!$C$9</f>
        <v/>
      </c>
      <c r="BJ8" s="20">
        <f>Cost_Library!$J$8*Location!$C$9*AN8*IF(Use_Library!$AA$7&gt;=0.5,1,0)</f>
        <v/>
      </c>
      <c r="BK8" s="20">
        <f>AY8*Cost_Library!$J$9*Location!$C$9</f>
        <v/>
      </c>
      <c r="BL8" s="20">
        <f>BA8*Cost_Library!$J$10*Location!$C$9</f>
        <v/>
      </c>
      <c r="BM8" s="20">
        <f>Cost_Library!$J$11*Location!$C$9*AM8</f>
        <v/>
      </c>
      <c r="BN8" s="20">
        <f>Cost_Library!$J$12*Location!$C$9*AN8*IF(Use_Library!$AB$7="Y",1,0)</f>
        <v/>
      </c>
      <c r="BO8" s="20">
        <f>Use_Effective!$C$7*AM8</f>
        <v/>
      </c>
      <c r="BP8" s="20">
        <f>L8*Location!$C$31*AM8</f>
        <v/>
      </c>
      <c r="BQ8" s="20">
        <f>Cost_Library!$J$13*Location!$C$9*AM8</f>
        <v/>
      </c>
      <c r="BR8" s="20">
        <f>BC8*Cost_Library!$J$14*Location!$C$9</f>
        <v/>
      </c>
      <c r="BS8" s="20">
        <f>BD8*Cost_Library!$J$15*Location!$C$9*Parcel!$C$43</f>
        <v/>
      </c>
      <c r="BT8" s="20">
        <f>AQ8*Cost_Library!$J$16*Location!$C$9</f>
        <v/>
      </c>
      <c r="BU8" s="20">
        <f>AR8*Cost_Library!$J$17*Location!$C$9</f>
        <v/>
      </c>
      <c r="BV8" s="20">
        <f>AG8*Cost_Library!$J$18*Location!$C$9*AN8</f>
        <v/>
      </c>
      <c r="BW8" s="20">
        <f>BD8*Cost_Library!$J$19*Location!$C$9</f>
        <v/>
      </c>
      <c r="BX8" s="20">
        <f>IF(Use_Library!$AZ$7="Y",1,0)*Cost_Library!$J$20*Location!$C$9*AN8</f>
        <v/>
      </c>
      <c r="BY8" s="20">
        <f>AT8*Cost_Library!$J$21*Location!$C$9</f>
        <v/>
      </c>
      <c r="BZ8" s="20">
        <f>AU8*Cost_Library!$J$22*Location!$C$9</f>
        <v/>
      </c>
      <c r="CA8" s="20">
        <f>AW8*Cost_Library!$J$23*Location!$C$9</f>
        <v/>
      </c>
      <c r="CB8" s="20">
        <f>AX8*Cost_Library!$J$24*Location!$C$9</f>
        <v/>
      </c>
      <c r="CC8" s="20">
        <f>AY8*Cost_Library!$J$25*Location!$C$9*Parcel!$C$44</f>
        <v/>
      </c>
      <c r="CD8" s="20">
        <f>BB8*Cost_Library!$J$26*Location!$C$9</f>
        <v/>
      </c>
      <c r="CE8" s="20">
        <f>AV8*(Cost_Library!$J$27+AS8*Cost_Library!$J$28)*Location!$C$9</f>
        <v/>
      </c>
      <c r="CF8" s="20">
        <f>AQ8*Cost_Library!$J$29*Location!$C$9</f>
        <v/>
      </c>
      <c r="CG8" s="20">
        <f>SUM(BG8:CF8)</f>
        <v/>
      </c>
      <c r="CH8" s="20">
        <f>CG8*Assumptions!$C$9</f>
        <v/>
      </c>
      <c r="CI8" s="20">
        <f>(CG8+CH8)*Org_Profile!$C$17</f>
        <v/>
      </c>
      <c r="CJ8" s="20">
        <f>CG8+CH8+CI8</f>
        <v/>
      </c>
      <c r="CK8" s="20">
        <f>AK8*Use_Effective!$B$7*(1+Org_Profile!$C$17)</f>
        <v/>
      </c>
      <c r="CL8" s="20">
        <f>CK8*(Assumptions!$C$10+Assumptions!$C$11)</f>
        <v/>
      </c>
      <c r="CM8" s="20">
        <f>AK8*Use_Effective!$D$7</f>
        <v/>
      </c>
      <c r="CN8" s="20">
        <f>AK8*Location!$C$21*BF8*AM8</f>
        <v/>
      </c>
      <c r="CO8" s="14">
        <f>Use_Effective!$F$7+L8*Location!$C$32+BA8*Location!$C$29</f>
        <v/>
      </c>
      <c r="CP8" s="14">
        <f>IF(Use_Effective!$P$7&gt;0,IF(Use_Library!$C$7="For-Sale",AK8,AD8)/Use_Effective!$P$7,0)*AM8</f>
        <v/>
      </c>
      <c r="CQ8" s="14">
        <f>IF(AND(Use_Library!$C$7="For-Sale",Use_Effective!$O$7&gt;0),AK8/Use_Effective!$O$7,0)*AM8</f>
        <v/>
      </c>
      <c r="CR8" s="14">
        <f>IF(Use_Library!$C$7="Income",MAX(Use_Library!$AQ$7,IF(Use_Effective!$O$7&gt;0,AK8/Use_Effective!$O$7,0)),0)</f>
        <v/>
      </c>
      <c r="CS8" s="14">
        <f>CO8+CP8</f>
        <v/>
      </c>
      <c r="CT8" s="14">
        <f>CO8+CQ8+CR8</f>
        <v/>
      </c>
      <c r="CU8" s="14">
        <f>CO8+IF(Use_Library!$C$7="Income",CR8,0)</f>
        <v/>
      </c>
      <c r="CV8" s="23">
        <f>Use_Effective!$G$7+Assumptions!$C$25*MAX(0,(CS8-12)/12)</f>
        <v/>
      </c>
      <c r="CW8" s="23">
        <f>Use_Effective!$G$7+Assumptions!$C$25*MAX(0,(CT8-12)/12)</f>
        <v/>
      </c>
      <c r="CX8" s="23">
        <f>Use_Effective!$G$7+Assumptions!$C$25*MAX(0,(CU8-12)/12)</f>
        <v/>
      </c>
      <c r="CY8" s="28">
        <f>1+Location!$C$17+IF(Parcel!$C$26="Y",Location!$C$20,0)</f>
        <v/>
      </c>
      <c r="CZ8" s="28">
        <f>CY8+Location!$C$19*(CO8+CP8/2)/12</f>
        <v/>
      </c>
      <c r="DA8" s="28">
        <f>CY8+Location!$C$19*(CO8+CQ8/2)/12</f>
        <v/>
      </c>
      <c r="DB8" s="28">
        <f>IF(Use_Library!$C$7="Income",DA8,CY8+Location!$C$19*CO8/12)</f>
        <v/>
      </c>
      <c r="DC8" s="28">
        <f>1+Assumptions!$C$15*(Assumptions!$C$16*(CO8+CP8/2)/12*Assumptions!$C$18+Assumptions!$C$17)</f>
        <v/>
      </c>
      <c r="DD8" s="28">
        <f>1+Assumptions!$C$15*(Assumptions!$C$16*((CO8+CQ8/2)/12*Assumptions!$C$18+CR8/12*Assumptions!$C$19)+Assumptions!$C$17)</f>
        <v/>
      </c>
      <c r="DE8" s="28">
        <f>IF(Use_Library!$C$7="Income",DD8,1+Assumptions!$C$15*(Assumptions!$C$16*CO8/12*Assumptions!$C$18+Assumptions!$C$17))</f>
        <v/>
      </c>
      <c r="DF8" s="23">
        <f>Assumptions!$C$13+Location!$C$18</f>
        <v/>
      </c>
      <c r="DG8" s="23">
        <f>Assumptions!$C$12+Location!$C$18</f>
        <v/>
      </c>
      <c r="DH8" s="23">
        <f>Assumptions!$C$14+Location!$C$18</f>
        <v/>
      </c>
      <c r="DI8" s="20">
        <f>AI8*Location!$C$14*(1-DF8)*AM8</f>
        <v/>
      </c>
      <c r="DJ8" s="20">
        <f>IF(Use_Library!$AV$7=1,IF(Use_Library!$C$7="For-Sale",AK8*Use_Effective!$H$7+Parcel!$C$14*AE8*Use_Effective!$J$7,AD8*Use_Effective!$J$7)*(1-DF8)+DI8,0)*AM8</f>
        <v/>
      </c>
      <c r="DK8" s="20">
        <f>(CG8-BU8-CC8-CD8)*(1+Assumptions!$C$9)*(1+Org_Profile!$C$17)</f>
        <v/>
      </c>
      <c r="DL8" s="28">
        <f>CZ8*DC8</f>
        <v/>
      </c>
      <c r="DM8" s="20">
        <f>(Parcel!$C$27*CZ8+DK8)*DC8</f>
        <v/>
      </c>
      <c r="DN8" s="20">
        <f>DJ8-DM8</f>
        <v/>
      </c>
      <c r="DO8" s="38">
        <f>IF(AND(Use_Library!$AV$7=1,AM8=1),MAX(0,((1-CV8)*DJ8-DK8*DC8)/DL8),0)</f>
        <v/>
      </c>
      <c r="DP8" s="20">
        <f>CJ8+CK8+CL8+CM8+CN8</f>
        <v/>
      </c>
      <c r="DQ8" s="28">
        <f>DA8*DD8</f>
        <v/>
      </c>
      <c r="DR8" s="20">
        <f>(Parcel!$C$27*DA8+DP8)*DD8</f>
        <v/>
      </c>
      <c r="DS8" s="20">
        <f>IF(Use_Library!$C$7="Income",AK8*Use_Effective!$K$7,0)</f>
        <v/>
      </c>
      <c r="DT8" s="20">
        <f>DS8*(1+Use_Library!$AL$7)*(1-Use_Effective!$N$7)</f>
        <v/>
      </c>
      <c r="DU8" s="20">
        <f>IF(Use_Library!$C$7="Income",AK8*Use_Effective!$E$7,0)</f>
        <v/>
      </c>
      <c r="DV8" s="20">
        <f>IF(Use_Library!$C$7="Income",Location!$C$15*Location!$C$16*DR8,0)</f>
        <v/>
      </c>
      <c r="DW8" s="20">
        <f>DT8*Use_Library!$AO$7</f>
        <v/>
      </c>
      <c r="DX8" s="20">
        <f>(DU8+DV8)*Use_Library!$AP$7</f>
        <v/>
      </c>
      <c r="DY8" s="20">
        <f>DT8-DU8-DV8-DW8+DX8</f>
        <v/>
      </c>
      <c r="DZ8" s="26">
        <f>Use_Effective!$M$7</f>
        <v/>
      </c>
      <c r="EA8" s="20">
        <f>IF(AND(Use_Library!$C$7="Income",DZ8&gt;0),DY8/DZ8,0)</f>
        <v/>
      </c>
      <c r="EB8" s="39">
        <f>IF(Use_Library!$C$7="Income",-Location!$C$15*Location!$C$16*(1-Use_Library!$AP$7)*DQ8,0)</f>
        <v/>
      </c>
      <c r="EC8" s="23">
        <f>IF(DR8=0,0,DY8/DR8)</f>
        <v/>
      </c>
      <c r="ED8" s="20">
        <f>IF(Use_Library!$AW$7=1,IF(Use_Library!$C$7="Income",EA8*(1-DH8),AK8*Use_Effective!$I$7*(1-DG8))+DI8,0)*AM8</f>
        <v/>
      </c>
      <c r="EE8" s="39">
        <f>IF(AND(Use_Library!$AW$7=1,Use_Library!$C$7="Income",DZ8&gt;0),EB8/DZ8*(1-DH8),0)</f>
        <v/>
      </c>
      <c r="EF8" s="20">
        <f>ED8-DR8</f>
        <v/>
      </c>
      <c r="EG8" s="38">
        <f>IF(AND(Use_Library!$AW$7=1,AM8=1),MAX(0,Parcel!$C$27-((1-CW8)*ED8-DR8)/((1-CW8)*EE8-DQ8)),0)</f>
        <v/>
      </c>
      <c r="EH8" s="20">
        <f>IF(Use_Library!$AX$7=1,IF(Use_Library!$C$7="Income",EA8,IF(DZ8&gt;0,AD8*Use_Effective!$L$7/DZ8,0))+DI8,0)*AM8</f>
        <v/>
      </c>
      <c r="EI8" s="20">
        <f>IF(Use_Library!$C$7="Income",DP8,CJ8)</f>
        <v/>
      </c>
      <c r="EJ8" s="28">
        <f>IF(Use_Library!$C$7="Income",DQ8,DB8*DE8)</f>
        <v/>
      </c>
      <c r="EK8" s="20">
        <f>IF(Use_Library!$C$7="Income",DR8,(Parcel!$C$27*DB8+CJ8)*DE8)</f>
        <v/>
      </c>
      <c r="EL8" s="39">
        <f>IF(AND(Use_Library!$AX$7=1,Use_Library!$C$7="Income",DZ8&gt;0),EB8/DZ8,0)</f>
        <v/>
      </c>
      <c r="EM8" s="20">
        <f>EH8-EK8</f>
        <v/>
      </c>
      <c r="EN8" s="38">
        <f>IF(AND(Use_Library!$AX$7=1,AM8=1),MAX(0,Parcel!$C$27-((1-CX8)*EH8-EK8)/((1-CX8)*EL8-EJ8)),0)</f>
        <v/>
      </c>
      <c r="EO8" s="20">
        <f>IF(Use_Library!$C$7="Income",Assumptions!$C$15*(Parcel!$C$27*DA8+DP8),0)</f>
        <v/>
      </c>
      <c r="EP8" s="20">
        <f>IF(AND(Use_Library!$C$7="Income",DY8&gt;0),MIN(Assumptions!$C$20*EA8,PV(Assumptions!$C$23/12,Assumptions!$C$24*12,-DY8/Assumptions!$C$21/12),DY8/Assumptions!$C$22),0)</f>
        <v/>
      </c>
      <c r="EQ8" s="27">
        <f>IF(EP8=0,0,DY8/(-PMT(Assumptions!$C$23/12,Assumptions!$C$24*12,EP8)*12))</f>
        <v/>
      </c>
      <c r="ER8" s="20">
        <f>EP8-EO8</f>
        <v/>
      </c>
      <c r="ES8" s="19">
        <f>MAX(DO8,EG8,EN8)</f>
        <v/>
      </c>
      <c r="ET8" s="15">
        <f>IF(ES8&lt;=0,0,IF(DO8=ES8,1,IF(EG8=ES8,2,3)))</f>
        <v/>
      </c>
      <c r="EU8" s="9">
        <f>CHOOSE(ET8+1,"None works","Land / pad sale","Build &amp; sell","Build &amp; hold / lease")</f>
        <v/>
      </c>
      <c r="EV8" s="15">
        <f>CHOOSE(ET8+1,0,CS8,CT8,CU8)</f>
        <v/>
      </c>
      <c r="EW8" s="20">
        <f>ES8*(1-Assumptions!$C$26)</f>
        <v/>
      </c>
      <c r="EX8" s="20">
        <f>ES8-Parcel!$C$27</f>
        <v/>
      </c>
      <c r="EY8" s="20">
        <f>IF(Parcel!$C$14=0,0,ES8/Parcel!$C$14)</f>
        <v/>
      </c>
      <c r="EZ8" s="36">
        <f>IF(AK8=0,0,ES8/AK8)</f>
        <v/>
      </c>
      <c r="FA8" s="9">
        <f>IF(ES8&lt;=0,"Pass",IF(ES8&gt;=Parcel!$C$27*Assumptions!$C$27,"Strong",IF(ES8&gt;=Parcel!$C$27,"Works at asking",IF(ES8&gt;=Parcel!$C$27*Assumptions!$C$28,"Negotiate","Pass"))))</f>
        <v/>
      </c>
      <c r="FB8" s="9">
        <f>IF(AM8=0,"",IF(Use_Library!$BH$7="Y",IF(Use_Effective!$AF$7&gt;=3,"High","Medium"),"Low - verify location"))</f>
        <v/>
      </c>
      <c r="FC8" s="9">
        <f>IF(AND(Use_Library!$BH$7="N",AM8=1),Use_Library!$BI$7,"")</f>
        <v/>
      </c>
      <c r="FD8" s="9">
        <f>TRIM(Q8&amp;" "&amp;IF(AND(AM8=0,T8=1),"Nothing fits. ","")&amp;IF(AND(Use_Library!$AZ$7&lt;&gt;"Y",Parcel!$C$19&lt;Use_Library!$AY$7),"Frontage under "&amp;Use_Library!$AY$7&amp;" LF. ","")&amp;IF(Parcel!$C$17&gt;0.15,"Slope over 15%. ","")&amp;IF(AND(AM8=1,AI8&gt;0.5),TEXT(AI8,"0")&amp;" ac not used - resold as raw land. ","")&amp;IF(AND(AM8=1,AC8&lt;1),"Demand caps it at "&amp;TEXT(AK8,"#,##0")&amp;" "&amp;Use_Library!$D$7&amp;". ","")&amp;IF(AND(AM8=1,L8=1),"Rezone required (+"&amp;Location!$C$32&amp;" mo). ","")&amp;IF(AND(AM8=1,BA8=1),"State wastewater permit needed. ","")&amp;IF(AND(AM8=1,AV8=1),"Public water system needed. ","")&amp;AP8&amp;IF(Parcel!$C$16&gt;Assumptions!$C$29,"Floodplain over "&amp;TEXT(Assumptions!$C$29,"0%")&amp;". ","")&amp;IF(AND(AM8=1,EV8&gt;60),"Over 5 years to exit. ",""))</f>
        <v/>
      </c>
      <c r="FE8" s="20">
        <f>IF(AND(Org_Profile!$C$5="My uses",E8=0),-1E+9,ES8)+ROW()/1000000</f>
        <v/>
      </c>
    </row>
    <row r="9">
      <c r="A9" s="4">
        <f>Use_Library!$A$8</f>
        <v/>
      </c>
      <c r="B9" s="9">
        <f>Use_Library!$C$8</f>
        <v/>
      </c>
      <c r="C9" s="9">
        <f>Use_Library!$D$8</f>
        <v/>
      </c>
      <c r="D9" s="9">
        <f>Use_Library!$F$8</f>
        <v/>
      </c>
      <c r="E9" s="15">
        <f>IF(Org_Profile!$C$25="Y",1,0)</f>
        <v/>
      </c>
      <c r="F9" s="14">
        <f>MAX(0,Parcel!$C$37*(1-Use_Library!$N$8-IF(Use_Library!$AB$8="Y",Assumptions!$C$7,0)))</f>
        <v/>
      </c>
      <c r="G9" s="14">
        <f>IF(Use_Library!$M$8&gt;0,MIN(F9,Use_Library!$M$8),F9)</f>
        <v/>
      </c>
      <c r="H9" s="23">
        <f>IF(F9=0,0,G9/F9)</f>
        <v/>
      </c>
      <c r="I9" s="14">
        <f>Parcel!$C$37*H9</f>
        <v/>
      </c>
      <c r="J9" s="9">
        <f>IF(ISNUMBER(SEARCH(","&amp;Use_Library!$F$8&amp;",",","&amp;SUBSTITUTE(Parcel!$C$11," ","")&amp;",")),"Deed restricted",IF(Parcel!$C$46=0,"No zoning",IF(ISNUMBER(SEARCH(","&amp;Use_Library!$F$8&amp;",",","&amp;SUBSTITUTE(Parcel!$C$10," ","")&amp;",")),"By right",IF(OR(TRIM(Parcel!$C$12)="*",ISNUMBER(SEARCH(","&amp;Use_Library!$F$8&amp;",",","&amp;SUBSTITUTE(Parcel!$C$12," ","")&amp;","))),"Rezone required","Prohibited by zoning"))))</f>
        <v/>
      </c>
      <c r="K9" s="15">
        <f>IF(OR(J9="Deed restricted",J9="Prohibited by zoning"),0,1)</f>
        <v/>
      </c>
      <c r="L9" s="15">
        <f>IF(J9="Rezone required",1,0)</f>
        <v/>
      </c>
      <c r="M9" s="15">
        <f>IF(Parcel!$C$20="None",0,IF(AND(Parcel!$C$20="Private easement",Use_Library!$BA$8="Y"),0,1))</f>
        <v/>
      </c>
      <c r="N9" s="15">
        <f>IF(AND(Use_Library!$AZ$8="Y",Parcel!$C$19&lt;Use_Library!$AY$8),0,1)</f>
        <v/>
      </c>
      <c r="O9" s="15">
        <f>IF(AND(Use_Library!$T$8="Y",Parcel!$C$39=0),0,1)</f>
        <v/>
      </c>
      <c r="P9" s="15">
        <f>IF(AND(Use_Library!$U$8="Y",Parcel!$C$38=0),0,1)</f>
        <v/>
      </c>
      <c r="Q9" s="9">
        <f>TRIM(IF(AND(Use_Library!$BB$8&gt;0,Parcel!$C$28&lt;Use_Library!$BB$8),"Traffic under "&amp;TEXT(Use_Library!$BB$8,"#,##0")&amp;" VPD. ","")&amp;IF(AND(Use_Library!$BC$8&gt;0,Parcel!$C$29&lt;Use_Library!$BC$8),"Under "&amp;TEXT(Use_Library!$BC$8,"#,##0")&amp;" households in 3 mi. ","")&amp;IF(AND(Use_Library!$BD$8&gt;0,Parcel!$C$31&gt;Use_Library!$BD$8),"Over "&amp;Use_Library!$BD$8&amp;" mi to highway. ","")&amp;IF(AND(Use_Library!$BE$8="Y",Parcel!$C$32&lt;&gt;"Y"),"Needs a corner. ","")&amp;IF(AND(Use_Library!$BF$8&gt;0,Parcel!$C$33&gt;Use_Library!$BF$8),"Over "&amp;Use_Library!$BF$8&amp;" mi to substation. ","")&amp;IF(AND(Use_Library!$BG$8&gt;0,Parcel!$C$34&gt;Use_Library!$BG$8),"Over "&amp;Use_Library!$BG$8&amp;" mi to a major employer. ",""))</f>
        <v/>
      </c>
      <c r="R9" s="15">
        <f>IF(Q9="",1,0)</f>
        <v/>
      </c>
      <c r="S9" s="15">
        <f>IF(F9&gt;=Use_Library!$L$8,1,0)</f>
        <v/>
      </c>
      <c r="T9" s="15">
        <f>K9*M9*N9*O9*P9*R9*S9</f>
        <v/>
      </c>
      <c r="U9" s="14">
        <f>IF(Use_Library!$G$8&gt;0,I9*Use_Library!$G$8,1E+9)</f>
        <v/>
      </c>
      <c r="V9" s="14">
        <f>IF(Use_Library!$H$8&gt;0,G9*43560/Use_Library!$H$8,1E+9)</f>
        <v/>
      </c>
      <c r="W9" s="14">
        <f>IF(AND(Use_Library!$K$8="Y",Parcel!$C$39=0),G9*(1-Assumptions!$C$8)/IF(Parcel!$C$38=1,Location!$C$25,Location!$C$26),1E+9)</f>
        <v/>
      </c>
      <c r="X9" s="14">
        <f>IF(Use_Library!$I$8&gt;0,Parcel!$C$14*H9/Use_Library!$I$8,1E+9)</f>
        <v/>
      </c>
      <c r="Y9" s="14">
        <f>IF(Use_Library!$J$8&gt;0,Parcel!$C$19/Use_Library!$J$8,1E+9)</f>
        <v/>
      </c>
      <c r="Z9" s="14">
        <f>IF(AND(Parcel!$C$39=0,Use_Library!$K$8="N",Use_Library!$Y$8&gt;0,Use_Library!$Z$8="Y"),G9*Location!$C$27*Parcel!$C$45/Use_Library!$Y$8,1E+9)</f>
        <v/>
      </c>
      <c r="AA9" s="14">
        <f>MIN(U9,V9,W9,X9,Y9,Z9)</f>
        <v/>
      </c>
      <c r="AB9" s="14">
        <f>IF(Use_Library!$O$8&gt;0,IF(Use_Library!$P$8&gt;=10,Parcel!$C$30,Parcel!$C$29)*Use_Library!$O$8*Use_Library!$Q$8,1E+9)</f>
        <v/>
      </c>
      <c r="AC9" s="23">
        <f>IF(OR(AA9&gt;=1E+9,AA9&lt;=0),1,MIN(1,AB9/AA9))</f>
        <v/>
      </c>
      <c r="AD9" s="14">
        <f>G9*AC9</f>
        <v/>
      </c>
      <c r="AE9" s="23">
        <f>IF(F9=0,0,AD9/F9)</f>
        <v/>
      </c>
      <c r="AF9" s="14">
        <f>Parcel!$C$37*AE9</f>
        <v/>
      </c>
      <c r="AG9" s="14">
        <f>AF9*IF(Use_Library!$AB$8="Y",Assumptions!$C$7,0)</f>
        <v/>
      </c>
      <c r="AH9" s="14">
        <f>AF9*(1-Use_Library!$N$8)</f>
        <v/>
      </c>
      <c r="AI9" s="14">
        <f>Parcel!$C$14*(1-AE9)</f>
        <v/>
      </c>
      <c r="AJ9" s="14">
        <f>MIN(AA9,AB9)</f>
        <v/>
      </c>
      <c r="AK9" s="25">
        <f>IF(T9=0,0,IF(AJ9&gt;=1E+9,AD9,IF(Use_Library!$E$8="Y",INT(AJ9+1E-9),AJ9)))</f>
        <v/>
      </c>
      <c r="AL9" s="9">
        <f>IF(M9=0,"No public road access",IF(K9=0,J9,IF(R9=0,"Location fails",IF(N9=0,"Frontage under "&amp;Use_Library!$AY$8&amp;" LF",IF(S9=0,"Too small - needs "&amp;Use_Library!$L$8&amp;" usable ac",IF(O9=0,"Needs public sewer",IF(P9=0,"Needs public water",IF(AJ9&gt;=1E+9,"Usable acres",IF(AB9&lt;=AA9,"Market demand",IF(W9=AA9,"Septic lot size",IF(Z9=AA9,"Septic capacity (gal/day)",IF(X9=AA9,"Min lot size",IF(Y9=AA9,"Road frontage",IF(V9=AA9,"Site area / parking","Density"))))))))))))))</f>
        <v/>
      </c>
      <c r="AM9" s="15">
        <f>IF(AK9&gt;0,1,0)</f>
        <v/>
      </c>
      <c r="AN9" s="15">
        <f>IF(Use_Library!$Z$8="Y",1,0)*AM9</f>
        <v/>
      </c>
      <c r="AO9" s="14">
        <f>IF(Parcel!$C$39=0,MIN(U9,V9,X9,Y9,AB9),0)</f>
        <v/>
      </c>
      <c r="AP9" s="9">
        <f>IF(AND(Parcel!$C$39=0,M9*K9*R9*N9*S9*P9=1,AO9&lt;1E+9,AO9&gt;=MAX(1,AK9)*1.25),"Unlock: sewer or package plant allows ~"&amp;TEXT(INT(AO9),"#,##0")&amp;" "&amp;Use_Library!$D$8&amp;". ","")</f>
        <v/>
      </c>
      <c r="AQ9" s="15">
        <f>AK9*Use_Library!$AC$8*AN9</f>
        <v/>
      </c>
      <c r="AR9" s="15">
        <f>AK9*Use_Library!$AD$8*AN9</f>
        <v/>
      </c>
      <c r="AS9" s="14">
        <f>AK9*Use_Library!$V$8*AN9</f>
        <v/>
      </c>
      <c r="AT9" s="15">
        <f>IF(Parcel!$C$38=1,AQ9+Parcel!$C$40,0)*AN9</f>
        <v/>
      </c>
      <c r="AU9" s="14">
        <f>AS9*Parcel!$C$38</f>
        <v/>
      </c>
      <c r="AV9" s="15">
        <f>IF(AND(Parcel!$C$38=0,Use_Library!$K$8="N",AS9&gt;=Location!$C$30),1,0)*AN9</f>
        <v/>
      </c>
      <c r="AW9" s="15">
        <f>IF(Parcel!$C$39=1,AQ9+Parcel!$C$41,0)*AN9</f>
        <v/>
      </c>
      <c r="AX9" s="14">
        <f>AS9*Parcel!$C$39</f>
        <v/>
      </c>
      <c r="AY9" s="14">
        <f>IF(Parcel!$C$39=0,AK9*Use_Library!$W$8,0)*AN9</f>
        <v/>
      </c>
      <c r="AZ9" s="15">
        <f>IF(Parcel!$C$39=0,AK9*Use_Library!$Y$8,0)*AN9</f>
        <v/>
      </c>
      <c r="BA9" s="15">
        <f>IF(AND(Use_Library!$K$8="N",AZ9&gt;Location!$C$28),1,0)</f>
        <v/>
      </c>
      <c r="BB9" s="14">
        <f>IF(AND(Parcel!$C$38=0,AV9=0),AK9*Use_Library!$X$8,0)*AN9</f>
        <v/>
      </c>
      <c r="BC9" s="14">
        <f>AH9*Parcel!$C$18*Use_Library!$AA$8*AN9</f>
        <v/>
      </c>
      <c r="BD9" s="14">
        <f>AH9*Use_Library!$AA$8*AN9</f>
        <v/>
      </c>
      <c r="BE9" s="15">
        <f>IF(Use_Library!$C$8="For-Sale",IF(Use_Library!$E$8="Y",AK9,1),1)*AM9</f>
        <v/>
      </c>
      <c r="BF9" s="15">
        <f>IF(OR(Use_Library!$F$8="RES-SF",Use_Library!$F$8="RES-ATT",Use_Library!$F$8="RES-MF",Use_Library!$F$8="MH"),1,0)</f>
        <v/>
      </c>
      <c r="BG9" s="20">
        <f>Cost_Library!$J$5*Location!$C$9*AM9</f>
        <v/>
      </c>
      <c r="BH9" s="20">
        <f>BE9*Cost_Library!$J$6*Location!$C$9</f>
        <v/>
      </c>
      <c r="BI9" s="20">
        <f>BD9*Cost_Library!$J$7*Location!$C$9</f>
        <v/>
      </c>
      <c r="BJ9" s="20">
        <f>Cost_Library!$J$8*Location!$C$9*AN9*IF(Use_Library!$AA$8&gt;=0.5,1,0)</f>
        <v/>
      </c>
      <c r="BK9" s="20">
        <f>AY9*Cost_Library!$J$9*Location!$C$9</f>
        <v/>
      </c>
      <c r="BL9" s="20">
        <f>BA9*Cost_Library!$J$10*Location!$C$9</f>
        <v/>
      </c>
      <c r="BM9" s="20">
        <f>Cost_Library!$J$11*Location!$C$9*AM9</f>
        <v/>
      </c>
      <c r="BN9" s="20">
        <f>Cost_Library!$J$12*Location!$C$9*AN9*IF(Use_Library!$AB$8="Y",1,0)</f>
        <v/>
      </c>
      <c r="BO9" s="20">
        <f>Use_Effective!$C$8*AM9</f>
        <v/>
      </c>
      <c r="BP9" s="20">
        <f>L9*Location!$C$31*AM9</f>
        <v/>
      </c>
      <c r="BQ9" s="20">
        <f>Cost_Library!$J$13*Location!$C$9*AM9</f>
        <v/>
      </c>
      <c r="BR9" s="20">
        <f>BC9*Cost_Library!$J$14*Location!$C$9</f>
        <v/>
      </c>
      <c r="BS9" s="20">
        <f>BD9*Cost_Library!$J$15*Location!$C$9*Parcel!$C$43</f>
        <v/>
      </c>
      <c r="BT9" s="20">
        <f>AQ9*Cost_Library!$J$16*Location!$C$9</f>
        <v/>
      </c>
      <c r="BU9" s="20">
        <f>AR9*Cost_Library!$J$17*Location!$C$9</f>
        <v/>
      </c>
      <c r="BV9" s="20">
        <f>AG9*Cost_Library!$J$18*Location!$C$9*AN9</f>
        <v/>
      </c>
      <c r="BW9" s="20">
        <f>BD9*Cost_Library!$J$19*Location!$C$9</f>
        <v/>
      </c>
      <c r="BX9" s="20">
        <f>IF(Use_Library!$AZ$8="Y",1,0)*Cost_Library!$J$20*Location!$C$9*AN9</f>
        <v/>
      </c>
      <c r="BY9" s="20">
        <f>AT9*Cost_Library!$J$21*Location!$C$9</f>
        <v/>
      </c>
      <c r="BZ9" s="20">
        <f>AU9*Cost_Library!$J$22*Location!$C$9</f>
        <v/>
      </c>
      <c r="CA9" s="20">
        <f>AW9*Cost_Library!$J$23*Location!$C$9</f>
        <v/>
      </c>
      <c r="CB9" s="20">
        <f>AX9*Cost_Library!$J$24*Location!$C$9</f>
        <v/>
      </c>
      <c r="CC9" s="20">
        <f>AY9*Cost_Library!$J$25*Location!$C$9*Parcel!$C$44</f>
        <v/>
      </c>
      <c r="CD9" s="20">
        <f>BB9*Cost_Library!$J$26*Location!$C$9</f>
        <v/>
      </c>
      <c r="CE9" s="20">
        <f>AV9*(Cost_Library!$J$27+AS9*Cost_Library!$J$28)*Location!$C$9</f>
        <v/>
      </c>
      <c r="CF9" s="20">
        <f>AQ9*Cost_Library!$J$29*Location!$C$9</f>
        <v/>
      </c>
      <c r="CG9" s="20">
        <f>SUM(BG9:CF9)</f>
        <v/>
      </c>
      <c r="CH9" s="20">
        <f>CG9*Assumptions!$C$9</f>
        <v/>
      </c>
      <c r="CI9" s="20">
        <f>(CG9+CH9)*Org_Profile!$C$17</f>
        <v/>
      </c>
      <c r="CJ9" s="20">
        <f>CG9+CH9+CI9</f>
        <v/>
      </c>
      <c r="CK9" s="20">
        <f>AK9*Use_Effective!$B$8*(1+Org_Profile!$C$17)</f>
        <v/>
      </c>
      <c r="CL9" s="20">
        <f>CK9*(Assumptions!$C$10+Assumptions!$C$11)</f>
        <v/>
      </c>
      <c r="CM9" s="20">
        <f>AK9*Use_Effective!$D$8</f>
        <v/>
      </c>
      <c r="CN9" s="20">
        <f>AK9*Location!$C$21*BF9*AM9</f>
        <v/>
      </c>
      <c r="CO9" s="14">
        <f>Use_Effective!$F$8+L9*Location!$C$32+BA9*Location!$C$29</f>
        <v/>
      </c>
      <c r="CP9" s="14">
        <f>IF(Use_Effective!$P$8&gt;0,IF(Use_Library!$C$8="For-Sale",AK9,AD9)/Use_Effective!$P$8,0)*AM9</f>
        <v/>
      </c>
      <c r="CQ9" s="14">
        <f>IF(AND(Use_Library!$C$8="For-Sale",Use_Effective!$O$8&gt;0),AK9/Use_Effective!$O$8,0)*AM9</f>
        <v/>
      </c>
      <c r="CR9" s="14">
        <f>IF(Use_Library!$C$8="Income",MAX(Use_Library!$AQ$8,IF(Use_Effective!$O$8&gt;0,AK9/Use_Effective!$O$8,0)),0)</f>
        <v/>
      </c>
      <c r="CS9" s="14">
        <f>CO9+CP9</f>
        <v/>
      </c>
      <c r="CT9" s="14">
        <f>CO9+CQ9+CR9</f>
        <v/>
      </c>
      <c r="CU9" s="14">
        <f>CO9+IF(Use_Library!$C$8="Income",CR9,0)</f>
        <v/>
      </c>
      <c r="CV9" s="23">
        <f>Use_Effective!$G$8+Assumptions!$C$25*MAX(0,(CS9-12)/12)</f>
        <v/>
      </c>
      <c r="CW9" s="23">
        <f>Use_Effective!$G$8+Assumptions!$C$25*MAX(0,(CT9-12)/12)</f>
        <v/>
      </c>
      <c r="CX9" s="23">
        <f>Use_Effective!$G$8+Assumptions!$C$25*MAX(0,(CU9-12)/12)</f>
        <v/>
      </c>
      <c r="CY9" s="28">
        <f>1+Location!$C$17+IF(Parcel!$C$26="Y",Location!$C$20,0)</f>
        <v/>
      </c>
      <c r="CZ9" s="28">
        <f>CY9+Location!$C$19*(CO9+CP9/2)/12</f>
        <v/>
      </c>
      <c r="DA9" s="28">
        <f>CY9+Location!$C$19*(CO9+CQ9/2)/12</f>
        <v/>
      </c>
      <c r="DB9" s="28">
        <f>IF(Use_Library!$C$8="Income",DA9,CY9+Location!$C$19*CO9/12)</f>
        <v/>
      </c>
      <c r="DC9" s="28">
        <f>1+Assumptions!$C$15*(Assumptions!$C$16*(CO9+CP9/2)/12*Assumptions!$C$18+Assumptions!$C$17)</f>
        <v/>
      </c>
      <c r="DD9" s="28">
        <f>1+Assumptions!$C$15*(Assumptions!$C$16*((CO9+CQ9/2)/12*Assumptions!$C$18+CR9/12*Assumptions!$C$19)+Assumptions!$C$17)</f>
        <v/>
      </c>
      <c r="DE9" s="28">
        <f>IF(Use_Library!$C$8="Income",DD9,1+Assumptions!$C$15*(Assumptions!$C$16*CO9/12*Assumptions!$C$18+Assumptions!$C$17))</f>
        <v/>
      </c>
      <c r="DF9" s="23">
        <f>Assumptions!$C$13+Location!$C$18</f>
        <v/>
      </c>
      <c r="DG9" s="23">
        <f>Assumptions!$C$12+Location!$C$18</f>
        <v/>
      </c>
      <c r="DH9" s="23">
        <f>Assumptions!$C$14+Location!$C$18</f>
        <v/>
      </c>
      <c r="DI9" s="20">
        <f>AI9*Location!$C$14*(1-DF9)*AM9</f>
        <v/>
      </c>
      <c r="DJ9" s="20">
        <f>IF(Use_Library!$AV$8=1,IF(Use_Library!$C$8="For-Sale",AK9*Use_Effective!$H$8+Parcel!$C$14*AE9*Use_Effective!$J$8,AD9*Use_Effective!$J$8)*(1-DF9)+DI9,0)*AM9</f>
        <v/>
      </c>
      <c r="DK9" s="20">
        <f>(CG9-BU9-CC9-CD9)*(1+Assumptions!$C$9)*(1+Org_Profile!$C$17)</f>
        <v/>
      </c>
      <c r="DL9" s="28">
        <f>CZ9*DC9</f>
        <v/>
      </c>
      <c r="DM9" s="20">
        <f>(Parcel!$C$27*CZ9+DK9)*DC9</f>
        <v/>
      </c>
      <c r="DN9" s="20">
        <f>DJ9-DM9</f>
        <v/>
      </c>
      <c r="DO9" s="38">
        <f>IF(AND(Use_Library!$AV$8=1,AM9=1),MAX(0,((1-CV9)*DJ9-DK9*DC9)/DL9),0)</f>
        <v/>
      </c>
      <c r="DP9" s="20">
        <f>CJ9+CK9+CL9+CM9+CN9</f>
        <v/>
      </c>
      <c r="DQ9" s="28">
        <f>DA9*DD9</f>
        <v/>
      </c>
      <c r="DR9" s="20">
        <f>(Parcel!$C$27*DA9+DP9)*DD9</f>
        <v/>
      </c>
      <c r="DS9" s="20">
        <f>IF(Use_Library!$C$8="Income",AK9*Use_Effective!$K$8,0)</f>
        <v/>
      </c>
      <c r="DT9" s="20">
        <f>DS9*(1+Use_Library!$AL$8)*(1-Use_Effective!$N$8)</f>
        <v/>
      </c>
      <c r="DU9" s="20">
        <f>IF(Use_Library!$C$8="Income",AK9*Use_Effective!$E$8,0)</f>
        <v/>
      </c>
      <c r="DV9" s="20">
        <f>IF(Use_Library!$C$8="Income",Location!$C$15*Location!$C$16*DR9,0)</f>
        <v/>
      </c>
      <c r="DW9" s="20">
        <f>DT9*Use_Library!$AO$8</f>
        <v/>
      </c>
      <c r="DX9" s="20">
        <f>(DU9+DV9)*Use_Library!$AP$8</f>
        <v/>
      </c>
      <c r="DY9" s="20">
        <f>DT9-DU9-DV9-DW9+DX9</f>
        <v/>
      </c>
      <c r="DZ9" s="26">
        <f>Use_Effective!$M$8</f>
        <v/>
      </c>
      <c r="EA9" s="20">
        <f>IF(AND(Use_Library!$C$8="Income",DZ9&gt;0),DY9/DZ9,0)</f>
        <v/>
      </c>
      <c r="EB9" s="39">
        <f>IF(Use_Library!$C$8="Income",-Location!$C$15*Location!$C$16*(1-Use_Library!$AP$8)*DQ9,0)</f>
        <v/>
      </c>
      <c r="EC9" s="23">
        <f>IF(DR9=0,0,DY9/DR9)</f>
        <v/>
      </c>
      <c r="ED9" s="20">
        <f>IF(Use_Library!$AW$8=1,IF(Use_Library!$C$8="Income",EA9*(1-DH9),AK9*Use_Effective!$I$8*(1-DG9))+DI9,0)*AM9</f>
        <v/>
      </c>
      <c r="EE9" s="39">
        <f>IF(AND(Use_Library!$AW$8=1,Use_Library!$C$8="Income",DZ9&gt;0),EB9/DZ9*(1-DH9),0)</f>
        <v/>
      </c>
      <c r="EF9" s="20">
        <f>ED9-DR9</f>
        <v/>
      </c>
      <c r="EG9" s="38">
        <f>IF(AND(Use_Library!$AW$8=1,AM9=1),MAX(0,Parcel!$C$27-((1-CW9)*ED9-DR9)/((1-CW9)*EE9-DQ9)),0)</f>
        <v/>
      </c>
      <c r="EH9" s="20">
        <f>IF(Use_Library!$AX$8=1,IF(Use_Library!$C$8="Income",EA9,IF(DZ9&gt;0,AD9*Use_Effective!$L$8/DZ9,0))+DI9,0)*AM9</f>
        <v/>
      </c>
      <c r="EI9" s="20">
        <f>IF(Use_Library!$C$8="Income",DP9,CJ9)</f>
        <v/>
      </c>
      <c r="EJ9" s="28">
        <f>IF(Use_Library!$C$8="Income",DQ9,DB9*DE9)</f>
        <v/>
      </c>
      <c r="EK9" s="20">
        <f>IF(Use_Library!$C$8="Income",DR9,(Parcel!$C$27*DB9+CJ9)*DE9)</f>
        <v/>
      </c>
      <c r="EL9" s="39">
        <f>IF(AND(Use_Library!$AX$8=1,Use_Library!$C$8="Income",DZ9&gt;0),EB9/DZ9,0)</f>
        <v/>
      </c>
      <c r="EM9" s="20">
        <f>EH9-EK9</f>
        <v/>
      </c>
      <c r="EN9" s="38">
        <f>IF(AND(Use_Library!$AX$8=1,AM9=1),MAX(0,Parcel!$C$27-((1-CX9)*EH9-EK9)/((1-CX9)*EL9-EJ9)),0)</f>
        <v/>
      </c>
      <c r="EO9" s="20">
        <f>IF(Use_Library!$C$8="Income",Assumptions!$C$15*(Parcel!$C$27*DA9+DP9),0)</f>
        <v/>
      </c>
      <c r="EP9" s="20">
        <f>IF(AND(Use_Library!$C$8="Income",DY9&gt;0),MIN(Assumptions!$C$20*EA9,PV(Assumptions!$C$23/12,Assumptions!$C$24*12,-DY9/Assumptions!$C$21/12),DY9/Assumptions!$C$22),0)</f>
        <v/>
      </c>
      <c r="EQ9" s="27">
        <f>IF(EP9=0,0,DY9/(-PMT(Assumptions!$C$23/12,Assumptions!$C$24*12,EP9)*12))</f>
        <v/>
      </c>
      <c r="ER9" s="20">
        <f>EP9-EO9</f>
        <v/>
      </c>
      <c r="ES9" s="19">
        <f>MAX(DO9,EG9,EN9)</f>
        <v/>
      </c>
      <c r="ET9" s="15">
        <f>IF(ES9&lt;=0,0,IF(DO9=ES9,1,IF(EG9=ES9,2,3)))</f>
        <v/>
      </c>
      <c r="EU9" s="9">
        <f>CHOOSE(ET9+1,"None works","Land / pad sale","Build &amp; sell","Build &amp; hold / lease")</f>
        <v/>
      </c>
      <c r="EV9" s="15">
        <f>CHOOSE(ET9+1,0,CS9,CT9,CU9)</f>
        <v/>
      </c>
      <c r="EW9" s="20">
        <f>ES9*(1-Assumptions!$C$26)</f>
        <v/>
      </c>
      <c r="EX9" s="20">
        <f>ES9-Parcel!$C$27</f>
        <v/>
      </c>
      <c r="EY9" s="20">
        <f>IF(Parcel!$C$14=0,0,ES9/Parcel!$C$14)</f>
        <v/>
      </c>
      <c r="EZ9" s="36">
        <f>IF(AK9=0,0,ES9/AK9)</f>
        <v/>
      </c>
      <c r="FA9" s="9">
        <f>IF(ES9&lt;=0,"Pass",IF(ES9&gt;=Parcel!$C$27*Assumptions!$C$27,"Strong",IF(ES9&gt;=Parcel!$C$27,"Works at asking",IF(ES9&gt;=Parcel!$C$27*Assumptions!$C$28,"Negotiate","Pass"))))</f>
        <v/>
      </c>
      <c r="FB9" s="9">
        <f>IF(AM9=0,"",IF(Use_Library!$BH$8="Y",IF(Use_Effective!$AF$8&gt;=3,"High","Medium"),"Low - verify location"))</f>
        <v/>
      </c>
      <c r="FC9" s="9">
        <f>IF(AND(Use_Library!$BH$8="N",AM9=1),Use_Library!$BI$8,"")</f>
        <v/>
      </c>
      <c r="FD9" s="9">
        <f>TRIM(Q9&amp;" "&amp;IF(AND(AM9=0,T9=1),"Nothing fits. ","")&amp;IF(AND(Use_Library!$AZ$8&lt;&gt;"Y",Parcel!$C$19&lt;Use_Library!$AY$8),"Frontage under "&amp;Use_Library!$AY$8&amp;" LF. ","")&amp;IF(Parcel!$C$17&gt;0.15,"Slope over 15%. ","")&amp;IF(AND(AM9=1,AI9&gt;0.5),TEXT(AI9,"0")&amp;" ac not used - resold as raw land. ","")&amp;IF(AND(AM9=1,AC9&lt;1),"Demand caps it at "&amp;TEXT(AK9,"#,##0")&amp;" "&amp;Use_Library!$D$8&amp;". ","")&amp;IF(AND(AM9=1,L9=1),"Rezone required (+"&amp;Location!$C$32&amp;" mo). ","")&amp;IF(AND(AM9=1,BA9=1),"State wastewater permit needed. ","")&amp;IF(AND(AM9=1,AV9=1),"Public water system needed. ","")&amp;AP9&amp;IF(Parcel!$C$16&gt;Assumptions!$C$29,"Floodplain over "&amp;TEXT(Assumptions!$C$29,"0%")&amp;". ","")&amp;IF(AND(AM9=1,EV9&gt;60),"Over 5 years to exit. ",""))</f>
        <v/>
      </c>
      <c r="FE9" s="20">
        <f>IF(AND(Org_Profile!$C$5="My uses",E9=0),-1E+9,ES9)+ROW()/1000000</f>
        <v/>
      </c>
    </row>
    <row r="10">
      <c r="A10" s="4">
        <f>Use_Library!$A$9</f>
        <v/>
      </c>
      <c r="B10" s="9">
        <f>Use_Library!$C$9</f>
        <v/>
      </c>
      <c r="C10" s="9">
        <f>Use_Library!$D$9</f>
        <v/>
      </c>
      <c r="D10" s="9">
        <f>Use_Library!$F$9</f>
        <v/>
      </c>
      <c r="E10" s="15">
        <f>IF(Org_Profile!$C$26="Y",1,0)</f>
        <v/>
      </c>
      <c r="F10" s="14">
        <f>MAX(0,Parcel!$C$37*(1-Use_Library!$N$9-IF(Use_Library!$AB$9="Y",Assumptions!$C$7,0)))</f>
        <v/>
      </c>
      <c r="G10" s="14">
        <f>IF(Use_Library!$M$9&gt;0,MIN(F10,Use_Library!$M$9),F10)</f>
        <v/>
      </c>
      <c r="H10" s="23">
        <f>IF(F10=0,0,G10/F10)</f>
        <v/>
      </c>
      <c r="I10" s="14">
        <f>Parcel!$C$37*H10</f>
        <v/>
      </c>
      <c r="J10" s="9">
        <f>IF(ISNUMBER(SEARCH(","&amp;Use_Library!$F$9&amp;",",","&amp;SUBSTITUTE(Parcel!$C$11," ","")&amp;",")),"Deed restricted",IF(Parcel!$C$46=0,"No zoning",IF(ISNUMBER(SEARCH(","&amp;Use_Library!$F$9&amp;",",","&amp;SUBSTITUTE(Parcel!$C$10," ","")&amp;",")),"By right",IF(OR(TRIM(Parcel!$C$12)="*",ISNUMBER(SEARCH(","&amp;Use_Library!$F$9&amp;",",","&amp;SUBSTITUTE(Parcel!$C$12," ","")&amp;","))),"Rezone required","Prohibited by zoning"))))</f>
        <v/>
      </c>
      <c r="K10" s="15">
        <f>IF(OR(J10="Deed restricted",J10="Prohibited by zoning"),0,1)</f>
        <v/>
      </c>
      <c r="L10" s="15">
        <f>IF(J10="Rezone required",1,0)</f>
        <v/>
      </c>
      <c r="M10" s="15">
        <f>IF(Parcel!$C$20="None",0,IF(AND(Parcel!$C$20="Private easement",Use_Library!$BA$9="Y"),0,1))</f>
        <v/>
      </c>
      <c r="N10" s="15">
        <f>IF(AND(Use_Library!$AZ$9="Y",Parcel!$C$19&lt;Use_Library!$AY$9),0,1)</f>
        <v/>
      </c>
      <c r="O10" s="15">
        <f>IF(AND(Use_Library!$T$9="Y",Parcel!$C$39=0),0,1)</f>
        <v/>
      </c>
      <c r="P10" s="15">
        <f>IF(AND(Use_Library!$U$9="Y",Parcel!$C$38=0),0,1)</f>
        <v/>
      </c>
      <c r="Q10" s="9">
        <f>TRIM(IF(AND(Use_Library!$BB$9&gt;0,Parcel!$C$28&lt;Use_Library!$BB$9),"Traffic under "&amp;TEXT(Use_Library!$BB$9,"#,##0")&amp;" VPD. ","")&amp;IF(AND(Use_Library!$BC$9&gt;0,Parcel!$C$29&lt;Use_Library!$BC$9),"Under "&amp;TEXT(Use_Library!$BC$9,"#,##0")&amp;" households in 3 mi. ","")&amp;IF(AND(Use_Library!$BD$9&gt;0,Parcel!$C$31&gt;Use_Library!$BD$9),"Over "&amp;Use_Library!$BD$9&amp;" mi to highway. ","")&amp;IF(AND(Use_Library!$BE$9="Y",Parcel!$C$32&lt;&gt;"Y"),"Needs a corner. ","")&amp;IF(AND(Use_Library!$BF$9&gt;0,Parcel!$C$33&gt;Use_Library!$BF$9),"Over "&amp;Use_Library!$BF$9&amp;" mi to substation. ","")&amp;IF(AND(Use_Library!$BG$9&gt;0,Parcel!$C$34&gt;Use_Library!$BG$9),"Over "&amp;Use_Library!$BG$9&amp;" mi to a major employer. ",""))</f>
        <v/>
      </c>
      <c r="R10" s="15">
        <f>IF(Q10="",1,0)</f>
        <v/>
      </c>
      <c r="S10" s="15">
        <f>IF(F10&gt;=Use_Library!$L$9,1,0)</f>
        <v/>
      </c>
      <c r="T10" s="15">
        <f>K10*M10*N10*O10*P10*R10*S10</f>
        <v/>
      </c>
      <c r="U10" s="14">
        <f>IF(Use_Library!$G$9&gt;0,I10*Use_Library!$G$9,1E+9)</f>
        <v/>
      </c>
      <c r="V10" s="14">
        <f>IF(Use_Library!$H$9&gt;0,G10*43560/Use_Library!$H$9,1E+9)</f>
        <v/>
      </c>
      <c r="W10" s="14">
        <f>IF(AND(Use_Library!$K$9="Y",Parcel!$C$39=0),G10*(1-Assumptions!$C$8)/IF(Parcel!$C$38=1,Location!$C$25,Location!$C$26),1E+9)</f>
        <v/>
      </c>
      <c r="X10" s="14">
        <f>IF(Use_Library!$I$9&gt;0,Parcel!$C$14*H10/Use_Library!$I$9,1E+9)</f>
        <v/>
      </c>
      <c r="Y10" s="14">
        <f>IF(Use_Library!$J$9&gt;0,Parcel!$C$19/Use_Library!$J$9,1E+9)</f>
        <v/>
      </c>
      <c r="Z10" s="14">
        <f>IF(AND(Parcel!$C$39=0,Use_Library!$K$9="N",Use_Library!$Y$9&gt;0,Use_Library!$Z$9="Y"),G10*Location!$C$27*Parcel!$C$45/Use_Library!$Y$9,1E+9)</f>
        <v/>
      </c>
      <c r="AA10" s="14">
        <f>MIN(U10,V10,W10,X10,Y10,Z10)</f>
        <v/>
      </c>
      <c r="AB10" s="14">
        <f>IF(Use_Library!$O$9&gt;0,IF(Use_Library!$P$9&gt;=10,Parcel!$C$30,Parcel!$C$29)*Use_Library!$O$9*Use_Library!$Q$9,1E+9)</f>
        <v/>
      </c>
      <c r="AC10" s="23">
        <f>IF(OR(AA10&gt;=1E+9,AA10&lt;=0),1,MIN(1,AB10/AA10))</f>
        <v/>
      </c>
      <c r="AD10" s="14">
        <f>G10*AC10</f>
        <v/>
      </c>
      <c r="AE10" s="23">
        <f>IF(F10=0,0,AD10/F10)</f>
        <v/>
      </c>
      <c r="AF10" s="14">
        <f>Parcel!$C$37*AE10</f>
        <v/>
      </c>
      <c r="AG10" s="14">
        <f>AF10*IF(Use_Library!$AB$9="Y",Assumptions!$C$7,0)</f>
        <v/>
      </c>
      <c r="AH10" s="14">
        <f>AF10*(1-Use_Library!$N$9)</f>
        <v/>
      </c>
      <c r="AI10" s="14">
        <f>Parcel!$C$14*(1-AE10)</f>
        <v/>
      </c>
      <c r="AJ10" s="14">
        <f>MIN(AA10,AB10)</f>
        <v/>
      </c>
      <c r="AK10" s="25">
        <f>IF(T10=0,0,IF(AJ10&gt;=1E+9,AD10,IF(Use_Library!$E$9="Y",INT(AJ10+1E-9),AJ10)))</f>
        <v/>
      </c>
      <c r="AL10" s="9">
        <f>IF(M10=0,"No public road access",IF(K10=0,J10,IF(R10=0,"Location fails",IF(N10=0,"Frontage under "&amp;Use_Library!$AY$9&amp;" LF",IF(S10=0,"Too small - needs "&amp;Use_Library!$L$9&amp;" usable ac",IF(O10=0,"Needs public sewer",IF(P10=0,"Needs public water",IF(AJ10&gt;=1E+9,"Usable acres",IF(AB10&lt;=AA10,"Market demand",IF(W10=AA10,"Septic lot size",IF(Z10=AA10,"Septic capacity (gal/day)",IF(X10=AA10,"Min lot size",IF(Y10=AA10,"Road frontage",IF(V10=AA10,"Site area / parking","Density"))))))))))))))</f>
        <v/>
      </c>
      <c r="AM10" s="15">
        <f>IF(AK10&gt;0,1,0)</f>
        <v/>
      </c>
      <c r="AN10" s="15">
        <f>IF(Use_Library!$Z$9="Y",1,0)*AM10</f>
        <v/>
      </c>
      <c r="AO10" s="14">
        <f>IF(Parcel!$C$39=0,MIN(U10,V10,X10,Y10,AB10),0)</f>
        <v/>
      </c>
      <c r="AP10" s="9">
        <f>IF(AND(Parcel!$C$39=0,M10*K10*R10*N10*S10*P10=1,AO10&lt;1E+9,AO10&gt;=MAX(1,AK10)*1.25),"Unlock: sewer or package plant allows ~"&amp;TEXT(INT(AO10),"#,##0")&amp;" "&amp;Use_Library!$D$9&amp;". ","")</f>
        <v/>
      </c>
      <c r="AQ10" s="15">
        <f>AK10*Use_Library!$AC$9*AN10</f>
        <v/>
      </c>
      <c r="AR10" s="15">
        <f>AK10*Use_Library!$AD$9*AN10</f>
        <v/>
      </c>
      <c r="AS10" s="14">
        <f>AK10*Use_Library!$V$9*AN10</f>
        <v/>
      </c>
      <c r="AT10" s="15">
        <f>IF(Parcel!$C$38=1,AQ10+Parcel!$C$40,0)*AN10</f>
        <v/>
      </c>
      <c r="AU10" s="14">
        <f>AS10*Parcel!$C$38</f>
        <v/>
      </c>
      <c r="AV10" s="15">
        <f>IF(AND(Parcel!$C$38=0,Use_Library!$K$9="N",AS10&gt;=Location!$C$30),1,0)*AN10</f>
        <v/>
      </c>
      <c r="AW10" s="15">
        <f>IF(Parcel!$C$39=1,AQ10+Parcel!$C$41,0)*AN10</f>
        <v/>
      </c>
      <c r="AX10" s="14">
        <f>AS10*Parcel!$C$39</f>
        <v/>
      </c>
      <c r="AY10" s="14">
        <f>IF(Parcel!$C$39=0,AK10*Use_Library!$W$9,0)*AN10</f>
        <v/>
      </c>
      <c r="AZ10" s="15">
        <f>IF(Parcel!$C$39=0,AK10*Use_Library!$Y$9,0)*AN10</f>
        <v/>
      </c>
      <c r="BA10" s="15">
        <f>IF(AND(Use_Library!$K$9="N",AZ10&gt;Location!$C$28),1,0)</f>
        <v/>
      </c>
      <c r="BB10" s="14">
        <f>IF(AND(Parcel!$C$38=0,AV10=0),AK10*Use_Library!$X$9,0)*AN10</f>
        <v/>
      </c>
      <c r="BC10" s="14">
        <f>AH10*Parcel!$C$18*Use_Library!$AA$9*AN10</f>
        <v/>
      </c>
      <c r="BD10" s="14">
        <f>AH10*Use_Library!$AA$9*AN10</f>
        <v/>
      </c>
      <c r="BE10" s="15">
        <f>IF(Use_Library!$C$9="For-Sale",IF(Use_Library!$E$9="Y",AK10,1),1)*AM10</f>
        <v/>
      </c>
      <c r="BF10" s="15">
        <f>IF(OR(Use_Library!$F$9="RES-SF",Use_Library!$F$9="RES-ATT",Use_Library!$F$9="RES-MF",Use_Library!$F$9="MH"),1,0)</f>
        <v/>
      </c>
      <c r="BG10" s="20">
        <f>Cost_Library!$J$5*Location!$C$9*AM10</f>
        <v/>
      </c>
      <c r="BH10" s="20">
        <f>BE10*Cost_Library!$J$6*Location!$C$9</f>
        <v/>
      </c>
      <c r="BI10" s="20">
        <f>BD10*Cost_Library!$J$7*Location!$C$9</f>
        <v/>
      </c>
      <c r="BJ10" s="20">
        <f>Cost_Library!$J$8*Location!$C$9*AN10*IF(Use_Library!$AA$9&gt;=0.5,1,0)</f>
        <v/>
      </c>
      <c r="BK10" s="20">
        <f>AY10*Cost_Library!$J$9*Location!$C$9</f>
        <v/>
      </c>
      <c r="BL10" s="20">
        <f>BA10*Cost_Library!$J$10*Location!$C$9</f>
        <v/>
      </c>
      <c r="BM10" s="20">
        <f>Cost_Library!$J$11*Location!$C$9*AM10</f>
        <v/>
      </c>
      <c r="BN10" s="20">
        <f>Cost_Library!$J$12*Location!$C$9*AN10*IF(Use_Library!$AB$9="Y",1,0)</f>
        <v/>
      </c>
      <c r="BO10" s="20">
        <f>Use_Effective!$C$9*AM10</f>
        <v/>
      </c>
      <c r="BP10" s="20">
        <f>L10*Location!$C$31*AM10</f>
        <v/>
      </c>
      <c r="BQ10" s="20">
        <f>Cost_Library!$J$13*Location!$C$9*AM10</f>
        <v/>
      </c>
      <c r="BR10" s="20">
        <f>BC10*Cost_Library!$J$14*Location!$C$9</f>
        <v/>
      </c>
      <c r="BS10" s="20">
        <f>BD10*Cost_Library!$J$15*Location!$C$9*Parcel!$C$43</f>
        <v/>
      </c>
      <c r="BT10" s="20">
        <f>AQ10*Cost_Library!$J$16*Location!$C$9</f>
        <v/>
      </c>
      <c r="BU10" s="20">
        <f>AR10*Cost_Library!$J$17*Location!$C$9</f>
        <v/>
      </c>
      <c r="BV10" s="20">
        <f>AG10*Cost_Library!$J$18*Location!$C$9*AN10</f>
        <v/>
      </c>
      <c r="BW10" s="20">
        <f>BD10*Cost_Library!$J$19*Location!$C$9</f>
        <v/>
      </c>
      <c r="BX10" s="20">
        <f>IF(Use_Library!$AZ$9="Y",1,0)*Cost_Library!$J$20*Location!$C$9*AN10</f>
        <v/>
      </c>
      <c r="BY10" s="20">
        <f>AT10*Cost_Library!$J$21*Location!$C$9</f>
        <v/>
      </c>
      <c r="BZ10" s="20">
        <f>AU10*Cost_Library!$J$22*Location!$C$9</f>
        <v/>
      </c>
      <c r="CA10" s="20">
        <f>AW10*Cost_Library!$J$23*Location!$C$9</f>
        <v/>
      </c>
      <c r="CB10" s="20">
        <f>AX10*Cost_Library!$J$24*Location!$C$9</f>
        <v/>
      </c>
      <c r="CC10" s="20">
        <f>AY10*Cost_Library!$J$25*Location!$C$9*Parcel!$C$44</f>
        <v/>
      </c>
      <c r="CD10" s="20">
        <f>BB10*Cost_Library!$J$26*Location!$C$9</f>
        <v/>
      </c>
      <c r="CE10" s="20">
        <f>AV10*(Cost_Library!$J$27+AS10*Cost_Library!$J$28)*Location!$C$9</f>
        <v/>
      </c>
      <c r="CF10" s="20">
        <f>AQ10*Cost_Library!$J$29*Location!$C$9</f>
        <v/>
      </c>
      <c r="CG10" s="20">
        <f>SUM(BG10:CF10)</f>
        <v/>
      </c>
      <c r="CH10" s="20">
        <f>CG10*Assumptions!$C$9</f>
        <v/>
      </c>
      <c r="CI10" s="20">
        <f>(CG10+CH10)*Org_Profile!$C$17</f>
        <v/>
      </c>
      <c r="CJ10" s="20">
        <f>CG10+CH10+CI10</f>
        <v/>
      </c>
      <c r="CK10" s="20">
        <f>AK10*Use_Effective!$B$9*(1+Org_Profile!$C$17)</f>
        <v/>
      </c>
      <c r="CL10" s="20">
        <f>CK10*(Assumptions!$C$10+Assumptions!$C$11)</f>
        <v/>
      </c>
      <c r="CM10" s="20">
        <f>AK10*Use_Effective!$D$9</f>
        <v/>
      </c>
      <c r="CN10" s="20">
        <f>AK10*Location!$C$21*BF10*AM10</f>
        <v/>
      </c>
      <c r="CO10" s="14">
        <f>Use_Effective!$F$9+L10*Location!$C$32+BA10*Location!$C$29</f>
        <v/>
      </c>
      <c r="CP10" s="14">
        <f>IF(Use_Effective!$P$9&gt;0,IF(Use_Library!$C$9="For-Sale",AK10,AD10)/Use_Effective!$P$9,0)*AM10</f>
        <v/>
      </c>
      <c r="CQ10" s="14">
        <f>IF(AND(Use_Library!$C$9="For-Sale",Use_Effective!$O$9&gt;0),AK10/Use_Effective!$O$9,0)*AM10</f>
        <v/>
      </c>
      <c r="CR10" s="14">
        <f>IF(Use_Library!$C$9="Income",MAX(Use_Library!$AQ$9,IF(Use_Effective!$O$9&gt;0,AK10/Use_Effective!$O$9,0)),0)</f>
        <v/>
      </c>
      <c r="CS10" s="14">
        <f>CO10+CP10</f>
        <v/>
      </c>
      <c r="CT10" s="14">
        <f>CO10+CQ10+CR10</f>
        <v/>
      </c>
      <c r="CU10" s="14">
        <f>CO10+IF(Use_Library!$C$9="Income",CR10,0)</f>
        <v/>
      </c>
      <c r="CV10" s="23">
        <f>Use_Effective!$G$9+Assumptions!$C$25*MAX(0,(CS10-12)/12)</f>
        <v/>
      </c>
      <c r="CW10" s="23">
        <f>Use_Effective!$G$9+Assumptions!$C$25*MAX(0,(CT10-12)/12)</f>
        <v/>
      </c>
      <c r="CX10" s="23">
        <f>Use_Effective!$G$9+Assumptions!$C$25*MAX(0,(CU10-12)/12)</f>
        <v/>
      </c>
      <c r="CY10" s="28">
        <f>1+Location!$C$17+IF(Parcel!$C$26="Y",Location!$C$20,0)</f>
        <v/>
      </c>
      <c r="CZ10" s="28">
        <f>CY10+Location!$C$19*(CO10+CP10/2)/12</f>
        <v/>
      </c>
      <c r="DA10" s="28">
        <f>CY10+Location!$C$19*(CO10+CQ10/2)/12</f>
        <v/>
      </c>
      <c r="DB10" s="28">
        <f>IF(Use_Library!$C$9="Income",DA10,CY10+Location!$C$19*CO10/12)</f>
        <v/>
      </c>
      <c r="DC10" s="28">
        <f>1+Assumptions!$C$15*(Assumptions!$C$16*(CO10+CP10/2)/12*Assumptions!$C$18+Assumptions!$C$17)</f>
        <v/>
      </c>
      <c r="DD10" s="28">
        <f>1+Assumptions!$C$15*(Assumptions!$C$16*((CO10+CQ10/2)/12*Assumptions!$C$18+CR10/12*Assumptions!$C$19)+Assumptions!$C$17)</f>
        <v/>
      </c>
      <c r="DE10" s="28">
        <f>IF(Use_Library!$C$9="Income",DD10,1+Assumptions!$C$15*(Assumptions!$C$16*CO10/12*Assumptions!$C$18+Assumptions!$C$17))</f>
        <v/>
      </c>
      <c r="DF10" s="23">
        <f>Assumptions!$C$13+Location!$C$18</f>
        <v/>
      </c>
      <c r="DG10" s="23">
        <f>Assumptions!$C$12+Location!$C$18</f>
        <v/>
      </c>
      <c r="DH10" s="23">
        <f>Assumptions!$C$14+Location!$C$18</f>
        <v/>
      </c>
      <c r="DI10" s="20">
        <f>AI10*Location!$C$14*(1-DF10)*AM10</f>
        <v/>
      </c>
      <c r="DJ10" s="20">
        <f>IF(Use_Library!$AV$9=1,IF(Use_Library!$C$9="For-Sale",AK10*Use_Effective!$H$9+Parcel!$C$14*AE10*Use_Effective!$J$9,AD10*Use_Effective!$J$9)*(1-DF10)+DI10,0)*AM10</f>
        <v/>
      </c>
      <c r="DK10" s="20">
        <f>(CG10-BU10-CC10-CD10)*(1+Assumptions!$C$9)*(1+Org_Profile!$C$17)</f>
        <v/>
      </c>
      <c r="DL10" s="28">
        <f>CZ10*DC10</f>
        <v/>
      </c>
      <c r="DM10" s="20">
        <f>(Parcel!$C$27*CZ10+DK10)*DC10</f>
        <v/>
      </c>
      <c r="DN10" s="20">
        <f>DJ10-DM10</f>
        <v/>
      </c>
      <c r="DO10" s="38">
        <f>IF(AND(Use_Library!$AV$9=1,AM10=1),MAX(0,((1-CV10)*DJ10-DK10*DC10)/DL10),0)</f>
        <v/>
      </c>
      <c r="DP10" s="20">
        <f>CJ10+CK10+CL10+CM10+CN10</f>
        <v/>
      </c>
      <c r="DQ10" s="28">
        <f>DA10*DD10</f>
        <v/>
      </c>
      <c r="DR10" s="20">
        <f>(Parcel!$C$27*DA10+DP10)*DD10</f>
        <v/>
      </c>
      <c r="DS10" s="20">
        <f>IF(Use_Library!$C$9="Income",AK10*Use_Effective!$K$9,0)</f>
        <v/>
      </c>
      <c r="DT10" s="20">
        <f>DS10*(1+Use_Library!$AL$9)*(1-Use_Effective!$N$9)</f>
        <v/>
      </c>
      <c r="DU10" s="20">
        <f>IF(Use_Library!$C$9="Income",AK10*Use_Effective!$E$9,0)</f>
        <v/>
      </c>
      <c r="DV10" s="20">
        <f>IF(Use_Library!$C$9="Income",Location!$C$15*Location!$C$16*DR10,0)</f>
        <v/>
      </c>
      <c r="DW10" s="20">
        <f>DT10*Use_Library!$AO$9</f>
        <v/>
      </c>
      <c r="DX10" s="20">
        <f>(DU10+DV10)*Use_Library!$AP$9</f>
        <v/>
      </c>
      <c r="DY10" s="20">
        <f>DT10-DU10-DV10-DW10+DX10</f>
        <v/>
      </c>
      <c r="DZ10" s="26">
        <f>Use_Effective!$M$9</f>
        <v/>
      </c>
      <c r="EA10" s="20">
        <f>IF(AND(Use_Library!$C$9="Income",DZ10&gt;0),DY10/DZ10,0)</f>
        <v/>
      </c>
      <c r="EB10" s="39">
        <f>IF(Use_Library!$C$9="Income",-Location!$C$15*Location!$C$16*(1-Use_Library!$AP$9)*DQ10,0)</f>
        <v/>
      </c>
      <c r="EC10" s="23">
        <f>IF(DR10=0,0,DY10/DR10)</f>
        <v/>
      </c>
      <c r="ED10" s="20">
        <f>IF(Use_Library!$AW$9=1,IF(Use_Library!$C$9="Income",EA10*(1-DH10),AK10*Use_Effective!$I$9*(1-DG10))+DI10,0)*AM10</f>
        <v/>
      </c>
      <c r="EE10" s="39">
        <f>IF(AND(Use_Library!$AW$9=1,Use_Library!$C$9="Income",DZ10&gt;0),EB10/DZ10*(1-DH10),0)</f>
        <v/>
      </c>
      <c r="EF10" s="20">
        <f>ED10-DR10</f>
        <v/>
      </c>
      <c r="EG10" s="38">
        <f>IF(AND(Use_Library!$AW$9=1,AM10=1),MAX(0,Parcel!$C$27-((1-CW10)*ED10-DR10)/((1-CW10)*EE10-DQ10)),0)</f>
        <v/>
      </c>
      <c r="EH10" s="20">
        <f>IF(Use_Library!$AX$9=1,IF(Use_Library!$C$9="Income",EA10,IF(DZ10&gt;0,AD10*Use_Effective!$L$9/DZ10,0))+DI10,0)*AM10</f>
        <v/>
      </c>
      <c r="EI10" s="20">
        <f>IF(Use_Library!$C$9="Income",DP10,CJ10)</f>
        <v/>
      </c>
      <c r="EJ10" s="28">
        <f>IF(Use_Library!$C$9="Income",DQ10,DB10*DE10)</f>
        <v/>
      </c>
      <c r="EK10" s="20">
        <f>IF(Use_Library!$C$9="Income",DR10,(Parcel!$C$27*DB10+CJ10)*DE10)</f>
        <v/>
      </c>
      <c r="EL10" s="39">
        <f>IF(AND(Use_Library!$AX$9=1,Use_Library!$C$9="Income",DZ10&gt;0),EB10/DZ10,0)</f>
        <v/>
      </c>
      <c r="EM10" s="20">
        <f>EH10-EK10</f>
        <v/>
      </c>
      <c r="EN10" s="38">
        <f>IF(AND(Use_Library!$AX$9=1,AM10=1),MAX(0,Parcel!$C$27-((1-CX10)*EH10-EK10)/((1-CX10)*EL10-EJ10)),0)</f>
        <v/>
      </c>
      <c r="EO10" s="20">
        <f>IF(Use_Library!$C$9="Income",Assumptions!$C$15*(Parcel!$C$27*DA10+DP10),0)</f>
        <v/>
      </c>
      <c r="EP10" s="20">
        <f>IF(AND(Use_Library!$C$9="Income",DY10&gt;0),MIN(Assumptions!$C$20*EA10,PV(Assumptions!$C$23/12,Assumptions!$C$24*12,-DY10/Assumptions!$C$21/12),DY10/Assumptions!$C$22),0)</f>
        <v/>
      </c>
      <c r="EQ10" s="27">
        <f>IF(EP10=0,0,DY10/(-PMT(Assumptions!$C$23/12,Assumptions!$C$24*12,EP10)*12))</f>
        <v/>
      </c>
      <c r="ER10" s="20">
        <f>EP10-EO10</f>
        <v/>
      </c>
      <c r="ES10" s="19">
        <f>MAX(DO10,EG10,EN10)</f>
        <v/>
      </c>
      <c r="ET10" s="15">
        <f>IF(ES10&lt;=0,0,IF(DO10=ES10,1,IF(EG10=ES10,2,3)))</f>
        <v/>
      </c>
      <c r="EU10" s="9">
        <f>CHOOSE(ET10+1,"None works","Land / pad sale","Build &amp; sell","Build &amp; hold / lease")</f>
        <v/>
      </c>
      <c r="EV10" s="15">
        <f>CHOOSE(ET10+1,0,CS10,CT10,CU10)</f>
        <v/>
      </c>
      <c r="EW10" s="20">
        <f>ES10*(1-Assumptions!$C$26)</f>
        <v/>
      </c>
      <c r="EX10" s="20">
        <f>ES10-Parcel!$C$27</f>
        <v/>
      </c>
      <c r="EY10" s="20">
        <f>IF(Parcel!$C$14=0,0,ES10/Parcel!$C$14)</f>
        <v/>
      </c>
      <c r="EZ10" s="36">
        <f>IF(AK10=0,0,ES10/AK10)</f>
        <v/>
      </c>
      <c r="FA10" s="9">
        <f>IF(ES10&lt;=0,"Pass",IF(ES10&gt;=Parcel!$C$27*Assumptions!$C$27,"Strong",IF(ES10&gt;=Parcel!$C$27,"Works at asking",IF(ES10&gt;=Parcel!$C$27*Assumptions!$C$28,"Negotiate","Pass"))))</f>
        <v/>
      </c>
      <c r="FB10" s="9">
        <f>IF(AM10=0,"",IF(Use_Library!$BH$9="Y",IF(Use_Effective!$AF$9&gt;=3,"High","Medium"),"Low - verify location"))</f>
        <v/>
      </c>
      <c r="FC10" s="9">
        <f>IF(AND(Use_Library!$BH$9="N",AM10=1),Use_Library!$BI$9,"")</f>
        <v/>
      </c>
      <c r="FD10" s="9">
        <f>TRIM(Q10&amp;" "&amp;IF(AND(AM10=0,T10=1),"Nothing fits. ","")&amp;IF(AND(Use_Library!$AZ$9&lt;&gt;"Y",Parcel!$C$19&lt;Use_Library!$AY$9),"Frontage under "&amp;Use_Library!$AY$9&amp;" LF. ","")&amp;IF(Parcel!$C$17&gt;0.15,"Slope over 15%. ","")&amp;IF(AND(AM10=1,AI10&gt;0.5),TEXT(AI10,"0")&amp;" ac not used - resold as raw land. ","")&amp;IF(AND(AM10=1,AC10&lt;1),"Demand caps it at "&amp;TEXT(AK10,"#,##0")&amp;" "&amp;Use_Library!$D$9&amp;". ","")&amp;IF(AND(AM10=1,L10=1),"Rezone required (+"&amp;Location!$C$32&amp;" mo). ","")&amp;IF(AND(AM10=1,BA10=1),"State wastewater permit needed. ","")&amp;IF(AND(AM10=1,AV10=1),"Public water system needed. ","")&amp;AP10&amp;IF(Parcel!$C$16&gt;Assumptions!$C$29,"Floodplain over "&amp;TEXT(Assumptions!$C$29,"0%")&amp;". ","")&amp;IF(AND(AM10=1,EV10&gt;60),"Over 5 years to exit. ",""))</f>
        <v/>
      </c>
      <c r="FE10" s="20">
        <f>IF(AND(Org_Profile!$C$5="My uses",E10=0),-1E+9,ES10)+ROW()/1000000</f>
        <v/>
      </c>
    </row>
    <row r="11">
      <c r="A11" s="4">
        <f>Use_Library!$A$10</f>
        <v/>
      </c>
      <c r="B11" s="9">
        <f>Use_Library!$C$10</f>
        <v/>
      </c>
      <c r="C11" s="9">
        <f>Use_Library!$D$10</f>
        <v/>
      </c>
      <c r="D11" s="9">
        <f>Use_Library!$F$10</f>
        <v/>
      </c>
      <c r="E11" s="15">
        <f>IF(Org_Profile!$C$27="Y",1,0)</f>
        <v/>
      </c>
      <c r="F11" s="14">
        <f>MAX(0,Parcel!$C$37*(1-Use_Library!$N$10-IF(Use_Library!$AB$10="Y",Assumptions!$C$7,0)))</f>
        <v/>
      </c>
      <c r="G11" s="14">
        <f>IF(Use_Library!$M$10&gt;0,MIN(F11,Use_Library!$M$10),F11)</f>
        <v/>
      </c>
      <c r="H11" s="23">
        <f>IF(F11=0,0,G11/F11)</f>
        <v/>
      </c>
      <c r="I11" s="14">
        <f>Parcel!$C$37*H11</f>
        <v/>
      </c>
      <c r="J11" s="9">
        <f>IF(ISNUMBER(SEARCH(","&amp;Use_Library!$F$10&amp;",",","&amp;SUBSTITUTE(Parcel!$C$11," ","")&amp;",")),"Deed restricted",IF(Parcel!$C$46=0,"No zoning",IF(ISNUMBER(SEARCH(","&amp;Use_Library!$F$10&amp;",",","&amp;SUBSTITUTE(Parcel!$C$10," ","")&amp;",")),"By right",IF(OR(TRIM(Parcel!$C$12)="*",ISNUMBER(SEARCH(","&amp;Use_Library!$F$10&amp;",",","&amp;SUBSTITUTE(Parcel!$C$12," ","")&amp;","))),"Rezone required","Prohibited by zoning"))))</f>
        <v/>
      </c>
      <c r="K11" s="15">
        <f>IF(OR(J11="Deed restricted",J11="Prohibited by zoning"),0,1)</f>
        <v/>
      </c>
      <c r="L11" s="15">
        <f>IF(J11="Rezone required",1,0)</f>
        <v/>
      </c>
      <c r="M11" s="15">
        <f>IF(Parcel!$C$20="None",0,IF(AND(Parcel!$C$20="Private easement",Use_Library!$BA$10="Y"),0,1))</f>
        <v/>
      </c>
      <c r="N11" s="15">
        <f>IF(AND(Use_Library!$AZ$10="Y",Parcel!$C$19&lt;Use_Library!$AY$10),0,1)</f>
        <v/>
      </c>
      <c r="O11" s="15">
        <f>IF(AND(Use_Library!$T$10="Y",Parcel!$C$39=0),0,1)</f>
        <v/>
      </c>
      <c r="P11" s="15">
        <f>IF(AND(Use_Library!$U$10="Y",Parcel!$C$38=0),0,1)</f>
        <v/>
      </c>
      <c r="Q11" s="9">
        <f>TRIM(IF(AND(Use_Library!$BB$10&gt;0,Parcel!$C$28&lt;Use_Library!$BB$10),"Traffic under "&amp;TEXT(Use_Library!$BB$10,"#,##0")&amp;" VPD. ","")&amp;IF(AND(Use_Library!$BC$10&gt;0,Parcel!$C$29&lt;Use_Library!$BC$10),"Under "&amp;TEXT(Use_Library!$BC$10,"#,##0")&amp;" households in 3 mi. ","")&amp;IF(AND(Use_Library!$BD$10&gt;0,Parcel!$C$31&gt;Use_Library!$BD$10),"Over "&amp;Use_Library!$BD$10&amp;" mi to highway. ","")&amp;IF(AND(Use_Library!$BE$10="Y",Parcel!$C$32&lt;&gt;"Y"),"Needs a corner. ","")&amp;IF(AND(Use_Library!$BF$10&gt;0,Parcel!$C$33&gt;Use_Library!$BF$10),"Over "&amp;Use_Library!$BF$10&amp;" mi to substation. ","")&amp;IF(AND(Use_Library!$BG$10&gt;0,Parcel!$C$34&gt;Use_Library!$BG$10),"Over "&amp;Use_Library!$BG$10&amp;" mi to a major employer. ",""))</f>
        <v/>
      </c>
      <c r="R11" s="15">
        <f>IF(Q11="",1,0)</f>
        <v/>
      </c>
      <c r="S11" s="15">
        <f>IF(F11&gt;=Use_Library!$L$10,1,0)</f>
        <v/>
      </c>
      <c r="T11" s="15">
        <f>K11*M11*N11*O11*P11*R11*S11</f>
        <v/>
      </c>
      <c r="U11" s="14">
        <f>IF(Use_Library!$G$10&gt;0,I11*Use_Library!$G$10,1E+9)</f>
        <v/>
      </c>
      <c r="V11" s="14">
        <f>IF(Use_Library!$H$10&gt;0,G11*43560/Use_Library!$H$10,1E+9)</f>
        <v/>
      </c>
      <c r="W11" s="14">
        <f>IF(AND(Use_Library!$K$10="Y",Parcel!$C$39=0),G11*(1-Assumptions!$C$8)/IF(Parcel!$C$38=1,Location!$C$25,Location!$C$26),1E+9)</f>
        <v/>
      </c>
      <c r="X11" s="14">
        <f>IF(Use_Library!$I$10&gt;0,Parcel!$C$14*H11/Use_Library!$I$10,1E+9)</f>
        <v/>
      </c>
      <c r="Y11" s="14">
        <f>IF(Use_Library!$J$10&gt;0,Parcel!$C$19/Use_Library!$J$10,1E+9)</f>
        <v/>
      </c>
      <c r="Z11" s="14">
        <f>IF(AND(Parcel!$C$39=0,Use_Library!$K$10="N",Use_Library!$Y$10&gt;0,Use_Library!$Z$10="Y"),G11*Location!$C$27*Parcel!$C$45/Use_Library!$Y$10,1E+9)</f>
        <v/>
      </c>
      <c r="AA11" s="14">
        <f>MIN(U11,V11,W11,X11,Y11,Z11)</f>
        <v/>
      </c>
      <c r="AB11" s="14">
        <f>IF(Use_Library!$O$10&gt;0,IF(Use_Library!$P$10&gt;=10,Parcel!$C$30,Parcel!$C$29)*Use_Library!$O$10*Use_Library!$Q$10,1E+9)</f>
        <v/>
      </c>
      <c r="AC11" s="23">
        <f>IF(OR(AA11&gt;=1E+9,AA11&lt;=0),1,MIN(1,AB11/AA11))</f>
        <v/>
      </c>
      <c r="AD11" s="14">
        <f>G11*AC11</f>
        <v/>
      </c>
      <c r="AE11" s="23">
        <f>IF(F11=0,0,AD11/F11)</f>
        <v/>
      </c>
      <c r="AF11" s="14">
        <f>Parcel!$C$37*AE11</f>
        <v/>
      </c>
      <c r="AG11" s="14">
        <f>AF11*IF(Use_Library!$AB$10="Y",Assumptions!$C$7,0)</f>
        <v/>
      </c>
      <c r="AH11" s="14">
        <f>AF11*(1-Use_Library!$N$10)</f>
        <v/>
      </c>
      <c r="AI11" s="14">
        <f>Parcel!$C$14*(1-AE11)</f>
        <v/>
      </c>
      <c r="AJ11" s="14">
        <f>MIN(AA11,AB11)</f>
        <v/>
      </c>
      <c r="AK11" s="25">
        <f>IF(T11=0,0,IF(AJ11&gt;=1E+9,AD11,IF(Use_Library!$E$10="Y",INT(AJ11+1E-9),AJ11)))</f>
        <v/>
      </c>
      <c r="AL11" s="9">
        <f>IF(M11=0,"No public road access",IF(K11=0,J11,IF(R11=0,"Location fails",IF(N11=0,"Frontage under "&amp;Use_Library!$AY$10&amp;" LF",IF(S11=0,"Too small - needs "&amp;Use_Library!$L$10&amp;" usable ac",IF(O11=0,"Needs public sewer",IF(P11=0,"Needs public water",IF(AJ11&gt;=1E+9,"Usable acres",IF(AB11&lt;=AA11,"Market demand",IF(W11=AA11,"Septic lot size",IF(Z11=AA11,"Septic capacity (gal/day)",IF(X11=AA11,"Min lot size",IF(Y11=AA11,"Road frontage",IF(V11=AA11,"Site area / parking","Density"))))))))))))))</f>
        <v/>
      </c>
      <c r="AM11" s="15">
        <f>IF(AK11&gt;0,1,0)</f>
        <v/>
      </c>
      <c r="AN11" s="15">
        <f>IF(Use_Library!$Z$10="Y",1,0)*AM11</f>
        <v/>
      </c>
      <c r="AO11" s="14">
        <f>IF(Parcel!$C$39=0,MIN(U11,V11,X11,Y11,AB11),0)</f>
        <v/>
      </c>
      <c r="AP11" s="9">
        <f>IF(AND(Parcel!$C$39=0,M11*K11*R11*N11*S11*P11=1,AO11&lt;1E+9,AO11&gt;=MAX(1,AK11)*1.25),"Unlock: sewer or package plant allows ~"&amp;TEXT(INT(AO11),"#,##0")&amp;" "&amp;Use_Library!$D$10&amp;". ","")</f>
        <v/>
      </c>
      <c r="AQ11" s="15">
        <f>AK11*Use_Library!$AC$10*AN11</f>
        <v/>
      </c>
      <c r="AR11" s="15">
        <f>AK11*Use_Library!$AD$10*AN11</f>
        <v/>
      </c>
      <c r="AS11" s="14">
        <f>AK11*Use_Library!$V$10*AN11</f>
        <v/>
      </c>
      <c r="AT11" s="15">
        <f>IF(Parcel!$C$38=1,AQ11+Parcel!$C$40,0)*AN11</f>
        <v/>
      </c>
      <c r="AU11" s="14">
        <f>AS11*Parcel!$C$38</f>
        <v/>
      </c>
      <c r="AV11" s="15">
        <f>IF(AND(Parcel!$C$38=0,Use_Library!$K$10="N",AS11&gt;=Location!$C$30),1,0)*AN11</f>
        <v/>
      </c>
      <c r="AW11" s="15">
        <f>IF(Parcel!$C$39=1,AQ11+Parcel!$C$41,0)*AN11</f>
        <v/>
      </c>
      <c r="AX11" s="14">
        <f>AS11*Parcel!$C$39</f>
        <v/>
      </c>
      <c r="AY11" s="14">
        <f>IF(Parcel!$C$39=0,AK11*Use_Library!$W$10,0)*AN11</f>
        <v/>
      </c>
      <c r="AZ11" s="15">
        <f>IF(Parcel!$C$39=0,AK11*Use_Library!$Y$10,0)*AN11</f>
        <v/>
      </c>
      <c r="BA11" s="15">
        <f>IF(AND(Use_Library!$K$10="N",AZ11&gt;Location!$C$28),1,0)</f>
        <v/>
      </c>
      <c r="BB11" s="14">
        <f>IF(AND(Parcel!$C$38=0,AV11=0),AK11*Use_Library!$X$10,0)*AN11</f>
        <v/>
      </c>
      <c r="BC11" s="14">
        <f>AH11*Parcel!$C$18*Use_Library!$AA$10*AN11</f>
        <v/>
      </c>
      <c r="BD11" s="14">
        <f>AH11*Use_Library!$AA$10*AN11</f>
        <v/>
      </c>
      <c r="BE11" s="15">
        <f>IF(Use_Library!$C$10="For-Sale",IF(Use_Library!$E$10="Y",AK11,1),1)*AM11</f>
        <v/>
      </c>
      <c r="BF11" s="15">
        <f>IF(OR(Use_Library!$F$10="RES-SF",Use_Library!$F$10="RES-ATT",Use_Library!$F$10="RES-MF",Use_Library!$F$10="MH"),1,0)</f>
        <v/>
      </c>
      <c r="BG11" s="20">
        <f>Cost_Library!$J$5*Location!$C$9*AM11</f>
        <v/>
      </c>
      <c r="BH11" s="20">
        <f>BE11*Cost_Library!$J$6*Location!$C$9</f>
        <v/>
      </c>
      <c r="BI11" s="20">
        <f>BD11*Cost_Library!$J$7*Location!$C$9</f>
        <v/>
      </c>
      <c r="BJ11" s="20">
        <f>Cost_Library!$J$8*Location!$C$9*AN11*IF(Use_Library!$AA$10&gt;=0.5,1,0)</f>
        <v/>
      </c>
      <c r="BK11" s="20">
        <f>AY11*Cost_Library!$J$9*Location!$C$9</f>
        <v/>
      </c>
      <c r="BL11" s="20">
        <f>BA11*Cost_Library!$J$10*Location!$C$9</f>
        <v/>
      </c>
      <c r="BM11" s="20">
        <f>Cost_Library!$J$11*Location!$C$9*AM11</f>
        <v/>
      </c>
      <c r="BN11" s="20">
        <f>Cost_Library!$J$12*Location!$C$9*AN11*IF(Use_Library!$AB$10="Y",1,0)</f>
        <v/>
      </c>
      <c r="BO11" s="20">
        <f>Use_Effective!$C$10*AM11</f>
        <v/>
      </c>
      <c r="BP11" s="20">
        <f>L11*Location!$C$31*AM11</f>
        <v/>
      </c>
      <c r="BQ11" s="20">
        <f>Cost_Library!$J$13*Location!$C$9*AM11</f>
        <v/>
      </c>
      <c r="BR11" s="20">
        <f>BC11*Cost_Library!$J$14*Location!$C$9</f>
        <v/>
      </c>
      <c r="BS11" s="20">
        <f>BD11*Cost_Library!$J$15*Location!$C$9*Parcel!$C$43</f>
        <v/>
      </c>
      <c r="BT11" s="20">
        <f>AQ11*Cost_Library!$J$16*Location!$C$9</f>
        <v/>
      </c>
      <c r="BU11" s="20">
        <f>AR11*Cost_Library!$J$17*Location!$C$9</f>
        <v/>
      </c>
      <c r="BV11" s="20">
        <f>AG11*Cost_Library!$J$18*Location!$C$9*AN11</f>
        <v/>
      </c>
      <c r="BW11" s="20">
        <f>BD11*Cost_Library!$J$19*Location!$C$9</f>
        <v/>
      </c>
      <c r="BX11" s="20">
        <f>IF(Use_Library!$AZ$10="Y",1,0)*Cost_Library!$J$20*Location!$C$9*AN11</f>
        <v/>
      </c>
      <c r="BY11" s="20">
        <f>AT11*Cost_Library!$J$21*Location!$C$9</f>
        <v/>
      </c>
      <c r="BZ11" s="20">
        <f>AU11*Cost_Library!$J$22*Location!$C$9</f>
        <v/>
      </c>
      <c r="CA11" s="20">
        <f>AW11*Cost_Library!$J$23*Location!$C$9</f>
        <v/>
      </c>
      <c r="CB11" s="20">
        <f>AX11*Cost_Library!$J$24*Location!$C$9</f>
        <v/>
      </c>
      <c r="CC11" s="20">
        <f>AY11*Cost_Library!$J$25*Location!$C$9*Parcel!$C$44</f>
        <v/>
      </c>
      <c r="CD11" s="20">
        <f>BB11*Cost_Library!$J$26*Location!$C$9</f>
        <v/>
      </c>
      <c r="CE11" s="20">
        <f>AV11*(Cost_Library!$J$27+AS11*Cost_Library!$J$28)*Location!$C$9</f>
        <v/>
      </c>
      <c r="CF11" s="20">
        <f>AQ11*Cost_Library!$J$29*Location!$C$9</f>
        <v/>
      </c>
      <c r="CG11" s="20">
        <f>SUM(BG11:CF11)</f>
        <v/>
      </c>
      <c r="CH11" s="20">
        <f>CG11*Assumptions!$C$9</f>
        <v/>
      </c>
      <c r="CI11" s="20">
        <f>(CG11+CH11)*Org_Profile!$C$17</f>
        <v/>
      </c>
      <c r="CJ11" s="20">
        <f>CG11+CH11+CI11</f>
        <v/>
      </c>
      <c r="CK11" s="20">
        <f>AK11*Use_Effective!$B$10*(1+Org_Profile!$C$17)</f>
        <v/>
      </c>
      <c r="CL11" s="20">
        <f>CK11*(Assumptions!$C$10+Assumptions!$C$11)</f>
        <v/>
      </c>
      <c r="CM11" s="20">
        <f>AK11*Use_Effective!$D$10</f>
        <v/>
      </c>
      <c r="CN11" s="20">
        <f>AK11*Location!$C$21*BF11*AM11</f>
        <v/>
      </c>
      <c r="CO11" s="14">
        <f>Use_Effective!$F$10+L11*Location!$C$32+BA11*Location!$C$29</f>
        <v/>
      </c>
      <c r="CP11" s="14">
        <f>IF(Use_Effective!$P$10&gt;0,IF(Use_Library!$C$10="For-Sale",AK11,AD11)/Use_Effective!$P$10,0)*AM11</f>
        <v/>
      </c>
      <c r="CQ11" s="14">
        <f>IF(AND(Use_Library!$C$10="For-Sale",Use_Effective!$O$10&gt;0),AK11/Use_Effective!$O$10,0)*AM11</f>
        <v/>
      </c>
      <c r="CR11" s="14">
        <f>IF(Use_Library!$C$10="Income",MAX(Use_Library!$AQ$10,IF(Use_Effective!$O$10&gt;0,AK11/Use_Effective!$O$10,0)),0)</f>
        <v/>
      </c>
      <c r="CS11" s="14">
        <f>CO11+CP11</f>
        <v/>
      </c>
      <c r="CT11" s="14">
        <f>CO11+CQ11+CR11</f>
        <v/>
      </c>
      <c r="CU11" s="14">
        <f>CO11+IF(Use_Library!$C$10="Income",CR11,0)</f>
        <v/>
      </c>
      <c r="CV11" s="23">
        <f>Use_Effective!$G$10+Assumptions!$C$25*MAX(0,(CS11-12)/12)</f>
        <v/>
      </c>
      <c r="CW11" s="23">
        <f>Use_Effective!$G$10+Assumptions!$C$25*MAX(0,(CT11-12)/12)</f>
        <v/>
      </c>
      <c r="CX11" s="23">
        <f>Use_Effective!$G$10+Assumptions!$C$25*MAX(0,(CU11-12)/12)</f>
        <v/>
      </c>
      <c r="CY11" s="28">
        <f>1+Location!$C$17+IF(Parcel!$C$26="Y",Location!$C$20,0)</f>
        <v/>
      </c>
      <c r="CZ11" s="28">
        <f>CY11+Location!$C$19*(CO11+CP11/2)/12</f>
        <v/>
      </c>
      <c r="DA11" s="28">
        <f>CY11+Location!$C$19*(CO11+CQ11/2)/12</f>
        <v/>
      </c>
      <c r="DB11" s="28">
        <f>IF(Use_Library!$C$10="Income",DA11,CY11+Location!$C$19*CO11/12)</f>
        <v/>
      </c>
      <c r="DC11" s="28">
        <f>1+Assumptions!$C$15*(Assumptions!$C$16*(CO11+CP11/2)/12*Assumptions!$C$18+Assumptions!$C$17)</f>
        <v/>
      </c>
      <c r="DD11" s="28">
        <f>1+Assumptions!$C$15*(Assumptions!$C$16*((CO11+CQ11/2)/12*Assumptions!$C$18+CR11/12*Assumptions!$C$19)+Assumptions!$C$17)</f>
        <v/>
      </c>
      <c r="DE11" s="28">
        <f>IF(Use_Library!$C$10="Income",DD11,1+Assumptions!$C$15*(Assumptions!$C$16*CO11/12*Assumptions!$C$18+Assumptions!$C$17))</f>
        <v/>
      </c>
      <c r="DF11" s="23">
        <f>Assumptions!$C$13+Location!$C$18</f>
        <v/>
      </c>
      <c r="DG11" s="23">
        <f>Assumptions!$C$12+Location!$C$18</f>
        <v/>
      </c>
      <c r="DH11" s="23">
        <f>Assumptions!$C$14+Location!$C$18</f>
        <v/>
      </c>
      <c r="DI11" s="20">
        <f>AI11*Location!$C$14*(1-DF11)*AM11</f>
        <v/>
      </c>
      <c r="DJ11" s="20">
        <f>IF(Use_Library!$AV$10=1,IF(Use_Library!$C$10="For-Sale",AK11*Use_Effective!$H$10+Parcel!$C$14*AE11*Use_Effective!$J$10,AD11*Use_Effective!$J$10)*(1-DF11)+DI11,0)*AM11</f>
        <v/>
      </c>
      <c r="DK11" s="20">
        <f>(CG11-BU11-CC11-CD11)*(1+Assumptions!$C$9)*(1+Org_Profile!$C$17)</f>
        <v/>
      </c>
      <c r="DL11" s="28">
        <f>CZ11*DC11</f>
        <v/>
      </c>
      <c r="DM11" s="20">
        <f>(Parcel!$C$27*CZ11+DK11)*DC11</f>
        <v/>
      </c>
      <c r="DN11" s="20">
        <f>DJ11-DM11</f>
        <v/>
      </c>
      <c r="DO11" s="38">
        <f>IF(AND(Use_Library!$AV$10=1,AM11=1),MAX(0,((1-CV11)*DJ11-DK11*DC11)/DL11),0)</f>
        <v/>
      </c>
      <c r="DP11" s="20">
        <f>CJ11+CK11+CL11+CM11+CN11</f>
        <v/>
      </c>
      <c r="DQ11" s="28">
        <f>DA11*DD11</f>
        <v/>
      </c>
      <c r="DR11" s="20">
        <f>(Parcel!$C$27*DA11+DP11)*DD11</f>
        <v/>
      </c>
      <c r="DS11" s="20">
        <f>IF(Use_Library!$C$10="Income",AK11*Use_Effective!$K$10,0)</f>
        <v/>
      </c>
      <c r="DT11" s="20">
        <f>DS11*(1+Use_Library!$AL$10)*(1-Use_Effective!$N$10)</f>
        <v/>
      </c>
      <c r="DU11" s="20">
        <f>IF(Use_Library!$C$10="Income",AK11*Use_Effective!$E$10,0)</f>
        <v/>
      </c>
      <c r="DV11" s="20">
        <f>IF(Use_Library!$C$10="Income",Location!$C$15*Location!$C$16*DR11,0)</f>
        <v/>
      </c>
      <c r="DW11" s="20">
        <f>DT11*Use_Library!$AO$10</f>
        <v/>
      </c>
      <c r="DX11" s="20">
        <f>(DU11+DV11)*Use_Library!$AP$10</f>
        <v/>
      </c>
      <c r="DY11" s="20">
        <f>DT11-DU11-DV11-DW11+DX11</f>
        <v/>
      </c>
      <c r="DZ11" s="26">
        <f>Use_Effective!$M$10</f>
        <v/>
      </c>
      <c r="EA11" s="20">
        <f>IF(AND(Use_Library!$C$10="Income",DZ11&gt;0),DY11/DZ11,0)</f>
        <v/>
      </c>
      <c r="EB11" s="39">
        <f>IF(Use_Library!$C$10="Income",-Location!$C$15*Location!$C$16*(1-Use_Library!$AP$10)*DQ11,0)</f>
        <v/>
      </c>
      <c r="EC11" s="23">
        <f>IF(DR11=0,0,DY11/DR11)</f>
        <v/>
      </c>
      <c r="ED11" s="20">
        <f>IF(Use_Library!$AW$10=1,IF(Use_Library!$C$10="Income",EA11*(1-DH11),AK11*Use_Effective!$I$10*(1-DG11))+DI11,0)*AM11</f>
        <v/>
      </c>
      <c r="EE11" s="39">
        <f>IF(AND(Use_Library!$AW$10=1,Use_Library!$C$10="Income",DZ11&gt;0),EB11/DZ11*(1-DH11),0)</f>
        <v/>
      </c>
      <c r="EF11" s="20">
        <f>ED11-DR11</f>
        <v/>
      </c>
      <c r="EG11" s="38">
        <f>IF(AND(Use_Library!$AW$10=1,AM11=1),MAX(0,Parcel!$C$27-((1-CW11)*ED11-DR11)/((1-CW11)*EE11-DQ11)),0)</f>
        <v/>
      </c>
      <c r="EH11" s="20">
        <f>IF(Use_Library!$AX$10=1,IF(Use_Library!$C$10="Income",EA11,IF(DZ11&gt;0,AD11*Use_Effective!$L$10/DZ11,0))+DI11,0)*AM11</f>
        <v/>
      </c>
      <c r="EI11" s="20">
        <f>IF(Use_Library!$C$10="Income",DP11,CJ11)</f>
        <v/>
      </c>
      <c r="EJ11" s="28">
        <f>IF(Use_Library!$C$10="Income",DQ11,DB11*DE11)</f>
        <v/>
      </c>
      <c r="EK11" s="20">
        <f>IF(Use_Library!$C$10="Income",DR11,(Parcel!$C$27*DB11+CJ11)*DE11)</f>
        <v/>
      </c>
      <c r="EL11" s="39">
        <f>IF(AND(Use_Library!$AX$10=1,Use_Library!$C$10="Income",DZ11&gt;0),EB11/DZ11,0)</f>
        <v/>
      </c>
      <c r="EM11" s="20">
        <f>EH11-EK11</f>
        <v/>
      </c>
      <c r="EN11" s="38">
        <f>IF(AND(Use_Library!$AX$10=1,AM11=1),MAX(0,Parcel!$C$27-((1-CX11)*EH11-EK11)/((1-CX11)*EL11-EJ11)),0)</f>
        <v/>
      </c>
      <c r="EO11" s="20">
        <f>IF(Use_Library!$C$10="Income",Assumptions!$C$15*(Parcel!$C$27*DA11+DP11),0)</f>
        <v/>
      </c>
      <c r="EP11" s="20">
        <f>IF(AND(Use_Library!$C$10="Income",DY11&gt;0),MIN(Assumptions!$C$20*EA11,PV(Assumptions!$C$23/12,Assumptions!$C$24*12,-DY11/Assumptions!$C$21/12),DY11/Assumptions!$C$22),0)</f>
        <v/>
      </c>
      <c r="EQ11" s="27">
        <f>IF(EP11=0,0,DY11/(-PMT(Assumptions!$C$23/12,Assumptions!$C$24*12,EP11)*12))</f>
        <v/>
      </c>
      <c r="ER11" s="20">
        <f>EP11-EO11</f>
        <v/>
      </c>
      <c r="ES11" s="19">
        <f>MAX(DO11,EG11,EN11)</f>
        <v/>
      </c>
      <c r="ET11" s="15">
        <f>IF(ES11&lt;=0,0,IF(DO11=ES11,1,IF(EG11=ES11,2,3)))</f>
        <v/>
      </c>
      <c r="EU11" s="9">
        <f>CHOOSE(ET11+1,"None works","Land / pad sale","Build &amp; sell","Build &amp; hold / lease")</f>
        <v/>
      </c>
      <c r="EV11" s="15">
        <f>CHOOSE(ET11+1,0,CS11,CT11,CU11)</f>
        <v/>
      </c>
      <c r="EW11" s="20">
        <f>ES11*(1-Assumptions!$C$26)</f>
        <v/>
      </c>
      <c r="EX11" s="20">
        <f>ES11-Parcel!$C$27</f>
        <v/>
      </c>
      <c r="EY11" s="20">
        <f>IF(Parcel!$C$14=0,0,ES11/Parcel!$C$14)</f>
        <v/>
      </c>
      <c r="EZ11" s="36">
        <f>IF(AK11=0,0,ES11/AK11)</f>
        <v/>
      </c>
      <c r="FA11" s="9">
        <f>IF(ES11&lt;=0,"Pass",IF(ES11&gt;=Parcel!$C$27*Assumptions!$C$27,"Strong",IF(ES11&gt;=Parcel!$C$27,"Works at asking",IF(ES11&gt;=Parcel!$C$27*Assumptions!$C$28,"Negotiate","Pass"))))</f>
        <v/>
      </c>
      <c r="FB11" s="9">
        <f>IF(AM11=0,"",IF(Use_Library!$BH$10="Y",IF(Use_Effective!$AF$10&gt;=3,"High","Medium"),"Low - verify location"))</f>
        <v/>
      </c>
      <c r="FC11" s="9">
        <f>IF(AND(Use_Library!$BH$10="N",AM11=1),Use_Library!$BI$10,"")</f>
        <v/>
      </c>
      <c r="FD11" s="9">
        <f>TRIM(Q11&amp;" "&amp;IF(AND(AM11=0,T11=1),"Nothing fits. ","")&amp;IF(AND(Use_Library!$AZ$10&lt;&gt;"Y",Parcel!$C$19&lt;Use_Library!$AY$10),"Frontage under "&amp;Use_Library!$AY$10&amp;" LF. ","")&amp;IF(Parcel!$C$17&gt;0.15,"Slope over 15%. ","")&amp;IF(AND(AM11=1,AI11&gt;0.5),TEXT(AI11,"0")&amp;" ac not used - resold as raw land. ","")&amp;IF(AND(AM11=1,AC11&lt;1),"Demand caps it at "&amp;TEXT(AK11,"#,##0")&amp;" "&amp;Use_Library!$D$10&amp;". ","")&amp;IF(AND(AM11=1,L11=1),"Rezone required (+"&amp;Location!$C$32&amp;" mo). ","")&amp;IF(AND(AM11=1,BA11=1),"State wastewater permit needed. ","")&amp;IF(AND(AM11=1,AV11=1),"Public water system needed. ","")&amp;AP11&amp;IF(Parcel!$C$16&gt;Assumptions!$C$29,"Floodplain over "&amp;TEXT(Assumptions!$C$29,"0%")&amp;". ","")&amp;IF(AND(AM11=1,EV11&gt;60),"Over 5 years to exit. ",""))</f>
        <v/>
      </c>
      <c r="FE11" s="20">
        <f>IF(AND(Org_Profile!$C$5="My uses",E11=0),-1E+9,ES11)+ROW()/1000000</f>
        <v/>
      </c>
    </row>
    <row r="12">
      <c r="A12" s="4">
        <f>Use_Library!$A$11</f>
        <v/>
      </c>
      <c r="B12" s="9">
        <f>Use_Library!$C$11</f>
        <v/>
      </c>
      <c r="C12" s="9">
        <f>Use_Library!$D$11</f>
        <v/>
      </c>
      <c r="D12" s="9">
        <f>Use_Library!$F$11</f>
        <v/>
      </c>
      <c r="E12" s="15">
        <f>IF(Org_Profile!$C$28="Y",1,0)</f>
        <v/>
      </c>
      <c r="F12" s="14">
        <f>MAX(0,Parcel!$C$37*(1-Use_Library!$N$11-IF(Use_Library!$AB$11="Y",Assumptions!$C$7,0)))</f>
        <v/>
      </c>
      <c r="G12" s="14">
        <f>IF(Use_Library!$M$11&gt;0,MIN(F12,Use_Library!$M$11),F12)</f>
        <v/>
      </c>
      <c r="H12" s="23">
        <f>IF(F12=0,0,G12/F12)</f>
        <v/>
      </c>
      <c r="I12" s="14">
        <f>Parcel!$C$37*H12</f>
        <v/>
      </c>
      <c r="J12" s="9">
        <f>IF(ISNUMBER(SEARCH(","&amp;Use_Library!$F$11&amp;",",","&amp;SUBSTITUTE(Parcel!$C$11," ","")&amp;",")),"Deed restricted",IF(Parcel!$C$46=0,"No zoning",IF(ISNUMBER(SEARCH(","&amp;Use_Library!$F$11&amp;",",","&amp;SUBSTITUTE(Parcel!$C$10," ","")&amp;",")),"By right",IF(OR(TRIM(Parcel!$C$12)="*",ISNUMBER(SEARCH(","&amp;Use_Library!$F$11&amp;",",","&amp;SUBSTITUTE(Parcel!$C$12," ","")&amp;","))),"Rezone required","Prohibited by zoning"))))</f>
        <v/>
      </c>
      <c r="K12" s="15">
        <f>IF(OR(J12="Deed restricted",J12="Prohibited by zoning"),0,1)</f>
        <v/>
      </c>
      <c r="L12" s="15">
        <f>IF(J12="Rezone required",1,0)</f>
        <v/>
      </c>
      <c r="M12" s="15">
        <f>IF(Parcel!$C$20="None",0,IF(AND(Parcel!$C$20="Private easement",Use_Library!$BA$11="Y"),0,1))</f>
        <v/>
      </c>
      <c r="N12" s="15">
        <f>IF(AND(Use_Library!$AZ$11="Y",Parcel!$C$19&lt;Use_Library!$AY$11),0,1)</f>
        <v/>
      </c>
      <c r="O12" s="15">
        <f>IF(AND(Use_Library!$T$11="Y",Parcel!$C$39=0),0,1)</f>
        <v/>
      </c>
      <c r="P12" s="15">
        <f>IF(AND(Use_Library!$U$11="Y",Parcel!$C$38=0),0,1)</f>
        <v/>
      </c>
      <c r="Q12" s="9">
        <f>TRIM(IF(AND(Use_Library!$BB$11&gt;0,Parcel!$C$28&lt;Use_Library!$BB$11),"Traffic under "&amp;TEXT(Use_Library!$BB$11,"#,##0")&amp;" VPD. ","")&amp;IF(AND(Use_Library!$BC$11&gt;0,Parcel!$C$29&lt;Use_Library!$BC$11),"Under "&amp;TEXT(Use_Library!$BC$11,"#,##0")&amp;" households in 3 mi. ","")&amp;IF(AND(Use_Library!$BD$11&gt;0,Parcel!$C$31&gt;Use_Library!$BD$11),"Over "&amp;Use_Library!$BD$11&amp;" mi to highway. ","")&amp;IF(AND(Use_Library!$BE$11="Y",Parcel!$C$32&lt;&gt;"Y"),"Needs a corner. ","")&amp;IF(AND(Use_Library!$BF$11&gt;0,Parcel!$C$33&gt;Use_Library!$BF$11),"Over "&amp;Use_Library!$BF$11&amp;" mi to substation. ","")&amp;IF(AND(Use_Library!$BG$11&gt;0,Parcel!$C$34&gt;Use_Library!$BG$11),"Over "&amp;Use_Library!$BG$11&amp;" mi to a major employer. ",""))</f>
        <v/>
      </c>
      <c r="R12" s="15">
        <f>IF(Q12="",1,0)</f>
        <v/>
      </c>
      <c r="S12" s="15">
        <f>IF(F12&gt;=Use_Library!$L$11,1,0)</f>
        <v/>
      </c>
      <c r="T12" s="15">
        <f>K12*M12*N12*O12*P12*R12*S12</f>
        <v/>
      </c>
      <c r="U12" s="14">
        <f>IF(Use_Library!$G$11&gt;0,I12*Use_Library!$G$11,1E+9)</f>
        <v/>
      </c>
      <c r="V12" s="14">
        <f>IF(Use_Library!$H$11&gt;0,G12*43560/Use_Library!$H$11,1E+9)</f>
        <v/>
      </c>
      <c r="W12" s="14">
        <f>IF(AND(Use_Library!$K$11="Y",Parcel!$C$39=0),G12*(1-Assumptions!$C$8)/IF(Parcel!$C$38=1,Location!$C$25,Location!$C$26),1E+9)</f>
        <v/>
      </c>
      <c r="X12" s="14">
        <f>IF(Use_Library!$I$11&gt;0,Parcel!$C$14*H12/Use_Library!$I$11,1E+9)</f>
        <v/>
      </c>
      <c r="Y12" s="14">
        <f>IF(Use_Library!$J$11&gt;0,Parcel!$C$19/Use_Library!$J$11,1E+9)</f>
        <v/>
      </c>
      <c r="Z12" s="14">
        <f>IF(AND(Parcel!$C$39=0,Use_Library!$K$11="N",Use_Library!$Y$11&gt;0,Use_Library!$Z$11="Y"),G12*Location!$C$27*Parcel!$C$45/Use_Library!$Y$11,1E+9)</f>
        <v/>
      </c>
      <c r="AA12" s="14">
        <f>MIN(U12,V12,W12,X12,Y12,Z12)</f>
        <v/>
      </c>
      <c r="AB12" s="14">
        <f>IF(Use_Library!$O$11&gt;0,IF(Use_Library!$P$11&gt;=10,Parcel!$C$30,Parcel!$C$29)*Use_Library!$O$11*Use_Library!$Q$11,1E+9)</f>
        <v/>
      </c>
      <c r="AC12" s="23">
        <f>IF(OR(AA12&gt;=1E+9,AA12&lt;=0),1,MIN(1,AB12/AA12))</f>
        <v/>
      </c>
      <c r="AD12" s="14">
        <f>G12*AC12</f>
        <v/>
      </c>
      <c r="AE12" s="23">
        <f>IF(F12=0,0,AD12/F12)</f>
        <v/>
      </c>
      <c r="AF12" s="14">
        <f>Parcel!$C$37*AE12</f>
        <v/>
      </c>
      <c r="AG12" s="14">
        <f>AF12*IF(Use_Library!$AB$11="Y",Assumptions!$C$7,0)</f>
        <v/>
      </c>
      <c r="AH12" s="14">
        <f>AF12*(1-Use_Library!$N$11)</f>
        <v/>
      </c>
      <c r="AI12" s="14">
        <f>Parcel!$C$14*(1-AE12)</f>
        <v/>
      </c>
      <c r="AJ12" s="14">
        <f>MIN(AA12,AB12)</f>
        <v/>
      </c>
      <c r="AK12" s="25">
        <f>IF(T12=0,0,IF(AJ12&gt;=1E+9,AD12,IF(Use_Library!$E$11="Y",INT(AJ12+1E-9),AJ12)))</f>
        <v/>
      </c>
      <c r="AL12" s="9">
        <f>IF(M12=0,"No public road access",IF(K12=0,J12,IF(R12=0,"Location fails",IF(N12=0,"Frontage under "&amp;Use_Library!$AY$11&amp;" LF",IF(S12=0,"Too small - needs "&amp;Use_Library!$L$11&amp;" usable ac",IF(O12=0,"Needs public sewer",IF(P12=0,"Needs public water",IF(AJ12&gt;=1E+9,"Usable acres",IF(AB12&lt;=AA12,"Market demand",IF(W12=AA12,"Septic lot size",IF(Z12=AA12,"Septic capacity (gal/day)",IF(X12=AA12,"Min lot size",IF(Y12=AA12,"Road frontage",IF(V12=AA12,"Site area / parking","Density"))))))))))))))</f>
        <v/>
      </c>
      <c r="AM12" s="15">
        <f>IF(AK12&gt;0,1,0)</f>
        <v/>
      </c>
      <c r="AN12" s="15">
        <f>IF(Use_Library!$Z$11="Y",1,0)*AM12</f>
        <v/>
      </c>
      <c r="AO12" s="14">
        <f>IF(Parcel!$C$39=0,MIN(U12,V12,X12,Y12,AB12),0)</f>
        <v/>
      </c>
      <c r="AP12" s="9">
        <f>IF(AND(Parcel!$C$39=0,M12*K12*R12*N12*S12*P12=1,AO12&lt;1E+9,AO12&gt;=MAX(1,AK12)*1.25),"Unlock: sewer or package plant allows ~"&amp;TEXT(INT(AO12),"#,##0")&amp;" "&amp;Use_Library!$D$11&amp;". ","")</f>
        <v/>
      </c>
      <c r="AQ12" s="15">
        <f>AK12*Use_Library!$AC$11*AN12</f>
        <v/>
      </c>
      <c r="AR12" s="15">
        <f>AK12*Use_Library!$AD$11*AN12</f>
        <v/>
      </c>
      <c r="AS12" s="14">
        <f>AK12*Use_Library!$V$11*AN12</f>
        <v/>
      </c>
      <c r="AT12" s="15">
        <f>IF(Parcel!$C$38=1,AQ12+Parcel!$C$40,0)*AN12</f>
        <v/>
      </c>
      <c r="AU12" s="14">
        <f>AS12*Parcel!$C$38</f>
        <v/>
      </c>
      <c r="AV12" s="15">
        <f>IF(AND(Parcel!$C$38=0,Use_Library!$K$11="N",AS12&gt;=Location!$C$30),1,0)*AN12</f>
        <v/>
      </c>
      <c r="AW12" s="15">
        <f>IF(Parcel!$C$39=1,AQ12+Parcel!$C$41,0)*AN12</f>
        <v/>
      </c>
      <c r="AX12" s="14">
        <f>AS12*Parcel!$C$39</f>
        <v/>
      </c>
      <c r="AY12" s="14">
        <f>IF(Parcel!$C$39=0,AK12*Use_Library!$W$11,0)*AN12</f>
        <v/>
      </c>
      <c r="AZ12" s="15">
        <f>IF(Parcel!$C$39=0,AK12*Use_Library!$Y$11,0)*AN12</f>
        <v/>
      </c>
      <c r="BA12" s="15">
        <f>IF(AND(Use_Library!$K$11="N",AZ12&gt;Location!$C$28),1,0)</f>
        <v/>
      </c>
      <c r="BB12" s="14">
        <f>IF(AND(Parcel!$C$38=0,AV12=0),AK12*Use_Library!$X$11,0)*AN12</f>
        <v/>
      </c>
      <c r="BC12" s="14">
        <f>AH12*Parcel!$C$18*Use_Library!$AA$11*AN12</f>
        <v/>
      </c>
      <c r="BD12" s="14">
        <f>AH12*Use_Library!$AA$11*AN12</f>
        <v/>
      </c>
      <c r="BE12" s="15">
        <f>IF(Use_Library!$C$11="For-Sale",IF(Use_Library!$E$11="Y",AK12,1),1)*AM12</f>
        <v/>
      </c>
      <c r="BF12" s="15">
        <f>IF(OR(Use_Library!$F$11="RES-SF",Use_Library!$F$11="RES-ATT",Use_Library!$F$11="RES-MF",Use_Library!$F$11="MH"),1,0)</f>
        <v/>
      </c>
      <c r="BG12" s="20">
        <f>Cost_Library!$J$5*Location!$C$9*AM12</f>
        <v/>
      </c>
      <c r="BH12" s="20">
        <f>BE12*Cost_Library!$J$6*Location!$C$9</f>
        <v/>
      </c>
      <c r="BI12" s="20">
        <f>BD12*Cost_Library!$J$7*Location!$C$9</f>
        <v/>
      </c>
      <c r="BJ12" s="20">
        <f>Cost_Library!$J$8*Location!$C$9*AN12*IF(Use_Library!$AA$11&gt;=0.5,1,0)</f>
        <v/>
      </c>
      <c r="BK12" s="20">
        <f>AY12*Cost_Library!$J$9*Location!$C$9</f>
        <v/>
      </c>
      <c r="BL12" s="20">
        <f>BA12*Cost_Library!$J$10*Location!$C$9</f>
        <v/>
      </c>
      <c r="BM12" s="20">
        <f>Cost_Library!$J$11*Location!$C$9*AM12</f>
        <v/>
      </c>
      <c r="BN12" s="20">
        <f>Cost_Library!$J$12*Location!$C$9*AN12*IF(Use_Library!$AB$11="Y",1,0)</f>
        <v/>
      </c>
      <c r="BO12" s="20">
        <f>Use_Effective!$C$11*AM12</f>
        <v/>
      </c>
      <c r="BP12" s="20">
        <f>L12*Location!$C$31*AM12</f>
        <v/>
      </c>
      <c r="BQ12" s="20">
        <f>Cost_Library!$J$13*Location!$C$9*AM12</f>
        <v/>
      </c>
      <c r="BR12" s="20">
        <f>BC12*Cost_Library!$J$14*Location!$C$9</f>
        <v/>
      </c>
      <c r="BS12" s="20">
        <f>BD12*Cost_Library!$J$15*Location!$C$9*Parcel!$C$43</f>
        <v/>
      </c>
      <c r="BT12" s="20">
        <f>AQ12*Cost_Library!$J$16*Location!$C$9</f>
        <v/>
      </c>
      <c r="BU12" s="20">
        <f>AR12*Cost_Library!$J$17*Location!$C$9</f>
        <v/>
      </c>
      <c r="BV12" s="20">
        <f>AG12*Cost_Library!$J$18*Location!$C$9*AN12</f>
        <v/>
      </c>
      <c r="BW12" s="20">
        <f>BD12*Cost_Library!$J$19*Location!$C$9</f>
        <v/>
      </c>
      <c r="BX12" s="20">
        <f>IF(Use_Library!$AZ$11="Y",1,0)*Cost_Library!$J$20*Location!$C$9*AN12</f>
        <v/>
      </c>
      <c r="BY12" s="20">
        <f>AT12*Cost_Library!$J$21*Location!$C$9</f>
        <v/>
      </c>
      <c r="BZ12" s="20">
        <f>AU12*Cost_Library!$J$22*Location!$C$9</f>
        <v/>
      </c>
      <c r="CA12" s="20">
        <f>AW12*Cost_Library!$J$23*Location!$C$9</f>
        <v/>
      </c>
      <c r="CB12" s="20">
        <f>AX12*Cost_Library!$J$24*Location!$C$9</f>
        <v/>
      </c>
      <c r="CC12" s="20">
        <f>AY12*Cost_Library!$J$25*Location!$C$9*Parcel!$C$44</f>
        <v/>
      </c>
      <c r="CD12" s="20">
        <f>BB12*Cost_Library!$J$26*Location!$C$9</f>
        <v/>
      </c>
      <c r="CE12" s="20">
        <f>AV12*(Cost_Library!$J$27+AS12*Cost_Library!$J$28)*Location!$C$9</f>
        <v/>
      </c>
      <c r="CF12" s="20">
        <f>AQ12*Cost_Library!$J$29*Location!$C$9</f>
        <v/>
      </c>
      <c r="CG12" s="20">
        <f>SUM(BG12:CF12)</f>
        <v/>
      </c>
      <c r="CH12" s="20">
        <f>CG12*Assumptions!$C$9</f>
        <v/>
      </c>
      <c r="CI12" s="20">
        <f>(CG12+CH12)*Org_Profile!$C$17</f>
        <v/>
      </c>
      <c r="CJ12" s="20">
        <f>CG12+CH12+CI12</f>
        <v/>
      </c>
      <c r="CK12" s="20">
        <f>AK12*Use_Effective!$B$11*(1+Org_Profile!$C$17)</f>
        <v/>
      </c>
      <c r="CL12" s="20">
        <f>CK12*(Assumptions!$C$10+Assumptions!$C$11)</f>
        <v/>
      </c>
      <c r="CM12" s="20">
        <f>AK12*Use_Effective!$D$11</f>
        <v/>
      </c>
      <c r="CN12" s="20">
        <f>AK12*Location!$C$21*BF12*AM12</f>
        <v/>
      </c>
      <c r="CO12" s="14">
        <f>Use_Effective!$F$11+L12*Location!$C$32+BA12*Location!$C$29</f>
        <v/>
      </c>
      <c r="CP12" s="14">
        <f>IF(Use_Effective!$P$11&gt;0,IF(Use_Library!$C$11="For-Sale",AK12,AD12)/Use_Effective!$P$11,0)*AM12</f>
        <v/>
      </c>
      <c r="CQ12" s="14">
        <f>IF(AND(Use_Library!$C$11="For-Sale",Use_Effective!$O$11&gt;0),AK12/Use_Effective!$O$11,0)*AM12</f>
        <v/>
      </c>
      <c r="CR12" s="14">
        <f>IF(Use_Library!$C$11="Income",MAX(Use_Library!$AQ$11,IF(Use_Effective!$O$11&gt;0,AK12/Use_Effective!$O$11,0)),0)</f>
        <v/>
      </c>
      <c r="CS12" s="14">
        <f>CO12+CP12</f>
        <v/>
      </c>
      <c r="CT12" s="14">
        <f>CO12+CQ12+CR12</f>
        <v/>
      </c>
      <c r="CU12" s="14">
        <f>CO12+IF(Use_Library!$C$11="Income",CR12,0)</f>
        <v/>
      </c>
      <c r="CV12" s="23">
        <f>Use_Effective!$G$11+Assumptions!$C$25*MAX(0,(CS12-12)/12)</f>
        <v/>
      </c>
      <c r="CW12" s="23">
        <f>Use_Effective!$G$11+Assumptions!$C$25*MAX(0,(CT12-12)/12)</f>
        <v/>
      </c>
      <c r="CX12" s="23">
        <f>Use_Effective!$G$11+Assumptions!$C$25*MAX(0,(CU12-12)/12)</f>
        <v/>
      </c>
      <c r="CY12" s="28">
        <f>1+Location!$C$17+IF(Parcel!$C$26="Y",Location!$C$20,0)</f>
        <v/>
      </c>
      <c r="CZ12" s="28">
        <f>CY12+Location!$C$19*(CO12+CP12/2)/12</f>
        <v/>
      </c>
      <c r="DA12" s="28">
        <f>CY12+Location!$C$19*(CO12+CQ12/2)/12</f>
        <v/>
      </c>
      <c r="DB12" s="28">
        <f>IF(Use_Library!$C$11="Income",DA12,CY12+Location!$C$19*CO12/12)</f>
        <v/>
      </c>
      <c r="DC12" s="28">
        <f>1+Assumptions!$C$15*(Assumptions!$C$16*(CO12+CP12/2)/12*Assumptions!$C$18+Assumptions!$C$17)</f>
        <v/>
      </c>
      <c r="DD12" s="28">
        <f>1+Assumptions!$C$15*(Assumptions!$C$16*((CO12+CQ12/2)/12*Assumptions!$C$18+CR12/12*Assumptions!$C$19)+Assumptions!$C$17)</f>
        <v/>
      </c>
      <c r="DE12" s="28">
        <f>IF(Use_Library!$C$11="Income",DD12,1+Assumptions!$C$15*(Assumptions!$C$16*CO12/12*Assumptions!$C$18+Assumptions!$C$17))</f>
        <v/>
      </c>
      <c r="DF12" s="23">
        <f>Assumptions!$C$13+Location!$C$18</f>
        <v/>
      </c>
      <c r="DG12" s="23">
        <f>Assumptions!$C$12+Location!$C$18</f>
        <v/>
      </c>
      <c r="DH12" s="23">
        <f>Assumptions!$C$14+Location!$C$18</f>
        <v/>
      </c>
      <c r="DI12" s="20">
        <f>AI12*Location!$C$14*(1-DF12)*AM12</f>
        <v/>
      </c>
      <c r="DJ12" s="20">
        <f>IF(Use_Library!$AV$11=1,IF(Use_Library!$C$11="For-Sale",AK12*Use_Effective!$H$11+Parcel!$C$14*AE12*Use_Effective!$J$11,AD12*Use_Effective!$J$11)*(1-DF12)+DI12,0)*AM12</f>
        <v/>
      </c>
      <c r="DK12" s="20">
        <f>(CG12-BU12-CC12-CD12)*(1+Assumptions!$C$9)*(1+Org_Profile!$C$17)</f>
        <v/>
      </c>
      <c r="DL12" s="28">
        <f>CZ12*DC12</f>
        <v/>
      </c>
      <c r="DM12" s="20">
        <f>(Parcel!$C$27*CZ12+DK12)*DC12</f>
        <v/>
      </c>
      <c r="DN12" s="20">
        <f>DJ12-DM12</f>
        <v/>
      </c>
      <c r="DO12" s="38">
        <f>IF(AND(Use_Library!$AV$11=1,AM12=1),MAX(0,((1-CV12)*DJ12-DK12*DC12)/DL12),0)</f>
        <v/>
      </c>
      <c r="DP12" s="20">
        <f>CJ12+CK12+CL12+CM12+CN12</f>
        <v/>
      </c>
      <c r="DQ12" s="28">
        <f>DA12*DD12</f>
        <v/>
      </c>
      <c r="DR12" s="20">
        <f>(Parcel!$C$27*DA12+DP12)*DD12</f>
        <v/>
      </c>
      <c r="DS12" s="20">
        <f>IF(Use_Library!$C$11="Income",AK12*Use_Effective!$K$11,0)</f>
        <v/>
      </c>
      <c r="DT12" s="20">
        <f>DS12*(1+Use_Library!$AL$11)*(1-Use_Effective!$N$11)</f>
        <v/>
      </c>
      <c r="DU12" s="20">
        <f>IF(Use_Library!$C$11="Income",AK12*Use_Effective!$E$11,0)</f>
        <v/>
      </c>
      <c r="DV12" s="20">
        <f>IF(Use_Library!$C$11="Income",Location!$C$15*Location!$C$16*DR12,0)</f>
        <v/>
      </c>
      <c r="DW12" s="20">
        <f>DT12*Use_Library!$AO$11</f>
        <v/>
      </c>
      <c r="DX12" s="20">
        <f>(DU12+DV12)*Use_Library!$AP$11</f>
        <v/>
      </c>
      <c r="DY12" s="20">
        <f>DT12-DU12-DV12-DW12+DX12</f>
        <v/>
      </c>
      <c r="DZ12" s="26">
        <f>Use_Effective!$M$11</f>
        <v/>
      </c>
      <c r="EA12" s="20">
        <f>IF(AND(Use_Library!$C$11="Income",DZ12&gt;0),DY12/DZ12,0)</f>
        <v/>
      </c>
      <c r="EB12" s="39">
        <f>IF(Use_Library!$C$11="Income",-Location!$C$15*Location!$C$16*(1-Use_Library!$AP$11)*DQ12,0)</f>
        <v/>
      </c>
      <c r="EC12" s="23">
        <f>IF(DR12=0,0,DY12/DR12)</f>
        <v/>
      </c>
      <c r="ED12" s="20">
        <f>IF(Use_Library!$AW$11=1,IF(Use_Library!$C$11="Income",EA12*(1-DH12),AK12*Use_Effective!$I$11*(1-DG12))+DI12,0)*AM12</f>
        <v/>
      </c>
      <c r="EE12" s="39">
        <f>IF(AND(Use_Library!$AW$11=1,Use_Library!$C$11="Income",DZ12&gt;0),EB12/DZ12*(1-DH12),0)</f>
        <v/>
      </c>
      <c r="EF12" s="20">
        <f>ED12-DR12</f>
        <v/>
      </c>
      <c r="EG12" s="38">
        <f>IF(AND(Use_Library!$AW$11=1,AM12=1),MAX(0,Parcel!$C$27-((1-CW12)*ED12-DR12)/((1-CW12)*EE12-DQ12)),0)</f>
        <v/>
      </c>
      <c r="EH12" s="20">
        <f>IF(Use_Library!$AX$11=1,IF(Use_Library!$C$11="Income",EA12,IF(DZ12&gt;0,AD12*Use_Effective!$L$11/DZ12,0))+DI12,0)*AM12</f>
        <v/>
      </c>
      <c r="EI12" s="20">
        <f>IF(Use_Library!$C$11="Income",DP12,CJ12)</f>
        <v/>
      </c>
      <c r="EJ12" s="28">
        <f>IF(Use_Library!$C$11="Income",DQ12,DB12*DE12)</f>
        <v/>
      </c>
      <c r="EK12" s="20">
        <f>IF(Use_Library!$C$11="Income",DR12,(Parcel!$C$27*DB12+CJ12)*DE12)</f>
        <v/>
      </c>
      <c r="EL12" s="39">
        <f>IF(AND(Use_Library!$AX$11=1,Use_Library!$C$11="Income",DZ12&gt;0),EB12/DZ12,0)</f>
        <v/>
      </c>
      <c r="EM12" s="20">
        <f>EH12-EK12</f>
        <v/>
      </c>
      <c r="EN12" s="38">
        <f>IF(AND(Use_Library!$AX$11=1,AM12=1),MAX(0,Parcel!$C$27-((1-CX12)*EH12-EK12)/((1-CX12)*EL12-EJ12)),0)</f>
        <v/>
      </c>
      <c r="EO12" s="20">
        <f>IF(Use_Library!$C$11="Income",Assumptions!$C$15*(Parcel!$C$27*DA12+DP12),0)</f>
        <v/>
      </c>
      <c r="EP12" s="20">
        <f>IF(AND(Use_Library!$C$11="Income",DY12&gt;0),MIN(Assumptions!$C$20*EA12,PV(Assumptions!$C$23/12,Assumptions!$C$24*12,-DY12/Assumptions!$C$21/12),DY12/Assumptions!$C$22),0)</f>
        <v/>
      </c>
      <c r="EQ12" s="27">
        <f>IF(EP12=0,0,DY12/(-PMT(Assumptions!$C$23/12,Assumptions!$C$24*12,EP12)*12))</f>
        <v/>
      </c>
      <c r="ER12" s="20">
        <f>EP12-EO12</f>
        <v/>
      </c>
      <c r="ES12" s="19">
        <f>MAX(DO12,EG12,EN12)</f>
        <v/>
      </c>
      <c r="ET12" s="15">
        <f>IF(ES12&lt;=0,0,IF(DO12=ES12,1,IF(EG12=ES12,2,3)))</f>
        <v/>
      </c>
      <c r="EU12" s="9">
        <f>CHOOSE(ET12+1,"None works","Land / pad sale","Build &amp; sell","Build &amp; hold / lease")</f>
        <v/>
      </c>
      <c r="EV12" s="15">
        <f>CHOOSE(ET12+1,0,CS12,CT12,CU12)</f>
        <v/>
      </c>
      <c r="EW12" s="20">
        <f>ES12*(1-Assumptions!$C$26)</f>
        <v/>
      </c>
      <c r="EX12" s="20">
        <f>ES12-Parcel!$C$27</f>
        <v/>
      </c>
      <c r="EY12" s="20">
        <f>IF(Parcel!$C$14=0,0,ES12/Parcel!$C$14)</f>
        <v/>
      </c>
      <c r="EZ12" s="36">
        <f>IF(AK12=0,0,ES12/AK12)</f>
        <v/>
      </c>
      <c r="FA12" s="9">
        <f>IF(ES12&lt;=0,"Pass",IF(ES12&gt;=Parcel!$C$27*Assumptions!$C$27,"Strong",IF(ES12&gt;=Parcel!$C$27,"Works at asking",IF(ES12&gt;=Parcel!$C$27*Assumptions!$C$28,"Negotiate","Pass"))))</f>
        <v/>
      </c>
      <c r="FB12" s="9">
        <f>IF(AM12=0,"",IF(Use_Library!$BH$11="Y",IF(Use_Effective!$AF$11&gt;=3,"High","Medium"),"Low - verify location"))</f>
        <v/>
      </c>
      <c r="FC12" s="9">
        <f>IF(AND(Use_Library!$BH$11="N",AM12=1),Use_Library!$BI$11,"")</f>
        <v/>
      </c>
      <c r="FD12" s="9">
        <f>TRIM(Q12&amp;" "&amp;IF(AND(AM12=0,T12=1),"Nothing fits. ","")&amp;IF(AND(Use_Library!$AZ$11&lt;&gt;"Y",Parcel!$C$19&lt;Use_Library!$AY$11),"Frontage under "&amp;Use_Library!$AY$11&amp;" LF. ","")&amp;IF(Parcel!$C$17&gt;0.15,"Slope over 15%. ","")&amp;IF(AND(AM12=1,AI12&gt;0.5),TEXT(AI12,"0")&amp;" ac not used - resold as raw land. ","")&amp;IF(AND(AM12=1,AC12&lt;1),"Demand caps it at "&amp;TEXT(AK12,"#,##0")&amp;" "&amp;Use_Library!$D$11&amp;". ","")&amp;IF(AND(AM12=1,L12=1),"Rezone required (+"&amp;Location!$C$32&amp;" mo). ","")&amp;IF(AND(AM12=1,BA12=1),"State wastewater permit needed. ","")&amp;IF(AND(AM12=1,AV12=1),"Public water system needed. ","")&amp;AP12&amp;IF(Parcel!$C$16&gt;Assumptions!$C$29,"Floodplain over "&amp;TEXT(Assumptions!$C$29,"0%")&amp;". ","")&amp;IF(AND(AM12=1,EV12&gt;60),"Over 5 years to exit. ",""))</f>
        <v/>
      </c>
      <c r="FE12" s="20">
        <f>IF(AND(Org_Profile!$C$5="My uses",E12=0),-1E+9,ES12)+ROW()/1000000</f>
        <v/>
      </c>
    </row>
    <row r="13">
      <c r="A13" s="4">
        <f>Use_Library!$A$12</f>
        <v/>
      </c>
      <c r="B13" s="9">
        <f>Use_Library!$C$12</f>
        <v/>
      </c>
      <c r="C13" s="9">
        <f>Use_Library!$D$12</f>
        <v/>
      </c>
      <c r="D13" s="9">
        <f>Use_Library!$F$12</f>
        <v/>
      </c>
      <c r="E13" s="15">
        <f>IF(Org_Profile!$C$29="Y",1,0)</f>
        <v/>
      </c>
      <c r="F13" s="14">
        <f>MAX(0,Parcel!$C$37*(1-Use_Library!$N$12-IF(Use_Library!$AB$12="Y",Assumptions!$C$7,0)))</f>
        <v/>
      </c>
      <c r="G13" s="14">
        <f>IF(Use_Library!$M$12&gt;0,MIN(F13,Use_Library!$M$12),F13)</f>
        <v/>
      </c>
      <c r="H13" s="23">
        <f>IF(F13=0,0,G13/F13)</f>
        <v/>
      </c>
      <c r="I13" s="14">
        <f>Parcel!$C$37*H13</f>
        <v/>
      </c>
      <c r="J13" s="9">
        <f>IF(ISNUMBER(SEARCH(","&amp;Use_Library!$F$12&amp;",",","&amp;SUBSTITUTE(Parcel!$C$11," ","")&amp;",")),"Deed restricted",IF(Parcel!$C$46=0,"No zoning",IF(ISNUMBER(SEARCH(","&amp;Use_Library!$F$12&amp;",",","&amp;SUBSTITUTE(Parcel!$C$10," ","")&amp;",")),"By right",IF(OR(TRIM(Parcel!$C$12)="*",ISNUMBER(SEARCH(","&amp;Use_Library!$F$12&amp;",",","&amp;SUBSTITUTE(Parcel!$C$12," ","")&amp;","))),"Rezone required","Prohibited by zoning"))))</f>
        <v/>
      </c>
      <c r="K13" s="15">
        <f>IF(OR(J13="Deed restricted",J13="Prohibited by zoning"),0,1)</f>
        <v/>
      </c>
      <c r="L13" s="15">
        <f>IF(J13="Rezone required",1,0)</f>
        <v/>
      </c>
      <c r="M13" s="15">
        <f>IF(Parcel!$C$20="None",0,IF(AND(Parcel!$C$20="Private easement",Use_Library!$BA$12="Y"),0,1))</f>
        <v/>
      </c>
      <c r="N13" s="15">
        <f>IF(AND(Use_Library!$AZ$12="Y",Parcel!$C$19&lt;Use_Library!$AY$12),0,1)</f>
        <v/>
      </c>
      <c r="O13" s="15">
        <f>IF(AND(Use_Library!$T$12="Y",Parcel!$C$39=0),0,1)</f>
        <v/>
      </c>
      <c r="P13" s="15">
        <f>IF(AND(Use_Library!$U$12="Y",Parcel!$C$38=0),0,1)</f>
        <v/>
      </c>
      <c r="Q13" s="9">
        <f>TRIM(IF(AND(Use_Library!$BB$12&gt;0,Parcel!$C$28&lt;Use_Library!$BB$12),"Traffic under "&amp;TEXT(Use_Library!$BB$12,"#,##0")&amp;" VPD. ","")&amp;IF(AND(Use_Library!$BC$12&gt;0,Parcel!$C$29&lt;Use_Library!$BC$12),"Under "&amp;TEXT(Use_Library!$BC$12,"#,##0")&amp;" households in 3 mi. ","")&amp;IF(AND(Use_Library!$BD$12&gt;0,Parcel!$C$31&gt;Use_Library!$BD$12),"Over "&amp;Use_Library!$BD$12&amp;" mi to highway. ","")&amp;IF(AND(Use_Library!$BE$12="Y",Parcel!$C$32&lt;&gt;"Y"),"Needs a corner. ","")&amp;IF(AND(Use_Library!$BF$12&gt;0,Parcel!$C$33&gt;Use_Library!$BF$12),"Over "&amp;Use_Library!$BF$12&amp;" mi to substation. ","")&amp;IF(AND(Use_Library!$BG$12&gt;0,Parcel!$C$34&gt;Use_Library!$BG$12),"Over "&amp;Use_Library!$BG$12&amp;" mi to a major employer. ",""))</f>
        <v/>
      </c>
      <c r="R13" s="15">
        <f>IF(Q13="",1,0)</f>
        <v/>
      </c>
      <c r="S13" s="15">
        <f>IF(F13&gt;=Use_Library!$L$12,1,0)</f>
        <v/>
      </c>
      <c r="T13" s="15">
        <f>K13*M13*N13*O13*P13*R13*S13</f>
        <v/>
      </c>
      <c r="U13" s="14">
        <f>IF(Use_Library!$G$12&gt;0,I13*Use_Library!$G$12,1E+9)</f>
        <v/>
      </c>
      <c r="V13" s="14">
        <f>IF(Use_Library!$H$12&gt;0,G13*43560/Use_Library!$H$12,1E+9)</f>
        <v/>
      </c>
      <c r="W13" s="14">
        <f>IF(AND(Use_Library!$K$12="Y",Parcel!$C$39=0),G13*(1-Assumptions!$C$8)/IF(Parcel!$C$38=1,Location!$C$25,Location!$C$26),1E+9)</f>
        <v/>
      </c>
      <c r="X13" s="14">
        <f>IF(Use_Library!$I$12&gt;0,Parcel!$C$14*H13/Use_Library!$I$12,1E+9)</f>
        <v/>
      </c>
      <c r="Y13" s="14">
        <f>IF(Use_Library!$J$12&gt;0,Parcel!$C$19/Use_Library!$J$12,1E+9)</f>
        <v/>
      </c>
      <c r="Z13" s="14">
        <f>IF(AND(Parcel!$C$39=0,Use_Library!$K$12="N",Use_Library!$Y$12&gt;0,Use_Library!$Z$12="Y"),G13*Location!$C$27*Parcel!$C$45/Use_Library!$Y$12,1E+9)</f>
        <v/>
      </c>
      <c r="AA13" s="14">
        <f>MIN(U13,V13,W13,X13,Y13,Z13)</f>
        <v/>
      </c>
      <c r="AB13" s="14">
        <f>IF(Use_Library!$O$12&gt;0,IF(Use_Library!$P$12&gt;=10,Parcel!$C$30,Parcel!$C$29)*Use_Library!$O$12*Use_Library!$Q$12,1E+9)</f>
        <v/>
      </c>
      <c r="AC13" s="23">
        <f>IF(OR(AA13&gt;=1E+9,AA13&lt;=0),1,MIN(1,AB13/AA13))</f>
        <v/>
      </c>
      <c r="AD13" s="14">
        <f>G13*AC13</f>
        <v/>
      </c>
      <c r="AE13" s="23">
        <f>IF(F13=0,0,AD13/F13)</f>
        <v/>
      </c>
      <c r="AF13" s="14">
        <f>Parcel!$C$37*AE13</f>
        <v/>
      </c>
      <c r="AG13" s="14">
        <f>AF13*IF(Use_Library!$AB$12="Y",Assumptions!$C$7,0)</f>
        <v/>
      </c>
      <c r="AH13" s="14">
        <f>AF13*(1-Use_Library!$N$12)</f>
        <v/>
      </c>
      <c r="AI13" s="14">
        <f>Parcel!$C$14*(1-AE13)</f>
        <v/>
      </c>
      <c r="AJ13" s="14">
        <f>MIN(AA13,AB13)</f>
        <v/>
      </c>
      <c r="AK13" s="25">
        <f>IF(T13=0,0,IF(AJ13&gt;=1E+9,AD13,IF(Use_Library!$E$12="Y",INT(AJ13+1E-9),AJ13)))</f>
        <v/>
      </c>
      <c r="AL13" s="9">
        <f>IF(M13=0,"No public road access",IF(K13=0,J13,IF(R13=0,"Location fails",IF(N13=0,"Frontage under "&amp;Use_Library!$AY$12&amp;" LF",IF(S13=0,"Too small - needs "&amp;Use_Library!$L$12&amp;" usable ac",IF(O13=0,"Needs public sewer",IF(P13=0,"Needs public water",IF(AJ13&gt;=1E+9,"Usable acres",IF(AB13&lt;=AA13,"Market demand",IF(W13=AA13,"Septic lot size",IF(Z13=AA13,"Septic capacity (gal/day)",IF(X13=AA13,"Min lot size",IF(Y13=AA13,"Road frontage",IF(V13=AA13,"Site area / parking","Density"))))))))))))))</f>
        <v/>
      </c>
      <c r="AM13" s="15">
        <f>IF(AK13&gt;0,1,0)</f>
        <v/>
      </c>
      <c r="AN13" s="15">
        <f>IF(Use_Library!$Z$12="Y",1,0)*AM13</f>
        <v/>
      </c>
      <c r="AO13" s="14">
        <f>IF(Parcel!$C$39=0,MIN(U13,V13,X13,Y13,AB13),0)</f>
        <v/>
      </c>
      <c r="AP13" s="9">
        <f>IF(AND(Parcel!$C$39=0,M13*K13*R13*N13*S13*P13=1,AO13&lt;1E+9,AO13&gt;=MAX(1,AK13)*1.25),"Unlock: sewer or package plant allows ~"&amp;TEXT(INT(AO13),"#,##0")&amp;" "&amp;Use_Library!$D$12&amp;". ","")</f>
        <v/>
      </c>
      <c r="AQ13" s="15">
        <f>AK13*Use_Library!$AC$12*AN13</f>
        <v/>
      </c>
      <c r="AR13" s="15">
        <f>AK13*Use_Library!$AD$12*AN13</f>
        <v/>
      </c>
      <c r="AS13" s="14">
        <f>AK13*Use_Library!$V$12*AN13</f>
        <v/>
      </c>
      <c r="AT13" s="15">
        <f>IF(Parcel!$C$38=1,AQ13+Parcel!$C$40,0)*AN13</f>
        <v/>
      </c>
      <c r="AU13" s="14">
        <f>AS13*Parcel!$C$38</f>
        <v/>
      </c>
      <c r="AV13" s="15">
        <f>IF(AND(Parcel!$C$38=0,Use_Library!$K$12="N",AS13&gt;=Location!$C$30),1,0)*AN13</f>
        <v/>
      </c>
      <c r="AW13" s="15">
        <f>IF(Parcel!$C$39=1,AQ13+Parcel!$C$41,0)*AN13</f>
        <v/>
      </c>
      <c r="AX13" s="14">
        <f>AS13*Parcel!$C$39</f>
        <v/>
      </c>
      <c r="AY13" s="14">
        <f>IF(Parcel!$C$39=0,AK13*Use_Library!$W$12,0)*AN13</f>
        <v/>
      </c>
      <c r="AZ13" s="15">
        <f>IF(Parcel!$C$39=0,AK13*Use_Library!$Y$12,0)*AN13</f>
        <v/>
      </c>
      <c r="BA13" s="15">
        <f>IF(AND(Use_Library!$K$12="N",AZ13&gt;Location!$C$28),1,0)</f>
        <v/>
      </c>
      <c r="BB13" s="14">
        <f>IF(AND(Parcel!$C$38=0,AV13=0),AK13*Use_Library!$X$12,0)*AN13</f>
        <v/>
      </c>
      <c r="BC13" s="14">
        <f>AH13*Parcel!$C$18*Use_Library!$AA$12*AN13</f>
        <v/>
      </c>
      <c r="BD13" s="14">
        <f>AH13*Use_Library!$AA$12*AN13</f>
        <v/>
      </c>
      <c r="BE13" s="15">
        <f>IF(Use_Library!$C$12="For-Sale",IF(Use_Library!$E$12="Y",AK13,1),1)*AM13</f>
        <v/>
      </c>
      <c r="BF13" s="15">
        <f>IF(OR(Use_Library!$F$12="RES-SF",Use_Library!$F$12="RES-ATT",Use_Library!$F$12="RES-MF",Use_Library!$F$12="MH"),1,0)</f>
        <v/>
      </c>
      <c r="BG13" s="20">
        <f>Cost_Library!$J$5*Location!$C$9*AM13</f>
        <v/>
      </c>
      <c r="BH13" s="20">
        <f>BE13*Cost_Library!$J$6*Location!$C$9</f>
        <v/>
      </c>
      <c r="BI13" s="20">
        <f>BD13*Cost_Library!$J$7*Location!$C$9</f>
        <v/>
      </c>
      <c r="BJ13" s="20">
        <f>Cost_Library!$J$8*Location!$C$9*AN13*IF(Use_Library!$AA$12&gt;=0.5,1,0)</f>
        <v/>
      </c>
      <c r="BK13" s="20">
        <f>AY13*Cost_Library!$J$9*Location!$C$9</f>
        <v/>
      </c>
      <c r="BL13" s="20">
        <f>BA13*Cost_Library!$J$10*Location!$C$9</f>
        <v/>
      </c>
      <c r="BM13" s="20">
        <f>Cost_Library!$J$11*Location!$C$9*AM13</f>
        <v/>
      </c>
      <c r="BN13" s="20">
        <f>Cost_Library!$J$12*Location!$C$9*AN13*IF(Use_Library!$AB$12="Y",1,0)</f>
        <v/>
      </c>
      <c r="BO13" s="20">
        <f>Use_Effective!$C$12*AM13</f>
        <v/>
      </c>
      <c r="BP13" s="20">
        <f>L13*Location!$C$31*AM13</f>
        <v/>
      </c>
      <c r="BQ13" s="20">
        <f>Cost_Library!$J$13*Location!$C$9*AM13</f>
        <v/>
      </c>
      <c r="BR13" s="20">
        <f>BC13*Cost_Library!$J$14*Location!$C$9</f>
        <v/>
      </c>
      <c r="BS13" s="20">
        <f>BD13*Cost_Library!$J$15*Location!$C$9*Parcel!$C$43</f>
        <v/>
      </c>
      <c r="BT13" s="20">
        <f>AQ13*Cost_Library!$J$16*Location!$C$9</f>
        <v/>
      </c>
      <c r="BU13" s="20">
        <f>AR13*Cost_Library!$J$17*Location!$C$9</f>
        <v/>
      </c>
      <c r="BV13" s="20">
        <f>AG13*Cost_Library!$J$18*Location!$C$9*AN13</f>
        <v/>
      </c>
      <c r="BW13" s="20">
        <f>BD13*Cost_Library!$J$19*Location!$C$9</f>
        <v/>
      </c>
      <c r="BX13" s="20">
        <f>IF(Use_Library!$AZ$12="Y",1,0)*Cost_Library!$J$20*Location!$C$9*AN13</f>
        <v/>
      </c>
      <c r="BY13" s="20">
        <f>AT13*Cost_Library!$J$21*Location!$C$9</f>
        <v/>
      </c>
      <c r="BZ13" s="20">
        <f>AU13*Cost_Library!$J$22*Location!$C$9</f>
        <v/>
      </c>
      <c r="CA13" s="20">
        <f>AW13*Cost_Library!$J$23*Location!$C$9</f>
        <v/>
      </c>
      <c r="CB13" s="20">
        <f>AX13*Cost_Library!$J$24*Location!$C$9</f>
        <v/>
      </c>
      <c r="CC13" s="20">
        <f>AY13*Cost_Library!$J$25*Location!$C$9*Parcel!$C$44</f>
        <v/>
      </c>
      <c r="CD13" s="20">
        <f>BB13*Cost_Library!$J$26*Location!$C$9</f>
        <v/>
      </c>
      <c r="CE13" s="20">
        <f>AV13*(Cost_Library!$J$27+AS13*Cost_Library!$J$28)*Location!$C$9</f>
        <v/>
      </c>
      <c r="CF13" s="20">
        <f>AQ13*Cost_Library!$J$29*Location!$C$9</f>
        <v/>
      </c>
      <c r="CG13" s="20">
        <f>SUM(BG13:CF13)</f>
        <v/>
      </c>
      <c r="CH13" s="20">
        <f>CG13*Assumptions!$C$9</f>
        <v/>
      </c>
      <c r="CI13" s="20">
        <f>(CG13+CH13)*Org_Profile!$C$17</f>
        <v/>
      </c>
      <c r="CJ13" s="20">
        <f>CG13+CH13+CI13</f>
        <v/>
      </c>
      <c r="CK13" s="20">
        <f>AK13*Use_Effective!$B$12*(1+Org_Profile!$C$17)</f>
        <v/>
      </c>
      <c r="CL13" s="20">
        <f>CK13*(Assumptions!$C$10+Assumptions!$C$11)</f>
        <v/>
      </c>
      <c r="CM13" s="20">
        <f>AK13*Use_Effective!$D$12</f>
        <v/>
      </c>
      <c r="CN13" s="20">
        <f>AK13*Location!$C$21*BF13*AM13</f>
        <v/>
      </c>
      <c r="CO13" s="14">
        <f>Use_Effective!$F$12+L13*Location!$C$32+BA13*Location!$C$29</f>
        <v/>
      </c>
      <c r="CP13" s="14">
        <f>IF(Use_Effective!$P$12&gt;0,IF(Use_Library!$C$12="For-Sale",AK13,AD13)/Use_Effective!$P$12,0)*AM13</f>
        <v/>
      </c>
      <c r="CQ13" s="14">
        <f>IF(AND(Use_Library!$C$12="For-Sale",Use_Effective!$O$12&gt;0),AK13/Use_Effective!$O$12,0)*AM13</f>
        <v/>
      </c>
      <c r="CR13" s="14">
        <f>IF(Use_Library!$C$12="Income",MAX(Use_Library!$AQ$12,IF(Use_Effective!$O$12&gt;0,AK13/Use_Effective!$O$12,0)),0)</f>
        <v/>
      </c>
      <c r="CS13" s="14">
        <f>CO13+CP13</f>
        <v/>
      </c>
      <c r="CT13" s="14">
        <f>CO13+CQ13+CR13</f>
        <v/>
      </c>
      <c r="CU13" s="14">
        <f>CO13+IF(Use_Library!$C$12="Income",CR13,0)</f>
        <v/>
      </c>
      <c r="CV13" s="23">
        <f>Use_Effective!$G$12+Assumptions!$C$25*MAX(0,(CS13-12)/12)</f>
        <v/>
      </c>
      <c r="CW13" s="23">
        <f>Use_Effective!$G$12+Assumptions!$C$25*MAX(0,(CT13-12)/12)</f>
        <v/>
      </c>
      <c r="CX13" s="23">
        <f>Use_Effective!$G$12+Assumptions!$C$25*MAX(0,(CU13-12)/12)</f>
        <v/>
      </c>
      <c r="CY13" s="28">
        <f>1+Location!$C$17+IF(Parcel!$C$26="Y",Location!$C$20,0)</f>
        <v/>
      </c>
      <c r="CZ13" s="28">
        <f>CY13+Location!$C$19*(CO13+CP13/2)/12</f>
        <v/>
      </c>
      <c r="DA13" s="28">
        <f>CY13+Location!$C$19*(CO13+CQ13/2)/12</f>
        <v/>
      </c>
      <c r="DB13" s="28">
        <f>IF(Use_Library!$C$12="Income",DA13,CY13+Location!$C$19*CO13/12)</f>
        <v/>
      </c>
      <c r="DC13" s="28">
        <f>1+Assumptions!$C$15*(Assumptions!$C$16*(CO13+CP13/2)/12*Assumptions!$C$18+Assumptions!$C$17)</f>
        <v/>
      </c>
      <c r="DD13" s="28">
        <f>1+Assumptions!$C$15*(Assumptions!$C$16*((CO13+CQ13/2)/12*Assumptions!$C$18+CR13/12*Assumptions!$C$19)+Assumptions!$C$17)</f>
        <v/>
      </c>
      <c r="DE13" s="28">
        <f>IF(Use_Library!$C$12="Income",DD13,1+Assumptions!$C$15*(Assumptions!$C$16*CO13/12*Assumptions!$C$18+Assumptions!$C$17))</f>
        <v/>
      </c>
      <c r="DF13" s="23">
        <f>Assumptions!$C$13+Location!$C$18</f>
        <v/>
      </c>
      <c r="DG13" s="23">
        <f>Assumptions!$C$12+Location!$C$18</f>
        <v/>
      </c>
      <c r="DH13" s="23">
        <f>Assumptions!$C$14+Location!$C$18</f>
        <v/>
      </c>
      <c r="DI13" s="20">
        <f>AI13*Location!$C$14*(1-DF13)*AM13</f>
        <v/>
      </c>
      <c r="DJ13" s="20">
        <f>IF(Use_Library!$AV$12=1,IF(Use_Library!$C$12="For-Sale",AK13*Use_Effective!$H$12+Parcel!$C$14*AE13*Use_Effective!$J$12,AD13*Use_Effective!$J$12)*(1-DF13)+DI13,0)*AM13</f>
        <v/>
      </c>
      <c r="DK13" s="20">
        <f>(CG13-BU13-CC13-CD13)*(1+Assumptions!$C$9)*(1+Org_Profile!$C$17)</f>
        <v/>
      </c>
      <c r="DL13" s="28">
        <f>CZ13*DC13</f>
        <v/>
      </c>
      <c r="DM13" s="20">
        <f>(Parcel!$C$27*CZ13+DK13)*DC13</f>
        <v/>
      </c>
      <c r="DN13" s="20">
        <f>DJ13-DM13</f>
        <v/>
      </c>
      <c r="DO13" s="38">
        <f>IF(AND(Use_Library!$AV$12=1,AM13=1),MAX(0,((1-CV13)*DJ13-DK13*DC13)/DL13),0)</f>
        <v/>
      </c>
      <c r="DP13" s="20">
        <f>CJ13+CK13+CL13+CM13+CN13</f>
        <v/>
      </c>
      <c r="DQ13" s="28">
        <f>DA13*DD13</f>
        <v/>
      </c>
      <c r="DR13" s="20">
        <f>(Parcel!$C$27*DA13+DP13)*DD13</f>
        <v/>
      </c>
      <c r="DS13" s="20">
        <f>IF(Use_Library!$C$12="Income",AK13*Use_Effective!$K$12,0)</f>
        <v/>
      </c>
      <c r="DT13" s="20">
        <f>DS13*(1+Use_Library!$AL$12)*(1-Use_Effective!$N$12)</f>
        <v/>
      </c>
      <c r="DU13" s="20">
        <f>IF(Use_Library!$C$12="Income",AK13*Use_Effective!$E$12,0)</f>
        <v/>
      </c>
      <c r="DV13" s="20">
        <f>IF(Use_Library!$C$12="Income",Location!$C$15*Location!$C$16*DR13,0)</f>
        <v/>
      </c>
      <c r="DW13" s="20">
        <f>DT13*Use_Library!$AO$12</f>
        <v/>
      </c>
      <c r="DX13" s="20">
        <f>(DU13+DV13)*Use_Library!$AP$12</f>
        <v/>
      </c>
      <c r="DY13" s="20">
        <f>DT13-DU13-DV13-DW13+DX13</f>
        <v/>
      </c>
      <c r="DZ13" s="26">
        <f>Use_Effective!$M$12</f>
        <v/>
      </c>
      <c r="EA13" s="20">
        <f>IF(AND(Use_Library!$C$12="Income",DZ13&gt;0),DY13/DZ13,0)</f>
        <v/>
      </c>
      <c r="EB13" s="39">
        <f>IF(Use_Library!$C$12="Income",-Location!$C$15*Location!$C$16*(1-Use_Library!$AP$12)*DQ13,0)</f>
        <v/>
      </c>
      <c r="EC13" s="23">
        <f>IF(DR13=0,0,DY13/DR13)</f>
        <v/>
      </c>
      <c r="ED13" s="20">
        <f>IF(Use_Library!$AW$12=1,IF(Use_Library!$C$12="Income",EA13*(1-DH13),AK13*Use_Effective!$I$12*(1-DG13))+DI13,0)*AM13</f>
        <v/>
      </c>
      <c r="EE13" s="39">
        <f>IF(AND(Use_Library!$AW$12=1,Use_Library!$C$12="Income",DZ13&gt;0),EB13/DZ13*(1-DH13),0)</f>
        <v/>
      </c>
      <c r="EF13" s="20">
        <f>ED13-DR13</f>
        <v/>
      </c>
      <c r="EG13" s="38">
        <f>IF(AND(Use_Library!$AW$12=1,AM13=1),MAX(0,Parcel!$C$27-((1-CW13)*ED13-DR13)/((1-CW13)*EE13-DQ13)),0)</f>
        <v/>
      </c>
      <c r="EH13" s="20">
        <f>IF(Use_Library!$AX$12=1,IF(Use_Library!$C$12="Income",EA13,IF(DZ13&gt;0,AD13*Use_Effective!$L$12/DZ13,0))+DI13,0)*AM13</f>
        <v/>
      </c>
      <c r="EI13" s="20">
        <f>IF(Use_Library!$C$12="Income",DP13,CJ13)</f>
        <v/>
      </c>
      <c r="EJ13" s="28">
        <f>IF(Use_Library!$C$12="Income",DQ13,DB13*DE13)</f>
        <v/>
      </c>
      <c r="EK13" s="20">
        <f>IF(Use_Library!$C$12="Income",DR13,(Parcel!$C$27*DB13+CJ13)*DE13)</f>
        <v/>
      </c>
      <c r="EL13" s="39">
        <f>IF(AND(Use_Library!$AX$12=1,Use_Library!$C$12="Income",DZ13&gt;0),EB13/DZ13,0)</f>
        <v/>
      </c>
      <c r="EM13" s="20">
        <f>EH13-EK13</f>
        <v/>
      </c>
      <c r="EN13" s="38">
        <f>IF(AND(Use_Library!$AX$12=1,AM13=1),MAX(0,Parcel!$C$27-((1-CX13)*EH13-EK13)/((1-CX13)*EL13-EJ13)),0)</f>
        <v/>
      </c>
      <c r="EO13" s="20">
        <f>IF(Use_Library!$C$12="Income",Assumptions!$C$15*(Parcel!$C$27*DA13+DP13),0)</f>
        <v/>
      </c>
      <c r="EP13" s="20">
        <f>IF(AND(Use_Library!$C$12="Income",DY13&gt;0),MIN(Assumptions!$C$20*EA13,PV(Assumptions!$C$23/12,Assumptions!$C$24*12,-DY13/Assumptions!$C$21/12),DY13/Assumptions!$C$22),0)</f>
        <v/>
      </c>
      <c r="EQ13" s="27">
        <f>IF(EP13=0,0,DY13/(-PMT(Assumptions!$C$23/12,Assumptions!$C$24*12,EP13)*12))</f>
        <v/>
      </c>
      <c r="ER13" s="20">
        <f>EP13-EO13</f>
        <v/>
      </c>
      <c r="ES13" s="19">
        <f>MAX(DO13,EG13,EN13)</f>
        <v/>
      </c>
      <c r="ET13" s="15">
        <f>IF(ES13&lt;=0,0,IF(DO13=ES13,1,IF(EG13=ES13,2,3)))</f>
        <v/>
      </c>
      <c r="EU13" s="9">
        <f>CHOOSE(ET13+1,"None works","Land / pad sale","Build &amp; sell","Build &amp; hold / lease")</f>
        <v/>
      </c>
      <c r="EV13" s="15">
        <f>CHOOSE(ET13+1,0,CS13,CT13,CU13)</f>
        <v/>
      </c>
      <c r="EW13" s="20">
        <f>ES13*(1-Assumptions!$C$26)</f>
        <v/>
      </c>
      <c r="EX13" s="20">
        <f>ES13-Parcel!$C$27</f>
        <v/>
      </c>
      <c r="EY13" s="20">
        <f>IF(Parcel!$C$14=0,0,ES13/Parcel!$C$14)</f>
        <v/>
      </c>
      <c r="EZ13" s="36">
        <f>IF(AK13=0,0,ES13/AK13)</f>
        <v/>
      </c>
      <c r="FA13" s="9">
        <f>IF(ES13&lt;=0,"Pass",IF(ES13&gt;=Parcel!$C$27*Assumptions!$C$27,"Strong",IF(ES13&gt;=Parcel!$C$27,"Works at asking",IF(ES13&gt;=Parcel!$C$27*Assumptions!$C$28,"Negotiate","Pass"))))</f>
        <v/>
      </c>
      <c r="FB13" s="9">
        <f>IF(AM13=0,"",IF(Use_Library!$BH$12="Y",IF(Use_Effective!$AF$12&gt;=3,"High","Medium"),"Low - verify location"))</f>
        <v/>
      </c>
      <c r="FC13" s="9">
        <f>IF(AND(Use_Library!$BH$12="N",AM13=1),Use_Library!$BI$12,"")</f>
        <v/>
      </c>
      <c r="FD13" s="9">
        <f>TRIM(Q13&amp;" "&amp;IF(AND(AM13=0,T13=1),"Nothing fits. ","")&amp;IF(AND(Use_Library!$AZ$12&lt;&gt;"Y",Parcel!$C$19&lt;Use_Library!$AY$12),"Frontage under "&amp;Use_Library!$AY$12&amp;" LF. ","")&amp;IF(Parcel!$C$17&gt;0.15,"Slope over 15%. ","")&amp;IF(AND(AM13=1,AI13&gt;0.5),TEXT(AI13,"0")&amp;" ac not used - resold as raw land. ","")&amp;IF(AND(AM13=1,AC13&lt;1),"Demand caps it at "&amp;TEXT(AK13,"#,##0")&amp;" "&amp;Use_Library!$D$12&amp;". ","")&amp;IF(AND(AM13=1,L13=1),"Rezone required (+"&amp;Location!$C$32&amp;" mo). ","")&amp;IF(AND(AM13=1,BA13=1),"State wastewater permit needed. ","")&amp;IF(AND(AM13=1,AV13=1),"Public water system needed. ","")&amp;AP13&amp;IF(Parcel!$C$16&gt;Assumptions!$C$29,"Floodplain over "&amp;TEXT(Assumptions!$C$29,"0%")&amp;". ","")&amp;IF(AND(AM13=1,EV13&gt;60),"Over 5 years to exit. ",""))</f>
        <v/>
      </c>
      <c r="FE13" s="20">
        <f>IF(AND(Org_Profile!$C$5="My uses",E13=0),-1E+9,ES13)+ROW()/1000000</f>
        <v/>
      </c>
    </row>
    <row r="14">
      <c r="A14" s="4">
        <f>Use_Library!$A$13</f>
        <v/>
      </c>
      <c r="B14" s="9">
        <f>Use_Library!$C$13</f>
        <v/>
      </c>
      <c r="C14" s="9">
        <f>Use_Library!$D$13</f>
        <v/>
      </c>
      <c r="D14" s="9">
        <f>Use_Library!$F$13</f>
        <v/>
      </c>
      <c r="E14" s="15">
        <f>IF(Org_Profile!$C$30="Y",1,0)</f>
        <v/>
      </c>
      <c r="F14" s="14">
        <f>MAX(0,Parcel!$C$37*(1-Use_Library!$N$13-IF(Use_Library!$AB$13="Y",Assumptions!$C$7,0)))</f>
        <v/>
      </c>
      <c r="G14" s="14">
        <f>IF(Use_Library!$M$13&gt;0,MIN(F14,Use_Library!$M$13),F14)</f>
        <v/>
      </c>
      <c r="H14" s="23">
        <f>IF(F14=0,0,G14/F14)</f>
        <v/>
      </c>
      <c r="I14" s="14">
        <f>Parcel!$C$37*H14</f>
        <v/>
      </c>
      <c r="J14" s="9">
        <f>IF(ISNUMBER(SEARCH(","&amp;Use_Library!$F$13&amp;",",","&amp;SUBSTITUTE(Parcel!$C$11," ","")&amp;",")),"Deed restricted",IF(Parcel!$C$46=0,"No zoning",IF(ISNUMBER(SEARCH(","&amp;Use_Library!$F$13&amp;",",","&amp;SUBSTITUTE(Parcel!$C$10," ","")&amp;",")),"By right",IF(OR(TRIM(Parcel!$C$12)="*",ISNUMBER(SEARCH(","&amp;Use_Library!$F$13&amp;",",","&amp;SUBSTITUTE(Parcel!$C$12," ","")&amp;","))),"Rezone required","Prohibited by zoning"))))</f>
        <v/>
      </c>
      <c r="K14" s="15">
        <f>IF(OR(J14="Deed restricted",J14="Prohibited by zoning"),0,1)</f>
        <v/>
      </c>
      <c r="L14" s="15">
        <f>IF(J14="Rezone required",1,0)</f>
        <v/>
      </c>
      <c r="M14" s="15">
        <f>IF(Parcel!$C$20="None",0,IF(AND(Parcel!$C$20="Private easement",Use_Library!$BA$13="Y"),0,1))</f>
        <v/>
      </c>
      <c r="N14" s="15">
        <f>IF(AND(Use_Library!$AZ$13="Y",Parcel!$C$19&lt;Use_Library!$AY$13),0,1)</f>
        <v/>
      </c>
      <c r="O14" s="15">
        <f>IF(AND(Use_Library!$T$13="Y",Parcel!$C$39=0),0,1)</f>
        <v/>
      </c>
      <c r="P14" s="15">
        <f>IF(AND(Use_Library!$U$13="Y",Parcel!$C$38=0),0,1)</f>
        <v/>
      </c>
      <c r="Q14" s="9">
        <f>TRIM(IF(AND(Use_Library!$BB$13&gt;0,Parcel!$C$28&lt;Use_Library!$BB$13),"Traffic under "&amp;TEXT(Use_Library!$BB$13,"#,##0")&amp;" VPD. ","")&amp;IF(AND(Use_Library!$BC$13&gt;0,Parcel!$C$29&lt;Use_Library!$BC$13),"Under "&amp;TEXT(Use_Library!$BC$13,"#,##0")&amp;" households in 3 mi. ","")&amp;IF(AND(Use_Library!$BD$13&gt;0,Parcel!$C$31&gt;Use_Library!$BD$13),"Over "&amp;Use_Library!$BD$13&amp;" mi to highway. ","")&amp;IF(AND(Use_Library!$BE$13="Y",Parcel!$C$32&lt;&gt;"Y"),"Needs a corner. ","")&amp;IF(AND(Use_Library!$BF$13&gt;0,Parcel!$C$33&gt;Use_Library!$BF$13),"Over "&amp;Use_Library!$BF$13&amp;" mi to substation. ","")&amp;IF(AND(Use_Library!$BG$13&gt;0,Parcel!$C$34&gt;Use_Library!$BG$13),"Over "&amp;Use_Library!$BG$13&amp;" mi to a major employer. ",""))</f>
        <v/>
      </c>
      <c r="R14" s="15">
        <f>IF(Q14="",1,0)</f>
        <v/>
      </c>
      <c r="S14" s="15">
        <f>IF(F14&gt;=Use_Library!$L$13,1,0)</f>
        <v/>
      </c>
      <c r="T14" s="15">
        <f>K14*M14*N14*O14*P14*R14*S14</f>
        <v/>
      </c>
      <c r="U14" s="14">
        <f>IF(Use_Library!$G$13&gt;0,I14*Use_Library!$G$13,1E+9)</f>
        <v/>
      </c>
      <c r="V14" s="14">
        <f>IF(Use_Library!$H$13&gt;0,G14*43560/Use_Library!$H$13,1E+9)</f>
        <v/>
      </c>
      <c r="W14" s="14">
        <f>IF(AND(Use_Library!$K$13="Y",Parcel!$C$39=0),G14*(1-Assumptions!$C$8)/IF(Parcel!$C$38=1,Location!$C$25,Location!$C$26),1E+9)</f>
        <v/>
      </c>
      <c r="X14" s="14">
        <f>IF(Use_Library!$I$13&gt;0,Parcel!$C$14*H14/Use_Library!$I$13,1E+9)</f>
        <v/>
      </c>
      <c r="Y14" s="14">
        <f>IF(Use_Library!$J$13&gt;0,Parcel!$C$19/Use_Library!$J$13,1E+9)</f>
        <v/>
      </c>
      <c r="Z14" s="14">
        <f>IF(AND(Parcel!$C$39=0,Use_Library!$K$13="N",Use_Library!$Y$13&gt;0,Use_Library!$Z$13="Y"),G14*Location!$C$27*Parcel!$C$45/Use_Library!$Y$13,1E+9)</f>
        <v/>
      </c>
      <c r="AA14" s="14">
        <f>MIN(U14,V14,W14,X14,Y14,Z14)</f>
        <v/>
      </c>
      <c r="AB14" s="14">
        <f>IF(Use_Library!$O$13&gt;0,IF(Use_Library!$P$13&gt;=10,Parcel!$C$30,Parcel!$C$29)*Use_Library!$O$13*Use_Library!$Q$13,1E+9)</f>
        <v/>
      </c>
      <c r="AC14" s="23">
        <f>IF(OR(AA14&gt;=1E+9,AA14&lt;=0),1,MIN(1,AB14/AA14))</f>
        <v/>
      </c>
      <c r="AD14" s="14">
        <f>G14*AC14</f>
        <v/>
      </c>
      <c r="AE14" s="23">
        <f>IF(F14=0,0,AD14/F14)</f>
        <v/>
      </c>
      <c r="AF14" s="14">
        <f>Parcel!$C$37*AE14</f>
        <v/>
      </c>
      <c r="AG14" s="14">
        <f>AF14*IF(Use_Library!$AB$13="Y",Assumptions!$C$7,0)</f>
        <v/>
      </c>
      <c r="AH14" s="14">
        <f>AF14*(1-Use_Library!$N$13)</f>
        <v/>
      </c>
      <c r="AI14" s="14">
        <f>Parcel!$C$14*(1-AE14)</f>
        <v/>
      </c>
      <c r="AJ14" s="14">
        <f>MIN(AA14,AB14)</f>
        <v/>
      </c>
      <c r="AK14" s="25">
        <f>IF(T14=0,0,IF(AJ14&gt;=1E+9,AD14,IF(Use_Library!$E$13="Y",INT(AJ14+1E-9),AJ14)))</f>
        <v/>
      </c>
      <c r="AL14" s="9">
        <f>IF(M14=0,"No public road access",IF(K14=0,J14,IF(R14=0,"Location fails",IF(N14=0,"Frontage under "&amp;Use_Library!$AY$13&amp;" LF",IF(S14=0,"Too small - needs "&amp;Use_Library!$L$13&amp;" usable ac",IF(O14=0,"Needs public sewer",IF(P14=0,"Needs public water",IF(AJ14&gt;=1E+9,"Usable acres",IF(AB14&lt;=AA14,"Market demand",IF(W14=AA14,"Septic lot size",IF(Z14=AA14,"Septic capacity (gal/day)",IF(X14=AA14,"Min lot size",IF(Y14=AA14,"Road frontage",IF(V14=AA14,"Site area / parking","Density"))))))))))))))</f>
        <v/>
      </c>
      <c r="AM14" s="15">
        <f>IF(AK14&gt;0,1,0)</f>
        <v/>
      </c>
      <c r="AN14" s="15">
        <f>IF(Use_Library!$Z$13="Y",1,0)*AM14</f>
        <v/>
      </c>
      <c r="AO14" s="14">
        <f>IF(Parcel!$C$39=0,MIN(U14,V14,X14,Y14,AB14),0)</f>
        <v/>
      </c>
      <c r="AP14" s="9">
        <f>IF(AND(Parcel!$C$39=0,M14*K14*R14*N14*S14*P14=1,AO14&lt;1E+9,AO14&gt;=MAX(1,AK14)*1.25),"Unlock: sewer or package plant allows ~"&amp;TEXT(INT(AO14),"#,##0")&amp;" "&amp;Use_Library!$D$13&amp;". ","")</f>
        <v/>
      </c>
      <c r="AQ14" s="15">
        <f>AK14*Use_Library!$AC$13*AN14</f>
        <v/>
      </c>
      <c r="AR14" s="15">
        <f>AK14*Use_Library!$AD$13*AN14</f>
        <v/>
      </c>
      <c r="AS14" s="14">
        <f>AK14*Use_Library!$V$13*AN14</f>
        <v/>
      </c>
      <c r="AT14" s="15">
        <f>IF(Parcel!$C$38=1,AQ14+Parcel!$C$40,0)*AN14</f>
        <v/>
      </c>
      <c r="AU14" s="14">
        <f>AS14*Parcel!$C$38</f>
        <v/>
      </c>
      <c r="AV14" s="15">
        <f>IF(AND(Parcel!$C$38=0,Use_Library!$K$13="N",AS14&gt;=Location!$C$30),1,0)*AN14</f>
        <v/>
      </c>
      <c r="AW14" s="15">
        <f>IF(Parcel!$C$39=1,AQ14+Parcel!$C$41,0)*AN14</f>
        <v/>
      </c>
      <c r="AX14" s="14">
        <f>AS14*Parcel!$C$39</f>
        <v/>
      </c>
      <c r="AY14" s="14">
        <f>IF(Parcel!$C$39=0,AK14*Use_Library!$W$13,0)*AN14</f>
        <v/>
      </c>
      <c r="AZ14" s="15">
        <f>IF(Parcel!$C$39=0,AK14*Use_Library!$Y$13,0)*AN14</f>
        <v/>
      </c>
      <c r="BA14" s="15">
        <f>IF(AND(Use_Library!$K$13="N",AZ14&gt;Location!$C$28),1,0)</f>
        <v/>
      </c>
      <c r="BB14" s="14">
        <f>IF(AND(Parcel!$C$38=0,AV14=0),AK14*Use_Library!$X$13,0)*AN14</f>
        <v/>
      </c>
      <c r="BC14" s="14">
        <f>AH14*Parcel!$C$18*Use_Library!$AA$13*AN14</f>
        <v/>
      </c>
      <c r="BD14" s="14">
        <f>AH14*Use_Library!$AA$13*AN14</f>
        <v/>
      </c>
      <c r="BE14" s="15">
        <f>IF(Use_Library!$C$13="For-Sale",IF(Use_Library!$E$13="Y",AK14,1),1)*AM14</f>
        <v/>
      </c>
      <c r="BF14" s="15">
        <f>IF(OR(Use_Library!$F$13="RES-SF",Use_Library!$F$13="RES-ATT",Use_Library!$F$13="RES-MF",Use_Library!$F$13="MH"),1,0)</f>
        <v/>
      </c>
      <c r="BG14" s="20">
        <f>Cost_Library!$J$5*Location!$C$9*AM14</f>
        <v/>
      </c>
      <c r="BH14" s="20">
        <f>BE14*Cost_Library!$J$6*Location!$C$9</f>
        <v/>
      </c>
      <c r="BI14" s="20">
        <f>BD14*Cost_Library!$J$7*Location!$C$9</f>
        <v/>
      </c>
      <c r="BJ14" s="20">
        <f>Cost_Library!$J$8*Location!$C$9*AN14*IF(Use_Library!$AA$13&gt;=0.5,1,0)</f>
        <v/>
      </c>
      <c r="BK14" s="20">
        <f>AY14*Cost_Library!$J$9*Location!$C$9</f>
        <v/>
      </c>
      <c r="BL14" s="20">
        <f>BA14*Cost_Library!$J$10*Location!$C$9</f>
        <v/>
      </c>
      <c r="BM14" s="20">
        <f>Cost_Library!$J$11*Location!$C$9*AM14</f>
        <v/>
      </c>
      <c r="BN14" s="20">
        <f>Cost_Library!$J$12*Location!$C$9*AN14*IF(Use_Library!$AB$13="Y",1,0)</f>
        <v/>
      </c>
      <c r="BO14" s="20">
        <f>Use_Effective!$C$13*AM14</f>
        <v/>
      </c>
      <c r="BP14" s="20">
        <f>L14*Location!$C$31*AM14</f>
        <v/>
      </c>
      <c r="BQ14" s="20">
        <f>Cost_Library!$J$13*Location!$C$9*AM14</f>
        <v/>
      </c>
      <c r="BR14" s="20">
        <f>BC14*Cost_Library!$J$14*Location!$C$9</f>
        <v/>
      </c>
      <c r="BS14" s="20">
        <f>BD14*Cost_Library!$J$15*Location!$C$9*Parcel!$C$43</f>
        <v/>
      </c>
      <c r="BT14" s="20">
        <f>AQ14*Cost_Library!$J$16*Location!$C$9</f>
        <v/>
      </c>
      <c r="BU14" s="20">
        <f>AR14*Cost_Library!$J$17*Location!$C$9</f>
        <v/>
      </c>
      <c r="BV14" s="20">
        <f>AG14*Cost_Library!$J$18*Location!$C$9*AN14</f>
        <v/>
      </c>
      <c r="BW14" s="20">
        <f>BD14*Cost_Library!$J$19*Location!$C$9</f>
        <v/>
      </c>
      <c r="BX14" s="20">
        <f>IF(Use_Library!$AZ$13="Y",1,0)*Cost_Library!$J$20*Location!$C$9*AN14</f>
        <v/>
      </c>
      <c r="BY14" s="20">
        <f>AT14*Cost_Library!$J$21*Location!$C$9</f>
        <v/>
      </c>
      <c r="BZ14" s="20">
        <f>AU14*Cost_Library!$J$22*Location!$C$9</f>
        <v/>
      </c>
      <c r="CA14" s="20">
        <f>AW14*Cost_Library!$J$23*Location!$C$9</f>
        <v/>
      </c>
      <c r="CB14" s="20">
        <f>AX14*Cost_Library!$J$24*Location!$C$9</f>
        <v/>
      </c>
      <c r="CC14" s="20">
        <f>AY14*Cost_Library!$J$25*Location!$C$9*Parcel!$C$44</f>
        <v/>
      </c>
      <c r="CD14" s="20">
        <f>BB14*Cost_Library!$J$26*Location!$C$9</f>
        <v/>
      </c>
      <c r="CE14" s="20">
        <f>AV14*(Cost_Library!$J$27+AS14*Cost_Library!$J$28)*Location!$C$9</f>
        <v/>
      </c>
      <c r="CF14" s="20">
        <f>AQ14*Cost_Library!$J$29*Location!$C$9</f>
        <v/>
      </c>
      <c r="CG14" s="20">
        <f>SUM(BG14:CF14)</f>
        <v/>
      </c>
      <c r="CH14" s="20">
        <f>CG14*Assumptions!$C$9</f>
        <v/>
      </c>
      <c r="CI14" s="20">
        <f>(CG14+CH14)*Org_Profile!$C$17</f>
        <v/>
      </c>
      <c r="CJ14" s="20">
        <f>CG14+CH14+CI14</f>
        <v/>
      </c>
      <c r="CK14" s="20">
        <f>AK14*Use_Effective!$B$13*(1+Org_Profile!$C$17)</f>
        <v/>
      </c>
      <c r="CL14" s="20">
        <f>CK14*(Assumptions!$C$10+Assumptions!$C$11)</f>
        <v/>
      </c>
      <c r="CM14" s="20">
        <f>AK14*Use_Effective!$D$13</f>
        <v/>
      </c>
      <c r="CN14" s="20">
        <f>AK14*Location!$C$21*BF14*AM14</f>
        <v/>
      </c>
      <c r="CO14" s="14">
        <f>Use_Effective!$F$13+L14*Location!$C$32+BA14*Location!$C$29</f>
        <v/>
      </c>
      <c r="CP14" s="14">
        <f>IF(Use_Effective!$P$13&gt;0,IF(Use_Library!$C$13="For-Sale",AK14,AD14)/Use_Effective!$P$13,0)*AM14</f>
        <v/>
      </c>
      <c r="CQ14" s="14">
        <f>IF(AND(Use_Library!$C$13="For-Sale",Use_Effective!$O$13&gt;0),AK14/Use_Effective!$O$13,0)*AM14</f>
        <v/>
      </c>
      <c r="CR14" s="14">
        <f>IF(Use_Library!$C$13="Income",MAX(Use_Library!$AQ$13,IF(Use_Effective!$O$13&gt;0,AK14/Use_Effective!$O$13,0)),0)</f>
        <v/>
      </c>
      <c r="CS14" s="14">
        <f>CO14+CP14</f>
        <v/>
      </c>
      <c r="CT14" s="14">
        <f>CO14+CQ14+CR14</f>
        <v/>
      </c>
      <c r="CU14" s="14">
        <f>CO14+IF(Use_Library!$C$13="Income",CR14,0)</f>
        <v/>
      </c>
      <c r="CV14" s="23">
        <f>Use_Effective!$G$13+Assumptions!$C$25*MAX(0,(CS14-12)/12)</f>
        <v/>
      </c>
      <c r="CW14" s="23">
        <f>Use_Effective!$G$13+Assumptions!$C$25*MAX(0,(CT14-12)/12)</f>
        <v/>
      </c>
      <c r="CX14" s="23">
        <f>Use_Effective!$G$13+Assumptions!$C$25*MAX(0,(CU14-12)/12)</f>
        <v/>
      </c>
      <c r="CY14" s="28">
        <f>1+Location!$C$17+IF(Parcel!$C$26="Y",Location!$C$20,0)</f>
        <v/>
      </c>
      <c r="CZ14" s="28">
        <f>CY14+Location!$C$19*(CO14+CP14/2)/12</f>
        <v/>
      </c>
      <c r="DA14" s="28">
        <f>CY14+Location!$C$19*(CO14+CQ14/2)/12</f>
        <v/>
      </c>
      <c r="DB14" s="28">
        <f>IF(Use_Library!$C$13="Income",DA14,CY14+Location!$C$19*CO14/12)</f>
        <v/>
      </c>
      <c r="DC14" s="28">
        <f>1+Assumptions!$C$15*(Assumptions!$C$16*(CO14+CP14/2)/12*Assumptions!$C$18+Assumptions!$C$17)</f>
        <v/>
      </c>
      <c r="DD14" s="28">
        <f>1+Assumptions!$C$15*(Assumptions!$C$16*((CO14+CQ14/2)/12*Assumptions!$C$18+CR14/12*Assumptions!$C$19)+Assumptions!$C$17)</f>
        <v/>
      </c>
      <c r="DE14" s="28">
        <f>IF(Use_Library!$C$13="Income",DD14,1+Assumptions!$C$15*(Assumptions!$C$16*CO14/12*Assumptions!$C$18+Assumptions!$C$17))</f>
        <v/>
      </c>
      <c r="DF14" s="23">
        <f>Assumptions!$C$13+Location!$C$18</f>
        <v/>
      </c>
      <c r="DG14" s="23">
        <f>Assumptions!$C$12+Location!$C$18</f>
        <v/>
      </c>
      <c r="DH14" s="23">
        <f>Assumptions!$C$14+Location!$C$18</f>
        <v/>
      </c>
      <c r="DI14" s="20">
        <f>AI14*Location!$C$14*(1-DF14)*AM14</f>
        <v/>
      </c>
      <c r="DJ14" s="20">
        <f>IF(Use_Library!$AV$13=1,IF(Use_Library!$C$13="For-Sale",AK14*Use_Effective!$H$13+Parcel!$C$14*AE14*Use_Effective!$J$13,AD14*Use_Effective!$J$13)*(1-DF14)+DI14,0)*AM14</f>
        <v/>
      </c>
      <c r="DK14" s="20">
        <f>(CG14-BU14-CC14-CD14)*(1+Assumptions!$C$9)*(1+Org_Profile!$C$17)</f>
        <v/>
      </c>
      <c r="DL14" s="28">
        <f>CZ14*DC14</f>
        <v/>
      </c>
      <c r="DM14" s="20">
        <f>(Parcel!$C$27*CZ14+DK14)*DC14</f>
        <v/>
      </c>
      <c r="DN14" s="20">
        <f>DJ14-DM14</f>
        <v/>
      </c>
      <c r="DO14" s="38">
        <f>IF(AND(Use_Library!$AV$13=1,AM14=1),MAX(0,((1-CV14)*DJ14-DK14*DC14)/DL14),0)</f>
        <v/>
      </c>
      <c r="DP14" s="20">
        <f>CJ14+CK14+CL14+CM14+CN14</f>
        <v/>
      </c>
      <c r="DQ14" s="28">
        <f>DA14*DD14</f>
        <v/>
      </c>
      <c r="DR14" s="20">
        <f>(Parcel!$C$27*DA14+DP14)*DD14</f>
        <v/>
      </c>
      <c r="DS14" s="20">
        <f>IF(Use_Library!$C$13="Income",AK14*Use_Effective!$K$13,0)</f>
        <v/>
      </c>
      <c r="DT14" s="20">
        <f>DS14*(1+Use_Library!$AL$13)*(1-Use_Effective!$N$13)</f>
        <v/>
      </c>
      <c r="DU14" s="20">
        <f>IF(Use_Library!$C$13="Income",AK14*Use_Effective!$E$13,0)</f>
        <v/>
      </c>
      <c r="DV14" s="20">
        <f>IF(Use_Library!$C$13="Income",Location!$C$15*Location!$C$16*DR14,0)</f>
        <v/>
      </c>
      <c r="DW14" s="20">
        <f>DT14*Use_Library!$AO$13</f>
        <v/>
      </c>
      <c r="DX14" s="20">
        <f>(DU14+DV14)*Use_Library!$AP$13</f>
        <v/>
      </c>
      <c r="DY14" s="20">
        <f>DT14-DU14-DV14-DW14+DX14</f>
        <v/>
      </c>
      <c r="DZ14" s="26">
        <f>Use_Effective!$M$13</f>
        <v/>
      </c>
      <c r="EA14" s="20">
        <f>IF(AND(Use_Library!$C$13="Income",DZ14&gt;0),DY14/DZ14,0)</f>
        <v/>
      </c>
      <c r="EB14" s="39">
        <f>IF(Use_Library!$C$13="Income",-Location!$C$15*Location!$C$16*(1-Use_Library!$AP$13)*DQ14,0)</f>
        <v/>
      </c>
      <c r="EC14" s="23">
        <f>IF(DR14=0,0,DY14/DR14)</f>
        <v/>
      </c>
      <c r="ED14" s="20">
        <f>IF(Use_Library!$AW$13=1,IF(Use_Library!$C$13="Income",EA14*(1-DH14),AK14*Use_Effective!$I$13*(1-DG14))+DI14,0)*AM14</f>
        <v/>
      </c>
      <c r="EE14" s="39">
        <f>IF(AND(Use_Library!$AW$13=1,Use_Library!$C$13="Income",DZ14&gt;0),EB14/DZ14*(1-DH14),0)</f>
        <v/>
      </c>
      <c r="EF14" s="20">
        <f>ED14-DR14</f>
        <v/>
      </c>
      <c r="EG14" s="38">
        <f>IF(AND(Use_Library!$AW$13=1,AM14=1),MAX(0,Parcel!$C$27-((1-CW14)*ED14-DR14)/((1-CW14)*EE14-DQ14)),0)</f>
        <v/>
      </c>
      <c r="EH14" s="20">
        <f>IF(Use_Library!$AX$13=1,IF(Use_Library!$C$13="Income",EA14,IF(DZ14&gt;0,AD14*Use_Effective!$L$13/DZ14,0))+DI14,0)*AM14</f>
        <v/>
      </c>
      <c r="EI14" s="20">
        <f>IF(Use_Library!$C$13="Income",DP14,CJ14)</f>
        <v/>
      </c>
      <c r="EJ14" s="28">
        <f>IF(Use_Library!$C$13="Income",DQ14,DB14*DE14)</f>
        <v/>
      </c>
      <c r="EK14" s="20">
        <f>IF(Use_Library!$C$13="Income",DR14,(Parcel!$C$27*DB14+CJ14)*DE14)</f>
        <v/>
      </c>
      <c r="EL14" s="39">
        <f>IF(AND(Use_Library!$AX$13=1,Use_Library!$C$13="Income",DZ14&gt;0),EB14/DZ14,0)</f>
        <v/>
      </c>
      <c r="EM14" s="20">
        <f>EH14-EK14</f>
        <v/>
      </c>
      <c r="EN14" s="38">
        <f>IF(AND(Use_Library!$AX$13=1,AM14=1),MAX(0,Parcel!$C$27-((1-CX14)*EH14-EK14)/((1-CX14)*EL14-EJ14)),0)</f>
        <v/>
      </c>
      <c r="EO14" s="20">
        <f>IF(Use_Library!$C$13="Income",Assumptions!$C$15*(Parcel!$C$27*DA14+DP14),0)</f>
        <v/>
      </c>
      <c r="EP14" s="20">
        <f>IF(AND(Use_Library!$C$13="Income",DY14&gt;0),MIN(Assumptions!$C$20*EA14,PV(Assumptions!$C$23/12,Assumptions!$C$24*12,-DY14/Assumptions!$C$21/12),DY14/Assumptions!$C$22),0)</f>
        <v/>
      </c>
      <c r="EQ14" s="27">
        <f>IF(EP14=0,0,DY14/(-PMT(Assumptions!$C$23/12,Assumptions!$C$24*12,EP14)*12))</f>
        <v/>
      </c>
      <c r="ER14" s="20">
        <f>EP14-EO14</f>
        <v/>
      </c>
      <c r="ES14" s="19">
        <f>MAX(DO14,EG14,EN14)</f>
        <v/>
      </c>
      <c r="ET14" s="15">
        <f>IF(ES14&lt;=0,0,IF(DO14=ES14,1,IF(EG14=ES14,2,3)))</f>
        <v/>
      </c>
      <c r="EU14" s="9">
        <f>CHOOSE(ET14+1,"None works","Land / pad sale","Build &amp; sell","Build &amp; hold / lease")</f>
        <v/>
      </c>
      <c r="EV14" s="15">
        <f>CHOOSE(ET14+1,0,CS14,CT14,CU14)</f>
        <v/>
      </c>
      <c r="EW14" s="20">
        <f>ES14*(1-Assumptions!$C$26)</f>
        <v/>
      </c>
      <c r="EX14" s="20">
        <f>ES14-Parcel!$C$27</f>
        <v/>
      </c>
      <c r="EY14" s="20">
        <f>IF(Parcel!$C$14=0,0,ES14/Parcel!$C$14)</f>
        <v/>
      </c>
      <c r="EZ14" s="36">
        <f>IF(AK14=0,0,ES14/AK14)</f>
        <v/>
      </c>
      <c r="FA14" s="9">
        <f>IF(ES14&lt;=0,"Pass",IF(ES14&gt;=Parcel!$C$27*Assumptions!$C$27,"Strong",IF(ES14&gt;=Parcel!$C$27,"Works at asking",IF(ES14&gt;=Parcel!$C$27*Assumptions!$C$28,"Negotiate","Pass"))))</f>
        <v/>
      </c>
      <c r="FB14" s="9">
        <f>IF(AM14=0,"",IF(Use_Library!$BH$13="Y",IF(Use_Effective!$AF$13&gt;=3,"High","Medium"),"Low - verify location"))</f>
        <v/>
      </c>
      <c r="FC14" s="9">
        <f>IF(AND(Use_Library!$BH$13="N",AM14=1),Use_Library!$BI$13,"")</f>
        <v/>
      </c>
      <c r="FD14" s="9">
        <f>TRIM(Q14&amp;" "&amp;IF(AND(AM14=0,T14=1),"Nothing fits. ","")&amp;IF(AND(Use_Library!$AZ$13&lt;&gt;"Y",Parcel!$C$19&lt;Use_Library!$AY$13),"Frontage under "&amp;Use_Library!$AY$13&amp;" LF. ","")&amp;IF(Parcel!$C$17&gt;0.15,"Slope over 15%. ","")&amp;IF(AND(AM14=1,AI14&gt;0.5),TEXT(AI14,"0")&amp;" ac not used - resold as raw land. ","")&amp;IF(AND(AM14=1,AC14&lt;1),"Demand caps it at "&amp;TEXT(AK14,"#,##0")&amp;" "&amp;Use_Library!$D$13&amp;". ","")&amp;IF(AND(AM14=1,L14=1),"Rezone required (+"&amp;Location!$C$32&amp;" mo). ","")&amp;IF(AND(AM14=1,BA14=1),"State wastewater permit needed. ","")&amp;IF(AND(AM14=1,AV14=1),"Public water system needed. ","")&amp;AP14&amp;IF(Parcel!$C$16&gt;Assumptions!$C$29,"Floodplain over "&amp;TEXT(Assumptions!$C$29,"0%")&amp;". ","")&amp;IF(AND(AM14=1,EV14&gt;60),"Over 5 years to exit. ",""))</f>
        <v/>
      </c>
      <c r="FE14" s="20">
        <f>IF(AND(Org_Profile!$C$5="My uses",E14=0),-1E+9,ES14)+ROW()/1000000</f>
        <v/>
      </c>
    </row>
    <row r="15">
      <c r="A15" s="4">
        <f>Use_Library!$A$14</f>
        <v/>
      </c>
      <c r="B15" s="9">
        <f>Use_Library!$C$14</f>
        <v/>
      </c>
      <c r="C15" s="9">
        <f>Use_Library!$D$14</f>
        <v/>
      </c>
      <c r="D15" s="9">
        <f>Use_Library!$F$14</f>
        <v/>
      </c>
      <c r="E15" s="15">
        <f>IF(Org_Profile!$C$31="Y",1,0)</f>
        <v/>
      </c>
      <c r="F15" s="14">
        <f>MAX(0,Parcel!$C$37*(1-Use_Library!$N$14-IF(Use_Library!$AB$14="Y",Assumptions!$C$7,0)))</f>
        <v/>
      </c>
      <c r="G15" s="14">
        <f>IF(Use_Library!$M$14&gt;0,MIN(F15,Use_Library!$M$14),F15)</f>
        <v/>
      </c>
      <c r="H15" s="23">
        <f>IF(F15=0,0,G15/F15)</f>
        <v/>
      </c>
      <c r="I15" s="14">
        <f>Parcel!$C$37*H15</f>
        <v/>
      </c>
      <c r="J15" s="9">
        <f>IF(ISNUMBER(SEARCH(","&amp;Use_Library!$F$14&amp;",",","&amp;SUBSTITUTE(Parcel!$C$11," ","")&amp;",")),"Deed restricted",IF(Parcel!$C$46=0,"No zoning",IF(ISNUMBER(SEARCH(","&amp;Use_Library!$F$14&amp;",",","&amp;SUBSTITUTE(Parcel!$C$10," ","")&amp;",")),"By right",IF(OR(TRIM(Parcel!$C$12)="*",ISNUMBER(SEARCH(","&amp;Use_Library!$F$14&amp;",",","&amp;SUBSTITUTE(Parcel!$C$12," ","")&amp;","))),"Rezone required","Prohibited by zoning"))))</f>
        <v/>
      </c>
      <c r="K15" s="15">
        <f>IF(OR(J15="Deed restricted",J15="Prohibited by zoning"),0,1)</f>
        <v/>
      </c>
      <c r="L15" s="15">
        <f>IF(J15="Rezone required",1,0)</f>
        <v/>
      </c>
      <c r="M15" s="15">
        <f>IF(Parcel!$C$20="None",0,IF(AND(Parcel!$C$20="Private easement",Use_Library!$BA$14="Y"),0,1))</f>
        <v/>
      </c>
      <c r="N15" s="15">
        <f>IF(AND(Use_Library!$AZ$14="Y",Parcel!$C$19&lt;Use_Library!$AY$14),0,1)</f>
        <v/>
      </c>
      <c r="O15" s="15">
        <f>IF(AND(Use_Library!$T$14="Y",Parcel!$C$39=0),0,1)</f>
        <v/>
      </c>
      <c r="P15" s="15">
        <f>IF(AND(Use_Library!$U$14="Y",Parcel!$C$38=0),0,1)</f>
        <v/>
      </c>
      <c r="Q15" s="9">
        <f>TRIM(IF(AND(Use_Library!$BB$14&gt;0,Parcel!$C$28&lt;Use_Library!$BB$14),"Traffic under "&amp;TEXT(Use_Library!$BB$14,"#,##0")&amp;" VPD. ","")&amp;IF(AND(Use_Library!$BC$14&gt;0,Parcel!$C$29&lt;Use_Library!$BC$14),"Under "&amp;TEXT(Use_Library!$BC$14,"#,##0")&amp;" households in 3 mi. ","")&amp;IF(AND(Use_Library!$BD$14&gt;0,Parcel!$C$31&gt;Use_Library!$BD$14),"Over "&amp;Use_Library!$BD$14&amp;" mi to highway. ","")&amp;IF(AND(Use_Library!$BE$14="Y",Parcel!$C$32&lt;&gt;"Y"),"Needs a corner. ","")&amp;IF(AND(Use_Library!$BF$14&gt;0,Parcel!$C$33&gt;Use_Library!$BF$14),"Over "&amp;Use_Library!$BF$14&amp;" mi to substation. ","")&amp;IF(AND(Use_Library!$BG$14&gt;0,Parcel!$C$34&gt;Use_Library!$BG$14),"Over "&amp;Use_Library!$BG$14&amp;" mi to a major employer. ",""))</f>
        <v/>
      </c>
      <c r="R15" s="15">
        <f>IF(Q15="",1,0)</f>
        <v/>
      </c>
      <c r="S15" s="15">
        <f>IF(F15&gt;=Use_Library!$L$14,1,0)</f>
        <v/>
      </c>
      <c r="T15" s="15">
        <f>K15*M15*N15*O15*P15*R15*S15</f>
        <v/>
      </c>
      <c r="U15" s="14">
        <f>IF(Use_Library!$G$14&gt;0,I15*Use_Library!$G$14,1E+9)</f>
        <v/>
      </c>
      <c r="V15" s="14">
        <f>IF(Use_Library!$H$14&gt;0,G15*43560/Use_Library!$H$14,1E+9)</f>
        <v/>
      </c>
      <c r="W15" s="14">
        <f>IF(AND(Use_Library!$K$14="Y",Parcel!$C$39=0),G15*(1-Assumptions!$C$8)/IF(Parcel!$C$38=1,Location!$C$25,Location!$C$26),1E+9)</f>
        <v/>
      </c>
      <c r="X15" s="14">
        <f>IF(Use_Library!$I$14&gt;0,Parcel!$C$14*H15/Use_Library!$I$14,1E+9)</f>
        <v/>
      </c>
      <c r="Y15" s="14">
        <f>IF(Use_Library!$J$14&gt;0,Parcel!$C$19/Use_Library!$J$14,1E+9)</f>
        <v/>
      </c>
      <c r="Z15" s="14">
        <f>IF(AND(Parcel!$C$39=0,Use_Library!$K$14="N",Use_Library!$Y$14&gt;0,Use_Library!$Z$14="Y"),G15*Location!$C$27*Parcel!$C$45/Use_Library!$Y$14,1E+9)</f>
        <v/>
      </c>
      <c r="AA15" s="14">
        <f>MIN(U15,V15,W15,X15,Y15,Z15)</f>
        <v/>
      </c>
      <c r="AB15" s="14">
        <f>IF(Use_Library!$O$14&gt;0,IF(Use_Library!$P$14&gt;=10,Parcel!$C$30,Parcel!$C$29)*Use_Library!$O$14*Use_Library!$Q$14,1E+9)</f>
        <v/>
      </c>
      <c r="AC15" s="23">
        <f>IF(OR(AA15&gt;=1E+9,AA15&lt;=0),1,MIN(1,AB15/AA15))</f>
        <v/>
      </c>
      <c r="AD15" s="14">
        <f>G15*AC15</f>
        <v/>
      </c>
      <c r="AE15" s="23">
        <f>IF(F15=0,0,AD15/F15)</f>
        <v/>
      </c>
      <c r="AF15" s="14">
        <f>Parcel!$C$37*AE15</f>
        <v/>
      </c>
      <c r="AG15" s="14">
        <f>AF15*IF(Use_Library!$AB$14="Y",Assumptions!$C$7,0)</f>
        <v/>
      </c>
      <c r="AH15" s="14">
        <f>AF15*(1-Use_Library!$N$14)</f>
        <v/>
      </c>
      <c r="AI15" s="14">
        <f>Parcel!$C$14*(1-AE15)</f>
        <v/>
      </c>
      <c r="AJ15" s="14">
        <f>MIN(AA15,AB15)</f>
        <v/>
      </c>
      <c r="AK15" s="25">
        <f>IF(T15=0,0,IF(AJ15&gt;=1E+9,AD15,IF(Use_Library!$E$14="Y",INT(AJ15+1E-9),AJ15)))</f>
        <v/>
      </c>
      <c r="AL15" s="9">
        <f>IF(M15=0,"No public road access",IF(K15=0,J15,IF(R15=0,"Location fails",IF(N15=0,"Frontage under "&amp;Use_Library!$AY$14&amp;" LF",IF(S15=0,"Too small - needs "&amp;Use_Library!$L$14&amp;" usable ac",IF(O15=0,"Needs public sewer",IF(P15=0,"Needs public water",IF(AJ15&gt;=1E+9,"Usable acres",IF(AB15&lt;=AA15,"Market demand",IF(W15=AA15,"Septic lot size",IF(Z15=AA15,"Septic capacity (gal/day)",IF(X15=AA15,"Min lot size",IF(Y15=AA15,"Road frontage",IF(V15=AA15,"Site area / parking","Density"))))))))))))))</f>
        <v/>
      </c>
      <c r="AM15" s="15">
        <f>IF(AK15&gt;0,1,0)</f>
        <v/>
      </c>
      <c r="AN15" s="15">
        <f>IF(Use_Library!$Z$14="Y",1,0)*AM15</f>
        <v/>
      </c>
      <c r="AO15" s="14">
        <f>IF(Parcel!$C$39=0,MIN(U15,V15,X15,Y15,AB15),0)</f>
        <v/>
      </c>
      <c r="AP15" s="9">
        <f>IF(AND(Parcel!$C$39=0,M15*K15*R15*N15*S15*P15=1,AO15&lt;1E+9,AO15&gt;=MAX(1,AK15)*1.25),"Unlock: sewer or package plant allows ~"&amp;TEXT(INT(AO15),"#,##0")&amp;" "&amp;Use_Library!$D$14&amp;". ","")</f>
        <v/>
      </c>
      <c r="AQ15" s="15">
        <f>AK15*Use_Library!$AC$14*AN15</f>
        <v/>
      </c>
      <c r="AR15" s="15">
        <f>AK15*Use_Library!$AD$14*AN15</f>
        <v/>
      </c>
      <c r="AS15" s="14">
        <f>AK15*Use_Library!$V$14*AN15</f>
        <v/>
      </c>
      <c r="AT15" s="15">
        <f>IF(Parcel!$C$38=1,AQ15+Parcel!$C$40,0)*AN15</f>
        <v/>
      </c>
      <c r="AU15" s="14">
        <f>AS15*Parcel!$C$38</f>
        <v/>
      </c>
      <c r="AV15" s="15">
        <f>IF(AND(Parcel!$C$38=0,Use_Library!$K$14="N",AS15&gt;=Location!$C$30),1,0)*AN15</f>
        <v/>
      </c>
      <c r="AW15" s="15">
        <f>IF(Parcel!$C$39=1,AQ15+Parcel!$C$41,0)*AN15</f>
        <v/>
      </c>
      <c r="AX15" s="14">
        <f>AS15*Parcel!$C$39</f>
        <v/>
      </c>
      <c r="AY15" s="14">
        <f>IF(Parcel!$C$39=0,AK15*Use_Library!$W$14,0)*AN15</f>
        <v/>
      </c>
      <c r="AZ15" s="15">
        <f>IF(Parcel!$C$39=0,AK15*Use_Library!$Y$14,0)*AN15</f>
        <v/>
      </c>
      <c r="BA15" s="15">
        <f>IF(AND(Use_Library!$K$14="N",AZ15&gt;Location!$C$28),1,0)</f>
        <v/>
      </c>
      <c r="BB15" s="14">
        <f>IF(AND(Parcel!$C$38=0,AV15=0),AK15*Use_Library!$X$14,0)*AN15</f>
        <v/>
      </c>
      <c r="BC15" s="14">
        <f>AH15*Parcel!$C$18*Use_Library!$AA$14*AN15</f>
        <v/>
      </c>
      <c r="BD15" s="14">
        <f>AH15*Use_Library!$AA$14*AN15</f>
        <v/>
      </c>
      <c r="BE15" s="15">
        <f>IF(Use_Library!$C$14="For-Sale",IF(Use_Library!$E$14="Y",AK15,1),1)*AM15</f>
        <v/>
      </c>
      <c r="BF15" s="15">
        <f>IF(OR(Use_Library!$F$14="RES-SF",Use_Library!$F$14="RES-ATT",Use_Library!$F$14="RES-MF",Use_Library!$F$14="MH"),1,0)</f>
        <v/>
      </c>
      <c r="BG15" s="20">
        <f>Cost_Library!$J$5*Location!$C$9*AM15</f>
        <v/>
      </c>
      <c r="BH15" s="20">
        <f>BE15*Cost_Library!$J$6*Location!$C$9</f>
        <v/>
      </c>
      <c r="BI15" s="20">
        <f>BD15*Cost_Library!$J$7*Location!$C$9</f>
        <v/>
      </c>
      <c r="BJ15" s="20">
        <f>Cost_Library!$J$8*Location!$C$9*AN15*IF(Use_Library!$AA$14&gt;=0.5,1,0)</f>
        <v/>
      </c>
      <c r="BK15" s="20">
        <f>AY15*Cost_Library!$J$9*Location!$C$9</f>
        <v/>
      </c>
      <c r="BL15" s="20">
        <f>BA15*Cost_Library!$J$10*Location!$C$9</f>
        <v/>
      </c>
      <c r="BM15" s="20">
        <f>Cost_Library!$J$11*Location!$C$9*AM15</f>
        <v/>
      </c>
      <c r="BN15" s="20">
        <f>Cost_Library!$J$12*Location!$C$9*AN15*IF(Use_Library!$AB$14="Y",1,0)</f>
        <v/>
      </c>
      <c r="BO15" s="20">
        <f>Use_Effective!$C$14*AM15</f>
        <v/>
      </c>
      <c r="BP15" s="20">
        <f>L15*Location!$C$31*AM15</f>
        <v/>
      </c>
      <c r="BQ15" s="20">
        <f>Cost_Library!$J$13*Location!$C$9*AM15</f>
        <v/>
      </c>
      <c r="BR15" s="20">
        <f>BC15*Cost_Library!$J$14*Location!$C$9</f>
        <v/>
      </c>
      <c r="BS15" s="20">
        <f>BD15*Cost_Library!$J$15*Location!$C$9*Parcel!$C$43</f>
        <v/>
      </c>
      <c r="BT15" s="20">
        <f>AQ15*Cost_Library!$J$16*Location!$C$9</f>
        <v/>
      </c>
      <c r="BU15" s="20">
        <f>AR15*Cost_Library!$J$17*Location!$C$9</f>
        <v/>
      </c>
      <c r="BV15" s="20">
        <f>AG15*Cost_Library!$J$18*Location!$C$9*AN15</f>
        <v/>
      </c>
      <c r="BW15" s="20">
        <f>BD15*Cost_Library!$J$19*Location!$C$9</f>
        <v/>
      </c>
      <c r="BX15" s="20">
        <f>IF(Use_Library!$AZ$14="Y",1,0)*Cost_Library!$J$20*Location!$C$9*AN15</f>
        <v/>
      </c>
      <c r="BY15" s="20">
        <f>AT15*Cost_Library!$J$21*Location!$C$9</f>
        <v/>
      </c>
      <c r="BZ15" s="20">
        <f>AU15*Cost_Library!$J$22*Location!$C$9</f>
        <v/>
      </c>
      <c r="CA15" s="20">
        <f>AW15*Cost_Library!$J$23*Location!$C$9</f>
        <v/>
      </c>
      <c r="CB15" s="20">
        <f>AX15*Cost_Library!$J$24*Location!$C$9</f>
        <v/>
      </c>
      <c r="CC15" s="20">
        <f>AY15*Cost_Library!$J$25*Location!$C$9*Parcel!$C$44</f>
        <v/>
      </c>
      <c r="CD15" s="20">
        <f>BB15*Cost_Library!$J$26*Location!$C$9</f>
        <v/>
      </c>
      <c r="CE15" s="20">
        <f>AV15*(Cost_Library!$J$27+AS15*Cost_Library!$J$28)*Location!$C$9</f>
        <v/>
      </c>
      <c r="CF15" s="20">
        <f>AQ15*Cost_Library!$J$29*Location!$C$9</f>
        <v/>
      </c>
      <c r="CG15" s="20">
        <f>SUM(BG15:CF15)</f>
        <v/>
      </c>
      <c r="CH15" s="20">
        <f>CG15*Assumptions!$C$9</f>
        <v/>
      </c>
      <c r="CI15" s="20">
        <f>(CG15+CH15)*Org_Profile!$C$17</f>
        <v/>
      </c>
      <c r="CJ15" s="20">
        <f>CG15+CH15+CI15</f>
        <v/>
      </c>
      <c r="CK15" s="20">
        <f>AK15*Use_Effective!$B$14*(1+Org_Profile!$C$17)</f>
        <v/>
      </c>
      <c r="CL15" s="20">
        <f>CK15*(Assumptions!$C$10+Assumptions!$C$11)</f>
        <v/>
      </c>
      <c r="CM15" s="20">
        <f>AK15*Use_Effective!$D$14</f>
        <v/>
      </c>
      <c r="CN15" s="20">
        <f>AK15*Location!$C$21*BF15*AM15</f>
        <v/>
      </c>
      <c r="CO15" s="14">
        <f>Use_Effective!$F$14+L15*Location!$C$32+BA15*Location!$C$29</f>
        <v/>
      </c>
      <c r="CP15" s="14">
        <f>IF(Use_Effective!$P$14&gt;0,IF(Use_Library!$C$14="For-Sale",AK15,AD15)/Use_Effective!$P$14,0)*AM15</f>
        <v/>
      </c>
      <c r="CQ15" s="14">
        <f>IF(AND(Use_Library!$C$14="For-Sale",Use_Effective!$O$14&gt;0),AK15/Use_Effective!$O$14,0)*AM15</f>
        <v/>
      </c>
      <c r="CR15" s="14">
        <f>IF(Use_Library!$C$14="Income",MAX(Use_Library!$AQ$14,IF(Use_Effective!$O$14&gt;0,AK15/Use_Effective!$O$14,0)),0)</f>
        <v/>
      </c>
      <c r="CS15" s="14">
        <f>CO15+CP15</f>
        <v/>
      </c>
      <c r="CT15" s="14">
        <f>CO15+CQ15+CR15</f>
        <v/>
      </c>
      <c r="CU15" s="14">
        <f>CO15+IF(Use_Library!$C$14="Income",CR15,0)</f>
        <v/>
      </c>
      <c r="CV15" s="23">
        <f>Use_Effective!$G$14+Assumptions!$C$25*MAX(0,(CS15-12)/12)</f>
        <v/>
      </c>
      <c r="CW15" s="23">
        <f>Use_Effective!$G$14+Assumptions!$C$25*MAX(0,(CT15-12)/12)</f>
        <v/>
      </c>
      <c r="CX15" s="23">
        <f>Use_Effective!$G$14+Assumptions!$C$25*MAX(0,(CU15-12)/12)</f>
        <v/>
      </c>
      <c r="CY15" s="28">
        <f>1+Location!$C$17+IF(Parcel!$C$26="Y",Location!$C$20,0)</f>
        <v/>
      </c>
      <c r="CZ15" s="28">
        <f>CY15+Location!$C$19*(CO15+CP15/2)/12</f>
        <v/>
      </c>
      <c r="DA15" s="28">
        <f>CY15+Location!$C$19*(CO15+CQ15/2)/12</f>
        <v/>
      </c>
      <c r="DB15" s="28">
        <f>IF(Use_Library!$C$14="Income",DA15,CY15+Location!$C$19*CO15/12)</f>
        <v/>
      </c>
      <c r="DC15" s="28">
        <f>1+Assumptions!$C$15*(Assumptions!$C$16*(CO15+CP15/2)/12*Assumptions!$C$18+Assumptions!$C$17)</f>
        <v/>
      </c>
      <c r="DD15" s="28">
        <f>1+Assumptions!$C$15*(Assumptions!$C$16*((CO15+CQ15/2)/12*Assumptions!$C$18+CR15/12*Assumptions!$C$19)+Assumptions!$C$17)</f>
        <v/>
      </c>
      <c r="DE15" s="28">
        <f>IF(Use_Library!$C$14="Income",DD15,1+Assumptions!$C$15*(Assumptions!$C$16*CO15/12*Assumptions!$C$18+Assumptions!$C$17))</f>
        <v/>
      </c>
      <c r="DF15" s="23">
        <f>Assumptions!$C$13+Location!$C$18</f>
        <v/>
      </c>
      <c r="DG15" s="23">
        <f>Assumptions!$C$12+Location!$C$18</f>
        <v/>
      </c>
      <c r="DH15" s="23">
        <f>Assumptions!$C$14+Location!$C$18</f>
        <v/>
      </c>
      <c r="DI15" s="20">
        <f>AI15*Location!$C$14*(1-DF15)*AM15</f>
        <v/>
      </c>
      <c r="DJ15" s="20">
        <f>IF(Use_Library!$AV$14=1,IF(Use_Library!$C$14="For-Sale",AK15*Use_Effective!$H$14+Parcel!$C$14*AE15*Use_Effective!$J$14,AD15*Use_Effective!$J$14)*(1-DF15)+DI15,0)*AM15</f>
        <v/>
      </c>
      <c r="DK15" s="20">
        <f>(CG15-BU15-CC15-CD15)*(1+Assumptions!$C$9)*(1+Org_Profile!$C$17)</f>
        <v/>
      </c>
      <c r="DL15" s="28">
        <f>CZ15*DC15</f>
        <v/>
      </c>
      <c r="DM15" s="20">
        <f>(Parcel!$C$27*CZ15+DK15)*DC15</f>
        <v/>
      </c>
      <c r="DN15" s="20">
        <f>DJ15-DM15</f>
        <v/>
      </c>
      <c r="DO15" s="38">
        <f>IF(AND(Use_Library!$AV$14=1,AM15=1),MAX(0,((1-CV15)*DJ15-DK15*DC15)/DL15),0)</f>
        <v/>
      </c>
      <c r="DP15" s="20">
        <f>CJ15+CK15+CL15+CM15+CN15</f>
        <v/>
      </c>
      <c r="DQ15" s="28">
        <f>DA15*DD15</f>
        <v/>
      </c>
      <c r="DR15" s="20">
        <f>(Parcel!$C$27*DA15+DP15)*DD15</f>
        <v/>
      </c>
      <c r="DS15" s="20">
        <f>IF(Use_Library!$C$14="Income",AK15*Use_Effective!$K$14,0)</f>
        <v/>
      </c>
      <c r="DT15" s="20">
        <f>DS15*(1+Use_Library!$AL$14)*(1-Use_Effective!$N$14)</f>
        <v/>
      </c>
      <c r="DU15" s="20">
        <f>IF(Use_Library!$C$14="Income",AK15*Use_Effective!$E$14,0)</f>
        <v/>
      </c>
      <c r="DV15" s="20">
        <f>IF(Use_Library!$C$14="Income",Location!$C$15*Location!$C$16*DR15,0)</f>
        <v/>
      </c>
      <c r="DW15" s="20">
        <f>DT15*Use_Library!$AO$14</f>
        <v/>
      </c>
      <c r="DX15" s="20">
        <f>(DU15+DV15)*Use_Library!$AP$14</f>
        <v/>
      </c>
      <c r="DY15" s="20">
        <f>DT15-DU15-DV15-DW15+DX15</f>
        <v/>
      </c>
      <c r="DZ15" s="26">
        <f>Use_Effective!$M$14</f>
        <v/>
      </c>
      <c r="EA15" s="20">
        <f>IF(AND(Use_Library!$C$14="Income",DZ15&gt;0),DY15/DZ15,0)</f>
        <v/>
      </c>
      <c r="EB15" s="39">
        <f>IF(Use_Library!$C$14="Income",-Location!$C$15*Location!$C$16*(1-Use_Library!$AP$14)*DQ15,0)</f>
        <v/>
      </c>
      <c r="EC15" s="23">
        <f>IF(DR15=0,0,DY15/DR15)</f>
        <v/>
      </c>
      <c r="ED15" s="20">
        <f>IF(Use_Library!$AW$14=1,IF(Use_Library!$C$14="Income",EA15*(1-DH15),AK15*Use_Effective!$I$14*(1-DG15))+DI15,0)*AM15</f>
        <v/>
      </c>
      <c r="EE15" s="39">
        <f>IF(AND(Use_Library!$AW$14=1,Use_Library!$C$14="Income",DZ15&gt;0),EB15/DZ15*(1-DH15),0)</f>
        <v/>
      </c>
      <c r="EF15" s="20">
        <f>ED15-DR15</f>
        <v/>
      </c>
      <c r="EG15" s="38">
        <f>IF(AND(Use_Library!$AW$14=1,AM15=1),MAX(0,Parcel!$C$27-((1-CW15)*ED15-DR15)/((1-CW15)*EE15-DQ15)),0)</f>
        <v/>
      </c>
      <c r="EH15" s="20">
        <f>IF(Use_Library!$AX$14=1,IF(Use_Library!$C$14="Income",EA15,IF(DZ15&gt;0,AD15*Use_Effective!$L$14/DZ15,0))+DI15,0)*AM15</f>
        <v/>
      </c>
      <c r="EI15" s="20">
        <f>IF(Use_Library!$C$14="Income",DP15,CJ15)</f>
        <v/>
      </c>
      <c r="EJ15" s="28">
        <f>IF(Use_Library!$C$14="Income",DQ15,DB15*DE15)</f>
        <v/>
      </c>
      <c r="EK15" s="20">
        <f>IF(Use_Library!$C$14="Income",DR15,(Parcel!$C$27*DB15+CJ15)*DE15)</f>
        <v/>
      </c>
      <c r="EL15" s="39">
        <f>IF(AND(Use_Library!$AX$14=1,Use_Library!$C$14="Income",DZ15&gt;0),EB15/DZ15,0)</f>
        <v/>
      </c>
      <c r="EM15" s="20">
        <f>EH15-EK15</f>
        <v/>
      </c>
      <c r="EN15" s="38">
        <f>IF(AND(Use_Library!$AX$14=1,AM15=1),MAX(0,Parcel!$C$27-((1-CX15)*EH15-EK15)/((1-CX15)*EL15-EJ15)),0)</f>
        <v/>
      </c>
      <c r="EO15" s="20">
        <f>IF(Use_Library!$C$14="Income",Assumptions!$C$15*(Parcel!$C$27*DA15+DP15),0)</f>
        <v/>
      </c>
      <c r="EP15" s="20">
        <f>IF(AND(Use_Library!$C$14="Income",DY15&gt;0),MIN(Assumptions!$C$20*EA15,PV(Assumptions!$C$23/12,Assumptions!$C$24*12,-DY15/Assumptions!$C$21/12),DY15/Assumptions!$C$22),0)</f>
        <v/>
      </c>
      <c r="EQ15" s="27">
        <f>IF(EP15=0,0,DY15/(-PMT(Assumptions!$C$23/12,Assumptions!$C$24*12,EP15)*12))</f>
        <v/>
      </c>
      <c r="ER15" s="20">
        <f>EP15-EO15</f>
        <v/>
      </c>
      <c r="ES15" s="19">
        <f>MAX(DO15,EG15,EN15)</f>
        <v/>
      </c>
      <c r="ET15" s="15">
        <f>IF(ES15&lt;=0,0,IF(DO15=ES15,1,IF(EG15=ES15,2,3)))</f>
        <v/>
      </c>
      <c r="EU15" s="9">
        <f>CHOOSE(ET15+1,"None works","Land / pad sale","Build &amp; sell","Build &amp; hold / lease")</f>
        <v/>
      </c>
      <c r="EV15" s="15">
        <f>CHOOSE(ET15+1,0,CS15,CT15,CU15)</f>
        <v/>
      </c>
      <c r="EW15" s="20">
        <f>ES15*(1-Assumptions!$C$26)</f>
        <v/>
      </c>
      <c r="EX15" s="20">
        <f>ES15-Parcel!$C$27</f>
        <v/>
      </c>
      <c r="EY15" s="20">
        <f>IF(Parcel!$C$14=0,0,ES15/Parcel!$C$14)</f>
        <v/>
      </c>
      <c r="EZ15" s="36">
        <f>IF(AK15=0,0,ES15/AK15)</f>
        <v/>
      </c>
      <c r="FA15" s="9">
        <f>IF(ES15&lt;=0,"Pass",IF(ES15&gt;=Parcel!$C$27*Assumptions!$C$27,"Strong",IF(ES15&gt;=Parcel!$C$27,"Works at asking",IF(ES15&gt;=Parcel!$C$27*Assumptions!$C$28,"Negotiate","Pass"))))</f>
        <v/>
      </c>
      <c r="FB15" s="9">
        <f>IF(AM15=0,"",IF(Use_Library!$BH$14="Y",IF(Use_Effective!$AF$14&gt;=3,"High","Medium"),"Low - verify location"))</f>
        <v/>
      </c>
      <c r="FC15" s="9">
        <f>IF(AND(Use_Library!$BH$14="N",AM15=1),Use_Library!$BI$14,"")</f>
        <v/>
      </c>
      <c r="FD15" s="9">
        <f>TRIM(Q15&amp;" "&amp;IF(AND(AM15=0,T15=1),"Nothing fits. ","")&amp;IF(AND(Use_Library!$AZ$14&lt;&gt;"Y",Parcel!$C$19&lt;Use_Library!$AY$14),"Frontage under "&amp;Use_Library!$AY$14&amp;" LF. ","")&amp;IF(Parcel!$C$17&gt;0.15,"Slope over 15%. ","")&amp;IF(AND(AM15=1,AI15&gt;0.5),TEXT(AI15,"0")&amp;" ac not used - resold as raw land. ","")&amp;IF(AND(AM15=1,AC15&lt;1),"Demand caps it at "&amp;TEXT(AK15,"#,##0")&amp;" "&amp;Use_Library!$D$14&amp;". ","")&amp;IF(AND(AM15=1,L15=1),"Rezone required (+"&amp;Location!$C$32&amp;" mo). ","")&amp;IF(AND(AM15=1,BA15=1),"State wastewater permit needed. ","")&amp;IF(AND(AM15=1,AV15=1),"Public water system needed. ","")&amp;AP15&amp;IF(Parcel!$C$16&gt;Assumptions!$C$29,"Floodplain over "&amp;TEXT(Assumptions!$C$29,"0%")&amp;". ","")&amp;IF(AND(AM15=1,EV15&gt;60),"Over 5 years to exit. ",""))</f>
        <v/>
      </c>
      <c r="FE15" s="20">
        <f>IF(AND(Org_Profile!$C$5="My uses",E15=0),-1E+9,ES15)+ROW()/1000000</f>
        <v/>
      </c>
    </row>
    <row r="16">
      <c r="A16" s="4">
        <f>Use_Library!$A$15</f>
        <v/>
      </c>
      <c r="B16" s="9">
        <f>Use_Library!$C$15</f>
        <v/>
      </c>
      <c r="C16" s="9">
        <f>Use_Library!$D$15</f>
        <v/>
      </c>
      <c r="D16" s="9">
        <f>Use_Library!$F$15</f>
        <v/>
      </c>
      <c r="E16" s="15">
        <f>IF(Org_Profile!$C$32="Y",1,0)</f>
        <v/>
      </c>
      <c r="F16" s="14">
        <f>MAX(0,Parcel!$C$37*(1-Use_Library!$N$15-IF(Use_Library!$AB$15="Y",Assumptions!$C$7,0)))</f>
        <v/>
      </c>
      <c r="G16" s="14">
        <f>IF(Use_Library!$M$15&gt;0,MIN(F16,Use_Library!$M$15),F16)</f>
        <v/>
      </c>
      <c r="H16" s="23">
        <f>IF(F16=0,0,G16/F16)</f>
        <v/>
      </c>
      <c r="I16" s="14">
        <f>Parcel!$C$37*H16</f>
        <v/>
      </c>
      <c r="J16" s="9">
        <f>IF(ISNUMBER(SEARCH(","&amp;Use_Library!$F$15&amp;",",","&amp;SUBSTITUTE(Parcel!$C$11," ","")&amp;",")),"Deed restricted",IF(Parcel!$C$46=0,"No zoning",IF(ISNUMBER(SEARCH(","&amp;Use_Library!$F$15&amp;",",","&amp;SUBSTITUTE(Parcel!$C$10," ","")&amp;",")),"By right",IF(OR(TRIM(Parcel!$C$12)="*",ISNUMBER(SEARCH(","&amp;Use_Library!$F$15&amp;",",","&amp;SUBSTITUTE(Parcel!$C$12," ","")&amp;","))),"Rezone required","Prohibited by zoning"))))</f>
        <v/>
      </c>
      <c r="K16" s="15">
        <f>IF(OR(J16="Deed restricted",J16="Prohibited by zoning"),0,1)</f>
        <v/>
      </c>
      <c r="L16" s="15">
        <f>IF(J16="Rezone required",1,0)</f>
        <v/>
      </c>
      <c r="M16" s="15">
        <f>IF(Parcel!$C$20="None",0,IF(AND(Parcel!$C$20="Private easement",Use_Library!$BA$15="Y"),0,1))</f>
        <v/>
      </c>
      <c r="N16" s="15">
        <f>IF(AND(Use_Library!$AZ$15="Y",Parcel!$C$19&lt;Use_Library!$AY$15),0,1)</f>
        <v/>
      </c>
      <c r="O16" s="15">
        <f>IF(AND(Use_Library!$T$15="Y",Parcel!$C$39=0),0,1)</f>
        <v/>
      </c>
      <c r="P16" s="15">
        <f>IF(AND(Use_Library!$U$15="Y",Parcel!$C$38=0),0,1)</f>
        <v/>
      </c>
      <c r="Q16" s="9">
        <f>TRIM(IF(AND(Use_Library!$BB$15&gt;0,Parcel!$C$28&lt;Use_Library!$BB$15),"Traffic under "&amp;TEXT(Use_Library!$BB$15,"#,##0")&amp;" VPD. ","")&amp;IF(AND(Use_Library!$BC$15&gt;0,Parcel!$C$29&lt;Use_Library!$BC$15),"Under "&amp;TEXT(Use_Library!$BC$15,"#,##0")&amp;" households in 3 mi. ","")&amp;IF(AND(Use_Library!$BD$15&gt;0,Parcel!$C$31&gt;Use_Library!$BD$15),"Over "&amp;Use_Library!$BD$15&amp;" mi to highway. ","")&amp;IF(AND(Use_Library!$BE$15="Y",Parcel!$C$32&lt;&gt;"Y"),"Needs a corner. ","")&amp;IF(AND(Use_Library!$BF$15&gt;0,Parcel!$C$33&gt;Use_Library!$BF$15),"Over "&amp;Use_Library!$BF$15&amp;" mi to substation. ","")&amp;IF(AND(Use_Library!$BG$15&gt;0,Parcel!$C$34&gt;Use_Library!$BG$15),"Over "&amp;Use_Library!$BG$15&amp;" mi to a major employer. ",""))</f>
        <v/>
      </c>
      <c r="R16" s="15">
        <f>IF(Q16="",1,0)</f>
        <v/>
      </c>
      <c r="S16" s="15">
        <f>IF(F16&gt;=Use_Library!$L$15,1,0)</f>
        <v/>
      </c>
      <c r="T16" s="15">
        <f>K16*M16*N16*O16*P16*R16*S16</f>
        <v/>
      </c>
      <c r="U16" s="14">
        <f>IF(Use_Library!$G$15&gt;0,I16*Use_Library!$G$15,1E+9)</f>
        <v/>
      </c>
      <c r="V16" s="14">
        <f>IF(Use_Library!$H$15&gt;0,G16*43560/Use_Library!$H$15,1E+9)</f>
        <v/>
      </c>
      <c r="W16" s="14">
        <f>IF(AND(Use_Library!$K$15="Y",Parcel!$C$39=0),G16*(1-Assumptions!$C$8)/IF(Parcel!$C$38=1,Location!$C$25,Location!$C$26),1E+9)</f>
        <v/>
      </c>
      <c r="X16" s="14">
        <f>IF(Use_Library!$I$15&gt;0,Parcel!$C$14*H16/Use_Library!$I$15,1E+9)</f>
        <v/>
      </c>
      <c r="Y16" s="14">
        <f>IF(Use_Library!$J$15&gt;0,Parcel!$C$19/Use_Library!$J$15,1E+9)</f>
        <v/>
      </c>
      <c r="Z16" s="14">
        <f>IF(AND(Parcel!$C$39=0,Use_Library!$K$15="N",Use_Library!$Y$15&gt;0,Use_Library!$Z$15="Y"),G16*Location!$C$27*Parcel!$C$45/Use_Library!$Y$15,1E+9)</f>
        <v/>
      </c>
      <c r="AA16" s="14">
        <f>MIN(U16,V16,W16,X16,Y16,Z16)</f>
        <v/>
      </c>
      <c r="AB16" s="14">
        <f>IF(Use_Library!$O$15&gt;0,IF(Use_Library!$P$15&gt;=10,Parcel!$C$30,Parcel!$C$29)*Use_Library!$O$15*Use_Library!$Q$15,1E+9)</f>
        <v/>
      </c>
      <c r="AC16" s="23">
        <f>IF(OR(AA16&gt;=1E+9,AA16&lt;=0),1,MIN(1,AB16/AA16))</f>
        <v/>
      </c>
      <c r="AD16" s="14">
        <f>G16*AC16</f>
        <v/>
      </c>
      <c r="AE16" s="23">
        <f>IF(F16=0,0,AD16/F16)</f>
        <v/>
      </c>
      <c r="AF16" s="14">
        <f>Parcel!$C$37*AE16</f>
        <v/>
      </c>
      <c r="AG16" s="14">
        <f>AF16*IF(Use_Library!$AB$15="Y",Assumptions!$C$7,0)</f>
        <v/>
      </c>
      <c r="AH16" s="14">
        <f>AF16*(1-Use_Library!$N$15)</f>
        <v/>
      </c>
      <c r="AI16" s="14">
        <f>Parcel!$C$14*(1-AE16)</f>
        <v/>
      </c>
      <c r="AJ16" s="14">
        <f>MIN(AA16,AB16)</f>
        <v/>
      </c>
      <c r="AK16" s="25">
        <f>IF(T16=0,0,IF(AJ16&gt;=1E+9,AD16,IF(Use_Library!$E$15="Y",INT(AJ16+1E-9),AJ16)))</f>
        <v/>
      </c>
      <c r="AL16" s="9">
        <f>IF(M16=0,"No public road access",IF(K16=0,J16,IF(R16=0,"Location fails",IF(N16=0,"Frontage under "&amp;Use_Library!$AY$15&amp;" LF",IF(S16=0,"Too small - needs "&amp;Use_Library!$L$15&amp;" usable ac",IF(O16=0,"Needs public sewer",IF(P16=0,"Needs public water",IF(AJ16&gt;=1E+9,"Usable acres",IF(AB16&lt;=AA16,"Market demand",IF(W16=AA16,"Septic lot size",IF(Z16=AA16,"Septic capacity (gal/day)",IF(X16=AA16,"Min lot size",IF(Y16=AA16,"Road frontage",IF(V16=AA16,"Site area / parking","Density"))))))))))))))</f>
        <v/>
      </c>
      <c r="AM16" s="15">
        <f>IF(AK16&gt;0,1,0)</f>
        <v/>
      </c>
      <c r="AN16" s="15">
        <f>IF(Use_Library!$Z$15="Y",1,0)*AM16</f>
        <v/>
      </c>
      <c r="AO16" s="14">
        <f>IF(Parcel!$C$39=0,MIN(U16,V16,X16,Y16,AB16),0)</f>
        <v/>
      </c>
      <c r="AP16" s="9">
        <f>IF(AND(Parcel!$C$39=0,M16*K16*R16*N16*S16*P16=1,AO16&lt;1E+9,AO16&gt;=MAX(1,AK16)*1.25),"Unlock: sewer or package plant allows ~"&amp;TEXT(INT(AO16),"#,##0")&amp;" "&amp;Use_Library!$D$15&amp;". ","")</f>
        <v/>
      </c>
      <c r="AQ16" s="15">
        <f>AK16*Use_Library!$AC$15*AN16</f>
        <v/>
      </c>
      <c r="AR16" s="15">
        <f>AK16*Use_Library!$AD$15*AN16</f>
        <v/>
      </c>
      <c r="AS16" s="14">
        <f>AK16*Use_Library!$V$15*AN16</f>
        <v/>
      </c>
      <c r="AT16" s="15">
        <f>IF(Parcel!$C$38=1,AQ16+Parcel!$C$40,0)*AN16</f>
        <v/>
      </c>
      <c r="AU16" s="14">
        <f>AS16*Parcel!$C$38</f>
        <v/>
      </c>
      <c r="AV16" s="15">
        <f>IF(AND(Parcel!$C$38=0,Use_Library!$K$15="N",AS16&gt;=Location!$C$30),1,0)*AN16</f>
        <v/>
      </c>
      <c r="AW16" s="15">
        <f>IF(Parcel!$C$39=1,AQ16+Parcel!$C$41,0)*AN16</f>
        <v/>
      </c>
      <c r="AX16" s="14">
        <f>AS16*Parcel!$C$39</f>
        <v/>
      </c>
      <c r="AY16" s="14">
        <f>IF(Parcel!$C$39=0,AK16*Use_Library!$W$15,0)*AN16</f>
        <v/>
      </c>
      <c r="AZ16" s="15">
        <f>IF(Parcel!$C$39=0,AK16*Use_Library!$Y$15,0)*AN16</f>
        <v/>
      </c>
      <c r="BA16" s="15">
        <f>IF(AND(Use_Library!$K$15="N",AZ16&gt;Location!$C$28),1,0)</f>
        <v/>
      </c>
      <c r="BB16" s="14">
        <f>IF(AND(Parcel!$C$38=0,AV16=0),AK16*Use_Library!$X$15,0)*AN16</f>
        <v/>
      </c>
      <c r="BC16" s="14">
        <f>AH16*Parcel!$C$18*Use_Library!$AA$15*AN16</f>
        <v/>
      </c>
      <c r="BD16" s="14">
        <f>AH16*Use_Library!$AA$15*AN16</f>
        <v/>
      </c>
      <c r="BE16" s="15">
        <f>IF(Use_Library!$C$15="For-Sale",IF(Use_Library!$E$15="Y",AK16,1),1)*AM16</f>
        <v/>
      </c>
      <c r="BF16" s="15">
        <f>IF(OR(Use_Library!$F$15="RES-SF",Use_Library!$F$15="RES-ATT",Use_Library!$F$15="RES-MF",Use_Library!$F$15="MH"),1,0)</f>
        <v/>
      </c>
      <c r="BG16" s="20">
        <f>Cost_Library!$J$5*Location!$C$9*AM16</f>
        <v/>
      </c>
      <c r="BH16" s="20">
        <f>BE16*Cost_Library!$J$6*Location!$C$9</f>
        <v/>
      </c>
      <c r="BI16" s="20">
        <f>BD16*Cost_Library!$J$7*Location!$C$9</f>
        <v/>
      </c>
      <c r="BJ16" s="20">
        <f>Cost_Library!$J$8*Location!$C$9*AN16*IF(Use_Library!$AA$15&gt;=0.5,1,0)</f>
        <v/>
      </c>
      <c r="BK16" s="20">
        <f>AY16*Cost_Library!$J$9*Location!$C$9</f>
        <v/>
      </c>
      <c r="BL16" s="20">
        <f>BA16*Cost_Library!$J$10*Location!$C$9</f>
        <v/>
      </c>
      <c r="BM16" s="20">
        <f>Cost_Library!$J$11*Location!$C$9*AM16</f>
        <v/>
      </c>
      <c r="BN16" s="20">
        <f>Cost_Library!$J$12*Location!$C$9*AN16*IF(Use_Library!$AB$15="Y",1,0)</f>
        <v/>
      </c>
      <c r="BO16" s="20">
        <f>Use_Effective!$C$15*AM16</f>
        <v/>
      </c>
      <c r="BP16" s="20">
        <f>L16*Location!$C$31*AM16</f>
        <v/>
      </c>
      <c r="BQ16" s="20">
        <f>Cost_Library!$J$13*Location!$C$9*AM16</f>
        <v/>
      </c>
      <c r="BR16" s="20">
        <f>BC16*Cost_Library!$J$14*Location!$C$9</f>
        <v/>
      </c>
      <c r="BS16" s="20">
        <f>BD16*Cost_Library!$J$15*Location!$C$9*Parcel!$C$43</f>
        <v/>
      </c>
      <c r="BT16" s="20">
        <f>AQ16*Cost_Library!$J$16*Location!$C$9</f>
        <v/>
      </c>
      <c r="BU16" s="20">
        <f>AR16*Cost_Library!$J$17*Location!$C$9</f>
        <v/>
      </c>
      <c r="BV16" s="20">
        <f>AG16*Cost_Library!$J$18*Location!$C$9*AN16</f>
        <v/>
      </c>
      <c r="BW16" s="20">
        <f>BD16*Cost_Library!$J$19*Location!$C$9</f>
        <v/>
      </c>
      <c r="BX16" s="20">
        <f>IF(Use_Library!$AZ$15="Y",1,0)*Cost_Library!$J$20*Location!$C$9*AN16</f>
        <v/>
      </c>
      <c r="BY16" s="20">
        <f>AT16*Cost_Library!$J$21*Location!$C$9</f>
        <v/>
      </c>
      <c r="BZ16" s="20">
        <f>AU16*Cost_Library!$J$22*Location!$C$9</f>
        <v/>
      </c>
      <c r="CA16" s="20">
        <f>AW16*Cost_Library!$J$23*Location!$C$9</f>
        <v/>
      </c>
      <c r="CB16" s="20">
        <f>AX16*Cost_Library!$J$24*Location!$C$9</f>
        <v/>
      </c>
      <c r="CC16" s="20">
        <f>AY16*Cost_Library!$J$25*Location!$C$9*Parcel!$C$44</f>
        <v/>
      </c>
      <c r="CD16" s="20">
        <f>BB16*Cost_Library!$J$26*Location!$C$9</f>
        <v/>
      </c>
      <c r="CE16" s="20">
        <f>AV16*(Cost_Library!$J$27+AS16*Cost_Library!$J$28)*Location!$C$9</f>
        <v/>
      </c>
      <c r="CF16" s="20">
        <f>AQ16*Cost_Library!$J$29*Location!$C$9</f>
        <v/>
      </c>
      <c r="CG16" s="20">
        <f>SUM(BG16:CF16)</f>
        <v/>
      </c>
      <c r="CH16" s="20">
        <f>CG16*Assumptions!$C$9</f>
        <v/>
      </c>
      <c r="CI16" s="20">
        <f>(CG16+CH16)*Org_Profile!$C$17</f>
        <v/>
      </c>
      <c r="CJ16" s="20">
        <f>CG16+CH16+CI16</f>
        <v/>
      </c>
      <c r="CK16" s="20">
        <f>AK16*Use_Effective!$B$15*(1+Org_Profile!$C$17)</f>
        <v/>
      </c>
      <c r="CL16" s="20">
        <f>CK16*(Assumptions!$C$10+Assumptions!$C$11)</f>
        <v/>
      </c>
      <c r="CM16" s="20">
        <f>AK16*Use_Effective!$D$15</f>
        <v/>
      </c>
      <c r="CN16" s="20">
        <f>AK16*Location!$C$21*BF16*AM16</f>
        <v/>
      </c>
      <c r="CO16" s="14">
        <f>Use_Effective!$F$15+L16*Location!$C$32+BA16*Location!$C$29</f>
        <v/>
      </c>
      <c r="CP16" s="14">
        <f>IF(Use_Effective!$P$15&gt;0,IF(Use_Library!$C$15="For-Sale",AK16,AD16)/Use_Effective!$P$15,0)*AM16</f>
        <v/>
      </c>
      <c r="CQ16" s="14">
        <f>IF(AND(Use_Library!$C$15="For-Sale",Use_Effective!$O$15&gt;0),AK16/Use_Effective!$O$15,0)*AM16</f>
        <v/>
      </c>
      <c r="CR16" s="14">
        <f>IF(Use_Library!$C$15="Income",MAX(Use_Library!$AQ$15,IF(Use_Effective!$O$15&gt;0,AK16/Use_Effective!$O$15,0)),0)</f>
        <v/>
      </c>
      <c r="CS16" s="14">
        <f>CO16+CP16</f>
        <v/>
      </c>
      <c r="CT16" s="14">
        <f>CO16+CQ16+CR16</f>
        <v/>
      </c>
      <c r="CU16" s="14">
        <f>CO16+IF(Use_Library!$C$15="Income",CR16,0)</f>
        <v/>
      </c>
      <c r="CV16" s="23">
        <f>Use_Effective!$G$15+Assumptions!$C$25*MAX(0,(CS16-12)/12)</f>
        <v/>
      </c>
      <c r="CW16" s="23">
        <f>Use_Effective!$G$15+Assumptions!$C$25*MAX(0,(CT16-12)/12)</f>
        <v/>
      </c>
      <c r="CX16" s="23">
        <f>Use_Effective!$G$15+Assumptions!$C$25*MAX(0,(CU16-12)/12)</f>
        <v/>
      </c>
      <c r="CY16" s="28">
        <f>1+Location!$C$17+IF(Parcel!$C$26="Y",Location!$C$20,0)</f>
        <v/>
      </c>
      <c r="CZ16" s="28">
        <f>CY16+Location!$C$19*(CO16+CP16/2)/12</f>
        <v/>
      </c>
      <c r="DA16" s="28">
        <f>CY16+Location!$C$19*(CO16+CQ16/2)/12</f>
        <v/>
      </c>
      <c r="DB16" s="28">
        <f>IF(Use_Library!$C$15="Income",DA16,CY16+Location!$C$19*CO16/12)</f>
        <v/>
      </c>
      <c r="DC16" s="28">
        <f>1+Assumptions!$C$15*(Assumptions!$C$16*(CO16+CP16/2)/12*Assumptions!$C$18+Assumptions!$C$17)</f>
        <v/>
      </c>
      <c r="DD16" s="28">
        <f>1+Assumptions!$C$15*(Assumptions!$C$16*((CO16+CQ16/2)/12*Assumptions!$C$18+CR16/12*Assumptions!$C$19)+Assumptions!$C$17)</f>
        <v/>
      </c>
      <c r="DE16" s="28">
        <f>IF(Use_Library!$C$15="Income",DD16,1+Assumptions!$C$15*(Assumptions!$C$16*CO16/12*Assumptions!$C$18+Assumptions!$C$17))</f>
        <v/>
      </c>
      <c r="DF16" s="23">
        <f>Assumptions!$C$13+Location!$C$18</f>
        <v/>
      </c>
      <c r="DG16" s="23">
        <f>Assumptions!$C$12+Location!$C$18</f>
        <v/>
      </c>
      <c r="DH16" s="23">
        <f>Assumptions!$C$14+Location!$C$18</f>
        <v/>
      </c>
      <c r="DI16" s="20">
        <f>AI16*Location!$C$14*(1-DF16)*AM16</f>
        <v/>
      </c>
      <c r="DJ16" s="20">
        <f>IF(Use_Library!$AV$15=1,IF(Use_Library!$C$15="For-Sale",AK16*Use_Effective!$H$15+Parcel!$C$14*AE16*Use_Effective!$J$15,AD16*Use_Effective!$J$15)*(1-DF16)+DI16,0)*AM16</f>
        <v/>
      </c>
      <c r="DK16" s="20">
        <f>(CG16-BU16-CC16-CD16)*(1+Assumptions!$C$9)*(1+Org_Profile!$C$17)</f>
        <v/>
      </c>
      <c r="DL16" s="28">
        <f>CZ16*DC16</f>
        <v/>
      </c>
      <c r="DM16" s="20">
        <f>(Parcel!$C$27*CZ16+DK16)*DC16</f>
        <v/>
      </c>
      <c r="DN16" s="20">
        <f>DJ16-DM16</f>
        <v/>
      </c>
      <c r="DO16" s="38">
        <f>IF(AND(Use_Library!$AV$15=1,AM16=1),MAX(0,((1-CV16)*DJ16-DK16*DC16)/DL16),0)</f>
        <v/>
      </c>
      <c r="DP16" s="20">
        <f>CJ16+CK16+CL16+CM16+CN16</f>
        <v/>
      </c>
      <c r="DQ16" s="28">
        <f>DA16*DD16</f>
        <v/>
      </c>
      <c r="DR16" s="20">
        <f>(Parcel!$C$27*DA16+DP16)*DD16</f>
        <v/>
      </c>
      <c r="DS16" s="20">
        <f>IF(Use_Library!$C$15="Income",AK16*Use_Effective!$K$15,0)</f>
        <v/>
      </c>
      <c r="DT16" s="20">
        <f>DS16*(1+Use_Library!$AL$15)*(1-Use_Effective!$N$15)</f>
        <v/>
      </c>
      <c r="DU16" s="20">
        <f>IF(Use_Library!$C$15="Income",AK16*Use_Effective!$E$15,0)</f>
        <v/>
      </c>
      <c r="DV16" s="20">
        <f>IF(Use_Library!$C$15="Income",Location!$C$15*Location!$C$16*DR16,0)</f>
        <v/>
      </c>
      <c r="DW16" s="20">
        <f>DT16*Use_Library!$AO$15</f>
        <v/>
      </c>
      <c r="DX16" s="20">
        <f>(DU16+DV16)*Use_Library!$AP$15</f>
        <v/>
      </c>
      <c r="DY16" s="20">
        <f>DT16-DU16-DV16-DW16+DX16</f>
        <v/>
      </c>
      <c r="DZ16" s="26">
        <f>Use_Effective!$M$15</f>
        <v/>
      </c>
      <c r="EA16" s="20">
        <f>IF(AND(Use_Library!$C$15="Income",DZ16&gt;0),DY16/DZ16,0)</f>
        <v/>
      </c>
      <c r="EB16" s="39">
        <f>IF(Use_Library!$C$15="Income",-Location!$C$15*Location!$C$16*(1-Use_Library!$AP$15)*DQ16,0)</f>
        <v/>
      </c>
      <c r="EC16" s="23">
        <f>IF(DR16=0,0,DY16/DR16)</f>
        <v/>
      </c>
      <c r="ED16" s="20">
        <f>IF(Use_Library!$AW$15=1,IF(Use_Library!$C$15="Income",EA16*(1-DH16),AK16*Use_Effective!$I$15*(1-DG16))+DI16,0)*AM16</f>
        <v/>
      </c>
      <c r="EE16" s="39">
        <f>IF(AND(Use_Library!$AW$15=1,Use_Library!$C$15="Income",DZ16&gt;0),EB16/DZ16*(1-DH16),0)</f>
        <v/>
      </c>
      <c r="EF16" s="20">
        <f>ED16-DR16</f>
        <v/>
      </c>
      <c r="EG16" s="38">
        <f>IF(AND(Use_Library!$AW$15=1,AM16=1),MAX(0,Parcel!$C$27-((1-CW16)*ED16-DR16)/((1-CW16)*EE16-DQ16)),0)</f>
        <v/>
      </c>
      <c r="EH16" s="20">
        <f>IF(Use_Library!$AX$15=1,IF(Use_Library!$C$15="Income",EA16,IF(DZ16&gt;0,AD16*Use_Effective!$L$15/DZ16,0))+DI16,0)*AM16</f>
        <v/>
      </c>
      <c r="EI16" s="20">
        <f>IF(Use_Library!$C$15="Income",DP16,CJ16)</f>
        <v/>
      </c>
      <c r="EJ16" s="28">
        <f>IF(Use_Library!$C$15="Income",DQ16,DB16*DE16)</f>
        <v/>
      </c>
      <c r="EK16" s="20">
        <f>IF(Use_Library!$C$15="Income",DR16,(Parcel!$C$27*DB16+CJ16)*DE16)</f>
        <v/>
      </c>
      <c r="EL16" s="39">
        <f>IF(AND(Use_Library!$AX$15=1,Use_Library!$C$15="Income",DZ16&gt;0),EB16/DZ16,0)</f>
        <v/>
      </c>
      <c r="EM16" s="20">
        <f>EH16-EK16</f>
        <v/>
      </c>
      <c r="EN16" s="38">
        <f>IF(AND(Use_Library!$AX$15=1,AM16=1),MAX(0,Parcel!$C$27-((1-CX16)*EH16-EK16)/((1-CX16)*EL16-EJ16)),0)</f>
        <v/>
      </c>
      <c r="EO16" s="20">
        <f>IF(Use_Library!$C$15="Income",Assumptions!$C$15*(Parcel!$C$27*DA16+DP16),0)</f>
        <v/>
      </c>
      <c r="EP16" s="20">
        <f>IF(AND(Use_Library!$C$15="Income",DY16&gt;0),MIN(Assumptions!$C$20*EA16,PV(Assumptions!$C$23/12,Assumptions!$C$24*12,-DY16/Assumptions!$C$21/12),DY16/Assumptions!$C$22),0)</f>
        <v/>
      </c>
      <c r="EQ16" s="27">
        <f>IF(EP16=0,0,DY16/(-PMT(Assumptions!$C$23/12,Assumptions!$C$24*12,EP16)*12))</f>
        <v/>
      </c>
      <c r="ER16" s="20">
        <f>EP16-EO16</f>
        <v/>
      </c>
      <c r="ES16" s="19">
        <f>MAX(DO16,EG16,EN16)</f>
        <v/>
      </c>
      <c r="ET16" s="15">
        <f>IF(ES16&lt;=0,0,IF(DO16=ES16,1,IF(EG16=ES16,2,3)))</f>
        <v/>
      </c>
      <c r="EU16" s="9">
        <f>CHOOSE(ET16+1,"None works","Land / pad sale","Build &amp; sell","Build &amp; hold / lease")</f>
        <v/>
      </c>
      <c r="EV16" s="15">
        <f>CHOOSE(ET16+1,0,CS16,CT16,CU16)</f>
        <v/>
      </c>
      <c r="EW16" s="20">
        <f>ES16*(1-Assumptions!$C$26)</f>
        <v/>
      </c>
      <c r="EX16" s="20">
        <f>ES16-Parcel!$C$27</f>
        <v/>
      </c>
      <c r="EY16" s="20">
        <f>IF(Parcel!$C$14=0,0,ES16/Parcel!$C$14)</f>
        <v/>
      </c>
      <c r="EZ16" s="36">
        <f>IF(AK16=0,0,ES16/AK16)</f>
        <v/>
      </c>
      <c r="FA16" s="9">
        <f>IF(ES16&lt;=0,"Pass",IF(ES16&gt;=Parcel!$C$27*Assumptions!$C$27,"Strong",IF(ES16&gt;=Parcel!$C$27,"Works at asking",IF(ES16&gt;=Parcel!$C$27*Assumptions!$C$28,"Negotiate","Pass"))))</f>
        <v/>
      </c>
      <c r="FB16" s="9">
        <f>IF(AM16=0,"",IF(Use_Library!$BH$15="Y",IF(Use_Effective!$AF$15&gt;=3,"High","Medium"),"Low - verify location"))</f>
        <v/>
      </c>
      <c r="FC16" s="9">
        <f>IF(AND(Use_Library!$BH$15="N",AM16=1),Use_Library!$BI$15,"")</f>
        <v/>
      </c>
      <c r="FD16" s="9">
        <f>TRIM(Q16&amp;" "&amp;IF(AND(AM16=0,T16=1),"Nothing fits. ","")&amp;IF(AND(Use_Library!$AZ$15&lt;&gt;"Y",Parcel!$C$19&lt;Use_Library!$AY$15),"Frontage under "&amp;Use_Library!$AY$15&amp;" LF. ","")&amp;IF(Parcel!$C$17&gt;0.15,"Slope over 15%. ","")&amp;IF(AND(AM16=1,AI16&gt;0.5),TEXT(AI16,"0")&amp;" ac not used - resold as raw land. ","")&amp;IF(AND(AM16=1,AC16&lt;1),"Demand caps it at "&amp;TEXT(AK16,"#,##0")&amp;" "&amp;Use_Library!$D$15&amp;". ","")&amp;IF(AND(AM16=1,L16=1),"Rezone required (+"&amp;Location!$C$32&amp;" mo). ","")&amp;IF(AND(AM16=1,BA16=1),"State wastewater permit needed. ","")&amp;IF(AND(AM16=1,AV16=1),"Public water system needed. ","")&amp;AP16&amp;IF(Parcel!$C$16&gt;Assumptions!$C$29,"Floodplain over "&amp;TEXT(Assumptions!$C$29,"0%")&amp;". ","")&amp;IF(AND(AM16=1,EV16&gt;60),"Over 5 years to exit. ",""))</f>
        <v/>
      </c>
      <c r="FE16" s="20">
        <f>IF(AND(Org_Profile!$C$5="My uses",E16=0),-1E+9,ES16)+ROW()/1000000</f>
        <v/>
      </c>
    </row>
    <row r="17">
      <c r="A17" s="4">
        <f>Use_Library!$A$16</f>
        <v/>
      </c>
      <c r="B17" s="9">
        <f>Use_Library!$C$16</f>
        <v/>
      </c>
      <c r="C17" s="9">
        <f>Use_Library!$D$16</f>
        <v/>
      </c>
      <c r="D17" s="9">
        <f>Use_Library!$F$16</f>
        <v/>
      </c>
      <c r="E17" s="15">
        <f>IF(Org_Profile!$C$33="Y",1,0)</f>
        <v/>
      </c>
      <c r="F17" s="14">
        <f>MAX(0,Parcel!$C$37*(1-Use_Library!$N$16-IF(Use_Library!$AB$16="Y",Assumptions!$C$7,0)))</f>
        <v/>
      </c>
      <c r="G17" s="14">
        <f>IF(Use_Library!$M$16&gt;0,MIN(F17,Use_Library!$M$16),F17)</f>
        <v/>
      </c>
      <c r="H17" s="23">
        <f>IF(F17=0,0,G17/F17)</f>
        <v/>
      </c>
      <c r="I17" s="14">
        <f>Parcel!$C$37*H17</f>
        <v/>
      </c>
      <c r="J17" s="9">
        <f>IF(ISNUMBER(SEARCH(","&amp;Use_Library!$F$16&amp;",",","&amp;SUBSTITUTE(Parcel!$C$11," ","")&amp;",")),"Deed restricted",IF(Parcel!$C$46=0,"No zoning",IF(ISNUMBER(SEARCH(","&amp;Use_Library!$F$16&amp;",",","&amp;SUBSTITUTE(Parcel!$C$10," ","")&amp;",")),"By right",IF(OR(TRIM(Parcel!$C$12)="*",ISNUMBER(SEARCH(","&amp;Use_Library!$F$16&amp;",",","&amp;SUBSTITUTE(Parcel!$C$12," ","")&amp;","))),"Rezone required","Prohibited by zoning"))))</f>
        <v/>
      </c>
      <c r="K17" s="15">
        <f>IF(OR(J17="Deed restricted",J17="Prohibited by zoning"),0,1)</f>
        <v/>
      </c>
      <c r="L17" s="15">
        <f>IF(J17="Rezone required",1,0)</f>
        <v/>
      </c>
      <c r="M17" s="15">
        <f>IF(Parcel!$C$20="None",0,IF(AND(Parcel!$C$20="Private easement",Use_Library!$BA$16="Y"),0,1))</f>
        <v/>
      </c>
      <c r="N17" s="15">
        <f>IF(AND(Use_Library!$AZ$16="Y",Parcel!$C$19&lt;Use_Library!$AY$16),0,1)</f>
        <v/>
      </c>
      <c r="O17" s="15">
        <f>IF(AND(Use_Library!$T$16="Y",Parcel!$C$39=0),0,1)</f>
        <v/>
      </c>
      <c r="P17" s="15">
        <f>IF(AND(Use_Library!$U$16="Y",Parcel!$C$38=0),0,1)</f>
        <v/>
      </c>
      <c r="Q17" s="9">
        <f>TRIM(IF(AND(Use_Library!$BB$16&gt;0,Parcel!$C$28&lt;Use_Library!$BB$16),"Traffic under "&amp;TEXT(Use_Library!$BB$16,"#,##0")&amp;" VPD. ","")&amp;IF(AND(Use_Library!$BC$16&gt;0,Parcel!$C$29&lt;Use_Library!$BC$16),"Under "&amp;TEXT(Use_Library!$BC$16,"#,##0")&amp;" households in 3 mi. ","")&amp;IF(AND(Use_Library!$BD$16&gt;0,Parcel!$C$31&gt;Use_Library!$BD$16),"Over "&amp;Use_Library!$BD$16&amp;" mi to highway. ","")&amp;IF(AND(Use_Library!$BE$16="Y",Parcel!$C$32&lt;&gt;"Y"),"Needs a corner. ","")&amp;IF(AND(Use_Library!$BF$16&gt;0,Parcel!$C$33&gt;Use_Library!$BF$16),"Over "&amp;Use_Library!$BF$16&amp;" mi to substation. ","")&amp;IF(AND(Use_Library!$BG$16&gt;0,Parcel!$C$34&gt;Use_Library!$BG$16),"Over "&amp;Use_Library!$BG$16&amp;" mi to a major employer. ",""))</f>
        <v/>
      </c>
      <c r="R17" s="15">
        <f>IF(Q17="",1,0)</f>
        <v/>
      </c>
      <c r="S17" s="15">
        <f>IF(F17&gt;=Use_Library!$L$16,1,0)</f>
        <v/>
      </c>
      <c r="T17" s="15">
        <f>K17*M17*N17*O17*P17*R17*S17</f>
        <v/>
      </c>
      <c r="U17" s="14">
        <f>IF(Use_Library!$G$16&gt;0,I17*Use_Library!$G$16,1E+9)</f>
        <v/>
      </c>
      <c r="V17" s="14">
        <f>IF(Use_Library!$H$16&gt;0,G17*43560/Use_Library!$H$16,1E+9)</f>
        <v/>
      </c>
      <c r="W17" s="14">
        <f>IF(AND(Use_Library!$K$16="Y",Parcel!$C$39=0),G17*(1-Assumptions!$C$8)/IF(Parcel!$C$38=1,Location!$C$25,Location!$C$26),1E+9)</f>
        <v/>
      </c>
      <c r="X17" s="14">
        <f>IF(Use_Library!$I$16&gt;0,Parcel!$C$14*H17/Use_Library!$I$16,1E+9)</f>
        <v/>
      </c>
      <c r="Y17" s="14">
        <f>IF(Use_Library!$J$16&gt;0,Parcel!$C$19/Use_Library!$J$16,1E+9)</f>
        <v/>
      </c>
      <c r="Z17" s="14">
        <f>IF(AND(Parcel!$C$39=0,Use_Library!$K$16="N",Use_Library!$Y$16&gt;0,Use_Library!$Z$16="Y"),G17*Location!$C$27*Parcel!$C$45/Use_Library!$Y$16,1E+9)</f>
        <v/>
      </c>
      <c r="AA17" s="14">
        <f>MIN(U17,V17,W17,X17,Y17,Z17)</f>
        <v/>
      </c>
      <c r="AB17" s="14">
        <f>IF(Use_Library!$O$16&gt;0,IF(Use_Library!$P$16&gt;=10,Parcel!$C$30,Parcel!$C$29)*Use_Library!$O$16*Use_Library!$Q$16,1E+9)</f>
        <v/>
      </c>
      <c r="AC17" s="23">
        <f>IF(OR(AA17&gt;=1E+9,AA17&lt;=0),1,MIN(1,AB17/AA17))</f>
        <v/>
      </c>
      <c r="AD17" s="14">
        <f>G17*AC17</f>
        <v/>
      </c>
      <c r="AE17" s="23">
        <f>IF(F17=0,0,AD17/F17)</f>
        <v/>
      </c>
      <c r="AF17" s="14">
        <f>Parcel!$C$37*AE17</f>
        <v/>
      </c>
      <c r="AG17" s="14">
        <f>AF17*IF(Use_Library!$AB$16="Y",Assumptions!$C$7,0)</f>
        <v/>
      </c>
      <c r="AH17" s="14">
        <f>AF17*(1-Use_Library!$N$16)</f>
        <v/>
      </c>
      <c r="AI17" s="14">
        <f>Parcel!$C$14*(1-AE17)</f>
        <v/>
      </c>
      <c r="AJ17" s="14">
        <f>MIN(AA17,AB17)</f>
        <v/>
      </c>
      <c r="AK17" s="25">
        <f>IF(T17=0,0,IF(AJ17&gt;=1E+9,AD17,IF(Use_Library!$E$16="Y",INT(AJ17+1E-9),AJ17)))</f>
        <v/>
      </c>
      <c r="AL17" s="9">
        <f>IF(M17=0,"No public road access",IF(K17=0,J17,IF(R17=0,"Location fails",IF(N17=0,"Frontage under "&amp;Use_Library!$AY$16&amp;" LF",IF(S17=0,"Too small - needs "&amp;Use_Library!$L$16&amp;" usable ac",IF(O17=0,"Needs public sewer",IF(P17=0,"Needs public water",IF(AJ17&gt;=1E+9,"Usable acres",IF(AB17&lt;=AA17,"Market demand",IF(W17=AA17,"Septic lot size",IF(Z17=AA17,"Septic capacity (gal/day)",IF(X17=AA17,"Min lot size",IF(Y17=AA17,"Road frontage",IF(V17=AA17,"Site area / parking","Density"))))))))))))))</f>
        <v/>
      </c>
      <c r="AM17" s="15">
        <f>IF(AK17&gt;0,1,0)</f>
        <v/>
      </c>
      <c r="AN17" s="15">
        <f>IF(Use_Library!$Z$16="Y",1,0)*AM17</f>
        <v/>
      </c>
      <c r="AO17" s="14">
        <f>IF(Parcel!$C$39=0,MIN(U17,V17,X17,Y17,AB17),0)</f>
        <v/>
      </c>
      <c r="AP17" s="9">
        <f>IF(AND(Parcel!$C$39=0,M17*K17*R17*N17*S17*P17=1,AO17&lt;1E+9,AO17&gt;=MAX(1,AK17)*1.25),"Unlock: sewer or package plant allows ~"&amp;TEXT(INT(AO17),"#,##0")&amp;" "&amp;Use_Library!$D$16&amp;". ","")</f>
        <v/>
      </c>
      <c r="AQ17" s="15">
        <f>AK17*Use_Library!$AC$16*AN17</f>
        <v/>
      </c>
      <c r="AR17" s="15">
        <f>AK17*Use_Library!$AD$16*AN17</f>
        <v/>
      </c>
      <c r="AS17" s="14">
        <f>AK17*Use_Library!$V$16*AN17</f>
        <v/>
      </c>
      <c r="AT17" s="15">
        <f>IF(Parcel!$C$38=1,AQ17+Parcel!$C$40,0)*AN17</f>
        <v/>
      </c>
      <c r="AU17" s="14">
        <f>AS17*Parcel!$C$38</f>
        <v/>
      </c>
      <c r="AV17" s="15">
        <f>IF(AND(Parcel!$C$38=0,Use_Library!$K$16="N",AS17&gt;=Location!$C$30),1,0)*AN17</f>
        <v/>
      </c>
      <c r="AW17" s="15">
        <f>IF(Parcel!$C$39=1,AQ17+Parcel!$C$41,0)*AN17</f>
        <v/>
      </c>
      <c r="AX17" s="14">
        <f>AS17*Parcel!$C$39</f>
        <v/>
      </c>
      <c r="AY17" s="14">
        <f>IF(Parcel!$C$39=0,AK17*Use_Library!$W$16,0)*AN17</f>
        <v/>
      </c>
      <c r="AZ17" s="15">
        <f>IF(Parcel!$C$39=0,AK17*Use_Library!$Y$16,0)*AN17</f>
        <v/>
      </c>
      <c r="BA17" s="15">
        <f>IF(AND(Use_Library!$K$16="N",AZ17&gt;Location!$C$28),1,0)</f>
        <v/>
      </c>
      <c r="BB17" s="14">
        <f>IF(AND(Parcel!$C$38=0,AV17=0),AK17*Use_Library!$X$16,0)*AN17</f>
        <v/>
      </c>
      <c r="BC17" s="14">
        <f>AH17*Parcel!$C$18*Use_Library!$AA$16*AN17</f>
        <v/>
      </c>
      <c r="BD17" s="14">
        <f>AH17*Use_Library!$AA$16*AN17</f>
        <v/>
      </c>
      <c r="BE17" s="15">
        <f>IF(Use_Library!$C$16="For-Sale",IF(Use_Library!$E$16="Y",AK17,1),1)*AM17</f>
        <v/>
      </c>
      <c r="BF17" s="15">
        <f>IF(OR(Use_Library!$F$16="RES-SF",Use_Library!$F$16="RES-ATT",Use_Library!$F$16="RES-MF",Use_Library!$F$16="MH"),1,0)</f>
        <v/>
      </c>
      <c r="BG17" s="20">
        <f>Cost_Library!$J$5*Location!$C$9*AM17</f>
        <v/>
      </c>
      <c r="BH17" s="20">
        <f>BE17*Cost_Library!$J$6*Location!$C$9</f>
        <v/>
      </c>
      <c r="BI17" s="20">
        <f>BD17*Cost_Library!$J$7*Location!$C$9</f>
        <v/>
      </c>
      <c r="BJ17" s="20">
        <f>Cost_Library!$J$8*Location!$C$9*AN17*IF(Use_Library!$AA$16&gt;=0.5,1,0)</f>
        <v/>
      </c>
      <c r="BK17" s="20">
        <f>AY17*Cost_Library!$J$9*Location!$C$9</f>
        <v/>
      </c>
      <c r="BL17" s="20">
        <f>BA17*Cost_Library!$J$10*Location!$C$9</f>
        <v/>
      </c>
      <c r="BM17" s="20">
        <f>Cost_Library!$J$11*Location!$C$9*AM17</f>
        <v/>
      </c>
      <c r="BN17" s="20">
        <f>Cost_Library!$J$12*Location!$C$9*AN17*IF(Use_Library!$AB$16="Y",1,0)</f>
        <v/>
      </c>
      <c r="BO17" s="20">
        <f>Use_Effective!$C$16*AM17</f>
        <v/>
      </c>
      <c r="BP17" s="20">
        <f>L17*Location!$C$31*AM17</f>
        <v/>
      </c>
      <c r="BQ17" s="20">
        <f>Cost_Library!$J$13*Location!$C$9*AM17</f>
        <v/>
      </c>
      <c r="BR17" s="20">
        <f>BC17*Cost_Library!$J$14*Location!$C$9</f>
        <v/>
      </c>
      <c r="BS17" s="20">
        <f>BD17*Cost_Library!$J$15*Location!$C$9*Parcel!$C$43</f>
        <v/>
      </c>
      <c r="BT17" s="20">
        <f>AQ17*Cost_Library!$J$16*Location!$C$9</f>
        <v/>
      </c>
      <c r="BU17" s="20">
        <f>AR17*Cost_Library!$J$17*Location!$C$9</f>
        <v/>
      </c>
      <c r="BV17" s="20">
        <f>AG17*Cost_Library!$J$18*Location!$C$9*AN17</f>
        <v/>
      </c>
      <c r="BW17" s="20">
        <f>BD17*Cost_Library!$J$19*Location!$C$9</f>
        <v/>
      </c>
      <c r="BX17" s="20">
        <f>IF(Use_Library!$AZ$16="Y",1,0)*Cost_Library!$J$20*Location!$C$9*AN17</f>
        <v/>
      </c>
      <c r="BY17" s="20">
        <f>AT17*Cost_Library!$J$21*Location!$C$9</f>
        <v/>
      </c>
      <c r="BZ17" s="20">
        <f>AU17*Cost_Library!$J$22*Location!$C$9</f>
        <v/>
      </c>
      <c r="CA17" s="20">
        <f>AW17*Cost_Library!$J$23*Location!$C$9</f>
        <v/>
      </c>
      <c r="CB17" s="20">
        <f>AX17*Cost_Library!$J$24*Location!$C$9</f>
        <v/>
      </c>
      <c r="CC17" s="20">
        <f>AY17*Cost_Library!$J$25*Location!$C$9*Parcel!$C$44</f>
        <v/>
      </c>
      <c r="CD17" s="20">
        <f>BB17*Cost_Library!$J$26*Location!$C$9</f>
        <v/>
      </c>
      <c r="CE17" s="20">
        <f>AV17*(Cost_Library!$J$27+AS17*Cost_Library!$J$28)*Location!$C$9</f>
        <v/>
      </c>
      <c r="CF17" s="20">
        <f>AQ17*Cost_Library!$J$29*Location!$C$9</f>
        <v/>
      </c>
      <c r="CG17" s="20">
        <f>SUM(BG17:CF17)</f>
        <v/>
      </c>
      <c r="CH17" s="20">
        <f>CG17*Assumptions!$C$9</f>
        <v/>
      </c>
      <c r="CI17" s="20">
        <f>(CG17+CH17)*Org_Profile!$C$17</f>
        <v/>
      </c>
      <c r="CJ17" s="20">
        <f>CG17+CH17+CI17</f>
        <v/>
      </c>
      <c r="CK17" s="20">
        <f>AK17*Use_Effective!$B$16*(1+Org_Profile!$C$17)</f>
        <v/>
      </c>
      <c r="CL17" s="20">
        <f>CK17*(Assumptions!$C$10+Assumptions!$C$11)</f>
        <v/>
      </c>
      <c r="CM17" s="20">
        <f>AK17*Use_Effective!$D$16</f>
        <v/>
      </c>
      <c r="CN17" s="20">
        <f>AK17*Location!$C$21*BF17*AM17</f>
        <v/>
      </c>
      <c r="CO17" s="14">
        <f>Use_Effective!$F$16+L17*Location!$C$32+BA17*Location!$C$29</f>
        <v/>
      </c>
      <c r="CP17" s="14">
        <f>IF(Use_Effective!$P$16&gt;0,IF(Use_Library!$C$16="For-Sale",AK17,AD17)/Use_Effective!$P$16,0)*AM17</f>
        <v/>
      </c>
      <c r="CQ17" s="14">
        <f>IF(AND(Use_Library!$C$16="For-Sale",Use_Effective!$O$16&gt;0),AK17/Use_Effective!$O$16,0)*AM17</f>
        <v/>
      </c>
      <c r="CR17" s="14">
        <f>IF(Use_Library!$C$16="Income",MAX(Use_Library!$AQ$16,IF(Use_Effective!$O$16&gt;0,AK17/Use_Effective!$O$16,0)),0)</f>
        <v/>
      </c>
      <c r="CS17" s="14">
        <f>CO17+CP17</f>
        <v/>
      </c>
      <c r="CT17" s="14">
        <f>CO17+CQ17+CR17</f>
        <v/>
      </c>
      <c r="CU17" s="14">
        <f>CO17+IF(Use_Library!$C$16="Income",CR17,0)</f>
        <v/>
      </c>
      <c r="CV17" s="23">
        <f>Use_Effective!$G$16+Assumptions!$C$25*MAX(0,(CS17-12)/12)</f>
        <v/>
      </c>
      <c r="CW17" s="23">
        <f>Use_Effective!$G$16+Assumptions!$C$25*MAX(0,(CT17-12)/12)</f>
        <v/>
      </c>
      <c r="CX17" s="23">
        <f>Use_Effective!$G$16+Assumptions!$C$25*MAX(0,(CU17-12)/12)</f>
        <v/>
      </c>
      <c r="CY17" s="28">
        <f>1+Location!$C$17+IF(Parcel!$C$26="Y",Location!$C$20,0)</f>
        <v/>
      </c>
      <c r="CZ17" s="28">
        <f>CY17+Location!$C$19*(CO17+CP17/2)/12</f>
        <v/>
      </c>
      <c r="DA17" s="28">
        <f>CY17+Location!$C$19*(CO17+CQ17/2)/12</f>
        <v/>
      </c>
      <c r="DB17" s="28">
        <f>IF(Use_Library!$C$16="Income",DA17,CY17+Location!$C$19*CO17/12)</f>
        <v/>
      </c>
      <c r="DC17" s="28">
        <f>1+Assumptions!$C$15*(Assumptions!$C$16*(CO17+CP17/2)/12*Assumptions!$C$18+Assumptions!$C$17)</f>
        <v/>
      </c>
      <c r="DD17" s="28">
        <f>1+Assumptions!$C$15*(Assumptions!$C$16*((CO17+CQ17/2)/12*Assumptions!$C$18+CR17/12*Assumptions!$C$19)+Assumptions!$C$17)</f>
        <v/>
      </c>
      <c r="DE17" s="28">
        <f>IF(Use_Library!$C$16="Income",DD17,1+Assumptions!$C$15*(Assumptions!$C$16*CO17/12*Assumptions!$C$18+Assumptions!$C$17))</f>
        <v/>
      </c>
      <c r="DF17" s="23">
        <f>Assumptions!$C$13+Location!$C$18</f>
        <v/>
      </c>
      <c r="DG17" s="23">
        <f>Assumptions!$C$12+Location!$C$18</f>
        <v/>
      </c>
      <c r="DH17" s="23">
        <f>Assumptions!$C$14+Location!$C$18</f>
        <v/>
      </c>
      <c r="DI17" s="20">
        <f>AI17*Location!$C$14*(1-DF17)*AM17</f>
        <v/>
      </c>
      <c r="DJ17" s="20">
        <f>IF(Use_Library!$AV$16=1,IF(Use_Library!$C$16="For-Sale",AK17*Use_Effective!$H$16+Parcel!$C$14*AE17*Use_Effective!$J$16,AD17*Use_Effective!$J$16)*(1-DF17)+DI17,0)*AM17</f>
        <v/>
      </c>
      <c r="DK17" s="20">
        <f>(CG17-BU17-CC17-CD17)*(1+Assumptions!$C$9)*(1+Org_Profile!$C$17)</f>
        <v/>
      </c>
      <c r="DL17" s="28">
        <f>CZ17*DC17</f>
        <v/>
      </c>
      <c r="DM17" s="20">
        <f>(Parcel!$C$27*CZ17+DK17)*DC17</f>
        <v/>
      </c>
      <c r="DN17" s="20">
        <f>DJ17-DM17</f>
        <v/>
      </c>
      <c r="DO17" s="38">
        <f>IF(AND(Use_Library!$AV$16=1,AM17=1),MAX(0,((1-CV17)*DJ17-DK17*DC17)/DL17),0)</f>
        <v/>
      </c>
      <c r="DP17" s="20">
        <f>CJ17+CK17+CL17+CM17+CN17</f>
        <v/>
      </c>
      <c r="DQ17" s="28">
        <f>DA17*DD17</f>
        <v/>
      </c>
      <c r="DR17" s="20">
        <f>(Parcel!$C$27*DA17+DP17)*DD17</f>
        <v/>
      </c>
      <c r="DS17" s="20">
        <f>IF(Use_Library!$C$16="Income",AK17*Use_Effective!$K$16,0)</f>
        <v/>
      </c>
      <c r="DT17" s="20">
        <f>DS17*(1+Use_Library!$AL$16)*(1-Use_Effective!$N$16)</f>
        <v/>
      </c>
      <c r="DU17" s="20">
        <f>IF(Use_Library!$C$16="Income",AK17*Use_Effective!$E$16,0)</f>
        <v/>
      </c>
      <c r="DV17" s="20">
        <f>IF(Use_Library!$C$16="Income",Location!$C$15*Location!$C$16*DR17,0)</f>
        <v/>
      </c>
      <c r="DW17" s="20">
        <f>DT17*Use_Library!$AO$16</f>
        <v/>
      </c>
      <c r="DX17" s="20">
        <f>(DU17+DV17)*Use_Library!$AP$16</f>
        <v/>
      </c>
      <c r="DY17" s="20">
        <f>DT17-DU17-DV17-DW17+DX17</f>
        <v/>
      </c>
      <c r="DZ17" s="26">
        <f>Use_Effective!$M$16</f>
        <v/>
      </c>
      <c r="EA17" s="20">
        <f>IF(AND(Use_Library!$C$16="Income",DZ17&gt;0),DY17/DZ17,0)</f>
        <v/>
      </c>
      <c r="EB17" s="39">
        <f>IF(Use_Library!$C$16="Income",-Location!$C$15*Location!$C$16*(1-Use_Library!$AP$16)*DQ17,0)</f>
        <v/>
      </c>
      <c r="EC17" s="23">
        <f>IF(DR17=0,0,DY17/DR17)</f>
        <v/>
      </c>
      <c r="ED17" s="20">
        <f>IF(Use_Library!$AW$16=1,IF(Use_Library!$C$16="Income",EA17*(1-DH17),AK17*Use_Effective!$I$16*(1-DG17))+DI17,0)*AM17</f>
        <v/>
      </c>
      <c r="EE17" s="39">
        <f>IF(AND(Use_Library!$AW$16=1,Use_Library!$C$16="Income",DZ17&gt;0),EB17/DZ17*(1-DH17),0)</f>
        <v/>
      </c>
      <c r="EF17" s="20">
        <f>ED17-DR17</f>
        <v/>
      </c>
      <c r="EG17" s="38">
        <f>IF(AND(Use_Library!$AW$16=1,AM17=1),MAX(0,Parcel!$C$27-((1-CW17)*ED17-DR17)/((1-CW17)*EE17-DQ17)),0)</f>
        <v/>
      </c>
      <c r="EH17" s="20">
        <f>IF(Use_Library!$AX$16=1,IF(Use_Library!$C$16="Income",EA17,IF(DZ17&gt;0,AD17*Use_Effective!$L$16/DZ17,0))+DI17,0)*AM17</f>
        <v/>
      </c>
      <c r="EI17" s="20">
        <f>IF(Use_Library!$C$16="Income",DP17,CJ17)</f>
        <v/>
      </c>
      <c r="EJ17" s="28">
        <f>IF(Use_Library!$C$16="Income",DQ17,DB17*DE17)</f>
        <v/>
      </c>
      <c r="EK17" s="20">
        <f>IF(Use_Library!$C$16="Income",DR17,(Parcel!$C$27*DB17+CJ17)*DE17)</f>
        <v/>
      </c>
      <c r="EL17" s="39">
        <f>IF(AND(Use_Library!$AX$16=1,Use_Library!$C$16="Income",DZ17&gt;0),EB17/DZ17,0)</f>
        <v/>
      </c>
      <c r="EM17" s="20">
        <f>EH17-EK17</f>
        <v/>
      </c>
      <c r="EN17" s="38">
        <f>IF(AND(Use_Library!$AX$16=1,AM17=1),MAX(0,Parcel!$C$27-((1-CX17)*EH17-EK17)/((1-CX17)*EL17-EJ17)),0)</f>
        <v/>
      </c>
      <c r="EO17" s="20">
        <f>IF(Use_Library!$C$16="Income",Assumptions!$C$15*(Parcel!$C$27*DA17+DP17),0)</f>
        <v/>
      </c>
      <c r="EP17" s="20">
        <f>IF(AND(Use_Library!$C$16="Income",DY17&gt;0),MIN(Assumptions!$C$20*EA17,PV(Assumptions!$C$23/12,Assumptions!$C$24*12,-DY17/Assumptions!$C$21/12),DY17/Assumptions!$C$22),0)</f>
        <v/>
      </c>
      <c r="EQ17" s="27">
        <f>IF(EP17=0,0,DY17/(-PMT(Assumptions!$C$23/12,Assumptions!$C$24*12,EP17)*12))</f>
        <v/>
      </c>
      <c r="ER17" s="20">
        <f>EP17-EO17</f>
        <v/>
      </c>
      <c r="ES17" s="19">
        <f>MAX(DO17,EG17,EN17)</f>
        <v/>
      </c>
      <c r="ET17" s="15">
        <f>IF(ES17&lt;=0,0,IF(DO17=ES17,1,IF(EG17=ES17,2,3)))</f>
        <v/>
      </c>
      <c r="EU17" s="9">
        <f>CHOOSE(ET17+1,"None works","Land / pad sale","Build &amp; sell","Build &amp; hold / lease")</f>
        <v/>
      </c>
      <c r="EV17" s="15">
        <f>CHOOSE(ET17+1,0,CS17,CT17,CU17)</f>
        <v/>
      </c>
      <c r="EW17" s="20">
        <f>ES17*(1-Assumptions!$C$26)</f>
        <v/>
      </c>
      <c r="EX17" s="20">
        <f>ES17-Parcel!$C$27</f>
        <v/>
      </c>
      <c r="EY17" s="20">
        <f>IF(Parcel!$C$14=0,0,ES17/Parcel!$C$14)</f>
        <v/>
      </c>
      <c r="EZ17" s="36">
        <f>IF(AK17=0,0,ES17/AK17)</f>
        <v/>
      </c>
      <c r="FA17" s="9">
        <f>IF(ES17&lt;=0,"Pass",IF(ES17&gt;=Parcel!$C$27*Assumptions!$C$27,"Strong",IF(ES17&gt;=Parcel!$C$27,"Works at asking",IF(ES17&gt;=Parcel!$C$27*Assumptions!$C$28,"Negotiate","Pass"))))</f>
        <v/>
      </c>
      <c r="FB17" s="9">
        <f>IF(AM17=0,"",IF(Use_Library!$BH$16="Y",IF(Use_Effective!$AF$16&gt;=3,"High","Medium"),"Low - verify location"))</f>
        <v/>
      </c>
      <c r="FC17" s="9">
        <f>IF(AND(Use_Library!$BH$16="N",AM17=1),Use_Library!$BI$16,"")</f>
        <v/>
      </c>
      <c r="FD17" s="9">
        <f>TRIM(Q17&amp;" "&amp;IF(AND(AM17=0,T17=1),"Nothing fits. ","")&amp;IF(AND(Use_Library!$AZ$16&lt;&gt;"Y",Parcel!$C$19&lt;Use_Library!$AY$16),"Frontage under "&amp;Use_Library!$AY$16&amp;" LF. ","")&amp;IF(Parcel!$C$17&gt;0.15,"Slope over 15%. ","")&amp;IF(AND(AM17=1,AI17&gt;0.5),TEXT(AI17,"0")&amp;" ac not used - resold as raw land. ","")&amp;IF(AND(AM17=1,AC17&lt;1),"Demand caps it at "&amp;TEXT(AK17,"#,##0")&amp;" "&amp;Use_Library!$D$16&amp;". ","")&amp;IF(AND(AM17=1,L17=1),"Rezone required (+"&amp;Location!$C$32&amp;" mo). ","")&amp;IF(AND(AM17=1,BA17=1),"State wastewater permit needed. ","")&amp;IF(AND(AM17=1,AV17=1),"Public water system needed. ","")&amp;AP17&amp;IF(Parcel!$C$16&gt;Assumptions!$C$29,"Floodplain over "&amp;TEXT(Assumptions!$C$29,"0%")&amp;". ","")&amp;IF(AND(AM17=1,EV17&gt;60),"Over 5 years to exit. ",""))</f>
        <v/>
      </c>
      <c r="FE17" s="20">
        <f>IF(AND(Org_Profile!$C$5="My uses",E17=0),-1E+9,ES17)+ROW()/1000000</f>
        <v/>
      </c>
    </row>
    <row r="18">
      <c r="A18" s="4">
        <f>Use_Library!$A$17</f>
        <v/>
      </c>
      <c r="B18" s="9">
        <f>Use_Library!$C$17</f>
        <v/>
      </c>
      <c r="C18" s="9">
        <f>Use_Library!$D$17</f>
        <v/>
      </c>
      <c r="D18" s="9">
        <f>Use_Library!$F$17</f>
        <v/>
      </c>
      <c r="E18" s="15">
        <f>IF(Org_Profile!$C$34="Y",1,0)</f>
        <v/>
      </c>
      <c r="F18" s="14">
        <f>MAX(0,Parcel!$C$37*(1-Use_Library!$N$17-IF(Use_Library!$AB$17="Y",Assumptions!$C$7,0)))</f>
        <v/>
      </c>
      <c r="G18" s="14">
        <f>IF(Use_Library!$M$17&gt;0,MIN(F18,Use_Library!$M$17),F18)</f>
        <v/>
      </c>
      <c r="H18" s="23">
        <f>IF(F18=0,0,G18/F18)</f>
        <v/>
      </c>
      <c r="I18" s="14">
        <f>Parcel!$C$37*H18</f>
        <v/>
      </c>
      <c r="J18" s="9">
        <f>IF(ISNUMBER(SEARCH(","&amp;Use_Library!$F$17&amp;",",","&amp;SUBSTITUTE(Parcel!$C$11," ","")&amp;",")),"Deed restricted",IF(Parcel!$C$46=0,"No zoning",IF(ISNUMBER(SEARCH(","&amp;Use_Library!$F$17&amp;",",","&amp;SUBSTITUTE(Parcel!$C$10," ","")&amp;",")),"By right",IF(OR(TRIM(Parcel!$C$12)="*",ISNUMBER(SEARCH(","&amp;Use_Library!$F$17&amp;",",","&amp;SUBSTITUTE(Parcel!$C$12," ","")&amp;","))),"Rezone required","Prohibited by zoning"))))</f>
        <v/>
      </c>
      <c r="K18" s="15">
        <f>IF(OR(J18="Deed restricted",J18="Prohibited by zoning"),0,1)</f>
        <v/>
      </c>
      <c r="L18" s="15">
        <f>IF(J18="Rezone required",1,0)</f>
        <v/>
      </c>
      <c r="M18" s="15">
        <f>IF(Parcel!$C$20="None",0,IF(AND(Parcel!$C$20="Private easement",Use_Library!$BA$17="Y"),0,1))</f>
        <v/>
      </c>
      <c r="N18" s="15">
        <f>IF(AND(Use_Library!$AZ$17="Y",Parcel!$C$19&lt;Use_Library!$AY$17),0,1)</f>
        <v/>
      </c>
      <c r="O18" s="15">
        <f>IF(AND(Use_Library!$T$17="Y",Parcel!$C$39=0),0,1)</f>
        <v/>
      </c>
      <c r="P18" s="15">
        <f>IF(AND(Use_Library!$U$17="Y",Parcel!$C$38=0),0,1)</f>
        <v/>
      </c>
      <c r="Q18" s="9">
        <f>TRIM(IF(AND(Use_Library!$BB$17&gt;0,Parcel!$C$28&lt;Use_Library!$BB$17),"Traffic under "&amp;TEXT(Use_Library!$BB$17,"#,##0")&amp;" VPD. ","")&amp;IF(AND(Use_Library!$BC$17&gt;0,Parcel!$C$29&lt;Use_Library!$BC$17),"Under "&amp;TEXT(Use_Library!$BC$17,"#,##0")&amp;" households in 3 mi. ","")&amp;IF(AND(Use_Library!$BD$17&gt;0,Parcel!$C$31&gt;Use_Library!$BD$17),"Over "&amp;Use_Library!$BD$17&amp;" mi to highway. ","")&amp;IF(AND(Use_Library!$BE$17="Y",Parcel!$C$32&lt;&gt;"Y"),"Needs a corner. ","")&amp;IF(AND(Use_Library!$BF$17&gt;0,Parcel!$C$33&gt;Use_Library!$BF$17),"Over "&amp;Use_Library!$BF$17&amp;" mi to substation. ","")&amp;IF(AND(Use_Library!$BG$17&gt;0,Parcel!$C$34&gt;Use_Library!$BG$17),"Over "&amp;Use_Library!$BG$17&amp;" mi to a major employer. ",""))</f>
        <v/>
      </c>
      <c r="R18" s="15">
        <f>IF(Q18="",1,0)</f>
        <v/>
      </c>
      <c r="S18" s="15">
        <f>IF(F18&gt;=Use_Library!$L$17,1,0)</f>
        <v/>
      </c>
      <c r="T18" s="15">
        <f>K18*M18*N18*O18*P18*R18*S18</f>
        <v/>
      </c>
      <c r="U18" s="14">
        <f>IF(Use_Library!$G$17&gt;0,I18*Use_Library!$G$17,1E+9)</f>
        <v/>
      </c>
      <c r="V18" s="14">
        <f>IF(Use_Library!$H$17&gt;0,G18*43560/Use_Library!$H$17,1E+9)</f>
        <v/>
      </c>
      <c r="W18" s="14">
        <f>IF(AND(Use_Library!$K$17="Y",Parcel!$C$39=0),G18*(1-Assumptions!$C$8)/IF(Parcel!$C$38=1,Location!$C$25,Location!$C$26),1E+9)</f>
        <v/>
      </c>
      <c r="X18" s="14">
        <f>IF(Use_Library!$I$17&gt;0,Parcel!$C$14*H18/Use_Library!$I$17,1E+9)</f>
        <v/>
      </c>
      <c r="Y18" s="14">
        <f>IF(Use_Library!$J$17&gt;0,Parcel!$C$19/Use_Library!$J$17,1E+9)</f>
        <v/>
      </c>
      <c r="Z18" s="14">
        <f>IF(AND(Parcel!$C$39=0,Use_Library!$K$17="N",Use_Library!$Y$17&gt;0,Use_Library!$Z$17="Y"),G18*Location!$C$27*Parcel!$C$45/Use_Library!$Y$17,1E+9)</f>
        <v/>
      </c>
      <c r="AA18" s="14">
        <f>MIN(U18,V18,W18,X18,Y18,Z18)</f>
        <v/>
      </c>
      <c r="AB18" s="14">
        <f>IF(Use_Library!$O$17&gt;0,IF(Use_Library!$P$17&gt;=10,Parcel!$C$30,Parcel!$C$29)*Use_Library!$O$17*Use_Library!$Q$17,1E+9)</f>
        <v/>
      </c>
      <c r="AC18" s="23">
        <f>IF(OR(AA18&gt;=1E+9,AA18&lt;=0),1,MIN(1,AB18/AA18))</f>
        <v/>
      </c>
      <c r="AD18" s="14">
        <f>G18*AC18</f>
        <v/>
      </c>
      <c r="AE18" s="23">
        <f>IF(F18=0,0,AD18/F18)</f>
        <v/>
      </c>
      <c r="AF18" s="14">
        <f>Parcel!$C$37*AE18</f>
        <v/>
      </c>
      <c r="AG18" s="14">
        <f>AF18*IF(Use_Library!$AB$17="Y",Assumptions!$C$7,0)</f>
        <v/>
      </c>
      <c r="AH18" s="14">
        <f>AF18*(1-Use_Library!$N$17)</f>
        <v/>
      </c>
      <c r="AI18" s="14">
        <f>Parcel!$C$14*(1-AE18)</f>
        <v/>
      </c>
      <c r="AJ18" s="14">
        <f>MIN(AA18,AB18)</f>
        <v/>
      </c>
      <c r="AK18" s="25">
        <f>IF(T18=0,0,IF(AJ18&gt;=1E+9,AD18,IF(Use_Library!$E$17="Y",INT(AJ18+1E-9),AJ18)))</f>
        <v/>
      </c>
      <c r="AL18" s="9">
        <f>IF(M18=0,"No public road access",IF(K18=0,J18,IF(R18=0,"Location fails",IF(N18=0,"Frontage under "&amp;Use_Library!$AY$17&amp;" LF",IF(S18=0,"Too small - needs "&amp;Use_Library!$L$17&amp;" usable ac",IF(O18=0,"Needs public sewer",IF(P18=0,"Needs public water",IF(AJ18&gt;=1E+9,"Usable acres",IF(AB18&lt;=AA18,"Market demand",IF(W18=AA18,"Septic lot size",IF(Z18=AA18,"Septic capacity (gal/day)",IF(X18=AA18,"Min lot size",IF(Y18=AA18,"Road frontage",IF(V18=AA18,"Site area / parking","Density"))))))))))))))</f>
        <v/>
      </c>
      <c r="AM18" s="15">
        <f>IF(AK18&gt;0,1,0)</f>
        <v/>
      </c>
      <c r="AN18" s="15">
        <f>IF(Use_Library!$Z$17="Y",1,0)*AM18</f>
        <v/>
      </c>
      <c r="AO18" s="14">
        <f>IF(Parcel!$C$39=0,MIN(U18,V18,X18,Y18,AB18),0)</f>
        <v/>
      </c>
      <c r="AP18" s="9">
        <f>IF(AND(Parcel!$C$39=0,M18*K18*R18*N18*S18*P18=1,AO18&lt;1E+9,AO18&gt;=MAX(1,AK18)*1.25),"Unlock: sewer or package plant allows ~"&amp;TEXT(INT(AO18),"#,##0")&amp;" "&amp;Use_Library!$D$17&amp;". ","")</f>
        <v/>
      </c>
      <c r="AQ18" s="15">
        <f>AK18*Use_Library!$AC$17*AN18</f>
        <v/>
      </c>
      <c r="AR18" s="15">
        <f>AK18*Use_Library!$AD$17*AN18</f>
        <v/>
      </c>
      <c r="AS18" s="14">
        <f>AK18*Use_Library!$V$17*AN18</f>
        <v/>
      </c>
      <c r="AT18" s="15">
        <f>IF(Parcel!$C$38=1,AQ18+Parcel!$C$40,0)*AN18</f>
        <v/>
      </c>
      <c r="AU18" s="14">
        <f>AS18*Parcel!$C$38</f>
        <v/>
      </c>
      <c r="AV18" s="15">
        <f>IF(AND(Parcel!$C$38=0,Use_Library!$K$17="N",AS18&gt;=Location!$C$30),1,0)*AN18</f>
        <v/>
      </c>
      <c r="AW18" s="15">
        <f>IF(Parcel!$C$39=1,AQ18+Parcel!$C$41,0)*AN18</f>
        <v/>
      </c>
      <c r="AX18" s="14">
        <f>AS18*Parcel!$C$39</f>
        <v/>
      </c>
      <c r="AY18" s="14">
        <f>IF(Parcel!$C$39=0,AK18*Use_Library!$W$17,0)*AN18</f>
        <v/>
      </c>
      <c r="AZ18" s="15">
        <f>IF(Parcel!$C$39=0,AK18*Use_Library!$Y$17,0)*AN18</f>
        <v/>
      </c>
      <c r="BA18" s="15">
        <f>IF(AND(Use_Library!$K$17="N",AZ18&gt;Location!$C$28),1,0)</f>
        <v/>
      </c>
      <c r="BB18" s="14">
        <f>IF(AND(Parcel!$C$38=0,AV18=0),AK18*Use_Library!$X$17,0)*AN18</f>
        <v/>
      </c>
      <c r="BC18" s="14">
        <f>AH18*Parcel!$C$18*Use_Library!$AA$17*AN18</f>
        <v/>
      </c>
      <c r="BD18" s="14">
        <f>AH18*Use_Library!$AA$17*AN18</f>
        <v/>
      </c>
      <c r="BE18" s="15">
        <f>IF(Use_Library!$C$17="For-Sale",IF(Use_Library!$E$17="Y",AK18,1),1)*AM18</f>
        <v/>
      </c>
      <c r="BF18" s="15">
        <f>IF(OR(Use_Library!$F$17="RES-SF",Use_Library!$F$17="RES-ATT",Use_Library!$F$17="RES-MF",Use_Library!$F$17="MH"),1,0)</f>
        <v/>
      </c>
      <c r="BG18" s="20">
        <f>Cost_Library!$J$5*Location!$C$9*AM18</f>
        <v/>
      </c>
      <c r="BH18" s="20">
        <f>BE18*Cost_Library!$J$6*Location!$C$9</f>
        <v/>
      </c>
      <c r="BI18" s="20">
        <f>BD18*Cost_Library!$J$7*Location!$C$9</f>
        <v/>
      </c>
      <c r="BJ18" s="20">
        <f>Cost_Library!$J$8*Location!$C$9*AN18*IF(Use_Library!$AA$17&gt;=0.5,1,0)</f>
        <v/>
      </c>
      <c r="BK18" s="20">
        <f>AY18*Cost_Library!$J$9*Location!$C$9</f>
        <v/>
      </c>
      <c r="BL18" s="20">
        <f>BA18*Cost_Library!$J$10*Location!$C$9</f>
        <v/>
      </c>
      <c r="BM18" s="20">
        <f>Cost_Library!$J$11*Location!$C$9*AM18</f>
        <v/>
      </c>
      <c r="BN18" s="20">
        <f>Cost_Library!$J$12*Location!$C$9*AN18*IF(Use_Library!$AB$17="Y",1,0)</f>
        <v/>
      </c>
      <c r="BO18" s="20">
        <f>Use_Effective!$C$17*AM18</f>
        <v/>
      </c>
      <c r="BP18" s="20">
        <f>L18*Location!$C$31*AM18</f>
        <v/>
      </c>
      <c r="BQ18" s="20">
        <f>Cost_Library!$J$13*Location!$C$9*AM18</f>
        <v/>
      </c>
      <c r="BR18" s="20">
        <f>BC18*Cost_Library!$J$14*Location!$C$9</f>
        <v/>
      </c>
      <c r="BS18" s="20">
        <f>BD18*Cost_Library!$J$15*Location!$C$9*Parcel!$C$43</f>
        <v/>
      </c>
      <c r="BT18" s="20">
        <f>AQ18*Cost_Library!$J$16*Location!$C$9</f>
        <v/>
      </c>
      <c r="BU18" s="20">
        <f>AR18*Cost_Library!$J$17*Location!$C$9</f>
        <v/>
      </c>
      <c r="BV18" s="20">
        <f>AG18*Cost_Library!$J$18*Location!$C$9*AN18</f>
        <v/>
      </c>
      <c r="BW18" s="20">
        <f>BD18*Cost_Library!$J$19*Location!$C$9</f>
        <v/>
      </c>
      <c r="BX18" s="20">
        <f>IF(Use_Library!$AZ$17="Y",1,0)*Cost_Library!$J$20*Location!$C$9*AN18</f>
        <v/>
      </c>
      <c r="BY18" s="20">
        <f>AT18*Cost_Library!$J$21*Location!$C$9</f>
        <v/>
      </c>
      <c r="BZ18" s="20">
        <f>AU18*Cost_Library!$J$22*Location!$C$9</f>
        <v/>
      </c>
      <c r="CA18" s="20">
        <f>AW18*Cost_Library!$J$23*Location!$C$9</f>
        <v/>
      </c>
      <c r="CB18" s="20">
        <f>AX18*Cost_Library!$J$24*Location!$C$9</f>
        <v/>
      </c>
      <c r="CC18" s="20">
        <f>AY18*Cost_Library!$J$25*Location!$C$9*Parcel!$C$44</f>
        <v/>
      </c>
      <c r="CD18" s="20">
        <f>BB18*Cost_Library!$J$26*Location!$C$9</f>
        <v/>
      </c>
      <c r="CE18" s="20">
        <f>AV18*(Cost_Library!$J$27+AS18*Cost_Library!$J$28)*Location!$C$9</f>
        <v/>
      </c>
      <c r="CF18" s="20">
        <f>AQ18*Cost_Library!$J$29*Location!$C$9</f>
        <v/>
      </c>
      <c r="CG18" s="20">
        <f>SUM(BG18:CF18)</f>
        <v/>
      </c>
      <c r="CH18" s="20">
        <f>CG18*Assumptions!$C$9</f>
        <v/>
      </c>
      <c r="CI18" s="20">
        <f>(CG18+CH18)*Org_Profile!$C$17</f>
        <v/>
      </c>
      <c r="CJ18" s="20">
        <f>CG18+CH18+CI18</f>
        <v/>
      </c>
      <c r="CK18" s="20">
        <f>AK18*Use_Effective!$B$17*(1+Org_Profile!$C$17)</f>
        <v/>
      </c>
      <c r="CL18" s="20">
        <f>CK18*(Assumptions!$C$10+Assumptions!$C$11)</f>
        <v/>
      </c>
      <c r="CM18" s="20">
        <f>AK18*Use_Effective!$D$17</f>
        <v/>
      </c>
      <c r="CN18" s="20">
        <f>AK18*Location!$C$21*BF18*AM18</f>
        <v/>
      </c>
      <c r="CO18" s="14">
        <f>Use_Effective!$F$17+L18*Location!$C$32+BA18*Location!$C$29</f>
        <v/>
      </c>
      <c r="CP18" s="14">
        <f>IF(Use_Effective!$P$17&gt;0,IF(Use_Library!$C$17="For-Sale",AK18,AD18)/Use_Effective!$P$17,0)*AM18</f>
        <v/>
      </c>
      <c r="CQ18" s="14">
        <f>IF(AND(Use_Library!$C$17="For-Sale",Use_Effective!$O$17&gt;0),AK18/Use_Effective!$O$17,0)*AM18</f>
        <v/>
      </c>
      <c r="CR18" s="14">
        <f>IF(Use_Library!$C$17="Income",MAX(Use_Library!$AQ$17,IF(Use_Effective!$O$17&gt;0,AK18/Use_Effective!$O$17,0)),0)</f>
        <v/>
      </c>
      <c r="CS18" s="14">
        <f>CO18+CP18</f>
        <v/>
      </c>
      <c r="CT18" s="14">
        <f>CO18+CQ18+CR18</f>
        <v/>
      </c>
      <c r="CU18" s="14">
        <f>CO18+IF(Use_Library!$C$17="Income",CR18,0)</f>
        <v/>
      </c>
      <c r="CV18" s="23">
        <f>Use_Effective!$G$17+Assumptions!$C$25*MAX(0,(CS18-12)/12)</f>
        <v/>
      </c>
      <c r="CW18" s="23">
        <f>Use_Effective!$G$17+Assumptions!$C$25*MAX(0,(CT18-12)/12)</f>
        <v/>
      </c>
      <c r="CX18" s="23">
        <f>Use_Effective!$G$17+Assumptions!$C$25*MAX(0,(CU18-12)/12)</f>
        <v/>
      </c>
      <c r="CY18" s="28">
        <f>1+Location!$C$17+IF(Parcel!$C$26="Y",Location!$C$20,0)</f>
        <v/>
      </c>
      <c r="CZ18" s="28">
        <f>CY18+Location!$C$19*(CO18+CP18/2)/12</f>
        <v/>
      </c>
      <c r="DA18" s="28">
        <f>CY18+Location!$C$19*(CO18+CQ18/2)/12</f>
        <v/>
      </c>
      <c r="DB18" s="28">
        <f>IF(Use_Library!$C$17="Income",DA18,CY18+Location!$C$19*CO18/12)</f>
        <v/>
      </c>
      <c r="DC18" s="28">
        <f>1+Assumptions!$C$15*(Assumptions!$C$16*(CO18+CP18/2)/12*Assumptions!$C$18+Assumptions!$C$17)</f>
        <v/>
      </c>
      <c r="DD18" s="28">
        <f>1+Assumptions!$C$15*(Assumptions!$C$16*((CO18+CQ18/2)/12*Assumptions!$C$18+CR18/12*Assumptions!$C$19)+Assumptions!$C$17)</f>
        <v/>
      </c>
      <c r="DE18" s="28">
        <f>IF(Use_Library!$C$17="Income",DD18,1+Assumptions!$C$15*(Assumptions!$C$16*CO18/12*Assumptions!$C$18+Assumptions!$C$17))</f>
        <v/>
      </c>
      <c r="DF18" s="23">
        <f>Assumptions!$C$13+Location!$C$18</f>
        <v/>
      </c>
      <c r="DG18" s="23">
        <f>Assumptions!$C$12+Location!$C$18</f>
        <v/>
      </c>
      <c r="DH18" s="23">
        <f>Assumptions!$C$14+Location!$C$18</f>
        <v/>
      </c>
      <c r="DI18" s="20">
        <f>AI18*Location!$C$14*(1-DF18)*AM18</f>
        <v/>
      </c>
      <c r="DJ18" s="20">
        <f>IF(Use_Library!$AV$17=1,IF(Use_Library!$C$17="For-Sale",AK18*Use_Effective!$H$17+Parcel!$C$14*AE18*Use_Effective!$J$17,AD18*Use_Effective!$J$17)*(1-DF18)+DI18,0)*AM18</f>
        <v/>
      </c>
      <c r="DK18" s="20">
        <f>(CG18-BU18-CC18-CD18)*(1+Assumptions!$C$9)*(1+Org_Profile!$C$17)</f>
        <v/>
      </c>
      <c r="DL18" s="28">
        <f>CZ18*DC18</f>
        <v/>
      </c>
      <c r="DM18" s="20">
        <f>(Parcel!$C$27*CZ18+DK18)*DC18</f>
        <v/>
      </c>
      <c r="DN18" s="20">
        <f>DJ18-DM18</f>
        <v/>
      </c>
      <c r="DO18" s="38">
        <f>IF(AND(Use_Library!$AV$17=1,AM18=1),MAX(0,((1-CV18)*DJ18-DK18*DC18)/DL18),0)</f>
        <v/>
      </c>
      <c r="DP18" s="20">
        <f>CJ18+CK18+CL18+CM18+CN18</f>
        <v/>
      </c>
      <c r="DQ18" s="28">
        <f>DA18*DD18</f>
        <v/>
      </c>
      <c r="DR18" s="20">
        <f>(Parcel!$C$27*DA18+DP18)*DD18</f>
        <v/>
      </c>
      <c r="DS18" s="20">
        <f>IF(Use_Library!$C$17="Income",AK18*Use_Effective!$K$17,0)</f>
        <v/>
      </c>
      <c r="DT18" s="20">
        <f>DS18*(1+Use_Library!$AL$17)*(1-Use_Effective!$N$17)</f>
        <v/>
      </c>
      <c r="DU18" s="20">
        <f>IF(Use_Library!$C$17="Income",AK18*Use_Effective!$E$17,0)</f>
        <v/>
      </c>
      <c r="DV18" s="20">
        <f>IF(Use_Library!$C$17="Income",Location!$C$15*Location!$C$16*DR18,0)</f>
        <v/>
      </c>
      <c r="DW18" s="20">
        <f>DT18*Use_Library!$AO$17</f>
        <v/>
      </c>
      <c r="DX18" s="20">
        <f>(DU18+DV18)*Use_Library!$AP$17</f>
        <v/>
      </c>
      <c r="DY18" s="20">
        <f>DT18-DU18-DV18-DW18+DX18</f>
        <v/>
      </c>
      <c r="DZ18" s="26">
        <f>Use_Effective!$M$17</f>
        <v/>
      </c>
      <c r="EA18" s="20">
        <f>IF(AND(Use_Library!$C$17="Income",DZ18&gt;0),DY18/DZ18,0)</f>
        <v/>
      </c>
      <c r="EB18" s="39">
        <f>IF(Use_Library!$C$17="Income",-Location!$C$15*Location!$C$16*(1-Use_Library!$AP$17)*DQ18,0)</f>
        <v/>
      </c>
      <c r="EC18" s="23">
        <f>IF(DR18=0,0,DY18/DR18)</f>
        <v/>
      </c>
      <c r="ED18" s="20">
        <f>IF(Use_Library!$AW$17=1,IF(Use_Library!$C$17="Income",EA18*(1-DH18),AK18*Use_Effective!$I$17*(1-DG18))+DI18,0)*AM18</f>
        <v/>
      </c>
      <c r="EE18" s="39">
        <f>IF(AND(Use_Library!$AW$17=1,Use_Library!$C$17="Income",DZ18&gt;0),EB18/DZ18*(1-DH18),0)</f>
        <v/>
      </c>
      <c r="EF18" s="20">
        <f>ED18-DR18</f>
        <v/>
      </c>
      <c r="EG18" s="38">
        <f>IF(AND(Use_Library!$AW$17=1,AM18=1),MAX(0,Parcel!$C$27-((1-CW18)*ED18-DR18)/((1-CW18)*EE18-DQ18)),0)</f>
        <v/>
      </c>
      <c r="EH18" s="20">
        <f>IF(Use_Library!$AX$17=1,IF(Use_Library!$C$17="Income",EA18,IF(DZ18&gt;0,AD18*Use_Effective!$L$17/DZ18,0))+DI18,0)*AM18</f>
        <v/>
      </c>
      <c r="EI18" s="20">
        <f>IF(Use_Library!$C$17="Income",DP18,CJ18)</f>
        <v/>
      </c>
      <c r="EJ18" s="28">
        <f>IF(Use_Library!$C$17="Income",DQ18,DB18*DE18)</f>
        <v/>
      </c>
      <c r="EK18" s="20">
        <f>IF(Use_Library!$C$17="Income",DR18,(Parcel!$C$27*DB18+CJ18)*DE18)</f>
        <v/>
      </c>
      <c r="EL18" s="39">
        <f>IF(AND(Use_Library!$AX$17=1,Use_Library!$C$17="Income",DZ18&gt;0),EB18/DZ18,0)</f>
        <v/>
      </c>
      <c r="EM18" s="20">
        <f>EH18-EK18</f>
        <v/>
      </c>
      <c r="EN18" s="38">
        <f>IF(AND(Use_Library!$AX$17=1,AM18=1),MAX(0,Parcel!$C$27-((1-CX18)*EH18-EK18)/((1-CX18)*EL18-EJ18)),0)</f>
        <v/>
      </c>
      <c r="EO18" s="20">
        <f>IF(Use_Library!$C$17="Income",Assumptions!$C$15*(Parcel!$C$27*DA18+DP18),0)</f>
        <v/>
      </c>
      <c r="EP18" s="20">
        <f>IF(AND(Use_Library!$C$17="Income",DY18&gt;0),MIN(Assumptions!$C$20*EA18,PV(Assumptions!$C$23/12,Assumptions!$C$24*12,-DY18/Assumptions!$C$21/12),DY18/Assumptions!$C$22),0)</f>
        <v/>
      </c>
      <c r="EQ18" s="27">
        <f>IF(EP18=0,0,DY18/(-PMT(Assumptions!$C$23/12,Assumptions!$C$24*12,EP18)*12))</f>
        <v/>
      </c>
      <c r="ER18" s="20">
        <f>EP18-EO18</f>
        <v/>
      </c>
      <c r="ES18" s="19">
        <f>MAX(DO18,EG18,EN18)</f>
        <v/>
      </c>
      <c r="ET18" s="15">
        <f>IF(ES18&lt;=0,0,IF(DO18=ES18,1,IF(EG18=ES18,2,3)))</f>
        <v/>
      </c>
      <c r="EU18" s="9">
        <f>CHOOSE(ET18+1,"None works","Land / pad sale","Build &amp; sell","Build &amp; hold / lease")</f>
        <v/>
      </c>
      <c r="EV18" s="15">
        <f>CHOOSE(ET18+1,0,CS18,CT18,CU18)</f>
        <v/>
      </c>
      <c r="EW18" s="20">
        <f>ES18*(1-Assumptions!$C$26)</f>
        <v/>
      </c>
      <c r="EX18" s="20">
        <f>ES18-Parcel!$C$27</f>
        <v/>
      </c>
      <c r="EY18" s="20">
        <f>IF(Parcel!$C$14=0,0,ES18/Parcel!$C$14)</f>
        <v/>
      </c>
      <c r="EZ18" s="36">
        <f>IF(AK18=0,0,ES18/AK18)</f>
        <v/>
      </c>
      <c r="FA18" s="9">
        <f>IF(ES18&lt;=0,"Pass",IF(ES18&gt;=Parcel!$C$27*Assumptions!$C$27,"Strong",IF(ES18&gt;=Parcel!$C$27,"Works at asking",IF(ES18&gt;=Parcel!$C$27*Assumptions!$C$28,"Negotiate","Pass"))))</f>
        <v/>
      </c>
      <c r="FB18" s="9">
        <f>IF(AM18=0,"",IF(Use_Library!$BH$17="Y",IF(Use_Effective!$AF$17&gt;=3,"High","Medium"),"Low - verify location"))</f>
        <v/>
      </c>
      <c r="FC18" s="9">
        <f>IF(AND(Use_Library!$BH$17="N",AM18=1),Use_Library!$BI$17,"")</f>
        <v/>
      </c>
      <c r="FD18" s="9">
        <f>TRIM(Q18&amp;" "&amp;IF(AND(AM18=0,T18=1),"Nothing fits. ","")&amp;IF(AND(Use_Library!$AZ$17&lt;&gt;"Y",Parcel!$C$19&lt;Use_Library!$AY$17),"Frontage under "&amp;Use_Library!$AY$17&amp;" LF. ","")&amp;IF(Parcel!$C$17&gt;0.15,"Slope over 15%. ","")&amp;IF(AND(AM18=1,AI18&gt;0.5),TEXT(AI18,"0")&amp;" ac not used - resold as raw land. ","")&amp;IF(AND(AM18=1,AC18&lt;1),"Demand caps it at "&amp;TEXT(AK18,"#,##0")&amp;" "&amp;Use_Library!$D$17&amp;". ","")&amp;IF(AND(AM18=1,L18=1),"Rezone required (+"&amp;Location!$C$32&amp;" mo). ","")&amp;IF(AND(AM18=1,BA18=1),"State wastewater permit needed. ","")&amp;IF(AND(AM18=1,AV18=1),"Public water system needed. ","")&amp;AP18&amp;IF(Parcel!$C$16&gt;Assumptions!$C$29,"Floodplain over "&amp;TEXT(Assumptions!$C$29,"0%")&amp;". ","")&amp;IF(AND(AM18=1,EV18&gt;60),"Over 5 years to exit. ",""))</f>
        <v/>
      </c>
      <c r="FE18" s="20">
        <f>IF(AND(Org_Profile!$C$5="My uses",E18=0),-1E+9,ES18)+ROW()/1000000</f>
        <v/>
      </c>
    </row>
    <row r="19">
      <c r="A19" s="4">
        <f>Use_Library!$A$18</f>
        <v/>
      </c>
      <c r="B19" s="9">
        <f>Use_Library!$C$18</f>
        <v/>
      </c>
      <c r="C19" s="9">
        <f>Use_Library!$D$18</f>
        <v/>
      </c>
      <c r="D19" s="9">
        <f>Use_Library!$F$18</f>
        <v/>
      </c>
      <c r="E19" s="15">
        <f>IF(Org_Profile!$C$35="Y",1,0)</f>
        <v/>
      </c>
      <c r="F19" s="14">
        <f>MAX(0,Parcel!$C$37*(1-Use_Library!$N$18-IF(Use_Library!$AB$18="Y",Assumptions!$C$7,0)))</f>
        <v/>
      </c>
      <c r="G19" s="14">
        <f>IF(Use_Library!$M$18&gt;0,MIN(F19,Use_Library!$M$18),F19)</f>
        <v/>
      </c>
      <c r="H19" s="23">
        <f>IF(F19=0,0,G19/F19)</f>
        <v/>
      </c>
      <c r="I19" s="14">
        <f>Parcel!$C$37*H19</f>
        <v/>
      </c>
      <c r="J19" s="9">
        <f>IF(ISNUMBER(SEARCH(","&amp;Use_Library!$F$18&amp;",",","&amp;SUBSTITUTE(Parcel!$C$11," ","")&amp;",")),"Deed restricted",IF(Parcel!$C$46=0,"No zoning",IF(ISNUMBER(SEARCH(","&amp;Use_Library!$F$18&amp;",",","&amp;SUBSTITUTE(Parcel!$C$10," ","")&amp;",")),"By right",IF(OR(TRIM(Parcel!$C$12)="*",ISNUMBER(SEARCH(","&amp;Use_Library!$F$18&amp;",",","&amp;SUBSTITUTE(Parcel!$C$12," ","")&amp;","))),"Rezone required","Prohibited by zoning"))))</f>
        <v/>
      </c>
      <c r="K19" s="15">
        <f>IF(OR(J19="Deed restricted",J19="Prohibited by zoning"),0,1)</f>
        <v/>
      </c>
      <c r="L19" s="15">
        <f>IF(J19="Rezone required",1,0)</f>
        <v/>
      </c>
      <c r="M19" s="15">
        <f>IF(Parcel!$C$20="None",0,IF(AND(Parcel!$C$20="Private easement",Use_Library!$BA$18="Y"),0,1))</f>
        <v/>
      </c>
      <c r="N19" s="15">
        <f>IF(AND(Use_Library!$AZ$18="Y",Parcel!$C$19&lt;Use_Library!$AY$18),0,1)</f>
        <v/>
      </c>
      <c r="O19" s="15">
        <f>IF(AND(Use_Library!$T$18="Y",Parcel!$C$39=0),0,1)</f>
        <v/>
      </c>
      <c r="P19" s="15">
        <f>IF(AND(Use_Library!$U$18="Y",Parcel!$C$38=0),0,1)</f>
        <v/>
      </c>
      <c r="Q19" s="9">
        <f>TRIM(IF(AND(Use_Library!$BB$18&gt;0,Parcel!$C$28&lt;Use_Library!$BB$18),"Traffic under "&amp;TEXT(Use_Library!$BB$18,"#,##0")&amp;" VPD. ","")&amp;IF(AND(Use_Library!$BC$18&gt;0,Parcel!$C$29&lt;Use_Library!$BC$18),"Under "&amp;TEXT(Use_Library!$BC$18,"#,##0")&amp;" households in 3 mi. ","")&amp;IF(AND(Use_Library!$BD$18&gt;0,Parcel!$C$31&gt;Use_Library!$BD$18),"Over "&amp;Use_Library!$BD$18&amp;" mi to highway. ","")&amp;IF(AND(Use_Library!$BE$18="Y",Parcel!$C$32&lt;&gt;"Y"),"Needs a corner. ","")&amp;IF(AND(Use_Library!$BF$18&gt;0,Parcel!$C$33&gt;Use_Library!$BF$18),"Over "&amp;Use_Library!$BF$18&amp;" mi to substation. ","")&amp;IF(AND(Use_Library!$BG$18&gt;0,Parcel!$C$34&gt;Use_Library!$BG$18),"Over "&amp;Use_Library!$BG$18&amp;" mi to a major employer. ",""))</f>
        <v/>
      </c>
      <c r="R19" s="15">
        <f>IF(Q19="",1,0)</f>
        <v/>
      </c>
      <c r="S19" s="15">
        <f>IF(F19&gt;=Use_Library!$L$18,1,0)</f>
        <v/>
      </c>
      <c r="T19" s="15">
        <f>K19*M19*N19*O19*P19*R19*S19</f>
        <v/>
      </c>
      <c r="U19" s="14">
        <f>IF(Use_Library!$G$18&gt;0,I19*Use_Library!$G$18,1E+9)</f>
        <v/>
      </c>
      <c r="V19" s="14">
        <f>IF(Use_Library!$H$18&gt;0,G19*43560/Use_Library!$H$18,1E+9)</f>
        <v/>
      </c>
      <c r="W19" s="14">
        <f>IF(AND(Use_Library!$K$18="Y",Parcel!$C$39=0),G19*(1-Assumptions!$C$8)/IF(Parcel!$C$38=1,Location!$C$25,Location!$C$26),1E+9)</f>
        <v/>
      </c>
      <c r="X19" s="14">
        <f>IF(Use_Library!$I$18&gt;0,Parcel!$C$14*H19/Use_Library!$I$18,1E+9)</f>
        <v/>
      </c>
      <c r="Y19" s="14">
        <f>IF(Use_Library!$J$18&gt;0,Parcel!$C$19/Use_Library!$J$18,1E+9)</f>
        <v/>
      </c>
      <c r="Z19" s="14">
        <f>IF(AND(Parcel!$C$39=0,Use_Library!$K$18="N",Use_Library!$Y$18&gt;0,Use_Library!$Z$18="Y"),G19*Location!$C$27*Parcel!$C$45/Use_Library!$Y$18,1E+9)</f>
        <v/>
      </c>
      <c r="AA19" s="14">
        <f>MIN(U19,V19,W19,X19,Y19,Z19)</f>
        <v/>
      </c>
      <c r="AB19" s="14">
        <f>IF(Use_Library!$O$18&gt;0,IF(Use_Library!$P$18&gt;=10,Parcel!$C$30,Parcel!$C$29)*Use_Library!$O$18*Use_Library!$Q$18,1E+9)</f>
        <v/>
      </c>
      <c r="AC19" s="23">
        <f>IF(OR(AA19&gt;=1E+9,AA19&lt;=0),1,MIN(1,AB19/AA19))</f>
        <v/>
      </c>
      <c r="AD19" s="14">
        <f>G19*AC19</f>
        <v/>
      </c>
      <c r="AE19" s="23">
        <f>IF(F19=0,0,AD19/F19)</f>
        <v/>
      </c>
      <c r="AF19" s="14">
        <f>Parcel!$C$37*AE19</f>
        <v/>
      </c>
      <c r="AG19" s="14">
        <f>AF19*IF(Use_Library!$AB$18="Y",Assumptions!$C$7,0)</f>
        <v/>
      </c>
      <c r="AH19" s="14">
        <f>AF19*(1-Use_Library!$N$18)</f>
        <v/>
      </c>
      <c r="AI19" s="14">
        <f>Parcel!$C$14*(1-AE19)</f>
        <v/>
      </c>
      <c r="AJ19" s="14">
        <f>MIN(AA19,AB19)</f>
        <v/>
      </c>
      <c r="AK19" s="25">
        <f>IF(T19=0,0,IF(AJ19&gt;=1E+9,AD19,IF(Use_Library!$E$18="Y",INT(AJ19+1E-9),AJ19)))</f>
        <v/>
      </c>
      <c r="AL19" s="9">
        <f>IF(M19=0,"No public road access",IF(K19=0,J19,IF(R19=0,"Location fails",IF(N19=0,"Frontage under "&amp;Use_Library!$AY$18&amp;" LF",IF(S19=0,"Too small - needs "&amp;Use_Library!$L$18&amp;" usable ac",IF(O19=0,"Needs public sewer",IF(P19=0,"Needs public water",IF(AJ19&gt;=1E+9,"Usable acres",IF(AB19&lt;=AA19,"Market demand",IF(W19=AA19,"Septic lot size",IF(Z19=AA19,"Septic capacity (gal/day)",IF(X19=AA19,"Min lot size",IF(Y19=AA19,"Road frontage",IF(V19=AA19,"Site area / parking","Density"))))))))))))))</f>
        <v/>
      </c>
      <c r="AM19" s="15">
        <f>IF(AK19&gt;0,1,0)</f>
        <v/>
      </c>
      <c r="AN19" s="15">
        <f>IF(Use_Library!$Z$18="Y",1,0)*AM19</f>
        <v/>
      </c>
      <c r="AO19" s="14">
        <f>IF(Parcel!$C$39=0,MIN(U19,V19,X19,Y19,AB19),0)</f>
        <v/>
      </c>
      <c r="AP19" s="9">
        <f>IF(AND(Parcel!$C$39=0,M19*K19*R19*N19*S19*P19=1,AO19&lt;1E+9,AO19&gt;=MAX(1,AK19)*1.25),"Unlock: sewer or package plant allows ~"&amp;TEXT(INT(AO19),"#,##0")&amp;" "&amp;Use_Library!$D$18&amp;". ","")</f>
        <v/>
      </c>
      <c r="AQ19" s="15">
        <f>AK19*Use_Library!$AC$18*AN19</f>
        <v/>
      </c>
      <c r="AR19" s="15">
        <f>AK19*Use_Library!$AD$18*AN19</f>
        <v/>
      </c>
      <c r="AS19" s="14">
        <f>AK19*Use_Library!$V$18*AN19</f>
        <v/>
      </c>
      <c r="AT19" s="15">
        <f>IF(Parcel!$C$38=1,AQ19+Parcel!$C$40,0)*AN19</f>
        <v/>
      </c>
      <c r="AU19" s="14">
        <f>AS19*Parcel!$C$38</f>
        <v/>
      </c>
      <c r="AV19" s="15">
        <f>IF(AND(Parcel!$C$38=0,Use_Library!$K$18="N",AS19&gt;=Location!$C$30),1,0)*AN19</f>
        <v/>
      </c>
      <c r="AW19" s="15">
        <f>IF(Parcel!$C$39=1,AQ19+Parcel!$C$41,0)*AN19</f>
        <v/>
      </c>
      <c r="AX19" s="14">
        <f>AS19*Parcel!$C$39</f>
        <v/>
      </c>
      <c r="AY19" s="14">
        <f>IF(Parcel!$C$39=0,AK19*Use_Library!$W$18,0)*AN19</f>
        <v/>
      </c>
      <c r="AZ19" s="15">
        <f>IF(Parcel!$C$39=0,AK19*Use_Library!$Y$18,0)*AN19</f>
        <v/>
      </c>
      <c r="BA19" s="15">
        <f>IF(AND(Use_Library!$K$18="N",AZ19&gt;Location!$C$28),1,0)</f>
        <v/>
      </c>
      <c r="BB19" s="14">
        <f>IF(AND(Parcel!$C$38=0,AV19=0),AK19*Use_Library!$X$18,0)*AN19</f>
        <v/>
      </c>
      <c r="BC19" s="14">
        <f>AH19*Parcel!$C$18*Use_Library!$AA$18*AN19</f>
        <v/>
      </c>
      <c r="BD19" s="14">
        <f>AH19*Use_Library!$AA$18*AN19</f>
        <v/>
      </c>
      <c r="BE19" s="15">
        <f>IF(Use_Library!$C$18="For-Sale",IF(Use_Library!$E$18="Y",AK19,1),1)*AM19</f>
        <v/>
      </c>
      <c r="BF19" s="15">
        <f>IF(OR(Use_Library!$F$18="RES-SF",Use_Library!$F$18="RES-ATT",Use_Library!$F$18="RES-MF",Use_Library!$F$18="MH"),1,0)</f>
        <v/>
      </c>
      <c r="BG19" s="20">
        <f>Cost_Library!$J$5*Location!$C$9*AM19</f>
        <v/>
      </c>
      <c r="BH19" s="20">
        <f>BE19*Cost_Library!$J$6*Location!$C$9</f>
        <v/>
      </c>
      <c r="BI19" s="20">
        <f>BD19*Cost_Library!$J$7*Location!$C$9</f>
        <v/>
      </c>
      <c r="BJ19" s="20">
        <f>Cost_Library!$J$8*Location!$C$9*AN19*IF(Use_Library!$AA$18&gt;=0.5,1,0)</f>
        <v/>
      </c>
      <c r="BK19" s="20">
        <f>AY19*Cost_Library!$J$9*Location!$C$9</f>
        <v/>
      </c>
      <c r="BL19" s="20">
        <f>BA19*Cost_Library!$J$10*Location!$C$9</f>
        <v/>
      </c>
      <c r="BM19" s="20">
        <f>Cost_Library!$J$11*Location!$C$9*AM19</f>
        <v/>
      </c>
      <c r="BN19" s="20">
        <f>Cost_Library!$J$12*Location!$C$9*AN19*IF(Use_Library!$AB$18="Y",1,0)</f>
        <v/>
      </c>
      <c r="BO19" s="20">
        <f>Use_Effective!$C$18*AM19</f>
        <v/>
      </c>
      <c r="BP19" s="20">
        <f>L19*Location!$C$31*AM19</f>
        <v/>
      </c>
      <c r="BQ19" s="20">
        <f>Cost_Library!$J$13*Location!$C$9*AM19</f>
        <v/>
      </c>
      <c r="BR19" s="20">
        <f>BC19*Cost_Library!$J$14*Location!$C$9</f>
        <v/>
      </c>
      <c r="BS19" s="20">
        <f>BD19*Cost_Library!$J$15*Location!$C$9*Parcel!$C$43</f>
        <v/>
      </c>
      <c r="BT19" s="20">
        <f>AQ19*Cost_Library!$J$16*Location!$C$9</f>
        <v/>
      </c>
      <c r="BU19" s="20">
        <f>AR19*Cost_Library!$J$17*Location!$C$9</f>
        <v/>
      </c>
      <c r="BV19" s="20">
        <f>AG19*Cost_Library!$J$18*Location!$C$9*AN19</f>
        <v/>
      </c>
      <c r="BW19" s="20">
        <f>BD19*Cost_Library!$J$19*Location!$C$9</f>
        <v/>
      </c>
      <c r="BX19" s="20">
        <f>IF(Use_Library!$AZ$18="Y",1,0)*Cost_Library!$J$20*Location!$C$9*AN19</f>
        <v/>
      </c>
      <c r="BY19" s="20">
        <f>AT19*Cost_Library!$J$21*Location!$C$9</f>
        <v/>
      </c>
      <c r="BZ19" s="20">
        <f>AU19*Cost_Library!$J$22*Location!$C$9</f>
        <v/>
      </c>
      <c r="CA19" s="20">
        <f>AW19*Cost_Library!$J$23*Location!$C$9</f>
        <v/>
      </c>
      <c r="CB19" s="20">
        <f>AX19*Cost_Library!$J$24*Location!$C$9</f>
        <v/>
      </c>
      <c r="CC19" s="20">
        <f>AY19*Cost_Library!$J$25*Location!$C$9*Parcel!$C$44</f>
        <v/>
      </c>
      <c r="CD19" s="20">
        <f>BB19*Cost_Library!$J$26*Location!$C$9</f>
        <v/>
      </c>
      <c r="CE19" s="20">
        <f>AV19*(Cost_Library!$J$27+AS19*Cost_Library!$J$28)*Location!$C$9</f>
        <v/>
      </c>
      <c r="CF19" s="20">
        <f>AQ19*Cost_Library!$J$29*Location!$C$9</f>
        <v/>
      </c>
      <c r="CG19" s="20">
        <f>SUM(BG19:CF19)</f>
        <v/>
      </c>
      <c r="CH19" s="20">
        <f>CG19*Assumptions!$C$9</f>
        <v/>
      </c>
      <c r="CI19" s="20">
        <f>(CG19+CH19)*Org_Profile!$C$17</f>
        <v/>
      </c>
      <c r="CJ19" s="20">
        <f>CG19+CH19+CI19</f>
        <v/>
      </c>
      <c r="CK19" s="20">
        <f>AK19*Use_Effective!$B$18*(1+Org_Profile!$C$17)</f>
        <v/>
      </c>
      <c r="CL19" s="20">
        <f>CK19*(Assumptions!$C$10+Assumptions!$C$11)</f>
        <v/>
      </c>
      <c r="CM19" s="20">
        <f>AK19*Use_Effective!$D$18</f>
        <v/>
      </c>
      <c r="CN19" s="20">
        <f>AK19*Location!$C$21*BF19*AM19</f>
        <v/>
      </c>
      <c r="CO19" s="14">
        <f>Use_Effective!$F$18+L19*Location!$C$32+BA19*Location!$C$29</f>
        <v/>
      </c>
      <c r="CP19" s="14">
        <f>IF(Use_Effective!$P$18&gt;0,IF(Use_Library!$C$18="For-Sale",AK19,AD19)/Use_Effective!$P$18,0)*AM19</f>
        <v/>
      </c>
      <c r="CQ19" s="14">
        <f>IF(AND(Use_Library!$C$18="For-Sale",Use_Effective!$O$18&gt;0),AK19/Use_Effective!$O$18,0)*AM19</f>
        <v/>
      </c>
      <c r="CR19" s="14">
        <f>IF(Use_Library!$C$18="Income",MAX(Use_Library!$AQ$18,IF(Use_Effective!$O$18&gt;0,AK19/Use_Effective!$O$18,0)),0)</f>
        <v/>
      </c>
      <c r="CS19" s="14">
        <f>CO19+CP19</f>
        <v/>
      </c>
      <c r="CT19" s="14">
        <f>CO19+CQ19+CR19</f>
        <v/>
      </c>
      <c r="CU19" s="14">
        <f>CO19+IF(Use_Library!$C$18="Income",CR19,0)</f>
        <v/>
      </c>
      <c r="CV19" s="23">
        <f>Use_Effective!$G$18+Assumptions!$C$25*MAX(0,(CS19-12)/12)</f>
        <v/>
      </c>
      <c r="CW19" s="23">
        <f>Use_Effective!$G$18+Assumptions!$C$25*MAX(0,(CT19-12)/12)</f>
        <v/>
      </c>
      <c r="CX19" s="23">
        <f>Use_Effective!$G$18+Assumptions!$C$25*MAX(0,(CU19-12)/12)</f>
        <v/>
      </c>
      <c r="CY19" s="28">
        <f>1+Location!$C$17+IF(Parcel!$C$26="Y",Location!$C$20,0)</f>
        <v/>
      </c>
      <c r="CZ19" s="28">
        <f>CY19+Location!$C$19*(CO19+CP19/2)/12</f>
        <v/>
      </c>
      <c r="DA19" s="28">
        <f>CY19+Location!$C$19*(CO19+CQ19/2)/12</f>
        <v/>
      </c>
      <c r="DB19" s="28">
        <f>IF(Use_Library!$C$18="Income",DA19,CY19+Location!$C$19*CO19/12)</f>
        <v/>
      </c>
      <c r="DC19" s="28">
        <f>1+Assumptions!$C$15*(Assumptions!$C$16*(CO19+CP19/2)/12*Assumptions!$C$18+Assumptions!$C$17)</f>
        <v/>
      </c>
      <c r="DD19" s="28">
        <f>1+Assumptions!$C$15*(Assumptions!$C$16*((CO19+CQ19/2)/12*Assumptions!$C$18+CR19/12*Assumptions!$C$19)+Assumptions!$C$17)</f>
        <v/>
      </c>
      <c r="DE19" s="28">
        <f>IF(Use_Library!$C$18="Income",DD19,1+Assumptions!$C$15*(Assumptions!$C$16*CO19/12*Assumptions!$C$18+Assumptions!$C$17))</f>
        <v/>
      </c>
      <c r="DF19" s="23">
        <f>Assumptions!$C$13+Location!$C$18</f>
        <v/>
      </c>
      <c r="DG19" s="23">
        <f>Assumptions!$C$12+Location!$C$18</f>
        <v/>
      </c>
      <c r="DH19" s="23">
        <f>Assumptions!$C$14+Location!$C$18</f>
        <v/>
      </c>
      <c r="DI19" s="20">
        <f>AI19*Location!$C$14*(1-DF19)*AM19</f>
        <v/>
      </c>
      <c r="DJ19" s="20">
        <f>IF(Use_Library!$AV$18=1,IF(Use_Library!$C$18="For-Sale",AK19*Use_Effective!$H$18+Parcel!$C$14*AE19*Use_Effective!$J$18,AD19*Use_Effective!$J$18)*(1-DF19)+DI19,0)*AM19</f>
        <v/>
      </c>
      <c r="DK19" s="20">
        <f>(CG19-BU19-CC19-CD19)*(1+Assumptions!$C$9)*(1+Org_Profile!$C$17)</f>
        <v/>
      </c>
      <c r="DL19" s="28">
        <f>CZ19*DC19</f>
        <v/>
      </c>
      <c r="DM19" s="20">
        <f>(Parcel!$C$27*CZ19+DK19)*DC19</f>
        <v/>
      </c>
      <c r="DN19" s="20">
        <f>DJ19-DM19</f>
        <v/>
      </c>
      <c r="DO19" s="38">
        <f>IF(AND(Use_Library!$AV$18=1,AM19=1),MAX(0,((1-CV19)*DJ19-DK19*DC19)/DL19),0)</f>
        <v/>
      </c>
      <c r="DP19" s="20">
        <f>CJ19+CK19+CL19+CM19+CN19</f>
        <v/>
      </c>
      <c r="DQ19" s="28">
        <f>DA19*DD19</f>
        <v/>
      </c>
      <c r="DR19" s="20">
        <f>(Parcel!$C$27*DA19+DP19)*DD19</f>
        <v/>
      </c>
      <c r="DS19" s="20">
        <f>IF(Use_Library!$C$18="Income",AK19*Use_Effective!$K$18,0)</f>
        <v/>
      </c>
      <c r="DT19" s="20">
        <f>DS19*(1+Use_Library!$AL$18)*(1-Use_Effective!$N$18)</f>
        <v/>
      </c>
      <c r="DU19" s="20">
        <f>IF(Use_Library!$C$18="Income",AK19*Use_Effective!$E$18,0)</f>
        <v/>
      </c>
      <c r="DV19" s="20">
        <f>IF(Use_Library!$C$18="Income",Location!$C$15*Location!$C$16*DR19,0)</f>
        <v/>
      </c>
      <c r="DW19" s="20">
        <f>DT19*Use_Library!$AO$18</f>
        <v/>
      </c>
      <c r="DX19" s="20">
        <f>(DU19+DV19)*Use_Library!$AP$18</f>
        <v/>
      </c>
      <c r="DY19" s="20">
        <f>DT19-DU19-DV19-DW19+DX19</f>
        <v/>
      </c>
      <c r="DZ19" s="26">
        <f>Use_Effective!$M$18</f>
        <v/>
      </c>
      <c r="EA19" s="20">
        <f>IF(AND(Use_Library!$C$18="Income",DZ19&gt;0),DY19/DZ19,0)</f>
        <v/>
      </c>
      <c r="EB19" s="39">
        <f>IF(Use_Library!$C$18="Income",-Location!$C$15*Location!$C$16*(1-Use_Library!$AP$18)*DQ19,0)</f>
        <v/>
      </c>
      <c r="EC19" s="23">
        <f>IF(DR19=0,0,DY19/DR19)</f>
        <v/>
      </c>
      <c r="ED19" s="20">
        <f>IF(Use_Library!$AW$18=1,IF(Use_Library!$C$18="Income",EA19*(1-DH19),AK19*Use_Effective!$I$18*(1-DG19))+DI19,0)*AM19</f>
        <v/>
      </c>
      <c r="EE19" s="39">
        <f>IF(AND(Use_Library!$AW$18=1,Use_Library!$C$18="Income",DZ19&gt;0),EB19/DZ19*(1-DH19),0)</f>
        <v/>
      </c>
      <c r="EF19" s="20">
        <f>ED19-DR19</f>
        <v/>
      </c>
      <c r="EG19" s="38">
        <f>IF(AND(Use_Library!$AW$18=1,AM19=1),MAX(0,Parcel!$C$27-((1-CW19)*ED19-DR19)/((1-CW19)*EE19-DQ19)),0)</f>
        <v/>
      </c>
      <c r="EH19" s="20">
        <f>IF(Use_Library!$AX$18=1,IF(Use_Library!$C$18="Income",EA19,IF(DZ19&gt;0,AD19*Use_Effective!$L$18/DZ19,0))+DI19,0)*AM19</f>
        <v/>
      </c>
      <c r="EI19" s="20">
        <f>IF(Use_Library!$C$18="Income",DP19,CJ19)</f>
        <v/>
      </c>
      <c r="EJ19" s="28">
        <f>IF(Use_Library!$C$18="Income",DQ19,DB19*DE19)</f>
        <v/>
      </c>
      <c r="EK19" s="20">
        <f>IF(Use_Library!$C$18="Income",DR19,(Parcel!$C$27*DB19+CJ19)*DE19)</f>
        <v/>
      </c>
      <c r="EL19" s="39">
        <f>IF(AND(Use_Library!$AX$18=1,Use_Library!$C$18="Income",DZ19&gt;0),EB19/DZ19,0)</f>
        <v/>
      </c>
      <c r="EM19" s="20">
        <f>EH19-EK19</f>
        <v/>
      </c>
      <c r="EN19" s="38">
        <f>IF(AND(Use_Library!$AX$18=1,AM19=1),MAX(0,Parcel!$C$27-((1-CX19)*EH19-EK19)/((1-CX19)*EL19-EJ19)),0)</f>
        <v/>
      </c>
      <c r="EO19" s="20">
        <f>IF(Use_Library!$C$18="Income",Assumptions!$C$15*(Parcel!$C$27*DA19+DP19),0)</f>
        <v/>
      </c>
      <c r="EP19" s="20">
        <f>IF(AND(Use_Library!$C$18="Income",DY19&gt;0),MIN(Assumptions!$C$20*EA19,PV(Assumptions!$C$23/12,Assumptions!$C$24*12,-DY19/Assumptions!$C$21/12),DY19/Assumptions!$C$22),0)</f>
        <v/>
      </c>
      <c r="EQ19" s="27">
        <f>IF(EP19=0,0,DY19/(-PMT(Assumptions!$C$23/12,Assumptions!$C$24*12,EP19)*12))</f>
        <v/>
      </c>
      <c r="ER19" s="20">
        <f>EP19-EO19</f>
        <v/>
      </c>
      <c r="ES19" s="19">
        <f>MAX(DO19,EG19,EN19)</f>
        <v/>
      </c>
      <c r="ET19" s="15">
        <f>IF(ES19&lt;=0,0,IF(DO19=ES19,1,IF(EG19=ES19,2,3)))</f>
        <v/>
      </c>
      <c r="EU19" s="9">
        <f>CHOOSE(ET19+1,"None works","Land / pad sale","Build &amp; sell","Build &amp; hold / lease")</f>
        <v/>
      </c>
      <c r="EV19" s="15">
        <f>CHOOSE(ET19+1,0,CS19,CT19,CU19)</f>
        <v/>
      </c>
      <c r="EW19" s="20">
        <f>ES19*(1-Assumptions!$C$26)</f>
        <v/>
      </c>
      <c r="EX19" s="20">
        <f>ES19-Parcel!$C$27</f>
        <v/>
      </c>
      <c r="EY19" s="20">
        <f>IF(Parcel!$C$14=0,0,ES19/Parcel!$C$14)</f>
        <v/>
      </c>
      <c r="EZ19" s="36">
        <f>IF(AK19=0,0,ES19/AK19)</f>
        <v/>
      </c>
      <c r="FA19" s="9">
        <f>IF(ES19&lt;=0,"Pass",IF(ES19&gt;=Parcel!$C$27*Assumptions!$C$27,"Strong",IF(ES19&gt;=Parcel!$C$27,"Works at asking",IF(ES19&gt;=Parcel!$C$27*Assumptions!$C$28,"Negotiate","Pass"))))</f>
        <v/>
      </c>
      <c r="FB19" s="9">
        <f>IF(AM19=0,"",IF(Use_Library!$BH$18="Y",IF(Use_Effective!$AF$18&gt;=3,"High","Medium"),"Low - verify location"))</f>
        <v/>
      </c>
      <c r="FC19" s="9">
        <f>IF(AND(Use_Library!$BH$18="N",AM19=1),Use_Library!$BI$18,"")</f>
        <v/>
      </c>
      <c r="FD19" s="9">
        <f>TRIM(Q19&amp;" "&amp;IF(AND(AM19=0,T19=1),"Nothing fits. ","")&amp;IF(AND(Use_Library!$AZ$18&lt;&gt;"Y",Parcel!$C$19&lt;Use_Library!$AY$18),"Frontage under "&amp;Use_Library!$AY$18&amp;" LF. ","")&amp;IF(Parcel!$C$17&gt;0.15,"Slope over 15%. ","")&amp;IF(AND(AM19=1,AI19&gt;0.5),TEXT(AI19,"0")&amp;" ac not used - resold as raw land. ","")&amp;IF(AND(AM19=1,AC19&lt;1),"Demand caps it at "&amp;TEXT(AK19,"#,##0")&amp;" "&amp;Use_Library!$D$18&amp;". ","")&amp;IF(AND(AM19=1,L19=1),"Rezone required (+"&amp;Location!$C$32&amp;" mo). ","")&amp;IF(AND(AM19=1,BA19=1),"State wastewater permit needed. ","")&amp;IF(AND(AM19=1,AV19=1),"Public water system needed. ","")&amp;AP19&amp;IF(Parcel!$C$16&gt;Assumptions!$C$29,"Floodplain over "&amp;TEXT(Assumptions!$C$29,"0%")&amp;". ","")&amp;IF(AND(AM19=1,EV19&gt;60),"Over 5 years to exit. ",""))</f>
        <v/>
      </c>
      <c r="FE19" s="20">
        <f>IF(AND(Org_Profile!$C$5="My uses",E19=0),-1E+9,ES19)+ROW()/1000000</f>
        <v/>
      </c>
    </row>
    <row r="20">
      <c r="A20" s="4">
        <f>Use_Library!$A$19</f>
        <v/>
      </c>
      <c r="B20" s="9">
        <f>Use_Library!$C$19</f>
        <v/>
      </c>
      <c r="C20" s="9">
        <f>Use_Library!$D$19</f>
        <v/>
      </c>
      <c r="D20" s="9">
        <f>Use_Library!$F$19</f>
        <v/>
      </c>
      <c r="E20" s="15">
        <f>IF(Org_Profile!$C$36="Y",1,0)</f>
        <v/>
      </c>
      <c r="F20" s="14">
        <f>MAX(0,Parcel!$C$37*(1-Use_Library!$N$19-IF(Use_Library!$AB$19="Y",Assumptions!$C$7,0)))</f>
        <v/>
      </c>
      <c r="G20" s="14">
        <f>IF(Use_Library!$M$19&gt;0,MIN(F20,Use_Library!$M$19),F20)</f>
        <v/>
      </c>
      <c r="H20" s="23">
        <f>IF(F20=0,0,G20/F20)</f>
        <v/>
      </c>
      <c r="I20" s="14">
        <f>Parcel!$C$37*H20</f>
        <v/>
      </c>
      <c r="J20" s="9">
        <f>IF(ISNUMBER(SEARCH(","&amp;Use_Library!$F$19&amp;",",","&amp;SUBSTITUTE(Parcel!$C$11," ","")&amp;",")),"Deed restricted",IF(Parcel!$C$46=0,"No zoning",IF(ISNUMBER(SEARCH(","&amp;Use_Library!$F$19&amp;",",","&amp;SUBSTITUTE(Parcel!$C$10," ","")&amp;",")),"By right",IF(OR(TRIM(Parcel!$C$12)="*",ISNUMBER(SEARCH(","&amp;Use_Library!$F$19&amp;",",","&amp;SUBSTITUTE(Parcel!$C$12," ","")&amp;","))),"Rezone required","Prohibited by zoning"))))</f>
        <v/>
      </c>
      <c r="K20" s="15">
        <f>IF(OR(J20="Deed restricted",J20="Prohibited by zoning"),0,1)</f>
        <v/>
      </c>
      <c r="L20" s="15">
        <f>IF(J20="Rezone required",1,0)</f>
        <v/>
      </c>
      <c r="M20" s="15">
        <f>IF(Parcel!$C$20="None",0,IF(AND(Parcel!$C$20="Private easement",Use_Library!$BA$19="Y"),0,1))</f>
        <v/>
      </c>
      <c r="N20" s="15">
        <f>IF(AND(Use_Library!$AZ$19="Y",Parcel!$C$19&lt;Use_Library!$AY$19),0,1)</f>
        <v/>
      </c>
      <c r="O20" s="15">
        <f>IF(AND(Use_Library!$T$19="Y",Parcel!$C$39=0),0,1)</f>
        <v/>
      </c>
      <c r="P20" s="15">
        <f>IF(AND(Use_Library!$U$19="Y",Parcel!$C$38=0),0,1)</f>
        <v/>
      </c>
      <c r="Q20" s="9">
        <f>TRIM(IF(AND(Use_Library!$BB$19&gt;0,Parcel!$C$28&lt;Use_Library!$BB$19),"Traffic under "&amp;TEXT(Use_Library!$BB$19,"#,##0")&amp;" VPD. ","")&amp;IF(AND(Use_Library!$BC$19&gt;0,Parcel!$C$29&lt;Use_Library!$BC$19),"Under "&amp;TEXT(Use_Library!$BC$19,"#,##0")&amp;" households in 3 mi. ","")&amp;IF(AND(Use_Library!$BD$19&gt;0,Parcel!$C$31&gt;Use_Library!$BD$19),"Over "&amp;Use_Library!$BD$19&amp;" mi to highway. ","")&amp;IF(AND(Use_Library!$BE$19="Y",Parcel!$C$32&lt;&gt;"Y"),"Needs a corner. ","")&amp;IF(AND(Use_Library!$BF$19&gt;0,Parcel!$C$33&gt;Use_Library!$BF$19),"Over "&amp;Use_Library!$BF$19&amp;" mi to substation. ","")&amp;IF(AND(Use_Library!$BG$19&gt;0,Parcel!$C$34&gt;Use_Library!$BG$19),"Over "&amp;Use_Library!$BG$19&amp;" mi to a major employer. ",""))</f>
        <v/>
      </c>
      <c r="R20" s="15">
        <f>IF(Q20="",1,0)</f>
        <v/>
      </c>
      <c r="S20" s="15">
        <f>IF(F20&gt;=Use_Library!$L$19,1,0)</f>
        <v/>
      </c>
      <c r="T20" s="15">
        <f>K20*M20*N20*O20*P20*R20*S20</f>
        <v/>
      </c>
      <c r="U20" s="14">
        <f>IF(Use_Library!$G$19&gt;0,I20*Use_Library!$G$19,1E+9)</f>
        <v/>
      </c>
      <c r="V20" s="14">
        <f>IF(Use_Library!$H$19&gt;0,G20*43560/Use_Library!$H$19,1E+9)</f>
        <v/>
      </c>
      <c r="W20" s="14">
        <f>IF(AND(Use_Library!$K$19="Y",Parcel!$C$39=0),G20*(1-Assumptions!$C$8)/IF(Parcel!$C$38=1,Location!$C$25,Location!$C$26),1E+9)</f>
        <v/>
      </c>
      <c r="X20" s="14">
        <f>IF(Use_Library!$I$19&gt;0,Parcel!$C$14*H20/Use_Library!$I$19,1E+9)</f>
        <v/>
      </c>
      <c r="Y20" s="14">
        <f>IF(Use_Library!$J$19&gt;0,Parcel!$C$19/Use_Library!$J$19,1E+9)</f>
        <v/>
      </c>
      <c r="Z20" s="14">
        <f>IF(AND(Parcel!$C$39=0,Use_Library!$K$19="N",Use_Library!$Y$19&gt;0,Use_Library!$Z$19="Y"),G20*Location!$C$27*Parcel!$C$45/Use_Library!$Y$19,1E+9)</f>
        <v/>
      </c>
      <c r="AA20" s="14">
        <f>MIN(U20,V20,W20,X20,Y20,Z20)</f>
        <v/>
      </c>
      <c r="AB20" s="14">
        <f>IF(Use_Library!$O$19&gt;0,IF(Use_Library!$P$19&gt;=10,Parcel!$C$30,Parcel!$C$29)*Use_Library!$O$19*Use_Library!$Q$19,1E+9)</f>
        <v/>
      </c>
      <c r="AC20" s="23">
        <f>IF(OR(AA20&gt;=1E+9,AA20&lt;=0),1,MIN(1,AB20/AA20))</f>
        <v/>
      </c>
      <c r="AD20" s="14">
        <f>G20*AC20</f>
        <v/>
      </c>
      <c r="AE20" s="23">
        <f>IF(F20=0,0,AD20/F20)</f>
        <v/>
      </c>
      <c r="AF20" s="14">
        <f>Parcel!$C$37*AE20</f>
        <v/>
      </c>
      <c r="AG20" s="14">
        <f>AF20*IF(Use_Library!$AB$19="Y",Assumptions!$C$7,0)</f>
        <v/>
      </c>
      <c r="AH20" s="14">
        <f>AF20*(1-Use_Library!$N$19)</f>
        <v/>
      </c>
      <c r="AI20" s="14">
        <f>Parcel!$C$14*(1-AE20)</f>
        <v/>
      </c>
      <c r="AJ20" s="14">
        <f>MIN(AA20,AB20)</f>
        <v/>
      </c>
      <c r="AK20" s="25">
        <f>IF(T20=0,0,IF(AJ20&gt;=1E+9,AD20,IF(Use_Library!$E$19="Y",INT(AJ20+1E-9),AJ20)))</f>
        <v/>
      </c>
      <c r="AL20" s="9">
        <f>IF(M20=0,"No public road access",IF(K20=0,J20,IF(R20=0,"Location fails",IF(N20=0,"Frontage under "&amp;Use_Library!$AY$19&amp;" LF",IF(S20=0,"Too small - needs "&amp;Use_Library!$L$19&amp;" usable ac",IF(O20=0,"Needs public sewer",IF(P20=0,"Needs public water",IF(AJ20&gt;=1E+9,"Usable acres",IF(AB20&lt;=AA20,"Market demand",IF(W20=AA20,"Septic lot size",IF(Z20=AA20,"Septic capacity (gal/day)",IF(X20=AA20,"Min lot size",IF(Y20=AA20,"Road frontage",IF(V20=AA20,"Site area / parking","Density"))))))))))))))</f>
        <v/>
      </c>
      <c r="AM20" s="15">
        <f>IF(AK20&gt;0,1,0)</f>
        <v/>
      </c>
      <c r="AN20" s="15">
        <f>IF(Use_Library!$Z$19="Y",1,0)*AM20</f>
        <v/>
      </c>
      <c r="AO20" s="14">
        <f>IF(Parcel!$C$39=0,MIN(U20,V20,X20,Y20,AB20),0)</f>
        <v/>
      </c>
      <c r="AP20" s="9">
        <f>IF(AND(Parcel!$C$39=0,M20*K20*R20*N20*S20*P20=1,AO20&lt;1E+9,AO20&gt;=MAX(1,AK20)*1.25),"Unlock: sewer or package plant allows ~"&amp;TEXT(INT(AO20),"#,##0")&amp;" "&amp;Use_Library!$D$19&amp;". ","")</f>
        <v/>
      </c>
      <c r="AQ20" s="15">
        <f>AK20*Use_Library!$AC$19*AN20</f>
        <v/>
      </c>
      <c r="AR20" s="15">
        <f>AK20*Use_Library!$AD$19*AN20</f>
        <v/>
      </c>
      <c r="AS20" s="14">
        <f>AK20*Use_Library!$V$19*AN20</f>
        <v/>
      </c>
      <c r="AT20" s="15">
        <f>IF(Parcel!$C$38=1,AQ20+Parcel!$C$40,0)*AN20</f>
        <v/>
      </c>
      <c r="AU20" s="14">
        <f>AS20*Parcel!$C$38</f>
        <v/>
      </c>
      <c r="AV20" s="15">
        <f>IF(AND(Parcel!$C$38=0,Use_Library!$K$19="N",AS20&gt;=Location!$C$30),1,0)*AN20</f>
        <v/>
      </c>
      <c r="AW20" s="15">
        <f>IF(Parcel!$C$39=1,AQ20+Parcel!$C$41,0)*AN20</f>
        <v/>
      </c>
      <c r="AX20" s="14">
        <f>AS20*Parcel!$C$39</f>
        <v/>
      </c>
      <c r="AY20" s="14">
        <f>IF(Parcel!$C$39=0,AK20*Use_Library!$W$19,0)*AN20</f>
        <v/>
      </c>
      <c r="AZ20" s="15">
        <f>IF(Parcel!$C$39=0,AK20*Use_Library!$Y$19,0)*AN20</f>
        <v/>
      </c>
      <c r="BA20" s="15">
        <f>IF(AND(Use_Library!$K$19="N",AZ20&gt;Location!$C$28),1,0)</f>
        <v/>
      </c>
      <c r="BB20" s="14">
        <f>IF(AND(Parcel!$C$38=0,AV20=0),AK20*Use_Library!$X$19,0)*AN20</f>
        <v/>
      </c>
      <c r="BC20" s="14">
        <f>AH20*Parcel!$C$18*Use_Library!$AA$19*AN20</f>
        <v/>
      </c>
      <c r="BD20" s="14">
        <f>AH20*Use_Library!$AA$19*AN20</f>
        <v/>
      </c>
      <c r="BE20" s="15">
        <f>IF(Use_Library!$C$19="For-Sale",IF(Use_Library!$E$19="Y",AK20,1),1)*AM20</f>
        <v/>
      </c>
      <c r="BF20" s="15">
        <f>IF(OR(Use_Library!$F$19="RES-SF",Use_Library!$F$19="RES-ATT",Use_Library!$F$19="RES-MF",Use_Library!$F$19="MH"),1,0)</f>
        <v/>
      </c>
      <c r="BG20" s="20">
        <f>Cost_Library!$J$5*Location!$C$9*AM20</f>
        <v/>
      </c>
      <c r="BH20" s="20">
        <f>BE20*Cost_Library!$J$6*Location!$C$9</f>
        <v/>
      </c>
      <c r="BI20" s="20">
        <f>BD20*Cost_Library!$J$7*Location!$C$9</f>
        <v/>
      </c>
      <c r="BJ20" s="20">
        <f>Cost_Library!$J$8*Location!$C$9*AN20*IF(Use_Library!$AA$19&gt;=0.5,1,0)</f>
        <v/>
      </c>
      <c r="BK20" s="20">
        <f>AY20*Cost_Library!$J$9*Location!$C$9</f>
        <v/>
      </c>
      <c r="BL20" s="20">
        <f>BA20*Cost_Library!$J$10*Location!$C$9</f>
        <v/>
      </c>
      <c r="BM20" s="20">
        <f>Cost_Library!$J$11*Location!$C$9*AM20</f>
        <v/>
      </c>
      <c r="BN20" s="20">
        <f>Cost_Library!$J$12*Location!$C$9*AN20*IF(Use_Library!$AB$19="Y",1,0)</f>
        <v/>
      </c>
      <c r="BO20" s="20">
        <f>Use_Effective!$C$19*AM20</f>
        <v/>
      </c>
      <c r="BP20" s="20">
        <f>L20*Location!$C$31*AM20</f>
        <v/>
      </c>
      <c r="BQ20" s="20">
        <f>Cost_Library!$J$13*Location!$C$9*AM20</f>
        <v/>
      </c>
      <c r="BR20" s="20">
        <f>BC20*Cost_Library!$J$14*Location!$C$9</f>
        <v/>
      </c>
      <c r="BS20" s="20">
        <f>BD20*Cost_Library!$J$15*Location!$C$9*Parcel!$C$43</f>
        <v/>
      </c>
      <c r="BT20" s="20">
        <f>AQ20*Cost_Library!$J$16*Location!$C$9</f>
        <v/>
      </c>
      <c r="BU20" s="20">
        <f>AR20*Cost_Library!$J$17*Location!$C$9</f>
        <v/>
      </c>
      <c r="BV20" s="20">
        <f>AG20*Cost_Library!$J$18*Location!$C$9*AN20</f>
        <v/>
      </c>
      <c r="BW20" s="20">
        <f>BD20*Cost_Library!$J$19*Location!$C$9</f>
        <v/>
      </c>
      <c r="BX20" s="20">
        <f>IF(Use_Library!$AZ$19="Y",1,0)*Cost_Library!$J$20*Location!$C$9*AN20</f>
        <v/>
      </c>
      <c r="BY20" s="20">
        <f>AT20*Cost_Library!$J$21*Location!$C$9</f>
        <v/>
      </c>
      <c r="BZ20" s="20">
        <f>AU20*Cost_Library!$J$22*Location!$C$9</f>
        <v/>
      </c>
      <c r="CA20" s="20">
        <f>AW20*Cost_Library!$J$23*Location!$C$9</f>
        <v/>
      </c>
      <c r="CB20" s="20">
        <f>AX20*Cost_Library!$J$24*Location!$C$9</f>
        <v/>
      </c>
      <c r="CC20" s="20">
        <f>AY20*Cost_Library!$J$25*Location!$C$9*Parcel!$C$44</f>
        <v/>
      </c>
      <c r="CD20" s="20">
        <f>BB20*Cost_Library!$J$26*Location!$C$9</f>
        <v/>
      </c>
      <c r="CE20" s="20">
        <f>AV20*(Cost_Library!$J$27+AS20*Cost_Library!$J$28)*Location!$C$9</f>
        <v/>
      </c>
      <c r="CF20" s="20">
        <f>AQ20*Cost_Library!$J$29*Location!$C$9</f>
        <v/>
      </c>
      <c r="CG20" s="20">
        <f>SUM(BG20:CF20)</f>
        <v/>
      </c>
      <c r="CH20" s="20">
        <f>CG20*Assumptions!$C$9</f>
        <v/>
      </c>
      <c r="CI20" s="20">
        <f>(CG20+CH20)*Org_Profile!$C$17</f>
        <v/>
      </c>
      <c r="CJ20" s="20">
        <f>CG20+CH20+CI20</f>
        <v/>
      </c>
      <c r="CK20" s="20">
        <f>AK20*Use_Effective!$B$19*(1+Org_Profile!$C$17)</f>
        <v/>
      </c>
      <c r="CL20" s="20">
        <f>CK20*(Assumptions!$C$10+Assumptions!$C$11)</f>
        <v/>
      </c>
      <c r="CM20" s="20">
        <f>AK20*Use_Effective!$D$19</f>
        <v/>
      </c>
      <c r="CN20" s="20">
        <f>AK20*Location!$C$21*BF20*AM20</f>
        <v/>
      </c>
      <c r="CO20" s="14">
        <f>Use_Effective!$F$19+L20*Location!$C$32+BA20*Location!$C$29</f>
        <v/>
      </c>
      <c r="CP20" s="14">
        <f>IF(Use_Effective!$P$19&gt;0,IF(Use_Library!$C$19="For-Sale",AK20,AD20)/Use_Effective!$P$19,0)*AM20</f>
        <v/>
      </c>
      <c r="CQ20" s="14">
        <f>IF(AND(Use_Library!$C$19="For-Sale",Use_Effective!$O$19&gt;0),AK20/Use_Effective!$O$19,0)*AM20</f>
        <v/>
      </c>
      <c r="CR20" s="14">
        <f>IF(Use_Library!$C$19="Income",MAX(Use_Library!$AQ$19,IF(Use_Effective!$O$19&gt;0,AK20/Use_Effective!$O$19,0)),0)</f>
        <v/>
      </c>
      <c r="CS20" s="14">
        <f>CO20+CP20</f>
        <v/>
      </c>
      <c r="CT20" s="14">
        <f>CO20+CQ20+CR20</f>
        <v/>
      </c>
      <c r="CU20" s="14">
        <f>CO20+IF(Use_Library!$C$19="Income",CR20,0)</f>
        <v/>
      </c>
      <c r="CV20" s="23">
        <f>Use_Effective!$G$19+Assumptions!$C$25*MAX(0,(CS20-12)/12)</f>
        <v/>
      </c>
      <c r="CW20" s="23">
        <f>Use_Effective!$G$19+Assumptions!$C$25*MAX(0,(CT20-12)/12)</f>
        <v/>
      </c>
      <c r="CX20" s="23">
        <f>Use_Effective!$G$19+Assumptions!$C$25*MAX(0,(CU20-12)/12)</f>
        <v/>
      </c>
      <c r="CY20" s="28">
        <f>1+Location!$C$17+IF(Parcel!$C$26="Y",Location!$C$20,0)</f>
        <v/>
      </c>
      <c r="CZ20" s="28">
        <f>CY20+Location!$C$19*(CO20+CP20/2)/12</f>
        <v/>
      </c>
      <c r="DA20" s="28">
        <f>CY20+Location!$C$19*(CO20+CQ20/2)/12</f>
        <v/>
      </c>
      <c r="DB20" s="28">
        <f>IF(Use_Library!$C$19="Income",DA20,CY20+Location!$C$19*CO20/12)</f>
        <v/>
      </c>
      <c r="DC20" s="28">
        <f>1+Assumptions!$C$15*(Assumptions!$C$16*(CO20+CP20/2)/12*Assumptions!$C$18+Assumptions!$C$17)</f>
        <v/>
      </c>
      <c r="DD20" s="28">
        <f>1+Assumptions!$C$15*(Assumptions!$C$16*((CO20+CQ20/2)/12*Assumptions!$C$18+CR20/12*Assumptions!$C$19)+Assumptions!$C$17)</f>
        <v/>
      </c>
      <c r="DE20" s="28">
        <f>IF(Use_Library!$C$19="Income",DD20,1+Assumptions!$C$15*(Assumptions!$C$16*CO20/12*Assumptions!$C$18+Assumptions!$C$17))</f>
        <v/>
      </c>
      <c r="DF20" s="23">
        <f>Assumptions!$C$13+Location!$C$18</f>
        <v/>
      </c>
      <c r="DG20" s="23">
        <f>Assumptions!$C$12+Location!$C$18</f>
        <v/>
      </c>
      <c r="DH20" s="23">
        <f>Assumptions!$C$14+Location!$C$18</f>
        <v/>
      </c>
      <c r="DI20" s="20">
        <f>AI20*Location!$C$14*(1-DF20)*AM20</f>
        <v/>
      </c>
      <c r="DJ20" s="20">
        <f>IF(Use_Library!$AV$19=1,IF(Use_Library!$C$19="For-Sale",AK20*Use_Effective!$H$19+Parcel!$C$14*AE20*Use_Effective!$J$19,AD20*Use_Effective!$J$19)*(1-DF20)+DI20,0)*AM20</f>
        <v/>
      </c>
      <c r="DK20" s="20">
        <f>(CG20-BU20-CC20-CD20)*(1+Assumptions!$C$9)*(1+Org_Profile!$C$17)</f>
        <v/>
      </c>
      <c r="DL20" s="28">
        <f>CZ20*DC20</f>
        <v/>
      </c>
      <c r="DM20" s="20">
        <f>(Parcel!$C$27*CZ20+DK20)*DC20</f>
        <v/>
      </c>
      <c r="DN20" s="20">
        <f>DJ20-DM20</f>
        <v/>
      </c>
      <c r="DO20" s="38">
        <f>IF(AND(Use_Library!$AV$19=1,AM20=1),MAX(0,((1-CV20)*DJ20-DK20*DC20)/DL20),0)</f>
        <v/>
      </c>
      <c r="DP20" s="20">
        <f>CJ20+CK20+CL20+CM20+CN20</f>
        <v/>
      </c>
      <c r="DQ20" s="28">
        <f>DA20*DD20</f>
        <v/>
      </c>
      <c r="DR20" s="20">
        <f>(Parcel!$C$27*DA20+DP20)*DD20</f>
        <v/>
      </c>
      <c r="DS20" s="20">
        <f>IF(Use_Library!$C$19="Income",AK20*Use_Effective!$K$19,0)</f>
        <v/>
      </c>
      <c r="DT20" s="20">
        <f>DS20*(1+Use_Library!$AL$19)*(1-Use_Effective!$N$19)</f>
        <v/>
      </c>
      <c r="DU20" s="20">
        <f>IF(Use_Library!$C$19="Income",AK20*Use_Effective!$E$19,0)</f>
        <v/>
      </c>
      <c r="DV20" s="20">
        <f>IF(Use_Library!$C$19="Income",Location!$C$15*Location!$C$16*DR20,0)</f>
        <v/>
      </c>
      <c r="DW20" s="20">
        <f>DT20*Use_Library!$AO$19</f>
        <v/>
      </c>
      <c r="DX20" s="20">
        <f>(DU20+DV20)*Use_Library!$AP$19</f>
        <v/>
      </c>
      <c r="DY20" s="20">
        <f>DT20-DU20-DV20-DW20+DX20</f>
        <v/>
      </c>
      <c r="DZ20" s="26">
        <f>Use_Effective!$M$19</f>
        <v/>
      </c>
      <c r="EA20" s="20">
        <f>IF(AND(Use_Library!$C$19="Income",DZ20&gt;0),DY20/DZ20,0)</f>
        <v/>
      </c>
      <c r="EB20" s="39">
        <f>IF(Use_Library!$C$19="Income",-Location!$C$15*Location!$C$16*(1-Use_Library!$AP$19)*DQ20,0)</f>
        <v/>
      </c>
      <c r="EC20" s="23">
        <f>IF(DR20=0,0,DY20/DR20)</f>
        <v/>
      </c>
      <c r="ED20" s="20">
        <f>IF(Use_Library!$AW$19=1,IF(Use_Library!$C$19="Income",EA20*(1-DH20),AK20*Use_Effective!$I$19*(1-DG20))+DI20,0)*AM20</f>
        <v/>
      </c>
      <c r="EE20" s="39">
        <f>IF(AND(Use_Library!$AW$19=1,Use_Library!$C$19="Income",DZ20&gt;0),EB20/DZ20*(1-DH20),0)</f>
        <v/>
      </c>
      <c r="EF20" s="20">
        <f>ED20-DR20</f>
        <v/>
      </c>
      <c r="EG20" s="38">
        <f>IF(AND(Use_Library!$AW$19=1,AM20=1),MAX(0,Parcel!$C$27-((1-CW20)*ED20-DR20)/((1-CW20)*EE20-DQ20)),0)</f>
        <v/>
      </c>
      <c r="EH20" s="20">
        <f>IF(Use_Library!$AX$19=1,IF(Use_Library!$C$19="Income",EA20,IF(DZ20&gt;0,AD20*Use_Effective!$L$19/DZ20,0))+DI20,0)*AM20</f>
        <v/>
      </c>
      <c r="EI20" s="20">
        <f>IF(Use_Library!$C$19="Income",DP20,CJ20)</f>
        <v/>
      </c>
      <c r="EJ20" s="28">
        <f>IF(Use_Library!$C$19="Income",DQ20,DB20*DE20)</f>
        <v/>
      </c>
      <c r="EK20" s="20">
        <f>IF(Use_Library!$C$19="Income",DR20,(Parcel!$C$27*DB20+CJ20)*DE20)</f>
        <v/>
      </c>
      <c r="EL20" s="39">
        <f>IF(AND(Use_Library!$AX$19=1,Use_Library!$C$19="Income",DZ20&gt;0),EB20/DZ20,0)</f>
        <v/>
      </c>
      <c r="EM20" s="20">
        <f>EH20-EK20</f>
        <v/>
      </c>
      <c r="EN20" s="38">
        <f>IF(AND(Use_Library!$AX$19=1,AM20=1),MAX(0,Parcel!$C$27-((1-CX20)*EH20-EK20)/((1-CX20)*EL20-EJ20)),0)</f>
        <v/>
      </c>
      <c r="EO20" s="20">
        <f>IF(Use_Library!$C$19="Income",Assumptions!$C$15*(Parcel!$C$27*DA20+DP20),0)</f>
        <v/>
      </c>
      <c r="EP20" s="20">
        <f>IF(AND(Use_Library!$C$19="Income",DY20&gt;0),MIN(Assumptions!$C$20*EA20,PV(Assumptions!$C$23/12,Assumptions!$C$24*12,-DY20/Assumptions!$C$21/12),DY20/Assumptions!$C$22),0)</f>
        <v/>
      </c>
      <c r="EQ20" s="27">
        <f>IF(EP20=0,0,DY20/(-PMT(Assumptions!$C$23/12,Assumptions!$C$24*12,EP20)*12))</f>
        <v/>
      </c>
      <c r="ER20" s="20">
        <f>EP20-EO20</f>
        <v/>
      </c>
      <c r="ES20" s="19">
        <f>MAX(DO20,EG20,EN20)</f>
        <v/>
      </c>
      <c r="ET20" s="15">
        <f>IF(ES20&lt;=0,0,IF(DO20=ES20,1,IF(EG20=ES20,2,3)))</f>
        <v/>
      </c>
      <c r="EU20" s="9">
        <f>CHOOSE(ET20+1,"None works","Land / pad sale","Build &amp; sell","Build &amp; hold / lease")</f>
        <v/>
      </c>
      <c r="EV20" s="15">
        <f>CHOOSE(ET20+1,0,CS20,CT20,CU20)</f>
        <v/>
      </c>
      <c r="EW20" s="20">
        <f>ES20*(1-Assumptions!$C$26)</f>
        <v/>
      </c>
      <c r="EX20" s="20">
        <f>ES20-Parcel!$C$27</f>
        <v/>
      </c>
      <c r="EY20" s="20">
        <f>IF(Parcel!$C$14=0,0,ES20/Parcel!$C$14)</f>
        <v/>
      </c>
      <c r="EZ20" s="36">
        <f>IF(AK20=0,0,ES20/AK20)</f>
        <v/>
      </c>
      <c r="FA20" s="9">
        <f>IF(ES20&lt;=0,"Pass",IF(ES20&gt;=Parcel!$C$27*Assumptions!$C$27,"Strong",IF(ES20&gt;=Parcel!$C$27,"Works at asking",IF(ES20&gt;=Parcel!$C$27*Assumptions!$C$28,"Negotiate","Pass"))))</f>
        <v/>
      </c>
      <c r="FB20" s="9">
        <f>IF(AM20=0,"",IF(Use_Library!$BH$19="Y",IF(Use_Effective!$AF$19&gt;=3,"High","Medium"),"Low - verify location"))</f>
        <v/>
      </c>
      <c r="FC20" s="9">
        <f>IF(AND(Use_Library!$BH$19="N",AM20=1),Use_Library!$BI$19,"")</f>
        <v/>
      </c>
      <c r="FD20" s="9">
        <f>TRIM(Q20&amp;" "&amp;IF(AND(AM20=0,T20=1),"Nothing fits. ","")&amp;IF(AND(Use_Library!$AZ$19&lt;&gt;"Y",Parcel!$C$19&lt;Use_Library!$AY$19),"Frontage under "&amp;Use_Library!$AY$19&amp;" LF. ","")&amp;IF(Parcel!$C$17&gt;0.15,"Slope over 15%. ","")&amp;IF(AND(AM20=1,AI20&gt;0.5),TEXT(AI20,"0")&amp;" ac not used - resold as raw land. ","")&amp;IF(AND(AM20=1,AC20&lt;1),"Demand caps it at "&amp;TEXT(AK20,"#,##0")&amp;" "&amp;Use_Library!$D$19&amp;". ","")&amp;IF(AND(AM20=1,L20=1),"Rezone required (+"&amp;Location!$C$32&amp;" mo). ","")&amp;IF(AND(AM20=1,BA20=1),"State wastewater permit needed. ","")&amp;IF(AND(AM20=1,AV20=1),"Public water system needed. ","")&amp;AP20&amp;IF(Parcel!$C$16&gt;Assumptions!$C$29,"Floodplain over "&amp;TEXT(Assumptions!$C$29,"0%")&amp;". ","")&amp;IF(AND(AM20=1,EV20&gt;60),"Over 5 years to exit. ",""))</f>
        <v/>
      </c>
      <c r="FE20" s="20">
        <f>IF(AND(Org_Profile!$C$5="My uses",E20=0),-1E+9,ES20)+ROW()/1000000</f>
        <v/>
      </c>
    </row>
    <row r="21">
      <c r="A21" s="4">
        <f>Use_Library!$A$20</f>
        <v/>
      </c>
      <c r="B21" s="9">
        <f>Use_Library!$C$20</f>
        <v/>
      </c>
      <c r="C21" s="9">
        <f>Use_Library!$D$20</f>
        <v/>
      </c>
      <c r="D21" s="9">
        <f>Use_Library!$F$20</f>
        <v/>
      </c>
      <c r="E21" s="15">
        <f>IF(Org_Profile!$C$37="Y",1,0)</f>
        <v/>
      </c>
      <c r="F21" s="14">
        <f>MAX(0,Parcel!$C$37*(1-Use_Library!$N$20-IF(Use_Library!$AB$20="Y",Assumptions!$C$7,0)))</f>
        <v/>
      </c>
      <c r="G21" s="14">
        <f>IF(Use_Library!$M$20&gt;0,MIN(F21,Use_Library!$M$20),F21)</f>
        <v/>
      </c>
      <c r="H21" s="23">
        <f>IF(F21=0,0,G21/F21)</f>
        <v/>
      </c>
      <c r="I21" s="14">
        <f>Parcel!$C$37*H21</f>
        <v/>
      </c>
      <c r="J21" s="9">
        <f>IF(ISNUMBER(SEARCH(","&amp;Use_Library!$F$20&amp;",",","&amp;SUBSTITUTE(Parcel!$C$11," ","")&amp;",")),"Deed restricted",IF(Parcel!$C$46=0,"No zoning",IF(ISNUMBER(SEARCH(","&amp;Use_Library!$F$20&amp;",",","&amp;SUBSTITUTE(Parcel!$C$10," ","")&amp;",")),"By right",IF(OR(TRIM(Parcel!$C$12)="*",ISNUMBER(SEARCH(","&amp;Use_Library!$F$20&amp;",",","&amp;SUBSTITUTE(Parcel!$C$12," ","")&amp;","))),"Rezone required","Prohibited by zoning"))))</f>
        <v/>
      </c>
      <c r="K21" s="15">
        <f>IF(OR(J21="Deed restricted",J21="Prohibited by zoning"),0,1)</f>
        <v/>
      </c>
      <c r="L21" s="15">
        <f>IF(J21="Rezone required",1,0)</f>
        <v/>
      </c>
      <c r="M21" s="15">
        <f>IF(Parcel!$C$20="None",0,IF(AND(Parcel!$C$20="Private easement",Use_Library!$BA$20="Y"),0,1))</f>
        <v/>
      </c>
      <c r="N21" s="15">
        <f>IF(AND(Use_Library!$AZ$20="Y",Parcel!$C$19&lt;Use_Library!$AY$20),0,1)</f>
        <v/>
      </c>
      <c r="O21" s="15">
        <f>IF(AND(Use_Library!$T$20="Y",Parcel!$C$39=0),0,1)</f>
        <v/>
      </c>
      <c r="P21" s="15">
        <f>IF(AND(Use_Library!$U$20="Y",Parcel!$C$38=0),0,1)</f>
        <v/>
      </c>
      <c r="Q21" s="9">
        <f>TRIM(IF(AND(Use_Library!$BB$20&gt;0,Parcel!$C$28&lt;Use_Library!$BB$20),"Traffic under "&amp;TEXT(Use_Library!$BB$20,"#,##0")&amp;" VPD. ","")&amp;IF(AND(Use_Library!$BC$20&gt;0,Parcel!$C$29&lt;Use_Library!$BC$20),"Under "&amp;TEXT(Use_Library!$BC$20,"#,##0")&amp;" households in 3 mi. ","")&amp;IF(AND(Use_Library!$BD$20&gt;0,Parcel!$C$31&gt;Use_Library!$BD$20),"Over "&amp;Use_Library!$BD$20&amp;" mi to highway. ","")&amp;IF(AND(Use_Library!$BE$20="Y",Parcel!$C$32&lt;&gt;"Y"),"Needs a corner. ","")&amp;IF(AND(Use_Library!$BF$20&gt;0,Parcel!$C$33&gt;Use_Library!$BF$20),"Over "&amp;Use_Library!$BF$20&amp;" mi to substation. ","")&amp;IF(AND(Use_Library!$BG$20&gt;0,Parcel!$C$34&gt;Use_Library!$BG$20),"Over "&amp;Use_Library!$BG$20&amp;" mi to a major employer. ",""))</f>
        <v/>
      </c>
      <c r="R21" s="15">
        <f>IF(Q21="",1,0)</f>
        <v/>
      </c>
      <c r="S21" s="15">
        <f>IF(F21&gt;=Use_Library!$L$20,1,0)</f>
        <v/>
      </c>
      <c r="T21" s="15">
        <f>K21*M21*N21*O21*P21*R21*S21</f>
        <v/>
      </c>
      <c r="U21" s="14">
        <f>IF(Use_Library!$G$20&gt;0,I21*Use_Library!$G$20,1E+9)</f>
        <v/>
      </c>
      <c r="V21" s="14">
        <f>IF(Use_Library!$H$20&gt;0,G21*43560/Use_Library!$H$20,1E+9)</f>
        <v/>
      </c>
      <c r="W21" s="14">
        <f>IF(AND(Use_Library!$K$20="Y",Parcel!$C$39=0),G21*(1-Assumptions!$C$8)/IF(Parcel!$C$38=1,Location!$C$25,Location!$C$26),1E+9)</f>
        <v/>
      </c>
      <c r="X21" s="14">
        <f>IF(Use_Library!$I$20&gt;0,Parcel!$C$14*H21/Use_Library!$I$20,1E+9)</f>
        <v/>
      </c>
      <c r="Y21" s="14">
        <f>IF(Use_Library!$J$20&gt;0,Parcel!$C$19/Use_Library!$J$20,1E+9)</f>
        <v/>
      </c>
      <c r="Z21" s="14">
        <f>IF(AND(Parcel!$C$39=0,Use_Library!$K$20="N",Use_Library!$Y$20&gt;0,Use_Library!$Z$20="Y"),G21*Location!$C$27*Parcel!$C$45/Use_Library!$Y$20,1E+9)</f>
        <v/>
      </c>
      <c r="AA21" s="14">
        <f>MIN(U21,V21,W21,X21,Y21,Z21)</f>
        <v/>
      </c>
      <c r="AB21" s="14">
        <f>IF(Use_Library!$O$20&gt;0,IF(Use_Library!$P$20&gt;=10,Parcel!$C$30,Parcel!$C$29)*Use_Library!$O$20*Use_Library!$Q$20,1E+9)</f>
        <v/>
      </c>
      <c r="AC21" s="23">
        <f>IF(OR(AA21&gt;=1E+9,AA21&lt;=0),1,MIN(1,AB21/AA21))</f>
        <v/>
      </c>
      <c r="AD21" s="14">
        <f>G21*AC21</f>
        <v/>
      </c>
      <c r="AE21" s="23">
        <f>IF(F21=0,0,AD21/F21)</f>
        <v/>
      </c>
      <c r="AF21" s="14">
        <f>Parcel!$C$37*AE21</f>
        <v/>
      </c>
      <c r="AG21" s="14">
        <f>AF21*IF(Use_Library!$AB$20="Y",Assumptions!$C$7,0)</f>
        <v/>
      </c>
      <c r="AH21" s="14">
        <f>AF21*(1-Use_Library!$N$20)</f>
        <v/>
      </c>
      <c r="AI21" s="14">
        <f>Parcel!$C$14*(1-AE21)</f>
        <v/>
      </c>
      <c r="AJ21" s="14">
        <f>MIN(AA21,AB21)</f>
        <v/>
      </c>
      <c r="AK21" s="25">
        <f>IF(T21=0,0,IF(AJ21&gt;=1E+9,AD21,IF(Use_Library!$E$20="Y",INT(AJ21+1E-9),AJ21)))</f>
        <v/>
      </c>
      <c r="AL21" s="9">
        <f>IF(M21=0,"No public road access",IF(K21=0,J21,IF(R21=0,"Location fails",IF(N21=0,"Frontage under "&amp;Use_Library!$AY$20&amp;" LF",IF(S21=0,"Too small - needs "&amp;Use_Library!$L$20&amp;" usable ac",IF(O21=0,"Needs public sewer",IF(P21=0,"Needs public water",IF(AJ21&gt;=1E+9,"Usable acres",IF(AB21&lt;=AA21,"Market demand",IF(W21=AA21,"Septic lot size",IF(Z21=AA21,"Septic capacity (gal/day)",IF(X21=AA21,"Min lot size",IF(Y21=AA21,"Road frontage",IF(V21=AA21,"Site area / parking","Density"))))))))))))))</f>
        <v/>
      </c>
      <c r="AM21" s="15">
        <f>IF(AK21&gt;0,1,0)</f>
        <v/>
      </c>
      <c r="AN21" s="15">
        <f>IF(Use_Library!$Z$20="Y",1,0)*AM21</f>
        <v/>
      </c>
      <c r="AO21" s="14">
        <f>IF(Parcel!$C$39=0,MIN(U21,V21,X21,Y21,AB21),0)</f>
        <v/>
      </c>
      <c r="AP21" s="9">
        <f>IF(AND(Parcel!$C$39=0,M21*K21*R21*N21*S21*P21=1,AO21&lt;1E+9,AO21&gt;=MAX(1,AK21)*1.25),"Unlock: sewer or package plant allows ~"&amp;TEXT(INT(AO21),"#,##0")&amp;" "&amp;Use_Library!$D$20&amp;". ","")</f>
        <v/>
      </c>
      <c r="AQ21" s="15">
        <f>AK21*Use_Library!$AC$20*AN21</f>
        <v/>
      </c>
      <c r="AR21" s="15">
        <f>AK21*Use_Library!$AD$20*AN21</f>
        <v/>
      </c>
      <c r="AS21" s="14">
        <f>AK21*Use_Library!$V$20*AN21</f>
        <v/>
      </c>
      <c r="AT21" s="15">
        <f>IF(Parcel!$C$38=1,AQ21+Parcel!$C$40,0)*AN21</f>
        <v/>
      </c>
      <c r="AU21" s="14">
        <f>AS21*Parcel!$C$38</f>
        <v/>
      </c>
      <c r="AV21" s="15">
        <f>IF(AND(Parcel!$C$38=0,Use_Library!$K$20="N",AS21&gt;=Location!$C$30),1,0)*AN21</f>
        <v/>
      </c>
      <c r="AW21" s="15">
        <f>IF(Parcel!$C$39=1,AQ21+Parcel!$C$41,0)*AN21</f>
        <v/>
      </c>
      <c r="AX21" s="14">
        <f>AS21*Parcel!$C$39</f>
        <v/>
      </c>
      <c r="AY21" s="14">
        <f>IF(Parcel!$C$39=0,AK21*Use_Library!$W$20,0)*AN21</f>
        <v/>
      </c>
      <c r="AZ21" s="15">
        <f>IF(Parcel!$C$39=0,AK21*Use_Library!$Y$20,0)*AN21</f>
        <v/>
      </c>
      <c r="BA21" s="15">
        <f>IF(AND(Use_Library!$K$20="N",AZ21&gt;Location!$C$28),1,0)</f>
        <v/>
      </c>
      <c r="BB21" s="14">
        <f>IF(AND(Parcel!$C$38=0,AV21=0),AK21*Use_Library!$X$20,0)*AN21</f>
        <v/>
      </c>
      <c r="BC21" s="14">
        <f>AH21*Parcel!$C$18*Use_Library!$AA$20*AN21</f>
        <v/>
      </c>
      <c r="BD21" s="14">
        <f>AH21*Use_Library!$AA$20*AN21</f>
        <v/>
      </c>
      <c r="BE21" s="15">
        <f>IF(Use_Library!$C$20="For-Sale",IF(Use_Library!$E$20="Y",AK21,1),1)*AM21</f>
        <v/>
      </c>
      <c r="BF21" s="15">
        <f>IF(OR(Use_Library!$F$20="RES-SF",Use_Library!$F$20="RES-ATT",Use_Library!$F$20="RES-MF",Use_Library!$F$20="MH"),1,0)</f>
        <v/>
      </c>
      <c r="BG21" s="20">
        <f>Cost_Library!$J$5*Location!$C$9*AM21</f>
        <v/>
      </c>
      <c r="BH21" s="20">
        <f>BE21*Cost_Library!$J$6*Location!$C$9</f>
        <v/>
      </c>
      <c r="BI21" s="20">
        <f>BD21*Cost_Library!$J$7*Location!$C$9</f>
        <v/>
      </c>
      <c r="BJ21" s="20">
        <f>Cost_Library!$J$8*Location!$C$9*AN21*IF(Use_Library!$AA$20&gt;=0.5,1,0)</f>
        <v/>
      </c>
      <c r="BK21" s="20">
        <f>AY21*Cost_Library!$J$9*Location!$C$9</f>
        <v/>
      </c>
      <c r="BL21" s="20">
        <f>BA21*Cost_Library!$J$10*Location!$C$9</f>
        <v/>
      </c>
      <c r="BM21" s="20">
        <f>Cost_Library!$J$11*Location!$C$9*AM21</f>
        <v/>
      </c>
      <c r="BN21" s="20">
        <f>Cost_Library!$J$12*Location!$C$9*AN21*IF(Use_Library!$AB$20="Y",1,0)</f>
        <v/>
      </c>
      <c r="BO21" s="20">
        <f>Use_Effective!$C$20*AM21</f>
        <v/>
      </c>
      <c r="BP21" s="20">
        <f>L21*Location!$C$31*AM21</f>
        <v/>
      </c>
      <c r="BQ21" s="20">
        <f>Cost_Library!$J$13*Location!$C$9*AM21</f>
        <v/>
      </c>
      <c r="BR21" s="20">
        <f>BC21*Cost_Library!$J$14*Location!$C$9</f>
        <v/>
      </c>
      <c r="BS21" s="20">
        <f>BD21*Cost_Library!$J$15*Location!$C$9*Parcel!$C$43</f>
        <v/>
      </c>
      <c r="BT21" s="20">
        <f>AQ21*Cost_Library!$J$16*Location!$C$9</f>
        <v/>
      </c>
      <c r="BU21" s="20">
        <f>AR21*Cost_Library!$J$17*Location!$C$9</f>
        <v/>
      </c>
      <c r="BV21" s="20">
        <f>AG21*Cost_Library!$J$18*Location!$C$9*AN21</f>
        <v/>
      </c>
      <c r="BW21" s="20">
        <f>BD21*Cost_Library!$J$19*Location!$C$9</f>
        <v/>
      </c>
      <c r="BX21" s="20">
        <f>IF(Use_Library!$AZ$20="Y",1,0)*Cost_Library!$J$20*Location!$C$9*AN21</f>
        <v/>
      </c>
      <c r="BY21" s="20">
        <f>AT21*Cost_Library!$J$21*Location!$C$9</f>
        <v/>
      </c>
      <c r="BZ21" s="20">
        <f>AU21*Cost_Library!$J$22*Location!$C$9</f>
        <v/>
      </c>
      <c r="CA21" s="20">
        <f>AW21*Cost_Library!$J$23*Location!$C$9</f>
        <v/>
      </c>
      <c r="CB21" s="20">
        <f>AX21*Cost_Library!$J$24*Location!$C$9</f>
        <v/>
      </c>
      <c r="CC21" s="20">
        <f>AY21*Cost_Library!$J$25*Location!$C$9*Parcel!$C$44</f>
        <v/>
      </c>
      <c r="CD21" s="20">
        <f>BB21*Cost_Library!$J$26*Location!$C$9</f>
        <v/>
      </c>
      <c r="CE21" s="20">
        <f>AV21*(Cost_Library!$J$27+AS21*Cost_Library!$J$28)*Location!$C$9</f>
        <v/>
      </c>
      <c r="CF21" s="20">
        <f>AQ21*Cost_Library!$J$29*Location!$C$9</f>
        <v/>
      </c>
      <c r="CG21" s="20">
        <f>SUM(BG21:CF21)</f>
        <v/>
      </c>
      <c r="CH21" s="20">
        <f>CG21*Assumptions!$C$9</f>
        <v/>
      </c>
      <c r="CI21" s="20">
        <f>(CG21+CH21)*Org_Profile!$C$17</f>
        <v/>
      </c>
      <c r="CJ21" s="20">
        <f>CG21+CH21+CI21</f>
        <v/>
      </c>
      <c r="CK21" s="20">
        <f>AK21*Use_Effective!$B$20*(1+Org_Profile!$C$17)</f>
        <v/>
      </c>
      <c r="CL21" s="20">
        <f>CK21*(Assumptions!$C$10+Assumptions!$C$11)</f>
        <v/>
      </c>
      <c r="CM21" s="20">
        <f>AK21*Use_Effective!$D$20</f>
        <v/>
      </c>
      <c r="CN21" s="20">
        <f>AK21*Location!$C$21*BF21*AM21</f>
        <v/>
      </c>
      <c r="CO21" s="14">
        <f>Use_Effective!$F$20+L21*Location!$C$32+BA21*Location!$C$29</f>
        <v/>
      </c>
      <c r="CP21" s="14">
        <f>IF(Use_Effective!$P$20&gt;0,IF(Use_Library!$C$20="For-Sale",AK21,AD21)/Use_Effective!$P$20,0)*AM21</f>
        <v/>
      </c>
      <c r="CQ21" s="14">
        <f>IF(AND(Use_Library!$C$20="For-Sale",Use_Effective!$O$20&gt;0),AK21/Use_Effective!$O$20,0)*AM21</f>
        <v/>
      </c>
      <c r="CR21" s="14">
        <f>IF(Use_Library!$C$20="Income",MAX(Use_Library!$AQ$20,IF(Use_Effective!$O$20&gt;0,AK21/Use_Effective!$O$20,0)),0)</f>
        <v/>
      </c>
      <c r="CS21" s="14">
        <f>CO21+CP21</f>
        <v/>
      </c>
      <c r="CT21" s="14">
        <f>CO21+CQ21+CR21</f>
        <v/>
      </c>
      <c r="CU21" s="14">
        <f>CO21+IF(Use_Library!$C$20="Income",CR21,0)</f>
        <v/>
      </c>
      <c r="CV21" s="23">
        <f>Use_Effective!$G$20+Assumptions!$C$25*MAX(0,(CS21-12)/12)</f>
        <v/>
      </c>
      <c r="CW21" s="23">
        <f>Use_Effective!$G$20+Assumptions!$C$25*MAX(0,(CT21-12)/12)</f>
        <v/>
      </c>
      <c r="CX21" s="23">
        <f>Use_Effective!$G$20+Assumptions!$C$25*MAX(0,(CU21-12)/12)</f>
        <v/>
      </c>
      <c r="CY21" s="28">
        <f>1+Location!$C$17+IF(Parcel!$C$26="Y",Location!$C$20,0)</f>
        <v/>
      </c>
      <c r="CZ21" s="28">
        <f>CY21+Location!$C$19*(CO21+CP21/2)/12</f>
        <v/>
      </c>
      <c r="DA21" s="28">
        <f>CY21+Location!$C$19*(CO21+CQ21/2)/12</f>
        <v/>
      </c>
      <c r="DB21" s="28">
        <f>IF(Use_Library!$C$20="Income",DA21,CY21+Location!$C$19*CO21/12)</f>
        <v/>
      </c>
      <c r="DC21" s="28">
        <f>1+Assumptions!$C$15*(Assumptions!$C$16*(CO21+CP21/2)/12*Assumptions!$C$18+Assumptions!$C$17)</f>
        <v/>
      </c>
      <c r="DD21" s="28">
        <f>1+Assumptions!$C$15*(Assumptions!$C$16*((CO21+CQ21/2)/12*Assumptions!$C$18+CR21/12*Assumptions!$C$19)+Assumptions!$C$17)</f>
        <v/>
      </c>
      <c r="DE21" s="28">
        <f>IF(Use_Library!$C$20="Income",DD21,1+Assumptions!$C$15*(Assumptions!$C$16*CO21/12*Assumptions!$C$18+Assumptions!$C$17))</f>
        <v/>
      </c>
      <c r="DF21" s="23">
        <f>Assumptions!$C$13+Location!$C$18</f>
        <v/>
      </c>
      <c r="DG21" s="23">
        <f>Assumptions!$C$12+Location!$C$18</f>
        <v/>
      </c>
      <c r="DH21" s="23">
        <f>Assumptions!$C$14+Location!$C$18</f>
        <v/>
      </c>
      <c r="DI21" s="20">
        <f>AI21*Location!$C$14*(1-DF21)*AM21</f>
        <v/>
      </c>
      <c r="DJ21" s="20">
        <f>IF(Use_Library!$AV$20=1,IF(Use_Library!$C$20="For-Sale",AK21*Use_Effective!$H$20+Parcel!$C$14*AE21*Use_Effective!$J$20,AD21*Use_Effective!$J$20)*(1-DF21)+DI21,0)*AM21</f>
        <v/>
      </c>
      <c r="DK21" s="20">
        <f>(CG21-BU21-CC21-CD21)*(1+Assumptions!$C$9)*(1+Org_Profile!$C$17)</f>
        <v/>
      </c>
      <c r="DL21" s="28">
        <f>CZ21*DC21</f>
        <v/>
      </c>
      <c r="DM21" s="20">
        <f>(Parcel!$C$27*CZ21+DK21)*DC21</f>
        <v/>
      </c>
      <c r="DN21" s="20">
        <f>DJ21-DM21</f>
        <v/>
      </c>
      <c r="DO21" s="38">
        <f>IF(AND(Use_Library!$AV$20=1,AM21=1),MAX(0,((1-CV21)*DJ21-DK21*DC21)/DL21),0)</f>
        <v/>
      </c>
      <c r="DP21" s="20">
        <f>CJ21+CK21+CL21+CM21+CN21</f>
        <v/>
      </c>
      <c r="DQ21" s="28">
        <f>DA21*DD21</f>
        <v/>
      </c>
      <c r="DR21" s="20">
        <f>(Parcel!$C$27*DA21+DP21)*DD21</f>
        <v/>
      </c>
      <c r="DS21" s="20">
        <f>IF(Use_Library!$C$20="Income",AK21*Use_Effective!$K$20,0)</f>
        <v/>
      </c>
      <c r="DT21" s="20">
        <f>DS21*(1+Use_Library!$AL$20)*(1-Use_Effective!$N$20)</f>
        <v/>
      </c>
      <c r="DU21" s="20">
        <f>IF(Use_Library!$C$20="Income",AK21*Use_Effective!$E$20,0)</f>
        <v/>
      </c>
      <c r="DV21" s="20">
        <f>IF(Use_Library!$C$20="Income",Location!$C$15*Location!$C$16*DR21,0)</f>
        <v/>
      </c>
      <c r="DW21" s="20">
        <f>DT21*Use_Library!$AO$20</f>
        <v/>
      </c>
      <c r="DX21" s="20">
        <f>(DU21+DV21)*Use_Library!$AP$20</f>
        <v/>
      </c>
      <c r="DY21" s="20">
        <f>DT21-DU21-DV21-DW21+DX21</f>
        <v/>
      </c>
      <c r="DZ21" s="26">
        <f>Use_Effective!$M$20</f>
        <v/>
      </c>
      <c r="EA21" s="20">
        <f>IF(AND(Use_Library!$C$20="Income",DZ21&gt;0),DY21/DZ21,0)</f>
        <v/>
      </c>
      <c r="EB21" s="39">
        <f>IF(Use_Library!$C$20="Income",-Location!$C$15*Location!$C$16*(1-Use_Library!$AP$20)*DQ21,0)</f>
        <v/>
      </c>
      <c r="EC21" s="23">
        <f>IF(DR21=0,0,DY21/DR21)</f>
        <v/>
      </c>
      <c r="ED21" s="20">
        <f>IF(Use_Library!$AW$20=1,IF(Use_Library!$C$20="Income",EA21*(1-DH21),AK21*Use_Effective!$I$20*(1-DG21))+DI21,0)*AM21</f>
        <v/>
      </c>
      <c r="EE21" s="39">
        <f>IF(AND(Use_Library!$AW$20=1,Use_Library!$C$20="Income",DZ21&gt;0),EB21/DZ21*(1-DH21),0)</f>
        <v/>
      </c>
      <c r="EF21" s="20">
        <f>ED21-DR21</f>
        <v/>
      </c>
      <c r="EG21" s="38">
        <f>IF(AND(Use_Library!$AW$20=1,AM21=1),MAX(0,Parcel!$C$27-((1-CW21)*ED21-DR21)/((1-CW21)*EE21-DQ21)),0)</f>
        <v/>
      </c>
      <c r="EH21" s="20">
        <f>IF(Use_Library!$AX$20=1,IF(Use_Library!$C$20="Income",EA21,IF(DZ21&gt;0,AD21*Use_Effective!$L$20/DZ21,0))+DI21,0)*AM21</f>
        <v/>
      </c>
      <c r="EI21" s="20">
        <f>IF(Use_Library!$C$20="Income",DP21,CJ21)</f>
        <v/>
      </c>
      <c r="EJ21" s="28">
        <f>IF(Use_Library!$C$20="Income",DQ21,DB21*DE21)</f>
        <v/>
      </c>
      <c r="EK21" s="20">
        <f>IF(Use_Library!$C$20="Income",DR21,(Parcel!$C$27*DB21+CJ21)*DE21)</f>
        <v/>
      </c>
      <c r="EL21" s="39">
        <f>IF(AND(Use_Library!$AX$20=1,Use_Library!$C$20="Income",DZ21&gt;0),EB21/DZ21,0)</f>
        <v/>
      </c>
      <c r="EM21" s="20">
        <f>EH21-EK21</f>
        <v/>
      </c>
      <c r="EN21" s="38">
        <f>IF(AND(Use_Library!$AX$20=1,AM21=1),MAX(0,Parcel!$C$27-((1-CX21)*EH21-EK21)/((1-CX21)*EL21-EJ21)),0)</f>
        <v/>
      </c>
      <c r="EO21" s="20">
        <f>IF(Use_Library!$C$20="Income",Assumptions!$C$15*(Parcel!$C$27*DA21+DP21),0)</f>
        <v/>
      </c>
      <c r="EP21" s="20">
        <f>IF(AND(Use_Library!$C$20="Income",DY21&gt;0),MIN(Assumptions!$C$20*EA21,PV(Assumptions!$C$23/12,Assumptions!$C$24*12,-DY21/Assumptions!$C$21/12),DY21/Assumptions!$C$22),0)</f>
        <v/>
      </c>
      <c r="EQ21" s="27">
        <f>IF(EP21=0,0,DY21/(-PMT(Assumptions!$C$23/12,Assumptions!$C$24*12,EP21)*12))</f>
        <v/>
      </c>
      <c r="ER21" s="20">
        <f>EP21-EO21</f>
        <v/>
      </c>
      <c r="ES21" s="19">
        <f>MAX(DO21,EG21,EN21)</f>
        <v/>
      </c>
      <c r="ET21" s="15">
        <f>IF(ES21&lt;=0,0,IF(DO21=ES21,1,IF(EG21=ES21,2,3)))</f>
        <v/>
      </c>
      <c r="EU21" s="9">
        <f>CHOOSE(ET21+1,"None works","Land / pad sale","Build &amp; sell","Build &amp; hold / lease")</f>
        <v/>
      </c>
      <c r="EV21" s="15">
        <f>CHOOSE(ET21+1,0,CS21,CT21,CU21)</f>
        <v/>
      </c>
      <c r="EW21" s="20">
        <f>ES21*(1-Assumptions!$C$26)</f>
        <v/>
      </c>
      <c r="EX21" s="20">
        <f>ES21-Parcel!$C$27</f>
        <v/>
      </c>
      <c r="EY21" s="20">
        <f>IF(Parcel!$C$14=0,0,ES21/Parcel!$C$14)</f>
        <v/>
      </c>
      <c r="EZ21" s="36">
        <f>IF(AK21=0,0,ES21/AK21)</f>
        <v/>
      </c>
      <c r="FA21" s="9">
        <f>IF(ES21&lt;=0,"Pass",IF(ES21&gt;=Parcel!$C$27*Assumptions!$C$27,"Strong",IF(ES21&gt;=Parcel!$C$27,"Works at asking",IF(ES21&gt;=Parcel!$C$27*Assumptions!$C$28,"Negotiate","Pass"))))</f>
        <v/>
      </c>
      <c r="FB21" s="9">
        <f>IF(AM21=0,"",IF(Use_Library!$BH$20="Y",IF(Use_Effective!$AF$20&gt;=3,"High","Medium"),"Low - verify location"))</f>
        <v/>
      </c>
      <c r="FC21" s="9">
        <f>IF(AND(Use_Library!$BH$20="N",AM21=1),Use_Library!$BI$20,"")</f>
        <v/>
      </c>
      <c r="FD21" s="9">
        <f>TRIM(Q21&amp;" "&amp;IF(AND(AM21=0,T21=1),"Nothing fits. ","")&amp;IF(AND(Use_Library!$AZ$20&lt;&gt;"Y",Parcel!$C$19&lt;Use_Library!$AY$20),"Frontage under "&amp;Use_Library!$AY$20&amp;" LF. ","")&amp;IF(Parcel!$C$17&gt;0.15,"Slope over 15%. ","")&amp;IF(AND(AM21=1,AI21&gt;0.5),TEXT(AI21,"0")&amp;" ac not used - resold as raw land. ","")&amp;IF(AND(AM21=1,AC21&lt;1),"Demand caps it at "&amp;TEXT(AK21,"#,##0")&amp;" "&amp;Use_Library!$D$20&amp;". ","")&amp;IF(AND(AM21=1,L21=1),"Rezone required (+"&amp;Location!$C$32&amp;" mo). ","")&amp;IF(AND(AM21=1,BA21=1),"State wastewater permit needed. ","")&amp;IF(AND(AM21=1,AV21=1),"Public water system needed. ","")&amp;AP21&amp;IF(Parcel!$C$16&gt;Assumptions!$C$29,"Floodplain over "&amp;TEXT(Assumptions!$C$29,"0%")&amp;". ","")&amp;IF(AND(AM21=1,EV21&gt;60),"Over 5 years to exit. ",""))</f>
        <v/>
      </c>
      <c r="FE21" s="20">
        <f>IF(AND(Org_Profile!$C$5="My uses",E21=0),-1E+9,ES21)+ROW()/1000000</f>
        <v/>
      </c>
    </row>
    <row r="22">
      <c r="A22" s="4">
        <f>Use_Library!$A$21</f>
        <v/>
      </c>
      <c r="B22" s="9">
        <f>Use_Library!$C$21</f>
        <v/>
      </c>
      <c r="C22" s="9">
        <f>Use_Library!$D$21</f>
        <v/>
      </c>
      <c r="D22" s="9">
        <f>Use_Library!$F$21</f>
        <v/>
      </c>
      <c r="E22" s="15">
        <f>IF(Org_Profile!$C$38="Y",1,0)</f>
        <v/>
      </c>
      <c r="F22" s="14">
        <f>MAX(0,Parcel!$C$37*(1-Use_Library!$N$21-IF(Use_Library!$AB$21="Y",Assumptions!$C$7,0)))</f>
        <v/>
      </c>
      <c r="G22" s="14">
        <f>IF(Use_Library!$M$21&gt;0,MIN(F22,Use_Library!$M$21),F22)</f>
        <v/>
      </c>
      <c r="H22" s="23">
        <f>IF(F22=0,0,G22/F22)</f>
        <v/>
      </c>
      <c r="I22" s="14">
        <f>Parcel!$C$37*H22</f>
        <v/>
      </c>
      <c r="J22" s="9">
        <f>IF(ISNUMBER(SEARCH(","&amp;Use_Library!$F$21&amp;",",","&amp;SUBSTITUTE(Parcel!$C$11," ","")&amp;",")),"Deed restricted",IF(Parcel!$C$46=0,"No zoning",IF(ISNUMBER(SEARCH(","&amp;Use_Library!$F$21&amp;",",","&amp;SUBSTITUTE(Parcel!$C$10," ","")&amp;",")),"By right",IF(OR(TRIM(Parcel!$C$12)="*",ISNUMBER(SEARCH(","&amp;Use_Library!$F$21&amp;",",","&amp;SUBSTITUTE(Parcel!$C$12," ","")&amp;","))),"Rezone required","Prohibited by zoning"))))</f>
        <v/>
      </c>
      <c r="K22" s="15">
        <f>IF(OR(J22="Deed restricted",J22="Prohibited by zoning"),0,1)</f>
        <v/>
      </c>
      <c r="L22" s="15">
        <f>IF(J22="Rezone required",1,0)</f>
        <v/>
      </c>
      <c r="M22" s="15">
        <f>IF(Parcel!$C$20="None",0,IF(AND(Parcel!$C$20="Private easement",Use_Library!$BA$21="Y"),0,1))</f>
        <v/>
      </c>
      <c r="N22" s="15">
        <f>IF(AND(Use_Library!$AZ$21="Y",Parcel!$C$19&lt;Use_Library!$AY$21),0,1)</f>
        <v/>
      </c>
      <c r="O22" s="15">
        <f>IF(AND(Use_Library!$T$21="Y",Parcel!$C$39=0),0,1)</f>
        <v/>
      </c>
      <c r="P22" s="15">
        <f>IF(AND(Use_Library!$U$21="Y",Parcel!$C$38=0),0,1)</f>
        <v/>
      </c>
      <c r="Q22" s="9">
        <f>TRIM(IF(AND(Use_Library!$BB$21&gt;0,Parcel!$C$28&lt;Use_Library!$BB$21),"Traffic under "&amp;TEXT(Use_Library!$BB$21,"#,##0")&amp;" VPD. ","")&amp;IF(AND(Use_Library!$BC$21&gt;0,Parcel!$C$29&lt;Use_Library!$BC$21),"Under "&amp;TEXT(Use_Library!$BC$21,"#,##0")&amp;" households in 3 mi. ","")&amp;IF(AND(Use_Library!$BD$21&gt;0,Parcel!$C$31&gt;Use_Library!$BD$21),"Over "&amp;Use_Library!$BD$21&amp;" mi to highway. ","")&amp;IF(AND(Use_Library!$BE$21="Y",Parcel!$C$32&lt;&gt;"Y"),"Needs a corner. ","")&amp;IF(AND(Use_Library!$BF$21&gt;0,Parcel!$C$33&gt;Use_Library!$BF$21),"Over "&amp;Use_Library!$BF$21&amp;" mi to substation. ","")&amp;IF(AND(Use_Library!$BG$21&gt;0,Parcel!$C$34&gt;Use_Library!$BG$21),"Over "&amp;Use_Library!$BG$21&amp;" mi to a major employer. ",""))</f>
        <v/>
      </c>
      <c r="R22" s="15">
        <f>IF(Q22="",1,0)</f>
        <v/>
      </c>
      <c r="S22" s="15">
        <f>IF(F22&gt;=Use_Library!$L$21,1,0)</f>
        <v/>
      </c>
      <c r="T22" s="15">
        <f>K22*M22*N22*O22*P22*R22*S22</f>
        <v/>
      </c>
      <c r="U22" s="14">
        <f>IF(Use_Library!$G$21&gt;0,I22*Use_Library!$G$21,1E+9)</f>
        <v/>
      </c>
      <c r="V22" s="14">
        <f>IF(Use_Library!$H$21&gt;0,G22*43560/Use_Library!$H$21,1E+9)</f>
        <v/>
      </c>
      <c r="W22" s="14">
        <f>IF(AND(Use_Library!$K$21="Y",Parcel!$C$39=0),G22*(1-Assumptions!$C$8)/IF(Parcel!$C$38=1,Location!$C$25,Location!$C$26),1E+9)</f>
        <v/>
      </c>
      <c r="X22" s="14">
        <f>IF(Use_Library!$I$21&gt;0,Parcel!$C$14*H22/Use_Library!$I$21,1E+9)</f>
        <v/>
      </c>
      <c r="Y22" s="14">
        <f>IF(Use_Library!$J$21&gt;0,Parcel!$C$19/Use_Library!$J$21,1E+9)</f>
        <v/>
      </c>
      <c r="Z22" s="14">
        <f>IF(AND(Parcel!$C$39=0,Use_Library!$K$21="N",Use_Library!$Y$21&gt;0,Use_Library!$Z$21="Y"),G22*Location!$C$27*Parcel!$C$45/Use_Library!$Y$21,1E+9)</f>
        <v/>
      </c>
      <c r="AA22" s="14">
        <f>MIN(U22,V22,W22,X22,Y22,Z22)</f>
        <v/>
      </c>
      <c r="AB22" s="14">
        <f>IF(Use_Library!$O$21&gt;0,IF(Use_Library!$P$21&gt;=10,Parcel!$C$30,Parcel!$C$29)*Use_Library!$O$21*Use_Library!$Q$21,1E+9)</f>
        <v/>
      </c>
      <c r="AC22" s="23">
        <f>IF(OR(AA22&gt;=1E+9,AA22&lt;=0),1,MIN(1,AB22/AA22))</f>
        <v/>
      </c>
      <c r="AD22" s="14">
        <f>G22*AC22</f>
        <v/>
      </c>
      <c r="AE22" s="23">
        <f>IF(F22=0,0,AD22/F22)</f>
        <v/>
      </c>
      <c r="AF22" s="14">
        <f>Parcel!$C$37*AE22</f>
        <v/>
      </c>
      <c r="AG22" s="14">
        <f>AF22*IF(Use_Library!$AB$21="Y",Assumptions!$C$7,0)</f>
        <v/>
      </c>
      <c r="AH22" s="14">
        <f>AF22*(1-Use_Library!$N$21)</f>
        <v/>
      </c>
      <c r="AI22" s="14">
        <f>Parcel!$C$14*(1-AE22)</f>
        <v/>
      </c>
      <c r="AJ22" s="14">
        <f>MIN(AA22,AB22)</f>
        <v/>
      </c>
      <c r="AK22" s="25">
        <f>IF(T22=0,0,IF(AJ22&gt;=1E+9,AD22,IF(Use_Library!$E$21="Y",INT(AJ22+1E-9),AJ22)))</f>
        <v/>
      </c>
      <c r="AL22" s="9">
        <f>IF(M22=0,"No public road access",IF(K22=0,J22,IF(R22=0,"Location fails",IF(N22=0,"Frontage under "&amp;Use_Library!$AY$21&amp;" LF",IF(S22=0,"Too small - needs "&amp;Use_Library!$L$21&amp;" usable ac",IF(O22=0,"Needs public sewer",IF(P22=0,"Needs public water",IF(AJ22&gt;=1E+9,"Usable acres",IF(AB22&lt;=AA22,"Market demand",IF(W22=AA22,"Septic lot size",IF(Z22=AA22,"Septic capacity (gal/day)",IF(X22=AA22,"Min lot size",IF(Y22=AA22,"Road frontage",IF(V22=AA22,"Site area / parking","Density"))))))))))))))</f>
        <v/>
      </c>
      <c r="AM22" s="15">
        <f>IF(AK22&gt;0,1,0)</f>
        <v/>
      </c>
      <c r="AN22" s="15">
        <f>IF(Use_Library!$Z$21="Y",1,0)*AM22</f>
        <v/>
      </c>
      <c r="AO22" s="14">
        <f>IF(Parcel!$C$39=0,MIN(U22,V22,X22,Y22,AB22),0)</f>
        <v/>
      </c>
      <c r="AP22" s="9">
        <f>IF(AND(Parcel!$C$39=0,M22*K22*R22*N22*S22*P22=1,AO22&lt;1E+9,AO22&gt;=MAX(1,AK22)*1.25),"Unlock: sewer or package plant allows ~"&amp;TEXT(INT(AO22),"#,##0")&amp;" "&amp;Use_Library!$D$21&amp;". ","")</f>
        <v/>
      </c>
      <c r="AQ22" s="15">
        <f>AK22*Use_Library!$AC$21*AN22</f>
        <v/>
      </c>
      <c r="AR22" s="15">
        <f>AK22*Use_Library!$AD$21*AN22</f>
        <v/>
      </c>
      <c r="AS22" s="14">
        <f>AK22*Use_Library!$V$21*AN22</f>
        <v/>
      </c>
      <c r="AT22" s="15">
        <f>IF(Parcel!$C$38=1,AQ22+Parcel!$C$40,0)*AN22</f>
        <v/>
      </c>
      <c r="AU22" s="14">
        <f>AS22*Parcel!$C$38</f>
        <v/>
      </c>
      <c r="AV22" s="15">
        <f>IF(AND(Parcel!$C$38=0,Use_Library!$K$21="N",AS22&gt;=Location!$C$30),1,0)*AN22</f>
        <v/>
      </c>
      <c r="AW22" s="15">
        <f>IF(Parcel!$C$39=1,AQ22+Parcel!$C$41,0)*AN22</f>
        <v/>
      </c>
      <c r="AX22" s="14">
        <f>AS22*Parcel!$C$39</f>
        <v/>
      </c>
      <c r="AY22" s="14">
        <f>IF(Parcel!$C$39=0,AK22*Use_Library!$W$21,0)*AN22</f>
        <v/>
      </c>
      <c r="AZ22" s="15">
        <f>IF(Parcel!$C$39=0,AK22*Use_Library!$Y$21,0)*AN22</f>
        <v/>
      </c>
      <c r="BA22" s="15">
        <f>IF(AND(Use_Library!$K$21="N",AZ22&gt;Location!$C$28),1,0)</f>
        <v/>
      </c>
      <c r="BB22" s="14">
        <f>IF(AND(Parcel!$C$38=0,AV22=0),AK22*Use_Library!$X$21,0)*AN22</f>
        <v/>
      </c>
      <c r="BC22" s="14">
        <f>AH22*Parcel!$C$18*Use_Library!$AA$21*AN22</f>
        <v/>
      </c>
      <c r="BD22" s="14">
        <f>AH22*Use_Library!$AA$21*AN22</f>
        <v/>
      </c>
      <c r="BE22" s="15">
        <f>IF(Use_Library!$C$21="For-Sale",IF(Use_Library!$E$21="Y",AK22,1),1)*AM22</f>
        <v/>
      </c>
      <c r="BF22" s="15">
        <f>IF(OR(Use_Library!$F$21="RES-SF",Use_Library!$F$21="RES-ATT",Use_Library!$F$21="RES-MF",Use_Library!$F$21="MH"),1,0)</f>
        <v/>
      </c>
      <c r="BG22" s="20">
        <f>Cost_Library!$J$5*Location!$C$9*AM22</f>
        <v/>
      </c>
      <c r="BH22" s="20">
        <f>BE22*Cost_Library!$J$6*Location!$C$9</f>
        <v/>
      </c>
      <c r="BI22" s="20">
        <f>BD22*Cost_Library!$J$7*Location!$C$9</f>
        <v/>
      </c>
      <c r="BJ22" s="20">
        <f>Cost_Library!$J$8*Location!$C$9*AN22*IF(Use_Library!$AA$21&gt;=0.5,1,0)</f>
        <v/>
      </c>
      <c r="BK22" s="20">
        <f>AY22*Cost_Library!$J$9*Location!$C$9</f>
        <v/>
      </c>
      <c r="BL22" s="20">
        <f>BA22*Cost_Library!$J$10*Location!$C$9</f>
        <v/>
      </c>
      <c r="BM22" s="20">
        <f>Cost_Library!$J$11*Location!$C$9*AM22</f>
        <v/>
      </c>
      <c r="BN22" s="20">
        <f>Cost_Library!$J$12*Location!$C$9*AN22*IF(Use_Library!$AB$21="Y",1,0)</f>
        <v/>
      </c>
      <c r="BO22" s="20">
        <f>Use_Effective!$C$21*AM22</f>
        <v/>
      </c>
      <c r="BP22" s="20">
        <f>L22*Location!$C$31*AM22</f>
        <v/>
      </c>
      <c r="BQ22" s="20">
        <f>Cost_Library!$J$13*Location!$C$9*AM22</f>
        <v/>
      </c>
      <c r="BR22" s="20">
        <f>BC22*Cost_Library!$J$14*Location!$C$9</f>
        <v/>
      </c>
      <c r="BS22" s="20">
        <f>BD22*Cost_Library!$J$15*Location!$C$9*Parcel!$C$43</f>
        <v/>
      </c>
      <c r="BT22" s="20">
        <f>AQ22*Cost_Library!$J$16*Location!$C$9</f>
        <v/>
      </c>
      <c r="BU22" s="20">
        <f>AR22*Cost_Library!$J$17*Location!$C$9</f>
        <v/>
      </c>
      <c r="BV22" s="20">
        <f>AG22*Cost_Library!$J$18*Location!$C$9*AN22</f>
        <v/>
      </c>
      <c r="BW22" s="20">
        <f>BD22*Cost_Library!$J$19*Location!$C$9</f>
        <v/>
      </c>
      <c r="BX22" s="20">
        <f>IF(Use_Library!$AZ$21="Y",1,0)*Cost_Library!$J$20*Location!$C$9*AN22</f>
        <v/>
      </c>
      <c r="BY22" s="20">
        <f>AT22*Cost_Library!$J$21*Location!$C$9</f>
        <v/>
      </c>
      <c r="BZ22" s="20">
        <f>AU22*Cost_Library!$J$22*Location!$C$9</f>
        <v/>
      </c>
      <c r="CA22" s="20">
        <f>AW22*Cost_Library!$J$23*Location!$C$9</f>
        <v/>
      </c>
      <c r="CB22" s="20">
        <f>AX22*Cost_Library!$J$24*Location!$C$9</f>
        <v/>
      </c>
      <c r="CC22" s="20">
        <f>AY22*Cost_Library!$J$25*Location!$C$9*Parcel!$C$44</f>
        <v/>
      </c>
      <c r="CD22" s="20">
        <f>BB22*Cost_Library!$J$26*Location!$C$9</f>
        <v/>
      </c>
      <c r="CE22" s="20">
        <f>AV22*(Cost_Library!$J$27+AS22*Cost_Library!$J$28)*Location!$C$9</f>
        <v/>
      </c>
      <c r="CF22" s="20">
        <f>AQ22*Cost_Library!$J$29*Location!$C$9</f>
        <v/>
      </c>
      <c r="CG22" s="20">
        <f>SUM(BG22:CF22)</f>
        <v/>
      </c>
      <c r="CH22" s="20">
        <f>CG22*Assumptions!$C$9</f>
        <v/>
      </c>
      <c r="CI22" s="20">
        <f>(CG22+CH22)*Org_Profile!$C$17</f>
        <v/>
      </c>
      <c r="CJ22" s="20">
        <f>CG22+CH22+CI22</f>
        <v/>
      </c>
      <c r="CK22" s="20">
        <f>AK22*Use_Effective!$B$21*(1+Org_Profile!$C$17)</f>
        <v/>
      </c>
      <c r="CL22" s="20">
        <f>CK22*(Assumptions!$C$10+Assumptions!$C$11)</f>
        <v/>
      </c>
      <c r="CM22" s="20">
        <f>AK22*Use_Effective!$D$21</f>
        <v/>
      </c>
      <c r="CN22" s="20">
        <f>AK22*Location!$C$21*BF22*AM22</f>
        <v/>
      </c>
      <c r="CO22" s="14">
        <f>Use_Effective!$F$21+L22*Location!$C$32+BA22*Location!$C$29</f>
        <v/>
      </c>
      <c r="CP22" s="14">
        <f>IF(Use_Effective!$P$21&gt;0,IF(Use_Library!$C$21="For-Sale",AK22,AD22)/Use_Effective!$P$21,0)*AM22</f>
        <v/>
      </c>
      <c r="CQ22" s="14">
        <f>IF(AND(Use_Library!$C$21="For-Sale",Use_Effective!$O$21&gt;0),AK22/Use_Effective!$O$21,0)*AM22</f>
        <v/>
      </c>
      <c r="CR22" s="14">
        <f>IF(Use_Library!$C$21="Income",MAX(Use_Library!$AQ$21,IF(Use_Effective!$O$21&gt;0,AK22/Use_Effective!$O$21,0)),0)</f>
        <v/>
      </c>
      <c r="CS22" s="14">
        <f>CO22+CP22</f>
        <v/>
      </c>
      <c r="CT22" s="14">
        <f>CO22+CQ22+CR22</f>
        <v/>
      </c>
      <c r="CU22" s="14">
        <f>CO22+IF(Use_Library!$C$21="Income",CR22,0)</f>
        <v/>
      </c>
      <c r="CV22" s="23">
        <f>Use_Effective!$G$21+Assumptions!$C$25*MAX(0,(CS22-12)/12)</f>
        <v/>
      </c>
      <c r="CW22" s="23">
        <f>Use_Effective!$G$21+Assumptions!$C$25*MAX(0,(CT22-12)/12)</f>
        <v/>
      </c>
      <c r="CX22" s="23">
        <f>Use_Effective!$G$21+Assumptions!$C$25*MAX(0,(CU22-12)/12)</f>
        <v/>
      </c>
      <c r="CY22" s="28">
        <f>1+Location!$C$17+IF(Parcel!$C$26="Y",Location!$C$20,0)</f>
        <v/>
      </c>
      <c r="CZ22" s="28">
        <f>CY22+Location!$C$19*(CO22+CP22/2)/12</f>
        <v/>
      </c>
      <c r="DA22" s="28">
        <f>CY22+Location!$C$19*(CO22+CQ22/2)/12</f>
        <v/>
      </c>
      <c r="DB22" s="28">
        <f>IF(Use_Library!$C$21="Income",DA22,CY22+Location!$C$19*CO22/12)</f>
        <v/>
      </c>
      <c r="DC22" s="28">
        <f>1+Assumptions!$C$15*(Assumptions!$C$16*(CO22+CP22/2)/12*Assumptions!$C$18+Assumptions!$C$17)</f>
        <v/>
      </c>
      <c r="DD22" s="28">
        <f>1+Assumptions!$C$15*(Assumptions!$C$16*((CO22+CQ22/2)/12*Assumptions!$C$18+CR22/12*Assumptions!$C$19)+Assumptions!$C$17)</f>
        <v/>
      </c>
      <c r="DE22" s="28">
        <f>IF(Use_Library!$C$21="Income",DD22,1+Assumptions!$C$15*(Assumptions!$C$16*CO22/12*Assumptions!$C$18+Assumptions!$C$17))</f>
        <v/>
      </c>
      <c r="DF22" s="23">
        <f>Assumptions!$C$13+Location!$C$18</f>
        <v/>
      </c>
      <c r="DG22" s="23">
        <f>Assumptions!$C$12+Location!$C$18</f>
        <v/>
      </c>
      <c r="DH22" s="23">
        <f>Assumptions!$C$14+Location!$C$18</f>
        <v/>
      </c>
      <c r="DI22" s="20">
        <f>AI22*Location!$C$14*(1-DF22)*AM22</f>
        <v/>
      </c>
      <c r="DJ22" s="20">
        <f>IF(Use_Library!$AV$21=1,IF(Use_Library!$C$21="For-Sale",AK22*Use_Effective!$H$21+Parcel!$C$14*AE22*Use_Effective!$J$21,AD22*Use_Effective!$J$21)*(1-DF22)+DI22,0)*AM22</f>
        <v/>
      </c>
      <c r="DK22" s="20">
        <f>(CG22-BU22-CC22-CD22)*(1+Assumptions!$C$9)*(1+Org_Profile!$C$17)</f>
        <v/>
      </c>
      <c r="DL22" s="28">
        <f>CZ22*DC22</f>
        <v/>
      </c>
      <c r="DM22" s="20">
        <f>(Parcel!$C$27*CZ22+DK22)*DC22</f>
        <v/>
      </c>
      <c r="DN22" s="20">
        <f>DJ22-DM22</f>
        <v/>
      </c>
      <c r="DO22" s="38">
        <f>IF(AND(Use_Library!$AV$21=1,AM22=1),MAX(0,((1-CV22)*DJ22-DK22*DC22)/DL22),0)</f>
        <v/>
      </c>
      <c r="DP22" s="20">
        <f>CJ22+CK22+CL22+CM22+CN22</f>
        <v/>
      </c>
      <c r="DQ22" s="28">
        <f>DA22*DD22</f>
        <v/>
      </c>
      <c r="DR22" s="20">
        <f>(Parcel!$C$27*DA22+DP22)*DD22</f>
        <v/>
      </c>
      <c r="DS22" s="20">
        <f>IF(Use_Library!$C$21="Income",AK22*Use_Effective!$K$21,0)</f>
        <v/>
      </c>
      <c r="DT22" s="20">
        <f>DS22*(1+Use_Library!$AL$21)*(1-Use_Effective!$N$21)</f>
        <v/>
      </c>
      <c r="DU22" s="20">
        <f>IF(Use_Library!$C$21="Income",AK22*Use_Effective!$E$21,0)</f>
        <v/>
      </c>
      <c r="DV22" s="20">
        <f>IF(Use_Library!$C$21="Income",Location!$C$15*Location!$C$16*DR22,0)</f>
        <v/>
      </c>
      <c r="DW22" s="20">
        <f>DT22*Use_Library!$AO$21</f>
        <v/>
      </c>
      <c r="DX22" s="20">
        <f>(DU22+DV22)*Use_Library!$AP$21</f>
        <v/>
      </c>
      <c r="DY22" s="20">
        <f>DT22-DU22-DV22-DW22+DX22</f>
        <v/>
      </c>
      <c r="DZ22" s="26">
        <f>Use_Effective!$M$21</f>
        <v/>
      </c>
      <c r="EA22" s="20">
        <f>IF(AND(Use_Library!$C$21="Income",DZ22&gt;0),DY22/DZ22,0)</f>
        <v/>
      </c>
      <c r="EB22" s="39">
        <f>IF(Use_Library!$C$21="Income",-Location!$C$15*Location!$C$16*(1-Use_Library!$AP$21)*DQ22,0)</f>
        <v/>
      </c>
      <c r="EC22" s="23">
        <f>IF(DR22=0,0,DY22/DR22)</f>
        <v/>
      </c>
      <c r="ED22" s="20">
        <f>IF(Use_Library!$AW$21=1,IF(Use_Library!$C$21="Income",EA22*(1-DH22),AK22*Use_Effective!$I$21*(1-DG22))+DI22,0)*AM22</f>
        <v/>
      </c>
      <c r="EE22" s="39">
        <f>IF(AND(Use_Library!$AW$21=1,Use_Library!$C$21="Income",DZ22&gt;0),EB22/DZ22*(1-DH22),0)</f>
        <v/>
      </c>
      <c r="EF22" s="20">
        <f>ED22-DR22</f>
        <v/>
      </c>
      <c r="EG22" s="38">
        <f>IF(AND(Use_Library!$AW$21=1,AM22=1),MAX(0,Parcel!$C$27-((1-CW22)*ED22-DR22)/((1-CW22)*EE22-DQ22)),0)</f>
        <v/>
      </c>
      <c r="EH22" s="20">
        <f>IF(Use_Library!$AX$21=1,IF(Use_Library!$C$21="Income",EA22,IF(DZ22&gt;0,AD22*Use_Effective!$L$21/DZ22,0))+DI22,0)*AM22</f>
        <v/>
      </c>
      <c r="EI22" s="20">
        <f>IF(Use_Library!$C$21="Income",DP22,CJ22)</f>
        <v/>
      </c>
      <c r="EJ22" s="28">
        <f>IF(Use_Library!$C$21="Income",DQ22,DB22*DE22)</f>
        <v/>
      </c>
      <c r="EK22" s="20">
        <f>IF(Use_Library!$C$21="Income",DR22,(Parcel!$C$27*DB22+CJ22)*DE22)</f>
        <v/>
      </c>
      <c r="EL22" s="39">
        <f>IF(AND(Use_Library!$AX$21=1,Use_Library!$C$21="Income",DZ22&gt;0),EB22/DZ22,0)</f>
        <v/>
      </c>
      <c r="EM22" s="20">
        <f>EH22-EK22</f>
        <v/>
      </c>
      <c r="EN22" s="38">
        <f>IF(AND(Use_Library!$AX$21=1,AM22=1),MAX(0,Parcel!$C$27-((1-CX22)*EH22-EK22)/((1-CX22)*EL22-EJ22)),0)</f>
        <v/>
      </c>
      <c r="EO22" s="20">
        <f>IF(Use_Library!$C$21="Income",Assumptions!$C$15*(Parcel!$C$27*DA22+DP22),0)</f>
        <v/>
      </c>
      <c r="EP22" s="20">
        <f>IF(AND(Use_Library!$C$21="Income",DY22&gt;0),MIN(Assumptions!$C$20*EA22,PV(Assumptions!$C$23/12,Assumptions!$C$24*12,-DY22/Assumptions!$C$21/12),DY22/Assumptions!$C$22),0)</f>
        <v/>
      </c>
      <c r="EQ22" s="27">
        <f>IF(EP22=0,0,DY22/(-PMT(Assumptions!$C$23/12,Assumptions!$C$24*12,EP22)*12))</f>
        <v/>
      </c>
      <c r="ER22" s="20">
        <f>EP22-EO22</f>
        <v/>
      </c>
      <c r="ES22" s="19">
        <f>MAX(DO22,EG22,EN22)</f>
        <v/>
      </c>
      <c r="ET22" s="15">
        <f>IF(ES22&lt;=0,0,IF(DO22=ES22,1,IF(EG22=ES22,2,3)))</f>
        <v/>
      </c>
      <c r="EU22" s="9">
        <f>CHOOSE(ET22+1,"None works","Land / pad sale","Build &amp; sell","Build &amp; hold / lease")</f>
        <v/>
      </c>
      <c r="EV22" s="15">
        <f>CHOOSE(ET22+1,0,CS22,CT22,CU22)</f>
        <v/>
      </c>
      <c r="EW22" s="20">
        <f>ES22*(1-Assumptions!$C$26)</f>
        <v/>
      </c>
      <c r="EX22" s="20">
        <f>ES22-Parcel!$C$27</f>
        <v/>
      </c>
      <c r="EY22" s="20">
        <f>IF(Parcel!$C$14=0,0,ES22/Parcel!$C$14)</f>
        <v/>
      </c>
      <c r="EZ22" s="36">
        <f>IF(AK22=0,0,ES22/AK22)</f>
        <v/>
      </c>
      <c r="FA22" s="9">
        <f>IF(ES22&lt;=0,"Pass",IF(ES22&gt;=Parcel!$C$27*Assumptions!$C$27,"Strong",IF(ES22&gt;=Parcel!$C$27,"Works at asking",IF(ES22&gt;=Parcel!$C$27*Assumptions!$C$28,"Negotiate","Pass"))))</f>
        <v/>
      </c>
      <c r="FB22" s="9">
        <f>IF(AM22=0,"",IF(Use_Library!$BH$21="Y",IF(Use_Effective!$AF$21&gt;=3,"High","Medium"),"Low - verify location"))</f>
        <v/>
      </c>
      <c r="FC22" s="9">
        <f>IF(AND(Use_Library!$BH$21="N",AM22=1),Use_Library!$BI$21,"")</f>
        <v/>
      </c>
      <c r="FD22" s="9">
        <f>TRIM(Q22&amp;" "&amp;IF(AND(AM22=0,T22=1),"Nothing fits. ","")&amp;IF(AND(Use_Library!$AZ$21&lt;&gt;"Y",Parcel!$C$19&lt;Use_Library!$AY$21),"Frontage under "&amp;Use_Library!$AY$21&amp;" LF. ","")&amp;IF(Parcel!$C$17&gt;0.15,"Slope over 15%. ","")&amp;IF(AND(AM22=1,AI22&gt;0.5),TEXT(AI22,"0")&amp;" ac not used - resold as raw land. ","")&amp;IF(AND(AM22=1,AC22&lt;1),"Demand caps it at "&amp;TEXT(AK22,"#,##0")&amp;" "&amp;Use_Library!$D$21&amp;". ","")&amp;IF(AND(AM22=1,L22=1),"Rezone required (+"&amp;Location!$C$32&amp;" mo). ","")&amp;IF(AND(AM22=1,BA22=1),"State wastewater permit needed. ","")&amp;IF(AND(AM22=1,AV22=1),"Public water system needed. ","")&amp;AP22&amp;IF(Parcel!$C$16&gt;Assumptions!$C$29,"Floodplain over "&amp;TEXT(Assumptions!$C$29,"0%")&amp;". ","")&amp;IF(AND(AM22=1,EV22&gt;60),"Over 5 years to exit. ",""))</f>
        <v/>
      </c>
      <c r="FE22" s="20">
        <f>IF(AND(Org_Profile!$C$5="My uses",E22=0),-1E+9,ES22)+ROW()/1000000</f>
        <v/>
      </c>
    </row>
    <row r="23">
      <c r="A23" s="4">
        <f>Use_Library!$A$22</f>
        <v/>
      </c>
      <c r="B23" s="9">
        <f>Use_Library!$C$22</f>
        <v/>
      </c>
      <c r="C23" s="9">
        <f>Use_Library!$D$22</f>
        <v/>
      </c>
      <c r="D23" s="9">
        <f>Use_Library!$F$22</f>
        <v/>
      </c>
      <c r="E23" s="15">
        <f>IF(Org_Profile!$C$39="Y",1,0)</f>
        <v/>
      </c>
      <c r="F23" s="14">
        <f>MAX(0,Parcel!$C$37*(1-Use_Library!$N$22-IF(Use_Library!$AB$22="Y",Assumptions!$C$7,0)))</f>
        <v/>
      </c>
      <c r="G23" s="14">
        <f>IF(Use_Library!$M$22&gt;0,MIN(F23,Use_Library!$M$22),F23)</f>
        <v/>
      </c>
      <c r="H23" s="23">
        <f>IF(F23=0,0,G23/F23)</f>
        <v/>
      </c>
      <c r="I23" s="14">
        <f>Parcel!$C$37*H23</f>
        <v/>
      </c>
      <c r="J23" s="9">
        <f>IF(ISNUMBER(SEARCH(","&amp;Use_Library!$F$22&amp;",",","&amp;SUBSTITUTE(Parcel!$C$11," ","")&amp;",")),"Deed restricted",IF(Parcel!$C$46=0,"No zoning",IF(ISNUMBER(SEARCH(","&amp;Use_Library!$F$22&amp;",",","&amp;SUBSTITUTE(Parcel!$C$10," ","")&amp;",")),"By right",IF(OR(TRIM(Parcel!$C$12)="*",ISNUMBER(SEARCH(","&amp;Use_Library!$F$22&amp;",",","&amp;SUBSTITUTE(Parcel!$C$12," ","")&amp;","))),"Rezone required","Prohibited by zoning"))))</f>
        <v/>
      </c>
      <c r="K23" s="15">
        <f>IF(OR(J23="Deed restricted",J23="Prohibited by zoning"),0,1)</f>
        <v/>
      </c>
      <c r="L23" s="15">
        <f>IF(J23="Rezone required",1,0)</f>
        <v/>
      </c>
      <c r="M23" s="15">
        <f>IF(Parcel!$C$20="None",0,IF(AND(Parcel!$C$20="Private easement",Use_Library!$BA$22="Y"),0,1))</f>
        <v/>
      </c>
      <c r="N23" s="15">
        <f>IF(AND(Use_Library!$AZ$22="Y",Parcel!$C$19&lt;Use_Library!$AY$22),0,1)</f>
        <v/>
      </c>
      <c r="O23" s="15">
        <f>IF(AND(Use_Library!$T$22="Y",Parcel!$C$39=0),0,1)</f>
        <v/>
      </c>
      <c r="P23" s="15">
        <f>IF(AND(Use_Library!$U$22="Y",Parcel!$C$38=0),0,1)</f>
        <v/>
      </c>
      <c r="Q23" s="9">
        <f>TRIM(IF(AND(Use_Library!$BB$22&gt;0,Parcel!$C$28&lt;Use_Library!$BB$22),"Traffic under "&amp;TEXT(Use_Library!$BB$22,"#,##0")&amp;" VPD. ","")&amp;IF(AND(Use_Library!$BC$22&gt;0,Parcel!$C$29&lt;Use_Library!$BC$22),"Under "&amp;TEXT(Use_Library!$BC$22,"#,##0")&amp;" households in 3 mi. ","")&amp;IF(AND(Use_Library!$BD$22&gt;0,Parcel!$C$31&gt;Use_Library!$BD$22),"Over "&amp;Use_Library!$BD$22&amp;" mi to highway. ","")&amp;IF(AND(Use_Library!$BE$22="Y",Parcel!$C$32&lt;&gt;"Y"),"Needs a corner. ","")&amp;IF(AND(Use_Library!$BF$22&gt;0,Parcel!$C$33&gt;Use_Library!$BF$22),"Over "&amp;Use_Library!$BF$22&amp;" mi to substation. ","")&amp;IF(AND(Use_Library!$BG$22&gt;0,Parcel!$C$34&gt;Use_Library!$BG$22),"Over "&amp;Use_Library!$BG$22&amp;" mi to a major employer. ",""))</f>
        <v/>
      </c>
      <c r="R23" s="15">
        <f>IF(Q23="",1,0)</f>
        <v/>
      </c>
      <c r="S23" s="15">
        <f>IF(F23&gt;=Use_Library!$L$22,1,0)</f>
        <v/>
      </c>
      <c r="T23" s="15">
        <f>K23*M23*N23*O23*P23*R23*S23</f>
        <v/>
      </c>
      <c r="U23" s="14">
        <f>IF(Use_Library!$G$22&gt;0,I23*Use_Library!$G$22,1E+9)</f>
        <v/>
      </c>
      <c r="V23" s="14">
        <f>IF(Use_Library!$H$22&gt;0,G23*43560/Use_Library!$H$22,1E+9)</f>
        <v/>
      </c>
      <c r="W23" s="14">
        <f>IF(AND(Use_Library!$K$22="Y",Parcel!$C$39=0),G23*(1-Assumptions!$C$8)/IF(Parcel!$C$38=1,Location!$C$25,Location!$C$26),1E+9)</f>
        <v/>
      </c>
      <c r="X23" s="14">
        <f>IF(Use_Library!$I$22&gt;0,Parcel!$C$14*H23/Use_Library!$I$22,1E+9)</f>
        <v/>
      </c>
      <c r="Y23" s="14">
        <f>IF(Use_Library!$J$22&gt;0,Parcel!$C$19/Use_Library!$J$22,1E+9)</f>
        <v/>
      </c>
      <c r="Z23" s="14">
        <f>IF(AND(Parcel!$C$39=0,Use_Library!$K$22="N",Use_Library!$Y$22&gt;0,Use_Library!$Z$22="Y"),G23*Location!$C$27*Parcel!$C$45/Use_Library!$Y$22,1E+9)</f>
        <v/>
      </c>
      <c r="AA23" s="14">
        <f>MIN(U23,V23,W23,X23,Y23,Z23)</f>
        <v/>
      </c>
      <c r="AB23" s="14">
        <f>IF(Use_Library!$O$22&gt;0,IF(Use_Library!$P$22&gt;=10,Parcel!$C$30,Parcel!$C$29)*Use_Library!$O$22*Use_Library!$Q$22,1E+9)</f>
        <v/>
      </c>
      <c r="AC23" s="23">
        <f>IF(OR(AA23&gt;=1E+9,AA23&lt;=0),1,MIN(1,AB23/AA23))</f>
        <v/>
      </c>
      <c r="AD23" s="14">
        <f>G23*AC23</f>
        <v/>
      </c>
      <c r="AE23" s="23">
        <f>IF(F23=0,0,AD23/F23)</f>
        <v/>
      </c>
      <c r="AF23" s="14">
        <f>Parcel!$C$37*AE23</f>
        <v/>
      </c>
      <c r="AG23" s="14">
        <f>AF23*IF(Use_Library!$AB$22="Y",Assumptions!$C$7,0)</f>
        <v/>
      </c>
      <c r="AH23" s="14">
        <f>AF23*(1-Use_Library!$N$22)</f>
        <v/>
      </c>
      <c r="AI23" s="14">
        <f>Parcel!$C$14*(1-AE23)</f>
        <v/>
      </c>
      <c r="AJ23" s="14">
        <f>MIN(AA23,AB23)</f>
        <v/>
      </c>
      <c r="AK23" s="25">
        <f>IF(T23=0,0,IF(AJ23&gt;=1E+9,AD23,IF(Use_Library!$E$22="Y",INT(AJ23+1E-9),AJ23)))</f>
        <v/>
      </c>
      <c r="AL23" s="9">
        <f>IF(M23=0,"No public road access",IF(K23=0,J23,IF(R23=0,"Location fails",IF(N23=0,"Frontage under "&amp;Use_Library!$AY$22&amp;" LF",IF(S23=0,"Too small - needs "&amp;Use_Library!$L$22&amp;" usable ac",IF(O23=0,"Needs public sewer",IF(P23=0,"Needs public water",IF(AJ23&gt;=1E+9,"Usable acres",IF(AB23&lt;=AA23,"Market demand",IF(W23=AA23,"Septic lot size",IF(Z23=AA23,"Septic capacity (gal/day)",IF(X23=AA23,"Min lot size",IF(Y23=AA23,"Road frontage",IF(V23=AA23,"Site area / parking","Density"))))))))))))))</f>
        <v/>
      </c>
      <c r="AM23" s="15">
        <f>IF(AK23&gt;0,1,0)</f>
        <v/>
      </c>
      <c r="AN23" s="15">
        <f>IF(Use_Library!$Z$22="Y",1,0)*AM23</f>
        <v/>
      </c>
      <c r="AO23" s="14">
        <f>IF(Parcel!$C$39=0,MIN(U23,V23,X23,Y23,AB23),0)</f>
        <v/>
      </c>
      <c r="AP23" s="9">
        <f>IF(AND(Parcel!$C$39=0,M23*K23*R23*N23*S23*P23=1,AO23&lt;1E+9,AO23&gt;=MAX(1,AK23)*1.25),"Unlock: sewer or package plant allows ~"&amp;TEXT(INT(AO23),"#,##0")&amp;" "&amp;Use_Library!$D$22&amp;". ","")</f>
        <v/>
      </c>
      <c r="AQ23" s="15">
        <f>AK23*Use_Library!$AC$22*AN23</f>
        <v/>
      </c>
      <c r="AR23" s="15">
        <f>AK23*Use_Library!$AD$22*AN23</f>
        <v/>
      </c>
      <c r="AS23" s="14">
        <f>AK23*Use_Library!$V$22*AN23</f>
        <v/>
      </c>
      <c r="AT23" s="15">
        <f>IF(Parcel!$C$38=1,AQ23+Parcel!$C$40,0)*AN23</f>
        <v/>
      </c>
      <c r="AU23" s="14">
        <f>AS23*Parcel!$C$38</f>
        <v/>
      </c>
      <c r="AV23" s="15">
        <f>IF(AND(Parcel!$C$38=0,Use_Library!$K$22="N",AS23&gt;=Location!$C$30),1,0)*AN23</f>
        <v/>
      </c>
      <c r="AW23" s="15">
        <f>IF(Parcel!$C$39=1,AQ23+Parcel!$C$41,0)*AN23</f>
        <v/>
      </c>
      <c r="AX23" s="14">
        <f>AS23*Parcel!$C$39</f>
        <v/>
      </c>
      <c r="AY23" s="14">
        <f>IF(Parcel!$C$39=0,AK23*Use_Library!$W$22,0)*AN23</f>
        <v/>
      </c>
      <c r="AZ23" s="15">
        <f>IF(Parcel!$C$39=0,AK23*Use_Library!$Y$22,0)*AN23</f>
        <v/>
      </c>
      <c r="BA23" s="15">
        <f>IF(AND(Use_Library!$K$22="N",AZ23&gt;Location!$C$28),1,0)</f>
        <v/>
      </c>
      <c r="BB23" s="14">
        <f>IF(AND(Parcel!$C$38=0,AV23=0),AK23*Use_Library!$X$22,0)*AN23</f>
        <v/>
      </c>
      <c r="BC23" s="14">
        <f>AH23*Parcel!$C$18*Use_Library!$AA$22*AN23</f>
        <v/>
      </c>
      <c r="BD23" s="14">
        <f>AH23*Use_Library!$AA$22*AN23</f>
        <v/>
      </c>
      <c r="BE23" s="15">
        <f>IF(Use_Library!$C$22="For-Sale",IF(Use_Library!$E$22="Y",AK23,1),1)*AM23</f>
        <v/>
      </c>
      <c r="BF23" s="15">
        <f>IF(OR(Use_Library!$F$22="RES-SF",Use_Library!$F$22="RES-ATT",Use_Library!$F$22="RES-MF",Use_Library!$F$22="MH"),1,0)</f>
        <v/>
      </c>
      <c r="BG23" s="20">
        <f>Cost_Library!$J$5*Location!$C$9*AM23</f>
        <v/>
      </c>
      <c r="BH23" s="20">
        <f>BE23*Cost_Library!$J$6*Location!$C$9</f>
        <v/>
      </c>
      <c r="BI23" s="20">
        <f>BD23*Cost_Library!$J$7*Location!$C$9</f>
        <v/>
      </c>
      <c r="BJ23" s="20">
        <f>Cost_Library!$J$8*Location!$C$9*AN23*IF(Use_Library!$AA$22&gt;=0.5,1,0)</f>
        <v/>
      </c>
      <c r="BK23" s="20">
        <f>AY23*Cost_Library!$J$9*Location!$C$9</f>
        <v/>
      </c>
      <c r="BL23" s="20">
        <f>BA23*Cost_Library!$J$10*Location!$C$9</f>
        <v/>
      </c>
      <c r="BM23" s="20">
        <f>Cost_Library!$J$11*Location!$C$9*AM23</f>
        <v/>
      </c>
      <c r="BN23" s="20">
        <f>Cost_Library!$J$12*Location!$C$9*AN23*IF(Use_Library!$AB$22="Y",1,0)</f>
        <v/>
      </c>
      <c r="BO23" s="20">
        <f>Use_Effective!$C$22*AM23</f>
        <v/>
      </c>
      <c r="BP23" s="20">
        <f>L23*Location!$C$31*AM23</f>
        <v/>
      </c>
      <c r="BQ23" s="20">
        <f>Cost_Library!$J$13*Location!$C$9*AM23</f>
        <v/>
      </c>
      <c r="BR23" s="20">
        <f>BC23*Cost_Library!$J$14*Location!$C$9</f>
        <v/>
      </c>
      <c r="BS23" s="20">
        <f>BD23*Cost_Library!$J$15*Location!$C$9*Parcel!$C$43</f>
        <v/>
      </c>
      <c r="BT23" s="20">
        <f>AQ23*Cost_Library!$J$16*Location!$C$9</f>
        <v/>
      </c>
      <c r="BU23" s="20">
        <f>AR23*Cost_Library!$J$17*Location!$C$9</f>
        <v/>
      </c>
      <c r="BV23" s="20">
        <f>AG23*Cost_Library!$J$18*Location!$C$9*AN23</f>
        <v/>
      </c>
      <c r="BW23" s="20">
        <f>BD23*Cost_Library!$J$19*Location!$C$9</f>
        <v/>
      </c>
      <c r="BX23" s="20">
        <f>IF(Use_Library!$AZ$22="Y",1,0)*Cost_Library!$J$20*Location!$C$9*AN23</f>
        <v/>
      </c>
      <c r="BY23" s="20">
        <f>AT23*Cost_Library!$J$21*Location!$C$9</f>
        <v/>
      </c>
      <c r="BZ23" s="20">
        <f>AU23*Cost_Library!$J$22*Location!$C$9</f>
        <v/>
      </c>
      <c r="CA23" s="20">
        <f>AW23*Cost_Library!$J$23*Location!$C$9</f>
        <v/>
      </c>
      <c r="CB23" s="20">
        <f>AX23*Cost_Library!$J$24*Location!$C$9</f>
        <v/>
      </c>
      <c r="CC23" s="20">
        <f>AY23*Cost_Library!$J$25*Location!$C$9*Parcel!$C$44</f>
        <v/>
      </c>
      <c r="CD23" s="20">
        <f>BB23*Cost_Library!$J$26*Location!$C$9</f>
        <v/>
      </c>
      <c r="CE23" s="20">
        <f>AV23*(Cost_Library!$J$27+AS23*Cost_Library!$J$28)*Location!$C$9</f>
        <v/>
      </c>
      <c r="CF23" s="20">
        <f>AQ23*Cost_Library!$J$29*Location!$C$9</f>
        <v/>
      </c>
      <c r="CG23" s="20">
        <f>SUM(BG23:CF23)</f>
        <v/>
      </c>
      <c r="CH23" s="20">
        <f>CG23*Assumptions!$C$9</f>
        <v/>
      </c>
      <c r="CI23" s="20">
        <f>(CG23+CH23)*Org_Profile!$C$17</f>
        <v/>
      </c>
      <c r="CJ23" s="20">
        <f>CG23+CH23+CI23</f>
        <v/>
      </c>
      <c r="CK23" s="20">
        <f>AK23*Use_Effective!$B$22*(1+Org_Profile!$C$17)</f>
        <v/>
      </c>
      <c r="CL23" s="20">
        <f>CK23*(Assumptions!$C$10+Assumptions!$C$11)</f>
        <v/>
      </c>
      <c r="CM23" s="20">
        <f>AK23*Use_Effective!$D$22</f>
        <v/>
      </c>
      <c r="CN23" s="20">
        <f>AK23*Location!$C$21*BF23*AM23</f>
        <v/>
      </c>
      <c r="CO23" s="14">
        <f>Use_Effective!$F$22+L23*Location!$C$32+BA23*Location!$C$29</f>
        <v/>
      </c>
      <c r="CP23" s="14">
        <f>IF(Use_Effective!$P$22&gt;0,IF(Use_Library!$C$22="For-Sale",AK23,AD23)/Use_Effective!$P$22,0)*AM23</f>
        <v/>
      </c>
      <c r="CQ23" s="14">
        <f>IF(AND(Use_Library!$C$22="For-Sale",Use_Effective!$O$22&gt;0),AK23/Use_Effective!$O$22,0)*AM23</f>
        <v/>
      </c>
      <c r="CR23" s="14">
        <f>IF(Use_Library!$C$22="Income",MAX(Use_Library!$AQ$22,IF(Use_Effective!$O$22&gt;0,AK23/Use_Effective!$O$22,0)),0)</f>
        <v/>
      </c>
      <c r="CS23" s="14">
        <f>CO23+CP23</f>
        <v/>
      </c>
      <c r="CT23" s="14">
        <f>CO23+CQ23+CR23</f>
        <v/>
      </c>
      <c r="CU23" s="14">
        <f>CO23+IF(Use_Library!$C$22="Income",CR23,0)</f>
        <v/>
      </c>
      <c r="CV23" s="23">
        <f>Use_Effective!$G$22+Assumptions!$C$25*MAX(0,(CS23-12)/12)</f>
        <v/>
      </c>
      <c r="CW23" s="23">
        <f>Use_Effective!$G$22+Assumptions!$C$25*MAX(0,(CT23-12)/12)</f>
        <v/>
      </c>
      <c r="CX23" s="23">
        <f>Use_Effective!$G$22+Assumptions!$C$25*MAX(0,(CU23-12)/12)</f>
        <v/>
      </c>
      <c r="CY23" s="28">
        <f>1+Location!$C$17+IF(Parcel!$C$26="Y",Location!$C$20,0)</f>
        <v/>
      </c>
      <c r="CZ23" s="28">
        <f>CY23+Location!$C$19*(CO23+CP23/2)/12</f>
        <v/>
      </c>
      <c r="DA23" s="28">
        <f>CY23+Location!$C$19*(CO23+CQ23/2)/12</f>
        <v/>
      </c>
      <c r="DB23" s="28">
        <f>IF(Use_Library!$C$22="Income",DA23,CY23+Location!$C$19*CO23/12)</f>
        <v/>
      </c>
      <c r="DC23" s="28">
        <f>1+Assumptions!$C$15*(Assumptions!$C$16*(CO23+CP23/2)/12*Assumptions!$C$18+Assumptions!$C$17)</f>
        <v/>
      </c>
      <c r="DD23" s="28">
        <f>1+Assumptions!$C$15*(Assumptions!$C$16*((CO23+CQ23/2)/12*Assumptions!$C$18+CR23/12*Assumptions!$C$19)+Assumptions!$C$17)</f>
        <v/>
      </c>
      <c r="DE23" s="28">
        <f>IF(Use_Library!$C$22="Income",DD23,1+Assumptions!$C$15*(Assumptions!$C$16*CO23/12*Assumptions!$C$18+Assumptions!$C$17))</f>
        <v/>
      </c>
      <c r="DF23" s="23">
        <f>Assumptions!$C$13+Location!$C$18</f>
        <v/>
      </c>
      <c r="DG23" s="23">
        <f>Assumptions!$C$12+Location!$C$18</f>
        <v/>
      </c>
      <c r="DH23" s="23">
        <f>Assumptions!$C$14+Location!$C$18</f>
        <v/>
      </c>
      <c r="DI23" s="20">
        <f>AI23*Location!$C$14*(1-DF23)*AM23</f>
        <v/>
      </c>
      <c r="DJ23" s="20">
        <f>IF(Use_Library!$AV$22=1,IF(Use_Library!$C$22="For-Sale",AK23*Use_Effective!$H$22+Parcel!$C$14*AE23*Use_Effective!$J$22,AD23*Use_Effective!$J$22)*(1-DF23)+DI23,0)*AM23</f>
        <v/>
      </c>
      <c r="DK23" s="20">
        <f>(CG23-BU23-CC23-CD23)*(1+Assumptions!$C$9)*(1+Org_Profile!$C$17)</f>
        <v/>
      </c>
      <c r="DL23" s="28">
        <f>CZ23*DC23</f>
        <v/>
      </c>
      <c r="DM23" s="20">
        <f>(Parcel!$C$27*CZ23+DK23)*DC23</f>
        <v/>
      </c>
      <c r="DN23" s="20">
        <f>DJ23-DM23</f>
        <v/>
      </c>
      <c r="DO23" s="38">
        <f>IF(AND(Use_Library!$AV$22=1,AM23=1),MAX(0,((1-CV23)*DJ23-DK23*DC23)/DL23),0)</f>
        <v/>
      </c>
      <c r="DP23" s="20">
        <f>CJ23+CK23+CL23+CM23+CN23</f>
        <v/>
      </c>
      <c r="DQ23" s="28">
        <f>DA23*DD23</f>
        <v/>
      </c>
      <c r="DR23" s="20">
        <f>(Parcel!$C$27*DA23+DP23)*DD23</f>
        <v/>
      </c>
      <c r="DS23" s="20">
        <f>IF(Use_Library!$C$22="Income",AK23*Use_Effective!$K$22,0)</f>
        <v/>
      </c>
      <c r="DT23" s="20">
        <f>DS23*(1+Use_Library!$AL$22)*(1-Use_Effective!$N$22)</f>
        <v/>
      </c>
      <c r="DU23" s="20">
        <f>IF(Use_Library!$C$22="Income",AK23*Use_Effective!$E$22,0)</f>
        <v/>
      </c>
      <c r="DV23" s="20">
        <f>IF(Use_Library!$C$22="Income",Location!$C$15*Location!$C$16*DR23,0)</f>
        <v/>
      </c>
      <c r="DW23" s="20">
        <f>DT23*Use_Library!$AO$22</f>
        <v/>
      </c>
      <c r="DX23" s="20">
        <f>(DU23+DV23)*Use_Library!$AP$22</f>
        <v/>
      </c>
      <c r="DY23" s="20">
        <f>DT23-DU23-DV23-DW23+DX23</f>
        <v/>
      </c>
      <c r="DZ23" s="26">
        <f>Use_Effective!$M$22</f>
        <v/>
      </c>
      <c r="EA23" s="20">
        <f>IF(AND(Use_Library!$C$22="Income",DZ23&gt;0),DY23/DZ23,0)</f>
        <v/>
      </c>
      <c r="EB23" s="39">
        <f>IF(Use_Library!$C$22="Income",-Location!$C$15*Location!$C$16*(1-Use_Library!$AP$22)*DQ23,0)</f>
        <v/>
      </c>
      <c r="EC23" s="23">
        <f>IF(DR23=0,0,DY23/DR23)</f>
        <v/>
      </c>
      <c r="ED23" s="20">
        <f>IF(Use_Library!$AW$22=1,IF(Use_Library!$C$22="Income",EA23*(1-DH23),AK23*Use_Effective!$I$22*(1-DG23))+DI23,0)*AM23</f>
        <v/>
      </c>
      <c r="EE23" s="39">
        <f>IF(AND(Use_Library!$AW$22=1,Use_Library!$C$22="Income",DZ23&gt;0),EB23/DZ23*(1-DH23),0)</f>
        <v/>
      </c>
      <c r="EF23" s="20">
        <f>ED23-DR23</f>
        <v/>
      </c>
      <c r="EG23" s="38">
        <f>IF(AND(Use_Library!$AW$22=1,AM23=1),MAX(0,Parcel!$C$27-((1-CW23)*ED23-DR23)/((1-CW23)*EE23-DQ23)),0)</f>
        <v/>
      </c>
      <c r="EH23" s="20">
        <f>IF(Use_Library!$AX$22=1,IF(Use_Library!$C$22="Income",EA23,IF(DZ23&gt;0,AD23*Use_Effective!$L$22/DZ23,0))+DI23,0)*AM23</f>
        <v/>
      </c>
      <c r="EI23" s="20">
        <f>IF(Use_Library!$C$22="Income",DP23,CJ23)</f>
        <v/>
      </c>
      <c r="EJ23" s="28">
        <f>IF(Use_Library!$C$22="Income",DQ23,DB23*DE23)</f>
        <v/>
      </c>
      <c r="EK23" s="20">
        <f>IF(Use_Library!$C$22="Income",DR23,(Parcel!$C$27*DB23+CJ23)*DE23)</f>
        <v/>
      </c>
      <c r="EL23" s="39">
        <f>IF(AND(Use_Library!$AX$22=1,Use_Library!$C$22="Income",DZ23&gt;0),EB23/DZ23,0)</f>
        <v/>
      </c>
      <c r="EM23" s="20">
        <f>EH23-EK23</f>
        <v/>
      </c>
      <c r="EN23" s="38">
        <f>IF(AND(Use_Library!$AX$22=1,AM23=1),MAX(0,Parcel!$C$27-((1-CX23)*EH23-EK23)/((1-CX23)*EL23-EJ23)),0)</f>
        <v/>
      </c>
      <c r="EO23" s="20">
        <f>IF(Use_Library!$C$22="Income",Assumptions!$C$15*(Parcel!$C$27*DA23+DP23),0)</f>
        <v/>
      </c>
      <c r="EP23" s="20">
        <f>IF(AND(Use_Library!$C$22="Income",DY23&gt;0),MIN(Assumptions!$C$20*EA23,PV(Assumptions!$C$23/12,Assumptions!$C$24*12,-DY23/Assumptions!$C$21/12),DY23/Assumptions!$C$22),0)</f>
        <v/>
      </c>
      <c r="EQ23" s="27">
        <f>IF(EP23=0,0,DY23/(-PMT(Assumptions!$C$23/12,Assumptions!$C$24*12,EP23)*12))</f>
        <v/>
      </c>
      <c r="ER23" s="20">
        <f>EP23-EO23</f>
        <v/>
      </c>
      <c r="ES23" s="19">
        <f>MAX(DO23,EG23,EN23)</f>
        <v/>
      </c>
      <c r="ET23" s="15">
        <f>IF(ES23&lt;=0,0,IF(DO23=ES23,1,IF(EG23=ES23,2,3)))</f>
        <v/>
      </c>
      <c r="EU23" s="9">
        <f>CHOOSE(ET23+1,"None works","Land / pad sale","Build &amp; sell","Build &amp; hold / lease")</f>
        <v/>
      </c>
      <c r="EV23" s="15">
        <f>CHOOSE(ET23+1,0,CS23,CT23,CU23)</f>
        <v/>
      </c>
      <c r="EW23" s="20">
        <f>ES23*(1-Assumptions!$C$26)</f>
        <v/>
      </c>
      <c r="EX23" s="20">
        <f>ES23-Parcel!$C$27</f>
        <v/>
      </c>
      <c r="EY23" s="20">
        <f>IF(Parcel!$C$14=0,0,ES23/Parcel!$C$14)</f>
        <v/>
      </c>
      <c r="EZ23" s="36">
        <f>IF(AK23=0,0,ES23/AK23)</f>
        <v/>
      </c>
      <c r="FA23" s="9">
        <f>IF(ES23&lt;=0,"Pass",IF(ES23&gt;=Parcel!$C$27*Assumptions!$C$27,"Strong",IF(ES23&gt;=Parcel!$C$27,"Works at asking",IF(ES23&gt;=Parcel!$C$27*Assumptions!$C$28,"Negotiate","Pass"))))</f>
        <v/>
      </c>
      <c r="FB23" s="9">
        <f>IF(AM23=0,"",IF(Use_Library!$BH$22="Y",IF(Use_Effective!$AF$22&gt;=3,"High","Medium"),"Low - verify location"))</f>
        <v/>
      </c>
      <c r="FC23" s="9">
        <f>IF(AND(Use_Library!$BH$22="N",AM23=1),Use_Library!$BI$22,"")</f>
        <v/>
      </c>
      <c r="FD23" s="9">
        <f>TRIM(Q23&amp;" "&amp;IF(AND(AM23=0,T23=1),"Nothing fits. ","")&amp;IF(AND(Use_Library!$AZ$22&lt;&gt;"Y",Parcel!$C$19&lt;Use_Library!$AY$22),"Frontage under "&amp;Use_Library!$AY$22&amp;" LF. ","")&amp;IF(Parcel!$C$17&gt;0.15,"Slope over 15%. ","")&amp;IF(AND(AM23=1,AI23&gt;0.5),TEXT(AI23,"0")&amp;" ac not used - resold as raw land. ","")&amp;IF(AND(AM23=1,AC23&lt;1),"Demand caps it at "&amp;TEXT(AK23,"#,##0")&amp;" "&amp;Use_Library!$D$22&amp;". ","")&amp;IF(AND(AM23=1,L23=1),"Rezone required (+"&amp;Location!$C$32&amp;" mo). ","")&amp;IF(AND(AM23=1,BA23=1),"State wastewater permit needed. ","")&amp;IF(AND(AM23=1,AV23=1),"Public water system needed. ","")&amp;AP23&amp;IF(Parcel!$C$16&gt;Assumptions!$C$29,"Floodplain over "&amp;TEXT(Assumptions!$C$29,"0%")&amp;". ","")&amp;IF(AND(AM23=1,EV23&gt;60),"Over 5 years to exit. ",""))</f>
        <v/>
      </c>
      <c r="FE23" s="20">
        <f>IF(AND(Org_Profile!$C$5="My uses",E23=0),-1E+9,ES23)+ROW()/1000000</f>
        <v/>
      </c>
    </row>
    <row r="24">
      <c r="A24" s="4">
        <f>Use_Library!$A$23</f>
        <v/>
      </c>
      <c r="B24" s="9">
        <f>Use_Library!$C$23</f>
        <v/>
      </c>
      <c r="C24" s="9">
        <f>Use_Library!$D$23</f>
        <v/>
      </c>
      <c r="D24" s="9">
        <f>Use_Library!$F$23</f>
        <v/>
      </c>
      <c r="E24" s="15">
        <f>IF(Org_Profile!$C$40="Y",1,0)</f>
        <v/>
      </c>
      <c r="F24" s="14">
        <f>MAX(0,Parcel!$C$37*(1-Use_Library!$N$23-IF(Use_Library!$AB$23="Y",Assumptions!$C$7,0)))</f>
        <v/>
      </c>
      <c r="G24" s="14">
        <f>IF(Use_Library!$M$23&gt;0,MIN(F24,Use_Library!$M$23),F24)</f>
        <v/>
      </c>
      <c r="H24" s="23">
        <f>IF(F24=0,0,G24/F24)</f>
        <v/>
      </c>
      <c r="I24" s="14">
        <f>Parcel!$C$37*H24</f>
        <v/>
      </c>
      <c r="J24" s="9">
        <f>IF(ISNUMBER(SEARCH(","&amp;Use_Library!$F$23&amp;",",","&amp;SUBSTITUTE(Parcel!$C$11," ","")&amp;",")),"Deed restricted",IF(Parcel!$C$46=0,"No zoning",IF(ISNUMBER(SEARCH(","&amp;Use_Library!$F$23&amp;",",","&amp;SUBSTITUTE(Parcel!$C$10," ","")&amp;",")),"By right",IF(OR(TRIM(Parcel!$C$12)="*",ISNUMBER(SEARCH(","&amp;Use_Library!$F$23&amp;",",","&amp;SUBSTITUTE(Parcel!$C$12," ","")&amp;","))),"Rezone required","Prohibited by zoning"))))</f>
        <v/>
      </c>
      <c r="K24" s="15">
        <f>IF(OR(J24="Deed restricted",J24="Prohibited by zoning"),0,1)</f>
        <v/>
      </c>
      <c r="L24" s="15">
        <f>IF(J24="Rezone required",1,0)</f>
        <v/>
      </c>
      <c r="M24" s="15">
        <f>IF(Parcel!$C$20="None",0,IF(AND(Parcel!$C$20="Private easement",Use_Library!$BA$23="Y"),0,1))</f>
        <v/>
      </c>
      <c r="N24" s="15">
        <f>IF(AND(Use_Library!$AZ$23="Y",Parcel!$C$19&lt;Use_Library!$AY$23),0,1)</f>
        <v/>
      </c>
      <c r="O24" s="15">
        <f>IF(AND(Use_Library!$T$23="Y",Parcel!$C$39=0),0,1)</f>
        <v/>
      </c>
      <c r="P24" s="15">
        <f>IF(AND(Use_Library!$U$23="Y",Parcel!$C$38=0),0,1)</f>
        <v/>
      </c>
      <c r="Q24" s="9">
        <f>TRIM(IF(AND(Use_Library!$BB$23&gt;0,Parcel!$C$28&lt;Use_Library!$BB$23),"Traffic under "&amp;TEXT(Use_Library!$BB$23,"#,##0")&amp;" VPD. ","")&amp;IF(AND(Use_Library!$BC$23&gt;0,Parcel!$C$29&lt;Use_Library!$BC$23),"Under "&amp;TEXT(Use_Library!$BC$23,"#,##0")&amp;" households in 3 mi. ","")&amp;IF(AND(Use_Library!$BD$23&gt;0,Parcel!$C$31&gt;Use_Library!$BD$23),"Over "&amp;Use_Library!$BD$23&amp;" mi to highway. ","")&amp;IF(AND(Use_Library!$BE$23="Y",Parcel!$C$32&lt;&gt;"Y"),"Needs a corner. ","")&amp;IF(AND(Use_Library!$BF$23&gt;0,Parcel!$C$33&gt;Use_Library!$BF$23),"Over "&amp;Use_Library!$BF$23&amp;" mi to substation. ","")&amp;IF(AND(Use_Library!$BG$23&gt;0,Parcel!$C$34&gt;Use_Library!$BG$23),"Over "&amp;Use_Library!$BG$23&amp;" mi to a major employer. ",""))</f>
        <v/>
      </c>
      <c r="R24" s="15">
        <f>IF(Q24="",1,0)</f>
        <v/>
      </c>
      <c r="S24" s="15">
        <f>IF(F24&gt;=Use_Library!$L$23,1,0)</f>
        <v/>
      </c>
      <c r="T24" s="15">
        <f>K24*M24*N24*O24*P24*R24*S24</f>
        <v/>
      </c>
      <c r="U24" s="14">
        <f>IF(Use_Library!$G$23&gt;0,I24*Use_Library!$G$23,1E+9)</f>
        <v/>
      </c>
      <c r="V24" s="14">
        <f>IF(Use_Library!$H$23&gt;0,G24*43560/Use_Library!$H$23,1E+9)</f>
        <v/>
      </c>
      <c r="W24" s="14">
        <f>IF(AND(Use_Library!$K$23="Y",Parcel!$C$39=0),G24*(1-Assumptions!$C$8)/IF(Parcel!$C$38=1,Location!$C$25,Location!$C$26),1E+9)</f>
        <v/>
      </c>
      <c r="X24" s="14">
        <f>IF(Use_Library!$I$23&gt;0,Parcel!$C$14*H24/Use_Library!$I$23,1E+9)</f>
        <v/>
      </c>
      <c r="Y24" s="14">
        <f>IF(Use_Library!$J$23&gt;0,Parcel!$C$19/Use_Library!$J$23,1E+9)</f>
        <v/>
      </c>
      <c r="Z24" s="14">
        <f>IF(AND(Parcel!$C$39=0,Use_Library!$K$23="N",Use_Library!$Y$23&gt;0,Use_Library!$Z$23="Y"),G24*Location!$C$27*Parcel!$C$45/Use_Library!$Y$23,1E+9)</f>
        <v/>
      </c>
      <c r="AA24" s="14">
        <f>MIN(U24,V24,W24,X24,Y24,Z24)</f>
        <v/>
      </c>
      <c r="AB24" s="14">
        <f>IF(Use_Library!$O$23&gt;0,IF(Use_Library!$P$23&gt;=10,Parcel!$C$30,Parcel!$C$29)*Use_Library!$O$23*Use_Library!$Q$23,1E+9)</f>
        <v/>
      </c>
      <c r="AC24" s="23">
        <f>IF(OR(AA24&gt;=1E+9,AA24&lt;=0),1,MIN(1,AB24/AA24))</f>
        <v/>
      </c>
      <c r="AD24" s="14">
        <f>G24*AC24</f>
        <v/>
      </c>
      <c r="AE24" s="23">
        <f>IF(F24=0,0,AD24/F24)</f>
        <v/>
      </c>
      <c r="AF24" s="14">
        <f>Parcel!$C$37*AE24</f>
        <v/>
      </c>
      <c r="AG24" s="14">
        <f>AF24*IF(Use_Library!$AB$23="Y",Assumptions!$C$7,0)</f>
        <v/>
      </c>
      <c r="AH24" s="14">
        <f>AF24*(1-Use_Library!$N$23)</f>
        <v/>
      </c>
      <c r="AI24" s="14">
        <f>Parcel!$C$14*(1-AE24)</f>
        <v/>
      </c>
      <c r="AJ24" s="14">
        <f>MIN(AA24,AB24)</f>
        <v/>
      </c>
      <c r="AK24" s="25">
        <f>IF(T24=0,0,IF(AJ24&gt;=1E+9,AD24,IF(Use_Library!$E$23="Y",INT(AJ24+1E-9),AJ24)))</f>
        <v/>
      </c>
      <c r="AL24" s="9">
        <f>IF(M24=0,"No public road access",IF(K24=0,J24,IF(R24=0,"Location fails",IF(N24=0,"Frontage under "&amp;Use_Library!$AY$23&amp;" LF",IF(S24=0,"Too small - needs "&amp;Use_Library!$L$23&amp;" usable ac",IF(O24=0,"Needs public sewer",IF(P24=0,"Needs public water",IF(AJ24&gt;=1E+9,"Usable acres",IF(AB24&lt;=AA24,"Market demand",IF(W24=AA24,"Septic lot size",IF(Z24=AA24,"Septic capacity (gal/day)",IF(X24=AA24,"Min lot size",IF(Y24=AA24,"Road frontage",IF(V24=AA24,"Site area / parking","Density"))))))))))))))</f>
        <v/>
      </c>
      <c r="AM24" s="15">
        <f>IF(AK24&gt;0,1,0)</f>
        <v/>
      </c>
      <c r="AN24" s="15">
        <f>IF(Use_Library!$Z$23="Y",1,0)*AM24</f>
        <v/>
      </c>
      <c r="AO24" s="14">
        <f>IF(Parcel!$C$39=0,MIN(U24,V24,X24,Y24,AB24),0)</f>
        <v/>
      </c>
      <c r="AP24" s="9">
        <f>IF(AND(Parcel!$C$39=0,M24*K24*R24*N24*S24*P24=1,AO24&lt;1E+9,AO24&gt;=MAX(1,AK24)*1.25),"Unlock: sewer or package plant allows ~"&amp;TEXT(INT(AO24),"#,##0")&amp;" "&amp;Use_Library!$D$23&amp;". ","")</f>
        <v/>
      </c>
      <c r="AQ24" s="15">
        <f>AK24*Use_Library!$AC$23*AN24</f>
        <v/>
      </c>
      <c r="AR24" s="15">
        <f>AK24*Use_Library!$AD$23*AN24</f>
        <v/>
      </c>
      <c r="AS24" s="14">
        <f>AK24*Use_Library!$V$23*AN24</f>
        <v/>
      </c>
      <c r="AT24" s="15">
        <f>IF(Parcel!$C$38=1,AQ24+Parcel!$C$40,0)*AN24</f>
        <v/>
      </c>
      <c r="AU24" s="14">
        <f>AS24*Parcel!$C$38</f>
        <v/>
      </c>
      <c r="AV24" s="15">
        <f>IF(AND(Parcel!$C$38=0,Use_Library!$K$23="N",AS24&gt;=Location!$C$30),1,0)*AN24</f>
        <v/>
      </c>
      <c r="AW24" s="15">
        <f>IF(Parcel!$C$39=1,AQ24+Parcel!$C$41,0)*AN24</f>
        <v/>
      </c>
      <c r="AX24" s="14">
        <f>AS24*Parcel!$C$39</f>
        <v/>
      </c>
      <c r="AY24" s="14">
        <f>IF(Parcel!$C$39=0,AK24*Use_Library!$W$23,0)*AN24</f>
        <v/>
      </c>
      <c r="AZ24" s="15">
        <f>IF(Parcel!$C$39=0,AK24*Use_Library!$Y$23,0)*AN24</f>
        <v/>
      </c>
      <c r="BA24" s="15">
        <f>IF(AND(Use_Library!$K$23="N",AZ24&gt;Location!$C$28),1,0)</f>
        <v/>
      </c>
      <c r="BB24" s="14">
        <f>IF(AND(Parcel!$C$38=0,AV24=0),AK24*Use_Library!$X$23,0)*AN24</f>
        <v/>
      </c>
      <c r="BC24" s="14">
        <f>AH24*Parcel!$C$18*Use_Library!$AA$23*AN24</f>
        <v/>
      </c>
      <c r="BD24" s="14">
        <f>AH24*Use_Library!$AA$23*AN24</f>
        <v/>
      </c>
      <c r="BE24" s="15">
        <f>IF(Use_Library!$C$23="For-Sale",IF(Use_Library!$E$23="Y",AK24,1),1)*AM24</f>
        <v/>
      </c>
      <c r="BF24" s="15">
        <f>IF(OR(Use_Library!$F$23="RES-SF",Use_Library!$F$23="RES-ATT",Use_Library!$F$23="RES-MF",Use_Library!$F$23="MH"),1,0)</f>
        <v/>
      </c>
      <c r="BG24" s="20">
        <f>Cost_Library!$J$5*Location!$C$9*AM24</f>
        <v/>
      </c>
      <c r="BH24" s="20">
        <f>BE24*Cost_Library!$J$6*Location!$C$9</f>
        <v/>
      </c>
      <c r="BI24" s="20">
        <f>BD24*Cost_Library!$J$7*Location!$C$9</f>
        <v/>
      </c>
      <c r="BJ24" s="20">
        <f>Cost_Library!$J$8*Location!$C$9*AN24*IF(Use_Library!$AA$23&gt;=0.5,1,0)</f>
        <v/>
      </c>
      <c r="BK24" s="20">
        <f>AY24*Cost_Library!$J$9*Location!$C$9</f>
        <v/>
      </c>
      <c r="BL24" s="20">
        <f>BA24*Cost_Library!$J$10*Location!$C$9</f>
        <v/>
      </c>
      <c r="BM24" s="20">
        <f>Cost_Library!$J$11*Location!$C$9*AM24</f>
        <v/>
      </c>
      <c r="BN24" s="20">
        <f>Cost_Library!$J$12*Location!$C$9*AN24*IF(Use_Library!$AB$23="Y",1,0)</f>
        <v/>
      </c>
      <c r="BO24" s="20">
        <f>Use_Effective!$C$23*AM24</f>
        <v/>
      </c>
      <c r="BP24" s="20">
        <f>L24*Location!$C$31*AM24</f>
        <v/>
      </c>
      <c r="BQ24" s="20">
        <f>Cost_Library!$J$13*Location!$C$9*AM24</f>
        <v/>
      </c>
      <c r="BR24" s="20">
        <f>BC24*Cost_Library!$J$14*Location!$C$9</f>
        <v/>
      </c>
      <c r="BS24" s="20">
        <f>BD24*Cost_Library!$J$15*Location!$C$9*Parcel!$C$43</f>
        <v/>
      </c>
      <c r="BT24" s="20">
        <f>AQ24*Cost_Library!$J$16*Location!$C$9</f>
        <v/>
      </c>
      <c r="BU24" s="20">
        <f>AR24*Cost_Library!$J$17*Location!$C$9</f>
        <v/>
      </c>
      <c r="BV24" s="20">
        <f>AG24*Cost_Library!$J$18*Location!$C$9*AN24</f>
        <v/>
      </c>
      <c r="BW24" s="20">
        <f>BD24*Cost_Library!$J$19*Location!$C$9</f>
        <v/>
      </c>
      <c r="BX24" s="20">
        <f>IF(Use_Library!$AZ$23="Y",1,0)*Cost_Library!$J$20*Location!$C$9*AN24</f>
        <v/>
      </c>
      <c r="BY24" s="20">
        <f>AT24*Cost_Library!$J$21*Location!$C$9</f>
        <v/>
      </c>
      <c r="BZ24" s="20">
        <f>AU24*Cost_Library!$J$22*Location!$C$9</f>
        <v/>
      </c>
      <c r="CA24" s="20">
        <f>AW24*Cost_Library!$J$23*Location!$C$9</f>
        <v/>
      </c>
      <c r="CB24" s="20">
        <f>AX24*Cost_Library!$J$24*Location!$C$9</f>
        <v/>
      </c>
      <c r="CC24" s="20">
        <f>AY24*Cost_Library!$J$25*Location!$C$9*Parcel!$C$44</f>
        <v/>
      </c>
      <c r="CD24" s="20">
        <f>BB24*Cost_Library!$J$26*Location!$C$9</f>
        <v/>
      </c>
      <c r="CE24" s="20">
        <f>AV24*(Cost_Library!$J$27+AS24*Cost_Library!$J$28)*Location!$C$9</f>
        <v/>
      </c>
      <c r="CF24" s="20">
        <f>AQ24*Cost_Library!$J$29*Location!$C$9</f>
        <v/>
      </c>
      <c r="CG24" s="20">
        <f>SUM(BG24:CF24)</f>
        <v/>
      </c>
      <c r="CH24" s="20">
        <f>CG24*Assumptions!$C$9</f>
        <v/>
      </c>
      <c r="CI24" s="20">
        <f>(CG24+CH24)*Org_Profile!$C$17</f>
        <v/>
      </c>
      <c r="CJ24" s="20">
        <f>CG24+CH24+CI24</f>
        <v/>
      </c>
      <c r="CK24" s="20">
        <f>AK24*Use_Effective!$B$23*(1+Org_Profile!$C$17)</f>
        <v/>
      </c>
      <c r="CL24" s="20">
        <f>CK24*(Assumptions!$C$10+Assumptions!$C$11)</f>
        <v/>
      </c>
      <c r="CM24" s="20">
        <f>AK24*Use_Effective!$D$23</f>
        <v/>
      </c>
      <c r="CN24" s="20">
        <f>AK24*Location!$C$21*BF24*AM24</f>
        <v/>
      </c>
      <c r="CO24" s="14">
        <f>Use_Effective!$F$23+L24*Location!$C$32+BA24*Location!$C$29</f>
        <v/>
      </c>
      <c r="CP24" s="14">
        <f>IF(Use_Effective!$P$23&gt;0,IF(Use_Library!$C$23="For-Sale",AK24,AD24)/Use_Effective!$P$23,0)*AM24</f>
        <v/>
      </c>
      <c r="CQ24" s="14">
        <f>IF(AND(Use_Library!$C$23="For-Sale",Use_Effective!$O$23&gt;0),AK24/Use_Effective!$O$23,0)*AM24</f>
        <v/>
      </c>
      <c r="CR24" s="14">
        <f>IF(Use_Library!$C$23="Income",MAX(Use_Library!$AQ$23,IF(Use_Effective!$O$23&gt;0,AK24/Use_Effective!$O$23,0)),0)</f>
        <v/>
      </c>
      <c r="CS24" s="14">
        <f>CO24+CP24</f>
        <v/>
      </c>
      <c r="CT24" s="14">
        <f>CO24+CQ24+CR24</f>
        <v/>
      </c>
      <c r="CU24" s="14">
        <f>CO24+IF(Use_Library!$C$23="Income",CR24,0)</f>
        <v/>
      </c>
      <c r="CV24" s="23">
        <f>Use_Effective!$G$23+Assumptions!$C$25*MAX(0,(CS24-12)/12)</f>
        <v/>
      </c>
      <c r="CW24" s="23">
        <f>Use_Effective!$G$23+Assumptions!$C$25*MAX(0,(CT24-12)/12)</f>
        <v/>
      </c>
      <c r="CX24" s="23">
        <f>Use_Effective!$G$23+Assumptions!$C$25*MAX(0,(CU24-12)/12)</f>
        <v/>
      </c>
      <c r="CY24" s="28">
        <f>1+Location!$C$17+IF(Parcel!$C$26="Y",Location!$C$20,0)</f>
        <v/>
      </c>
      <c r="CZ24" s="28">
        <f>CY24+Location!$C$19*(CO24+CP24/2)/12</f>
        <v/>
      </c>
      <c r="DA24" s="28">
        <f>CY24+Location!$C$19*(CO24+CQ24/2)/12</f>
        <v/>
      </c>
      <c r="DB24" s="28">
        <f>IF(Use_Library!$C$23="Income",DA24,CY24+Location!$C$19*CO24/12)</f>
        <v/>
      </c>
      <c r="DC24" s="28">
        <f>1+Assumptions!$C$15*(Assumptions!$C$16*(CO24+CP24/2)/12*Assumptions!$C$18+Assumptions!$C$17)</f>
        <v/>
      </c>
      <c r="DD24" s="28">
        <f>1+Assumptions!$C$15*(Assumptions!$C$16*((CO24+CQ24/2)/12*Assumptions!$C$18+CR24/12*Assumptions!$C$19)+Assumptions!$C$17)</f>
        <v/>
      </c>
      <c r="DE24" s="28">
        <f>IF(Use_Library!$C$23="Income",DD24,1+Assumptions!$C$15*(Assumptions!$C$16*CO24/12*Assumptions!$C$18+Assumptions!$C$17))</f>
        <v/>
      </c>
      <c r="DF24" s="23">
        <f>Assumptions!$C$13+Location!$C$18</f>
        <v/>
      </c>
      <c r="DG24" s="23">
        <f>Assumptions!$C$12+Location!$C$18</f>
        <v/>
      </c>
      <c r="DH24" s="23">
        <f>Assumptions!$C$14+Location!$C$18</f>
        <v/>
      </c>
      <c r="DI24" s="20">
        <f>AI24*Location!$C$14*(1-DF24)*AM24</f>
        <v/>
      </c>
      <c r="DJ24" s="20">
        <f>IF(Use_Library!$AV$23=1,IF(Use_Library!$C$23="For-Sale",AK24*Use_Effective!$H$23+Parcel!$C$14*AE24*Use_Effective!$J$23,AD24*Use_Effective!$J$23)*(1-DF24)+DI24,0)*AM24</f>
        <v/>
      </c>
      <c r="DK24" s="20">
        <f>(CG24-BU24-CC24-CD24)*(1+Assumptions!$C$9)*(1+Org_Profile!$C$17)</f>
        <v/>
      </c>
      <c r="DL24" s="28">
        <f>CZ24*DC24</f>
        <v/>
      </c>
      <c r="DM24" s="20">
        <f>(Parcel!$C$27*CZ24+DK24)*DC24</f>
        <v/>
      </c>
      <c r="DN24" s="20">
        <f>DJ24-DM24</f>
        <v/>
      </c>
      <c r="DO24" s="38">
        <f>IF(AND(Use_Library!$AV$23=1,AM24=1),MAX(0,((1-CV24)*DJ24-DK24*DC24)/DL24),0)</f>
        <v/>
      </c>
      <c r="DP24" s="20">
        <f>CJ24+CK24+CL24+CM24+CN24</f>
        <v/>
      </c>
      <c r="DQ24" s="28">
        <f>DA24*DD24</f>
        <v/>
      </c>
      <c r="DR24" s="20">
        <f>(Parcel!$C$27*DA24+DP24)*DD24</f>
        <v/>
      </c>
      <c r="DS24" s="20">
        <f>IF(Use_Library!$C$23="Income",AK24*Use_Effective!$K$23,0)</f>
        <v/>
      </c>
      <c r="DT24" s="20">
        <f>DS24*(1+Use_Library!$AL$23)*(1-Use_Effective!$N$23)</f>
        <v/>
      </c>
      <c r="DU24" s="20">
        <f>IF(Use_Library!$C$23="Income",AK24*Use_Effective!$E$23,0)</f>
        <v/>
      </c>
      <c r="DV24" s="20">
        <f>IF(Use_Library!$C$23="Income",Location!$C$15*Location!$C$16*DR24,0)</f>
        <v/>
      </c>
      <c r="DW24" s="20">
        <f>DT24*Use_Library!$AO$23</f>
        <v/>
      </c>
      <c r="DX24" s="20">
        <f>(DU24+DV24)*Use_Library!$AP$23</f>
        <v/>
      </c>
      <c r="DY24" s="20">
        <f>DT24-DU24-DV24-DW24+DX24</f>
        <v/>
      </c>
      <c r="DZ24" s="26">
        <f>Use_Effective!$M$23</f>
        <v/>
      </c>
      <c r="EA24" s="20">
        <f>IF(AND(Use_Library!$C$23="Income",DZ24&gt;0),DY24/DZ24,0)</f>
        <v/>
      </c>
      <c r="EB24" s="39">
        <f>IF(Use_Library!$C$23="Income",-Location!$C$15*Location!$C$16*(1-Use_Library!$AP$23)*DQ24,0)</f>
        <v/>
      </c>
      <c r="EC24" s="23">
        <f>IF(DR24=0,0,DY24/DR24)</f>
        <v/>
      </c>
      <c r="ED24" s="20">
        <f>IF(Use_Library!$AW$23=1,IF(Use_Library!$C$23="Income",EA24*(1-DH24),AK24*Use_Effective!$I$23*(1-DG24))+DI24,0)*AM24</f>
        <v/>
      </c>
      <c r="EE24" s="39">
        <f>IF(AND(Use_Library!$AW$23=1,Use_Library!$C$23="Income",DZ24&gt;0),EB24/DZ24*(1-DH24),0)</f>
        <v/>
      </c>
      <c r="EF24" s="20">
        <f>ED24-DR24</f>
        <v/>
      </c>
      <c r="EG24" s="38">
        <f>IF(AND(Use_Library!$AW$23=1,AM24=1),MAX(0,Parcel!$C$27-((1-CW24)*ED24-DR24)/((1-CW24)*EE24-DQ24)),0)</f>
        <v/>
      </c>
      <c r="EH24" s="20">
        <f>IF(Use_Library!$AX$23=1,IF(Use_Library!$C$23="Income",EA24,IF(DZ24&gt;0,AD24*Use_Effective!$L$23/DZ24,0))+DI24,0)*AM24</f>
        <v/>
      </c>
      <c r="EI24" s="20">
        <f>IF(Use_Library!$C$23="Income",DP24,CJ24)</f>
        <v/>
      </c>
      <c r="EJ24" s="28">
        <f>IF(Use_Library!$C$23="Income",DQ24,DB24*DE24)</f>
        <v/>
      </c>
      <c r="EK24" s="20">
        <f>IF(Use_Library!$C$23="Income",DR24,(Parcel!$C$27*DB24+CJ24)*DE24)</f>
        <v/>
      </c>
      <c r="EL24" s="39">
        <f>IF(AND(Use_Library!$AX$23=1,Use_Library!$C$23="Income",DZ24&gt;0),EB24/DZ24,0)</f>
        <v/>
      </c>
      <c r="EM24" s="20">
        <f>EH24-EK24</f>
        <v/>
      </c>
      <c r="EN24" s="38">
        <f>IF(AND(Use_Library!$AX$23=1,AM24=1),MAX(0,Parcel!$C$27-((1-CX24)*EH24-EK24)/((1-CX24)*EL24-EJ24)),0)</f>
        <v/>
      </c>
      <c r="EO24" s="20">
        <f>IF(Use_Library!$C$23="Income",Assumptions!$C$15*(Parcel!$C$27*DA24+DP24),0)</f>
        <v/>
      </c>
      <c r="EP24" s="20">
        <f>IF(AND(Use_Library!$C$23="Income",DY24&gt;0),MIN(Assumptions!$C$20*EA24,PV(Assumptions!$C$23/12,Assumptions!$C$24*12,-DY24/Assumptions!$C$21/12),DY24/Assumptions!$C$22),0)</f>
        <v/>
      </c>
      <c r="EQ24" s="27">
        <f>IF(EP24=0,0,DY24/(-PMT(Assumptions!$C$23/12,Assumptions!$C$24*12,EP24)*12))</f>
        <v/>
      </c>
      <c r="ER24" s="20">
        <f>EP24-EO24</f>
        <v/>
      </c>
      <c r="ES24" s="19">
        <f>MAX(DO24,EG24,EN24)</f>
        <v/>
      </c>
      <c r="ET24" s="15">
        <f>IF(ES24&lt;=0,0,IF(DO24=ES24,1,IF(EG24=ES24,2,3)))</f>
        <v/>
      </c>
      <c r="EU24" s="9">
        <f>CHOOSE(ET24+1,"None works","Land / pad sale","Build &amp; sell","Build &amp; hold / lease")</f>
        <v/>
      </c>
      <c r="EV24" s="15">
        <f>CHOOSE(ET24+1,0,CS24,CT24,CU24)</f>
        <v/>
      </c>
      <c r="EW24" s="20">
        <f>ES24*(1-Assumptions!$C$26)</f>
        <v/>
      </c>
      <c r="EX24" s="20">
        <f>ES24-Parcel!$C$27</f>
        <v/>
      </c>
      <c r="EY24" s="20">
        <f>IF(Parcel!$C$14=0,0,ES24/Parcel!$C$14)</f>
        <v/>
      </c>
      <c r="EZ24" s="36">
        <f>IF(AK24=0,0,ES24/AK24)</f>
        <v/>
      </c>
      <c r="FA24" s="9">
        <f>IF(ES24&lt;=0,"Pass",IF(ES24&gt;=Parcel!$C$27*Assumptions!$C$27,"Strong",IF(ES24&gt;=Parcel!$C$27,"Works at asking",IF(ES24&gt;=Parcel!$C$27*Assumptions!$C$28,"Negotiate","Pass"))))</f>
        <v/>
      </c>
      <c r="FB24" s="9">
        <f>IF(AM24=0,"",IF(Use_Library!$BH$23="Y",IF(Use_Effective!$AF$23&gt;=3,"High","Medium"),"Low - verify location"))</f>
        <v/>
      </c>
      <c r="FC24" s="9">
        <f>IF(AND(Use_Library!$BH$23="N",AM24=1),Use_Library!$BI$23,"")</f>
        <v/>
      </c>
      <c r="FD24" s="9">
        <f>TRIM(Q24&amp;" "&amp;IF(AND(AM24=0,T24=1),"Nothing fits. ","")&amp;IF(AND(Use_Library!$AZ$23&lt;&gt;"Y",Parcel!$C$19&lt;Use_Library!$AY$23),"Frontage under "&amp;Use_Library!$AY$23&amp;" LF. ","")&amp;IF(Parcel!$C$17&gt;0.15,"Slope over 15%. ","")&amp;IF(AND(AM24=1,AI24&gt;0.5),TEXT(AI24,"0")&amp;" ac not used - resold as raw land. ","")&amp;IF(AND(AM24=1,AC24&lt;1),"Demand caps it at "&amp;TEXT(AK24,"#,##0")&amp;" "&amp;Use_Library!$D$23&amp;". ","")&amp;IF(AND(AM24=1,L24=1),"Rezone required (+"&amp;Location!$C$32&amp;" mo). ","")&amp;IF(AND(AM24=1,BA24=1),"State wastewater permit needed. ","")&amp;IF(AND(AM24=1,AV24=1),"Public water system needed. ","")&amp;AP24&amp;IF(Parcel!$C$16&gt;Assumptions!$C$29,"Floodplain over "&amp;TEXT(Assumptions!$C$29,"0%")&amp;". ","")&amp;IF(AND(AM24=1,EV24&gt;60),"Over 5 years to exit. ",""))</f>
        <v/>
      </c>
      <c r="FE24" s="20">
        <f>IF(AND(Org_Profile!$C$5="My uses",E24=0),-1E+9,ES24)+ROW()/1000000</f>
        <v/>
      </c>
    </row>
    <row r="25">
      <c r="A25" s="4">
        <f>Use_Library!$A$24</f>
        <v/>
      </c>
      <c r="B25" s="9">
        <f>Use_Library!$C$24</f>
        <v/>
      </c>
      <c r="C25" s="9">
        <f>Use_Library!$D$24</f>
        <v/>
      </c>
      <c r="D25" s="9">
        <f>Use_Library!$F$24</f>
        <v/>
      </c>
      <c r="E25" s="15">
        <f>IF(Org_Profile!$C$41="Y",1,0)</f>
        <v/>
      </c>
      <c r="F25" s="14">
        <f>MAX(0,Parcel!$C$37*(1-Use_Library!$N$24-IF(Use_Library!$AB$24="Y",Assumptions!$C$7,0)))</f>
        <v/>
      </c>
      <c r="G25" s="14">
        <f>IF(Use_Library!$M$24&gt;0,MIN(F25,Use_Library!$M$24),F25)</f>
        <v/>
      </c>
      <c r="H25" s="23">
        <f>IF(F25=0,0,G25/F25)</f>
        <v/>
      </c>
      <c r="I25" s="14">
        <f>Parcel!$C$37*H25</f>
        <v/>
      </c>
      <c r="J25" s="9">
        <f>IF(ISNUMBER(SEARCH(","&amp;Use_Library!$F$24&amp;",",","&amp;SUBSTITUTE(Parcel!$C$11," ","")&amp;",")),"Deed restricted",IF(Parcel!$C$46=0,"No zoning",IF(ISNUMBER(SEARCH(","&amp;Use_Library!$F$24&amp;",",","&amp;SUBSTITUTE(Parcel!$C$10," ","")&amp;",")),"By right",IF(OR(TRIM(Parcel!$C$12)="*",ISNUMBER(SEARCH(","&amp;Use_Library!$F$24&amp;",",","&amp;SUBSTITUTE(Parcel!$C$12," ","")&amp;","))),"Rezone required","Prohibited by zoning"))))</f>
        <v/>
      </c>
      <c r="K25" s="15">
        <f>IF(OR(J25="Deed restricted",J25="Prohibited by zoning"),0,1)</f>
        <v/>
      </c>
      <c r="L25" s="15">
        <f>IF(J25="Rezone required",1,0)</f>
        <v/>
      </c>
      <c r="M25" s="15">
        <f>IF(Parcel!$C$20="None",0,IF(AND(Parcel!$C$20="Private easement",Use_Library!$BA$24="Y"),0,1))</f>
        <v/>
      </c>
      <c r="N25" s="15">
        <f>IF(AND(Use_Library!$AZ$24="Y",Parcel!$C$19&lt;Use_Library!$AY$24),0,1)</f>
        <v/>
      </c>
      <c r="O25" s="15">
        <f>IF(AND(Use_Library!$T$24="Y",Parcel!$C$39=0),0,1)</f>
        <v/>
      </c>
      <c r="P25" s="15">
        <f>IF(AND(Use_Library!$U$24="Y",Parcel!$C$38=0),0,1)</f>
        <v/>
      </c>
      <c r="Q25" s="9">
        <f>TRIM(IF(AND(Use_Library!$BB$24&gt;0,Parcel!$C$28&lt;Use_Library!$BB$24),"Traffic under "&amp;TEXT(Use_Library!$BB$24,"#,##0")&amp;" VPD. ","")&amp;IF(AND(Use_Library!$BC$24&gt;0,Parcel!$C$29&lt;Use_Library!$BC$24),"Under "&amp;TEXT(Use_Library!$BC$24,"#,##0")&amp;" households in 3 mi. ","")&amp;IF(AND(Use_Library!$BD$24&gt;0,Parcel!$C$31&gt;Use_Library!$BD$24),"Over "&amp;Use_Library!$BD$24&amp;" mi to highway. ","")&amp;IF(AND(Use_Library!$BE$24="Y",Parcel!$C$32&lt;&gt;"Y"),"Needs a corner. ","")&amp;IF(AND(Use_Library!$BF$24&gt;0,Parcel!$C$33&gt;Use_Library!$BF$24),"Over "&amp;Use_Library!$BF$24&amp;" mi to substation. ","")&amp;IF(AND(Use_Library!$BG$24&gt;0,Parcel!$C$34&gt;Use_Library!$BG$24),"Over "&amp;Use_Library!$BG$24&amp;" mi to a major employer. ",""))</f>
        <v/>
      </c>
      <c r="R25" s="15">
        <f>IF(Q25="",1,0)</f>
        <v/>
      </c>
      <c r="S25" s="15">
        <f>IF(F25&gt;=Use_Library!$L$24,1,0)</f>
        <v/>
      </c>
      <c r="T25" s="15">
        <f>K25*M25*N25*O25*P25*R25*S25</f>
        <v/>
      </c>
      <c r="U25" s="14">
        <f>IF(Use_Library!$G$24&gt;0,I25*Use_Library!$G$24,1E+9)</f>
        <v/>
      </c>
      <c r="V25" s="14">
        <f>IF(Use_Library!$H$24&gt;0,G25*43560/Use_Library!$H$24,1E+9)</f>
        <v/>
      </c>
      <c r="W25" s="14">
        <f>IF(AND(Use_Library!$K$24="Y",Parcel!$C$39=0),G25*(1-Assumptions!$C$8)/IF(Parcel!$C$38=1,Location!$C$25,Location!$C$26),1E+9)</f>
        <v/>
      </c>
      <c r="X25" s="14">
        <f>IF(Use_Library!$I$24&gt;0,Parcel!$C$14*H25/Use_Library!$I$24,1E+9)</f>
        <v/>
      </c>
      <c r="Y25" s="14">
        <f>IF(Use_Library!$J$24&gt;0,Parcel!$C$19/Use_Library!$J$24,1E+9)</f>
        <v/>
      </c>
      <c r="Z25" s="14">
        <f>IF(AND(Parcel!$C$39=0,Use_Library!$K$24="N",Use_Library!$Y$24&gt;0,Use_Library!$Z$24="Y"),G25*Location!$C$27*Parcel!$C$45/Use_Library!$Y$24,1E+9)</f>
        <v/>
      </c>
      <c r="AA25" s="14">
        <f>MIN(U25,V25,W25,X25,Y25,Z25)</f>
        <v/>
      </c>
      <c r="AB25" s="14">
        <f>IF(Use_Library!$O$24&gt;0,IF(Use_Library!$P$24&gt;=10,Parcel!$C$30,Parcel!$C$29)*Use_Library!$O$24*Use_Library!$Q$24,1E+9)</f>
        <v/>
      </c>
      <c r="AC25" s="23">
        <f>IF(OR(AA25&gt;=1E+9,AA25&lt;=0),1,MIN(1,AB25/AA25))</f>
        <v/>
      </c>
      <c r="AD25" s="14">
        <f>G25*AC25</f>
        <v/>
      </c>
      <c r="AE25" s="23">
        <f>IF(F25=0,0,AD25/F25)</f>
        <v/>
      </c>
      <c r="AF25" s="14">
        <f>Parcel!$C$37*AE25</f>
        <v/>
      </c>
      <c r="AG25" s="14">
        <f>AF25*IF(Use_Library!$AB$24="Y",Assumptions!$C$7,0)</f>
        <v/>
      </c>
      <c r="AH25" s="14">
        <f>AF25*(1-Use_Library!$N$24)</f>
        <v/>
      </c>
      <c r="AI25" s="14">
        <f>Parcel!$C$14*(1-AE25)</f>
        <v/>
      </c>
      <c r="AJ25" s="14">
        <f>MIN(AA25,AB25)</f>
        <v/>
      </c>
      <c r="AK25" s="25">
        <f>IF(T25=0,0,IF(AJ25&gt;=1E+9,AD25,IF(Use_Library!$E$24="Y",INT(AJ25+1E-9),AJ25)))</f>
        <v/>
      </c>
      <c r="AL25" s="9">
        <f>IF(M25=0,"No public road access",IF(K25=0,J25,IF(R25=0,"Location fails",IF(N25=0,"Frontage under "&amp;Use_Library!$AY$24&amp;" LF",IF(S25=0,"Too small - needs "&amp;Use_Library!$L$24&amp;" usable ac",IF(O25=0,"Needs public sewer",IF(P25=0,"Needs public water",IF(AJ25&gt;=1E+9,"Usable acres",IF(AB25&lt;=AA25,"Market demand",IF(W25=AA25,"Septic lot size",IF(Z25=AA25,"Septic capacity (gal/day)",IF(X25=AA25,"Min lot size",IF(Y25=AA25,"Road frontage",IF(V25=AA25,"Site area / parking","Density"))))))))))))))</f>
        <v/>
      </c>
      <c r="AM25" s="15">
        <f>IF(AK25&gt;0,1,0)</f>
        <v/>
      </c>
      <c r="AN25" s="15">
        <f>IF(Use_Library!$Z$24="Y",1,0)*AM25</f>
        <v/>
      </c>
      <c r="AO25" s="14">
        <f>IF(Parcel!$C$39=0,MIN(U25,V25,X25,Y25,AB25),0)</f>
        <v/>
      </c>
      <c r="AP25" s="9">
        <f>IF(AND(Parcel!$C$39=0,M25*K25*R25*N25*S25*P25=1,AO25&lt;1E+9,AO25&gt;=MAX(1,AK25)*1.25),"Unlock: sewer or package plant allows ~"&amp;TEXT(INT(AO25),"#,##0")&amp;" "&amp;Use_Library!$D$24&amp;". ","")</f>
        <v/>
      </c>
      <c r="AQ25" s="15">
        <f>AK25*Use_Library!$AC$24*AN25</f>
        <v/>
      </c>
      <c r="AR25" s="15">
        <f>AK25*Use_Library!$AD$24*AN25</f>
        <v/>
      </c>
      <c r="AS25" s="14">
        <f>AK25*Use_Library!$V$24*AN25</f>
        <v/>
      </c>
      <c r="AT25" s="15">
        <f>IF(Parcel!$C$38=1,AQ25+Parcel!$C$40,0)*AN25</f>
        <v/>
      </c>
      <c r="AU25" s="14">
        <f>AS25*Parcel!$C$38</f>
        <v/>
      </c>
      <c r="AV25" s="15">
        <f>IF(AND(Parcel!$C$38=0,Use_Library!$K$24="N",AS25&gt;=Location!$C$30),1,0)*AN25</f>
        <v/>
      </c>
      <c r="AW25" s="15">
        <f>IF(Parcel!$C$39=1,AQ25+Parcel!$C$41,0)*AN25</f>
        <v/>
      </c>
      <c r="AX25" s="14">
        <f>AS25*Parcel!$C$39</f>
        <v/>
      </c>
      <c r="AY25" s="14">
        <f>IF(Parcel!$C$39=0,AK25*Use_Library!$W$24,0)*AN25</f>
        <v/>
      </c>
      <c r="AZ25" s="15">
        <f>IF(Parcel!$C$39=0,AK25*Use_Library!$Y$24,0)*AN25</f>
        <v/>
      </c>
      <c r="BA25" s="15">
        <f>IF(AND(Use_Library!$K$24="N",AZ25&gt;Location!$C$28),1,0)</f>
        <v/>
      </c>
      <c r="BB25" s="14">
        <f>IF(AND(Parcel!$C$38=0,AV25=0),AK25*Use_Library!$X$24,0)*AN25</f>
        <v/>
      </c>
      <c r="BC25" s="14">
        <f>AH25*Parcel!$C$18*Use_Library!$AA$24*AN25</f>
        <v/>
      </c>
      <c r="BD25" s="14">
        <f>AH25*Use_Library!$AA$24*AN25</f>
        <v/>
      </c>
      <c r="BE25" s="15">
        <f>IF(Use_Library!$C$24="For-Sale",IF(Use_Library!$E$24="Y",AK25,1),1)*AM25</f>
        <v/>
      </c>
      <c r="BF25" s="15">
        <f>IF(OR(Use_Library!$F$24="RES-SF",Use_Library!$F$24="RES-ATT",Use_Library!$F$24="RES-MF",Use_Library!$F$24="MH"),1,0)</f>
        <v/>
      </c>
      <c r="BG25" s="20">
        <f>Cost_Library!$J$5*Location!$C$9*AM25</f>
        <v/>
      </c>
      <c r="BH25" s="20">
        <f>BE25*Cost_Library!$J$6*Location!$C$9</f>
        <v/>
      </c>
      <c r="BI25" s="20">
        <f>BD25*Cost_Library!$J$7*Location!$C$9</f>
        <v/>
      </c>
      <c r="BJ25" s="20">
        <f>Cost_Library!$J$8*Location!$C$9*AN25*IF(Use_Library!$AA$24&gt;=0.5,1,0)</f>
        <v/>
      </c>
      <c r="BK25" s="20">
        <f>AY25*Cost_Library!$J$9*Location!$C$9</f>
        <v/>
      </c>
      <c r="BL25" s="20">
        <f>BA25*Cost_Library!$J$10*Location!$C$9</f>
        <v/>
      </c>
      <c r="BM25" s="20">
        <f>Cost_Library!$J$11*Location!$C$9*AM25</f>
        <v/>
      </c>
      <c r="BN25" s="20">
        <f>Cost_Library!$J$12*Location!$C$9*AN25*IF(Use_Library!$AB$24="Y",1,0)</f>
        <v/>
      </c>
      <c r="BO25" s="20">
        <f>Use_Effective!$C$24*AM25</f>
        <v/>
      </c>
      <c r="BP25" s="20">
        <f>L25*Location!$C$31*AM25</f>
        <v/>
      </c>
      <c r="BQ25" s="20">
        <f>Cost_Library!$J$13*Location!$C$9*AM25</f>
        <v/>
      </c>
      <c r="BR25" s="20">
        <f>BC25*Cost_Library!$J$14*Location!$C$9</f>
        <v/>
      </c>
      <c r="BS25" s="20">
        <f>BD25*Cost_Library!$J$15*Location!$C$9*Parcel!$C$43</f>
        <v/>
      </c>
      <c r="BT25" s="20">
        <f>AQ25*Cost_Library!$J$16*Location!$C$9</f>
        <v/>
      </c>
      <c r="BU25" s="20">
        <f>AR25*Cost_Library!$J$17*Location!$C$9</f>
        <v/>
      </c>
      <c r="BV25" s="20">
        <f>AG25*Cost_Library!$J$18*Location!$C$9*AN25</f>
        <v/>
      </c>
      <c r="BW25" s="20">
        <f>BD25*Cost_Library!$J$19*Location!$C$9</f>
        <v/>
      </c>
      <c r="BX25" s="20">
        <f>IF(Use_Library!$AZ$24="Y",1,0)*Cost_Library!$J$20*Location!$C$9*AN25</f>
        <v/>
      </c>
      <c r="BY25" s="20">
        <f>AT25*Cost_Library!$J$21*Location!$C$9</f>
        <v/>
      </c>
      <c r="BZ25" s="20">
        <f>AU25*Cost_Library!$J$22*Location!$C$9</f>
        <v/>
      </c>
      <c r="CA25" s="20">
        <f>AW25*Cost_Library!$J$23*Location!$C$9</f>
        <v/>
      </c>
      <c r="CB25" s="20">
        <f>AX25*Cost_Library!$J$24*Location!$C$9</f>
        <v/>
      </c>
      <c r="CC25" s="20">
        <f>AY25*Cost_Library!$J$25*Location!$C$9*Parcel!$C$44</f>
        <v/>
      </c>
      <c r="CD25" s="20">
        <f>BB25*Cost_Library!$J$26*Location!$C$9</f>
        <v/>
      </c>
      <c r="CE25" s="20">
        <f>AV25*(Cost_Library!$J$27+AS25*Cost_Library!$J$28)*Location!$C$9</f>
        <v/>
      </c>
      <c r="CF25" s="20">
        <f>AQ25*Cost_Library!$J$29*Location!$C$9</f>
        <v/>
      </c>
      <c r="CG25" s="20">
        <f>SUM(BG25:CF25)</f>
        <v/>
      </c>
      <c r="CH25" s="20">
        <f>CG25*Assumptions!$C$9</f>
        <v/>
      </c>
      <c r="CI25" s="20">
        <f>(CG25+CH25)*Org_Profile!$C$17</f>
        <v/>
      </c>
      <c r="CJ25" s="20">
        <f>CG25+CH25+CI25</f>
        <v/>
      </c>
      <c r="CK25" s="20">
        <f>AK25*Use_Effective!$B$24*(1+Org_Profile!$C$17)</f>
        <v/>
      </c>
      <c r="CL25" s="20">
        <f>CK25*(Assumptions!$C$10+Assumptions!$C$11)</f>
        <v/>
      </c>
      <c r="CM25" s="20">
        <f>AK25*Use_Effective!$D$24</f>
        <v/>
      </c>
      <c r="CN25" s="20">
        <f>AK25*Location!$C$21*BF25*AM25</f>
        <v/>
      </c>
      <c r="CO25" s="14">
        <f>Use_Effective!$F$24+L25*Location!$C$32+BA25*Location!$C$29</f>
        <v/>
      </c>
      <c r="CP25" s="14">
        <f>IF(Use_Effective!$P$24&gt;0,IF(Use_Library!$C$24="For-Sale",AK25,AD25)/Use_Effective!$P$24,0)*AM25</f>
        <v/>
      </c>
      <c r="CQ25" s="14">
        <f>IF(AND(Use_Library!$C$24="For-Sale",Use_Effective!$O$24&gt;0),AK25/Use_Effective!$O$24,0)*AM25</f>
        <v/>
      </c>
      <c r="CR25" s="14">
        <f>IF(Use_Library!$C$24="Income",MAX(Use_Library!$AQ$24,IF(Use_Effective!$O$24&gt;0,AK25/Use_Effective!$O$24,0)),0)</f>
        <v/>
      </c>
      <c r="CS25" s="14">
        <f>CO25+CP25</f>
        <v/>
      </c>
      <c r="CT25" s="14">
        <f>CO25+CQ25+CR25</f>
        <v/>
      </c>
      <c r="CU25" s="14">
        <f>CO25+IF(Use_Library!$C$24="Income",CR25,0)</f>
        <v/>
      </c>
      <c r="CV25" s="23">
        <f>Use_Effective!$G$24+Assumptions!$C$25*MAX(0,(CS25-12)/12)</f>
        <v/>
      </c>
      <c r="CW25" s="23">
        <f>Use_Effective!$G$24+Assumptions!$C$25*MAX(0,(CT25-12)/12)</f>
        <v/>
      </c>
      <c r="CX25" s="23">
        <f>Use_Effective!$G$24+Assumptions!$C$25*MAX(0,(CU25-12)/12)</f>
        <v/>
      </c>
      <c r="CY25" s="28">
        <f>1+Location!$C$17+IF(Parcel!$C$26="Y",Location!$C$20,0)</f>
        <v/>
      </c>
      <c r="CZ25" s="28">
        <f>CY25+Location!$C$19*(CO25+CP25/2)/12</f>
        <v/>
      </c>
      <c r="DA25" s="28">
        <f>CY25+Location!$C$19*(CO25+CQ25/2)/12</f>
        <v/>
      </c>
      <c r="DB25" s="28">
        <f>IF(Use_Library!$C$24="Income",DA25,CY25+Location!$C$19*CO25/12)</f>
        <v/>
      </c>
      <c r="DC25" s="28">
        <f>1+Assumptions!$C$15*(Assumptions!$C$16*(CO25+CP25/2)/12*Assumptions!$C$18+Assumptions!$C$17)</f>
        <v/>
      </c>
      <c r="DD25" s="28">
        <f>1+Assumptions!$C$15*(Assumptions!$C$16*((CO25+CQ25/2)/12*Assumptions!$C$18+CR25/12*Assumptions!$C$19)+Assumptions!$C$17)</f>
        <v/>
      </c>
      <c r="DE25" s="28">
        <f>IF(Use_Library!$C$24="Income",DD25,1+Assumptions!$C$15*(Assumptions!$C$16*CO25/12*Assumptions!$C$18+Assumptions!$C$17))</f>
        <v/>
      </c>
      <c r="DF25" s="23">
        <f>Assumptions!$C$13+Location!$C$18</f>
        <v/>
      </c>
      <c r="DG25" s="23">
        <f>Assumptions!$C$12+Location!$C$18</f>
        <v/>
      </c>
      <c r="DH25" s="23">
        <f>Assumptions!$C$14+Location!$C$18</f>
        <v/>
      </c>
      <c r="DI25" s="20">
        <f>AI25*Location!$C$14*(1-DF25)*AM25</f>
        <v/>
      </c>
      <c r="DJ25" s="20">
        <f>IF(Use_Library!$AV$24=1,IF(Use_Library!$C$24="For-Sale",AK25*Use_Effective!$H$24+Parcel!$C$14*AE25*Use_Effective!$J$24,AD25*Use_Effective!$J$24)*(1-DF25)+DI25,0)*AM25</f>
        <v/>
      </c>
      <c r="DK25" s="20">
        <f>(CG25-BU25-CC25-CD25)*(1+Assumptions!$C$9)*(1+Org_Profile!$C$17)</f>
        <v/>
      </c>
      <c r="DL25" s="28">
        <f>CZ25*DC25</f>
        <v/>
      </c>
      <c r="DM25" s="20">
        <f>(Parcel!$C$27*CZ25+DK25)*DC25</f>
        <v/>
      </c>
      <c r="DN25" s="20">
        <f>DJ25-DM25</f>
        <v/>
      </c>
      <c r="DO25" s="38">
        <f>IF(AND(Use_Library!$AV$24=1,AM25=1),MAX(0,((1-CV25)*DJ25-DK25*DC25)/DL25),0)</f>
        <v/>
      </c>
      <c r="DP25" s="20">
        <f>CJ25+CK25+CL25+CM25+CN25</f>
        <v/>
      </c>
      <c r="DQ25" s="28">
        <f>DA25*DD25</f>
        <v/>
      </c>
      <c r="DR25" s="20">
        <f>(Parcel!$C$27*DA25+DP25)*DD25</f>
        <v/>
      </c>
      <c r="DS25" s="20">
        <f>IF(Use_Library!$C$24="Income",AK25*Use_Effective!$K$24,0)</f>
        <v/>
      </c>
      <c r="DT25" s="20">
        <f>DS25*(1+Use_Library!$AL$24)*(1-Use_Effective!$N$24)</f>
        <v/>
      </c>
      <c r="DU25" s="20">
        <f>IF(Use_Library!$C$24="Income",AK25*Use_Effective!$E$24,0)</f>
        <v/>
      </c>
      <c r="DV25" s="20">
        <f>IF(Use_Library!$C$24="Income",Location!$C$15*Location!$C$16*DR25,0)</f>
        <v/>
      </c>
      <c r="DW25" s="20">
        <f>DT25*Use_Library!$AO$24</f>
        <v/>
      </c>
      <c r="DX25" s="20">
        <f>(DU25+DV25)*Use_Library!$AP$24</f>
        <v/>
      </c>
      <c r="DY25" s="20">
        <f>DT25-DU25-DV25-DW25+DX25</f>
        <v/>
      </c>
      <c r="DZ25" s="26">
        <f>Use_Effective!$M$24</f>
        <v/>
      </c>
      <c r="EA25" s="20">
        <f>IF(AND(Use_Library!$C$24="Income",DZ25&gt;0),DY25/DZ25,0)</f>
        <v/>
      </c>
      <c r="EB25" s="39">
        <f>IF(Use_Library!$C$24="Income",-Location!$C$15*Location!$C$16*(1-Use_Library!$AP$24)*DQ25,0)</f>
        <v/>
      </c>
      <c r="EC25" s="23">
        <f>IF(DR25=0,0,DY25/DR25)</f>
        <v/>
      </c>
      <c r="ED25" s="20">
        <f>IF(Use_Library!$AW$24=1,IF(Use_Library!$C$24="Income",EA25*(1-DH25),AK25*Use_Effective!$I$24*(1-DG25))+DI25,0)*AM25</f>
        <v/>
      </c>
      <c r="EE25" s="39">
        <f>IF(AND(Use_Library!$AW$24=1,Use_Library!$C$24="Income",DZ25&gt;0),EB25/DZ25*(1-DH25),0)</f>
        <v/>
      </c>
      <c r="EF25" s="20">
        <f>ED25-DR25</f>
        <v/>
      </c>
      <c r="EG25" s="38">
        <f>IF(AND(Use_Library!$AW$24=1,AM25=1),MAX(0,Parcel!$C$27-((1-CW25)*ED25-DR25)/((1-CW25)*EE25-DQ25)),0)</f>
        <v/>
      </c>
      <c r="EH25" s="20">
        <f>IF(Use_Library!$AX$24=1,IF(Use_Library!$C$24="Income",EA25,IF(DZ25&gt;0,AD25*Use_Effective!$L$24/DZ25,0))+DI25,0)*AM25</f>
        <v/>
      </c>
      <c r="EI25" s="20">
        <f>IF(Use_Library!$C$24="Income",DP25,CJ25)</f>
        <v/>
      </c>
      <c r="EJ25" s="28">
        <f>IF(Use_Library!$C$24="Income",DQ25,DB25*DE25)</f>
        <v/>
      </c>
      <c r="EK25" s="20">
        <f>IF(Use_Library!$C$24="Income",DR25,(Parcel!$C$27*DB25+CJ25)*DE25)</f>
        <v/>
      </c>
      <c r="EL25" s="39">
        <f>IF(AND(Use_Library!$AX$24=1,Use_Library!$C$24="Income",DZ25&gt;0),EB25/DZ25,0)</f>
        <v/>
      </c>
      <c r="EM25" s="20">
        <f>EH25-EK25</f>
        <v/>
      </c>
      <c r="EN25" s="38">
        <f>IF(AND(Use_Library!$AX$24=1,AM25=1),MAX(0,Parcel!$C$27-((1-CX25)*EH25-EK25)/((1-CX25)*EL25-EJ25)),0)</f>
        <v/>
      </c>
      <c r="EO25" s="20">
        <f>IF(Use_Library!$C$24="Income",Assumptions!$C$15*(Parcel!$C$27*DA25+DP25),0)</f>
        <v/>
      </c>
      <c r="EP25" s="20">
        <f>IF(AND(Use_Library!$C$24="Income",DY25&gt;0),MIN(Assumptions!$C$20*EA25,PV(Assumptions!$C$23/12,Assumptions!$C$24*12,-DY25/Assumptions!$C$21/12),DY25/Assumptions!$C$22),0)</f>
        <v/>
      </c>
      <c r="EQ25" s="27">
        <f>IF(EP25=0,0,DY25/(-PMT(Assumptions!$C$23/12,Assumptions!$C$24*12,EP25)*12))</f>
        <v/>
      </c>
      <c r="ER25" s="20">
        <f>EP25-EO25</f>
        <v/>
      </c>
      <c r="ES25" s="19">
        <f>MAX(DO25,EG25,EN25)</f>
        <v/>
      </c>
      <c r="ET25" s="15">
        <f>IF(ES25&lt;=0,0,IF(DO25=ES25,1,IF(EG25=ES25,2,3)))</f>
        <v/>
      </c>
      <c r="EU25" s="9">
        <f>CHOOSE(ET25+1,"None works","Land / pad sale","Build &amp; sell","Build &amp; hold / lease")</f>
        <v/>
      </c>
      <c r="EV25" s="15">
        <f>CHOOSE(ET25+1,0,CS25,CT25,CU25)</f>
        <v/>
      </c>
      <c r="EW25" s="20">
        <f>ES25*(1-Assumptions!$C$26)</f>
        <v/>
      </c>
      <c r="EX25" s="20">
        <f>ES25-Parcel!$C$27</f>
        <v/>
      </c>
      <c r="EY25" s="20">
        <f>IF(Parcel!$C$14=0,0,ES25/Parcel!$C$14)</f>
        <v/>
      </c>
      <c r="EZ25" s="36">
        <f>IF(AK25=0,0,ES25/AK25)</f>
        <v/>
      </c>
      <c r="FA25" s="9">
        <f>IF(ES25&lt;=0,"Pass",IF(ES25&gt;=Parcel!$C$27*Assumptions!$C$27,"Strong",IF(ES25&gt;=Parcel!$C$27,"Works at asking",IF(ES25&gt;=Parcel!$C$27*Assumptions!$C$28,"Negotiate","Pass"))))</f>
        <v/>
      </c>
      <c r="FB25" s="9">
        <f>IF(AM25=0,"",IF(Use_Library!$BH$24="Y",IF(Use_Effective!$AF$24&gt;=3,"High","Medium"),"Low - verify location"))</f>
        <v/>
      </c>
      <c r="FC25" s="9">
        <f>IF(AND(Use_Library!$BH$24="N",AM25=1),Use_Library!$BI$24,"")</f>
        <v/>
      </c>
      <c r="FD25" s="9">
        <f>TRIM(Q25&amp;" "&amp;IF(AND(AM25=0,T25=1),"Nothing fits. ","")&amp;IF(AND(Use_Library!$AZ$24&lt;&gt;"Y",Parcel!$C$19&lt;Use_Library!$AY$24),"Frontage under "&amp;Use_Library!$AY$24&amp;" LF. ","")&amp;IF(Parcel!$C$17&gt;0.15,"Slope over 15%. ","")&amp;IF(AND(AM25=1,AI25&gt;0.5),TEXT(AI25,"0")&amp;" ac not used - resold as raw land. ","")&amp;IF(AND(AM25=1,AC25&lt;1),"Demand caps it at "&amp;TEXT(AK25,"#,##0")&amp;" "&amp;Use_Library!$D$24&amp;". ","")&amp;IF(AND(AM25=1,L25=1),"Rezone required (+"&amp;Location!$C$32&amp;" mo). ","")&amp;IF(AND(AM25=1,BA25=1),"State wastewater permit needed. ","")&amp;IF(AND(AM25=1,AV25=1),"Public water system needed. ","")&amp;AP25&amp;IF(Parcel!$C$16&gt;Assumptions!$C$29,"Floodplain over "&amp;TEXT(Assumptions!$C$29,"0%")&amp;". ","")&amp;IF(AND(AM25=1,EV25&gt;60),"Over 5 years to exit. ",""))</f>
        <v/>
      </c>
      <c r="FE25" s="20">
        <f>IF(AND(Org_Profile!$C$5="My uses",E25=0),-1E+9,ES25)+ROW()/1000000</f>
        <v/>
      </c>
    </row>
    <row r="26">
      <c r="A26" s="4">
        <f>Use_Library!$A$25</f>
        <v/>
      </c>
      <c r="B26" s="9">
        <f>Use_Library!$C$25</f>
        <v/>
      </c>
      <c r="C26" s="9">
        <f>Use_Library!$D$25</f>
        <v/>
      </c>
      <c r="D26" s="9">
        <f>Use_Library!$F$25</f>
        <v/>
      </c>
      <c r="E26" s="15">
        <f>IF(Org_Profile!$C$42="Y",1,0)</f>
        <v/>
      </c>
      <c r="F26" s="14">
        <f>MAX(0,Parcel!$C$37*(1-Use_Library!$N$25-IF(Use_Library!$AB$25="Y",Assumptions!$C$7,0)))</f>
        <v/>
      </c>
      <c r="G26" s="14">
        <f>IF(Use_Library!$M$25&gt;0,MIN(F26,Use_Library!$M$25),F26)</f>
        <v/>
      </c>
      <c r="H26" s="23">
        <f>IF(F26=0,0,G26/F26)</f>
        <v/>
      </c>
      <c r="I26" s="14">
        <f>Parcel!$C$37*H26</f>
        <v/>
      </c>
      <c r="J26" s="9">
        <f>IF(ISNUMBER(SEARCH(","&amp;Use_Library!$F$25&amp;",",","&amp;SUBSTITUTE(Parcel!$C$11," ","")&amp;",")),"Deed restricted",IF(Parcel!$C$46=0,"No zoning",IF(ISNUMBER(SEARCH(","&amp;Use_Library!$F$25&amp;",",","&amp;SUBSTITUTE(Parcel!$C$10," ","")&amp;",")),"By right",IF(OR(TRIM(Parcel!$C$12)="*",ISNUMBER(SEARCH(","&amp;Use_Library!$F$25&amp;",",","&amp;SUBSTITUTE(Parcel!$C$12," ","")&amp;","))),"Rezone required","Prohibited by zoning"))))</f>
        <v/>
      </c>
      <c r="K26" s="15">
        <f>IF(OR(J26="Deed restricted",J26="Prohibited by zoning"),0,1)</f>
        <v/>
      </c>
      <c r="L26" s="15">
        <f>IF(J26="Rezone required",1,0)</f>
        <v/>
      </c>
      <c r="M26" s="15">
        <f>IF(Parcel!$C$20="None",0,IF(AND(Parcel!$C$20="Private easement",Use_Library!$BA$25="Y"),0,1))</f>
        <v/>
      </c>
      <c r="N26" s="15">
        <f>IF(AND(Use_Library!$AZ$25="Y",Parcel!$C$19&lt;Use_Library!$AY$25),0,1)</f>
        <v/>
      </c>
      <c r="O26" s="15">
        <f>IF(AND(Use_Library!$T$25="Y",Parcel!$C$39=0),0,1)</f>
        <v/>
      </c>
      <c r="P26" s="15">
        <f>IF(AND(Use_Library!$U$25="Y",Parcel!$C$38=0),0,1)</f>
        <v/>
      </c>
      <c r="Q26" s="9">
        <f>TRIM(IF(AND(Use_Library!$BB$25&gt;0,Parcel!$C$28&lt;Use_Library!$BB$25),"Traffic under "&amp;TEXT(Use_Library!$BB$25,"#,##0")&amp;" VPD. ","")&amp;IF(AND(Use_Library!$BC$25&gt;0,Parcel!$C$29&lt;Use_Library!$BC$25),"Under "&amp;TEXT(Use_Library!$BC$25,"#,##0")&amp;" households in 3 mi. ","")&amp;IF(AND(Use_Library!$BD$25&gt;0,Parcel!$C$31&gt;Use_Library!$BD$25),"Over "&amp;Use_Library!$BD$25&amp;" mi to highway. ","")&amp;IF(AND(Use_Library!$BE$25="Y",Parcel!$C$32&lt;&gt;"Y"),"Needs a corner. ","")&amp;IF(AND(Use_Library!$BF$25&gt;0,Parcel!$C$33&gt;Use_Library!$BF$25),"Over "&amp;Use_Library!$BF$25&amp;" mi to substation. ","")&amp;IF(AND(Use_Library!$BG$25&gt;0,Parcel!$C$34&gt;Use_Library!$BG$25),"Over "&amp;Use_Library!$BG$25&amp;" mi to a major employer. ",""))</f>
        <v/>
      </c>
      <c r="R26" s="15">
        <f>IF(Q26="",1,0)</f>
        <v/>
      </c>
      <c r="S26" s="15">
        <f>IF(F26&gt;=Use_Library!$L$25,1,0)</f>
        <v/>
      </c>
      <c r="T26" s="15">
        <f>K26*M26*N26*O26*P26*R26*S26</f>
        <v/>
      </c>
      <c r="U26" s="14">
        <f>IF(Use_Library!$G$25&gt;0,I26*Use_Library!$G$25,1E+9)</f>
        <v/>
      </c>
      <c r="V26" s="14">
        <f>IF(Use_Library!$H$25&gt;0,G26*43560/Use_Library!$H$25,1E+9)</f>
        <v/>
      </c>
      <c r="W26" s="14">
        <f>IF(AND(Use_Library!$K$25="Y",Parcel!$C$39=0),G26*(1-Assumptions!$C$8)/IF(Parcel!$C$38=1,Location!$C$25,Location!$C$26),1E+9)</f>
        <v/>
      </c>
      <c r="X26" s="14">
        <f>IF(Use_Library!$I$25&gt;0,Parcel!$C$14*H26/Use_Library!$I$25,1E+9)</f>
        <v/>
      </c>
      <c r="Y26" s="14">
        <f>IF(Use_Library!$J$25&gt;0,Parcel!$C$19/Use_Library!$J$25,1E+9)</f>
        <v/>
      </c>
      <c r="Z26" s="14">
        <f>IF(AND(Parcel!$C$39=0,Use_Library!$K$25="N",Use_Library!$Y$25&gt;0,Use_Library!$Z$25="Y"),G26*Location!$C$27*Parcel!$C$45/Use_Library!$Y$25,1E+9)</f>
        <v/>
      </c>
      <c r="AA26" s="14">
        <f>MIN(U26,V26,W26,X26,Y26,Z26)</f>
        <v/>
      </c>
      <c r="AB26" s="14">
        <f>IF(Use_Library!$O$25&gt;0,IF(Use_Library!$P$25&gt;=10,Parcel!$C$30,Parcel!$C$29)*Use_Library!$O$25*Use_Library!$Q$25,1E+9)</f>
        <v/>
      </c>
      <c r="AC26" s="23">
        <f>IF(OR(AA26&gt;=1E+9,AA26&lt;=0),1,MIN(1,AB26/AA26))</f>
        <v/>
      </c>
      <c r="AD26" s="14">
        <f>G26*AC26</f>
        <v/>
      </c>
      <c r="AE26" s="23">
        <f>IF(F26=0,0,AD26/F26)</f>
        <v/>
      </c>
      <c r="AF26" s="14">
        <f>Parcel!$C$37*AE26</f>
        <v/>
      </c>
      <c r="AG26" s="14">
        <f>AF26*IF(Use_Library!$AB$25="Y",Assumptions!$C$7,0)</f>
        <v/>
      </c>
      <c r="AH26" s="14">
        <f>AF26*(1-Use_Library!$N$25)</f>
        <v/>
      </c>
      <c r="AI26" s="14">
        <f>Parcel!$C$14*(1-AE26)</f>
        <v/>
      </c>
      <c r="AJ26" s="14">
        <f>MIN(AA26,AB26)</f>
        <v/>
      </c>
      <c r="AK26" s="25">
        <f>IF(T26=0,0,IF(AJ26&gt;=1E+9,AD26,IF(Use_Library!$E$25="Y",INT(AJ26+1E-9),AJ26)))</f>
        <v/>
      </c>
      <c r="AL26" s="9">
        <f>IF(M26=0,"No public road access",IF(K26=0,J26,IF(R26=0,"Location fails",IF(N26=0,"Frontage under "&amp;Use_Library!$AY$25&amp;" LF",IF(S26=0,"Too small - needs "&amp;Use_Library!$L$25&amp;" usable ac",IF(O26=0,"Needs public sewer",IF(P26=0,"Needs public water",IF(AJ26&gt;=1E+9,"Usable acres",IF(AB26&lt;=AA26,"Market demand",IF(W26=AA26,"Septic lot size",IF(Z26=AA26,"Septic capacity (gal/day)",IF(X26=AA26,"Min lot size",IF(Y26=AA26,"Road frontage",IF(V26=AA26,"Site area / parking","Density"))))))))))))))</f>
        <v/>
      </c>
      <c r="AM26" s="15">
        <f>IF(AK26&gt;0,1,0)</f>
        <v/>
      </c>
      <c r="AN26" s="15">
        <f>IF(Use_Library!$Z$25="Y",1,0)*AM26</f>
        <v/>
      </c>
      <c r="AO26" s="14">
        <f>IF(Parcel!$C$39=0,MIN(U26,V26,X26,Y26,AB26),0)</f>
        <v/>
      </c>
      <c r="AP26" s="9">
        <f>IF(AND(Parcel!$C$39=0,M26*K26*R26*N26*S26*P26=1,AO26&lt;1E+9,AO26&gt;=MAX(1,AK26)*1.25),"Unlock: sewer or package plant allows ~"&amp;TEXT(INT(AO26),"#,##0")&amp;" "&amp;Use_Library!$D$25&amp;". ","")</f>
        <v/>
      </c>
      <c r="AQ26" s="15">
        <f>AK26*Use_Library!$AC$25*AN26</f>
        <v/>
      </c>
      <c r="AR26" s="15">
        <f>AK26*Use_Library!$AD$25*AN26</f>
        <v/>
      </c>
      <c r="AS26" s="14">
        <f>AK26*Use_Library!$V$25*AN26</f>
        <v/>
      </c>
      <c r="AT26" s="15">
        <f>IF(Parcel!$C$38=1,AQ26+Parcel!$C$40,0)*AN26</f>
        <v/>
      </c>
      <c r="AU26" s="14">
        <f>AS26*Parcel!$C$38</f>
        <v/>
      </c>
      <c r="AV26" s="15">
        <f>IF(AND(Parcel!$C$38=0,Use_Library!$K$25="N",AS26&gt;=Location!$C$30),1,0)*AN26</f>
        <v/>
      </c>
      <c r="AW26" s="15">
        <f>IF(Parcel!$C$39=1,AQ26+Parcel!$C$41,0)*AN26</f>
        <v/>
      </c>
      <c r="AX26" s="14">
        <f>AS26*Parcel!$C$39</f>
        <v/>
      </c>
      <c r="AY26" s="14">
        <f>IF(Parcel!$C$39=0,AK26*Use_Library!$W$25,0)*AN26</f>
        <v/>
      </c>
      <c r="AZ26" s="15">
        <f>IF(Parcel!$C$39=0,AK26*Use_Library!$Y$25,0)*AN26</f>
        <v/>
      </c>
      <c r="BA26" s="15">
        <f>IF(AND(Use_Library!$K$25="N",AZ26&gt;Location!$C$28),1,0)</f>
        <v/>
      </c>
      <c r="BB26" s="14">
        <f>IF(AND(Parcel!$C$38=0,AV26=0),AK26*Use_Library!$X$25,0)*AN26</f>
        <v/>
      </c>
      <c r="BC26" s="14">
        <f>AH26*Parcel!$C$18*Use_Library!$AA$25*AN26</f>
        <v/>
      </c>
      <c r="BD26" s="14">
        <f>AH26*Use_Library!$AA$25*AN26</f>
        <v/>
      </c>
      <c r="BE26" s="15">
        <f>IF(Use_Library!$C$25="For-Sale",IF(Use_Library!$E$25="Y",AK26,1),1)*AM26</f>
        <v/>
      </c>
      <c r="BF26" s="15">
        <f>IF(OR(Use_Library!$F$25="RES-SF",Use_Library!$F$25="RES-ATT",Use_Library!$F$25="RES-MF",Use_Library!$F$25="MH"),1,0)</f>
        <v/>
      </c>
      <c r="BG26" s="20">
        <f>Cost_Library!$J$5*Location!$C$9*AM26</f>
        <v/>
      </c>
      <c r="BH26" s="20">
        <f>BE26*Cost_Library!$J$6*Location!$C$9</f>
        <v/>
      </c>
      <c r="BI26" s="20">
        <f>BD26*Cost_Library!$J$7*Location!$C$9</f>
        <v/>
      </c>
      <c r="BJ26" s="20">
        <f>Cost_Library!$J$8*Location!$C$9*AN26*IF(Use_Library!$AA$25&gt;=0.5,1,0)</f>
        <v/>
      </c>
      <c r="BK26" s="20">
        <f>AY26*Cost_Library!$J$9*Location!$C$9</f>
        <v/>
      </c>
      <c r="BL26" s="20">
        <f>BA26*Cost_Library!$J$10*Location!$C$9</f>
        <v/>
      </c>
      <c r="BM26" s="20">
        <f>Cost_Library!$J$11*Location!$C$9*AM26</f>
        <v/>
      </c>
      <c r="BN26" s="20">
        <f>Cost_Library!$J$12*Location!$C$9*AN26*IF(Use_Library!$AB$25="Y",1,0)</f>
        <v/>
      </c>
      <c r="BO26" s="20">
        <f>Use_Effective!$C$25*AM26</f>
        <v/>
      </c>
      <c r="BP26" s="20">
        <f>L26*Location!$C$31*AM26</f>
        <v/>
      </c>
      <c r="BQ26" s="20">
        <f>Cost_Library!$J$13*Location!$C$9*AM26</f>
        <v/>
      </c>
      <c r="BR26" s="20">
        <f>BC26*Cost_Library!$J$14*Location!$C$9</f>
        <v/>
      </c>
      <c r="BS26" s="20">
        <f>BD26*Cost_Library!$J$15*Location!$C$9*Parcel!$C$43</f>
        <v/>
      </c>
      <c r="BT26" s="20">
        <f>AQ26*Cost_Library!$J$16*Location!$C$9</f>
        <v/>
      </c>
      <c r="BU26" s="20">
        <f>AR26*Cost_Library!$J$17*Location!$C$9</f>
        <v/>
      </c>
      <c r="BV26" s="20">
        <f>AG26*Cost_Library!$J$18*Location!$C$9*AN26</f>
        <v/>
      </c>
      <c r="BW26" s="20">
        <f>BD26*Cost_Library!$J$19*Location!$C$9</f>
        <v/>
      </c>
      <c r="BX26" s="20">
        <f>IF(Use_Library!$AZ$25="Y",1,0)*Cost_Library!$J$20*Location!$C$9*AN26</f>
        <v/>
      </c>
      <c r="BY26" s="20">
        <f>AT26*Cost_Library!$J$21*Location!$C$9</f>
        <v/>
      </c>
      <c r="BZ26" s="20">
        <f>AU26*Cost_Library!$J$22*Location!$C$9</f>
        <v/>
      </c>
      <c r="CA26" s="20">
        <f>AW26*Cost_Library!$J$23*Location!$C$9</f>
        <v/>
      </c>
      <c r="CB26" s="20">
        <f>AX26*Cost_Library!$J$24*Location!$C$9</f>
        <v/>
      </c>
      <c r="CC26" s="20">
        <f>AY26*Cost_Library!$J$25*Location!$C$9*Parcel!$C$44</f>
        <v/>
      </c>
      <c r="CD26" s="20">
        <f>BB26*Cost_Library!$J$26*Location!$C$9</f>
        <v/>
      </c>
      <c r="CE26" s="20">
        <f>AV26*(Cost_Library!$J$27+AS26*Cost_Library!$J$28)*Location!$C$9</f>
        <v/>
      </c>
      <c r="CF26" s="20">
        <f>AQ26*Cost_Library!$J$29*Location!$C$9</f>
        <v/>
      </c>
      <c r="CG26" s="20">
        <f>SUM(BG26:CF26)</f>
        <v/>
      </c>
      <c r="CH26" s="20">
        <f>CG26*Assumptions!$C$9</f>
        <v/>
      </c>
      <c r="CI26" s="20">
        <f>(CG26+CH26)*Org_Profile!$C$17</f>
        <v/>
      </c>
      <c r="CJ26" s="20">
        <f>CG26+CH26+CI26</f>
        <v/>
      </c>
      <c r="CK26" s="20">
        <f>AK26*Use_Effective!$B$25*(1+Org_Profile!$C$17)</f>
        <v/>
      </c>
      <c r="CL26" s="20">
        <f>CK26*(Assumptions!$C$10+Assumptions!$C$11)</f>
        <v/>
      </c>
      <c r="CM26" s="20">
        <f>AK26*Use_Effective!$D$25</f>
        <v/>
      </c>
      <c r="CN26" s="20">
        <f>AK26*Location!$C$21*BF26*AM26</f>
        <v/>
      </c>
      <c r="CO26" s="14">
        <f>Use_Effective!$F$25+L26*Location!$C$32+BA26*Location!$C$29</f>
        <v/>
      </c>
      <c r="CP26" s="14">
        <f>IF(Use_Effective!$P$25&gt;0,IF(Use_Library!$C$25="For-Sale",AK26,AD26)/Use_Effective!$P$25,0)*AM26</f>
        <v/>
      </c>
      <c r="CQ26" s="14">
        <f>IF(AND(Use_Library!$C$25="For-Sale",Use_Effective!$O$25&gt;0),AK26/Use_Effective!$O$25,0)*AM26</f>
        <v/>
      </c>
      <c r="CR26" s="14">
        <f>IF(Use_Library!$C$25="Income",MAX(Use_Library!$AQ$25,IF(Use_Effective!$O$25&gt;0,AK26/Use_Effective!$O$25,0)),0)</f>
        <v/>
      </c>
      <c r="CS26" s="14">
        <f>CO26+CP26</f>
        <v/>
      </c>
      <c r="CT26" s="14">
        <f>CO26+CQ26+CR26</f>
        <v/>
      </c>
      <c r="CU26" s="14">
        <f>CO26+IF(Use_Library!$C$25="Income",CR26,0)</f>
        <v/>
      </c>
      <c r="CV26" s="23">
        <f>Use_Effective!$G$25+Assumptions!$C$25*MAX(0,(CS26-12)/12)</f>
        <v/>
      </c>
      <c r="CW26" s="23">
        <f>Use_Effective!$G$25+Assumptions!$C$25*MAX(0,(CT26-12)/12)</f>
        <v/>
      </c>
      <c r="CX26" s="23">
        <f>Use_Effective!$G$25+Assumptions!$C$25*MAX(0,(CU26-12)/12)</f>
        <v/>
      </c>
      <c r="CY26" s="28">
        <f>1+Location!$C$17+IF(Parcel!$C$26="Y",Location!$C$20,0)</f>
        <v/>
      </c>
      <c r="CZ26" s="28">
        <f>CY26+Location!$C$19*(CO26+CP26/2)/12</f>
        <v/>
      </c>
      <c r="DA26" s="28">
        <f>CY26+Location!$C$19*(CO26+CQ26/2)/12</f>
        <v/>
      </c>
      <c r="DB26" s="28">
        <f>IF(Use_Library!$C$25="Income",DA26,CY26+Location!$C$19*CO26/12)</f>
        <v/>
      </c>
      <c r="DC26" s="28">
        <f>1+Assumptions!$C$15*(Assumptions!$C$16*(CO26+CP26/2)/12*Assumptions!$C$18+Assumptions!$C$17)</f>
        <v/>
      </c>
      <c r="DD26" s="28">
        <f>1+Assumptions!$C$15*(Assumptions!$C$16*((CO26+CQ26/2)/12*Assumptions!$C$18+CR26/12*Assumptions!$C$19)+Assumptions!$C$17)</f>
        <v/>
      </c>
      <c r="DE26" s="28">
        <f>IF(Use_Library!$C$25="Income",DD26,1+Assumptions!$C$15*(Assumptions!$C$16*CO26/12*Assumptions!$C$18+Assumptions!$C$17))</f>
        <v/>
      </c>
      <c r="DF26" s="23">
        <f>Assumptions!$C$13+Location!$C$18</f>
        <v/>
      </c>
      <c r="DG26" s="23">
        <f>Assumptions!$C$12+Location!$C$18</f>
        <v/>
      </c>
      <c r="DH26" s="23">
        <f>Assumptions!$C$14+Location!$C$18</f>
        <v/>
      </c>
      <c r="DI26" s="20">
        <f>AI26*Location!$C$14*(1-DF26)*AM26</f>
        <v/>
      </c>
      <c r="DJ26" s="20">
        <f>IF(Use_Library!$AV$25=1,IF(Use_Library!$C$25="For-Sale",AK26*Use_Effective!$H$25+Parcel!$C$14*AE26*Use_Effective!$J$25,AD26*Use_Effective!$J$25)*(1-DF26)+DI26,0)*AM26</f>
        <v/>
      </c>
      <c r="DK26" s="20">
        <f>(CG26-BU26-CC26-CD26)*(1+Assumptions!$C$9)*(1+Org_Profile!$C$17)</f>
        <v/>
      </c>
      <c r="DL26" s="28">
        <f>CZ26*DC26</f>
        <v/>
      </c>
      <c r="DM26" s="20">
        <f>(Parcel!$C$27*CZ26+DK26)*DC26</f>
        <v/>
      </c>
      <c r="DN26" s="20">
        <f>DJ26-DM26</f>
        <v/>
      </c>
      <c r="DO26" s="38">
        <f>IF(AND(Use_Library!$AV$25=1,AM26=1),MAX(0,((1-CV26)*DJ26-DK26*DC26)/DL26),0)</f>
        <v/>
      </c>
      <c r="DP26" s="20">
        <f>CJ26+CK26+CL26+CM26+CN26</f>
        <v/>
      </c>
      <c r="DQ26" s="28">
        <f>DA26*DD26</f>
        <v/>
      </c>
      <c r="DR26" s="20">
        <f>(Parcel!$C$27*DA26+DP26)*DD26</f>
        <v/>
      </c>
      <c r="DS26" s="20">
        <f>IF(Use_Library!$C$25="Income",AK26*Use_Effective!$K$25,0)</f>
        <v/>
      </c>
      <c r="DT26" s="20">
        <f>DS26*(1+Use_Library!$AL$25)*(1-Use_Effective!$N$25)</f>
        <v/>
      </c>
      <c r="DU26" s="20">
        <f>IF(Use_Library!$C$25="Income",AK26*Use_Effective!$E$25,0)</f>
        <v/>
      </c>
      <c r="DV26" s="20">
        <f>IF(Use_Library!$C$25="Income",Location!$C$15*Location!$C$16*DR26,0)</f>
        <v/>
      </c>
      <c r="DW26" s="20">
        <f>DT26*Use_Library!$AO$25</f>
        <v/>
      </c>
      <c r="DX26" s="20">
        <f>(DU26+DV26)*Use_Library!$AP$25</f>
        <v/>
      </c>
      <c r="DY26" s="20">
        <f>DT26-DU26-DV26-DW26+DX26</f>
        <v/>
      </c>
      <c r="DZ26" s="26">
        <f>Use_Effective!$M$25</f>
        <v/>
      </c>
      <c r="EA26" s="20">
        <f>IF(AND(Use_Library!$C$25="Income",DZ26&gt;0),DY26/DZ26,0)</f>
        <v/>
      </c>
      <c r="EB26" s="39">
        <f>IF(Use_Library!$C$25="Income",-Location!$C$15*Location!$C$16*(1-Use_Library!$AP$25)*DQ26,0)</f>
        <v/>
      </c>
      <c r="EC26" s="23">
        <f>IF(DR26=0,0,DY26/DR26)</f>
        <v/>
      </c>
      <c r="ED26" s="20">
        <f>IF(Use_Library!$AW$25=1,IF(Use_Library!$C$25="Income",EA26*(1-DH26),AK26*Use_Effective!$I$25*(1-DG26))+DI26,0)*AM26</f>
        <v/>
      </c>
      <c r="EE26" s="39">
        <f>IF(AND(Use_Library!$AW$25=1,Use_Library!$C$25="Income",DZ26&gt;0),EB26/DZ26*(1-DH26),0)</f>
        <v/>
      </c>
      <c r="EF26" s="20">
        <f>ED26-DR26</f>
        <v/>
      </c>
      <c r="EG26" s="38">
        <f>IF(AND(Use_Library!$AW$25=1,AM26=1),MAX(0,Parcel!$C$27-((1-CW26)*ED26-DR26)/((1-CW26)*EE26-DQ26)),0)</f>
        <v/>
      </c>
      <c r="EH26" s="20">
        <f>IF(Use_Library!$AX$25=1,IF(Use_Library!$C$25="Income",EA26,IF(DZ26&gt;0,AD26*Use_Effective!$L$25/DZ26,0))+DI26,0)*AM26</f>
        <v/>
      </c>
      <c r="EI26" s="20">
        <f>IF(Use_Library!$C$25="Income",DP26,CJ26)</f>
        <v/>
      </c>
      <c r="EJ26" s="28">
        <f>IF(Use_Library!$C$25="Income",DQ26,DB26*DE26)</f>
        <v/>
      </c>
      <c r="EK26" s="20">
        <f>IF(Use_Library!$C$25="Income",DR26,(Parcel!$C$27*DB26+CJ26)*DE26)</f>
        <v/>
      </c>
      <c r="EL26" s="39">
        <f>IF(AND(Use_Library!$AX$25=1,Use_Library!$C$25="Income",DZ26&gt;0),EB26/DZ26,0)</f>
        <v/>
      </c>
      <c r="EM26" s="20">
        <f>EH26-EK26</f>
        <v/>
      </c>
      <c r="EN26" s="38">
        <f>IF(AND(Use_Library!$AX$25=1,AM26=1),MAX(0,Parcel!$C$27-((1-CX26)*EH26-EK26)/((1-CX26)*EL26-EJ26)),0)</f>
        <v/>
      </c>
      <c r="EO26" s="20">
        <f>IF(Use_Library!$C$25="Income",Assumptions!$C$15*(Parcel!$C$27*DA26+DP26),0)</f>
        <v/>
      </c>
      <c r="EP26" s="20">
        <f>IF(AND(Use_Library!$C$25="Income",DY26&gt;0),MIN(Assumptions!$C$20*EA26,PV(Assumptions!$C$23/12,Assumptions!$C$24*12,-DY26/Assumptions!$C$21/12),DY26/Assumptions!$C$22),0)</f>
        <v/>
      </c>
      <c r="EQ26" s="27">
        <f>IF(EP26=0,0,DY26/(-PMT(Assumptions!$C$23/12,Assumptions!$C$24*12,EP26)*12))</f>
        <v/>
      </c>
      <c r="ER26" s="20">
        <f>EP26-EO26</f>
        <v/>
      </c>
      <c r="ES26" s="19">
        <f>MAX(DO26,EG26,EN26)</f>
        <v/>
      </c>
      <c r="ET26" s="15">
        <f>IF(ES26&lt;=0,0,IF(DO26=ES26,1,IF(EG26=ES26,2,3)))</f>
        <v/>
      </c>
      <c r="EU26" s="9">
        <f>CHOOSE(ET26+1,"None works","Land / pad sale","Build &amp; sell","Build &amp; hold / lease")</f>
        <v/>
      </c>
      <c r="EV26" s="15">
        <f>CHOOSE(ET26+1,0,CS26,CT26,CU26)</f>
        <v/>
      </c>
      <c r="EW26" s="20">
        <f>ES26*(1-Assumptions!$C$26)</f>
        <v/>
      </c>
      <c r="EX26" s="20">
        <f>ES26-Parcel!$C$27</f>
        <v/>
      </c>
      <c r="EY26" s="20">
        <f>IF(Parcel!$C$14=0,0,ES26/Parcel!$C$14)</f>
        <v/>
      </c>
      <c r="EZ26" s="36">
        <f>IF(AK26=0,0,ES26/AK26)</f>
        <v/>
      </c>
      <c r="FA26" s="9">
        <f>IF(ES26&lt;=0,"Pass",IF(ES26&gt;=Parcel!$C$27*Assumptions!$C$27,"Strong",IF(ES26&gt;=Parcel!$C$27,"Works at asking",IF(ES26&gt;=Parcel!$C$27*Assumptions!$C$28,"Negotiate","Pass"))))</f>
        <v/>
      </c>
      <c r="FB26" s="9">
        <f>IF(AM26=0,"",IF(Use_Library!$BH$25="Y",IF(Use_Effective!$AF$25&gt;=3,"High","Medium"),"Low - verify location"))</f>
        <v/>
      </c>
      <c r="FC26" s="9">
        <f>IF(AND(Use_Library!$BH$25="N",AM26=1),Use_Library!$BI$25,"")</f>
        <v/>
      </c>
      <c r="FD26" s="9">
        <f>TRIM(Q26&amp;" "&amp;IF(AND(AM26=0,T26=1),"Nothing fits. ","")&amp;IF(AND(Use_Library!$AZ$25&lt;&gt;"Y",Parcel!$C$19&lt;Use_Library!$AY$25),"Frontage under "&amp;Use_Library!$AY$25&amp;" LF. ","")&amp;IF(Parcel!$C$17&gt;0.15,"Slope over 15%. ","")&amp;IF(AND(AM26=1,AI26&gt;0.5),TEXT(AI26,"0")&amp;" ac not used - resold as raw land. ","")&amp;IF(AND(AM26=1,AC26&lt;1),"Demand caps it at "&amp;TEXT(AK26,"#,##0")&amp;" "&amp;Use_Library!$D$25&amp;". ","")&amp;IF(AND(AM26=1,L26=1),"Rezone required (+"&amp;Location!$C$32&amp;" mo). ","")&amp;IF(AND(AM26=1,BA26=1),"State wastewater permit needed. ","")&amp;IF(AND(AM26=1,AV26=1),"Public water system needed. ","")&amp;AP26&amp;IF(Parcel!$C$16&gt;Assumptions!$C$29,"Floodplain over "&amp;TEXT(Assumptions!$C$29,"0%")&amp;". ","")&amp;IF(AND(AM26=1,EV26&gt;60),"Over 5 years to exit. ",""))</f>
        <v/>
      </c>
      <c r="FE26" s="20">
        <f>IF(AND(Org_Profile!$C$5="My uses",E26=0),-1E+9,ES26)+ROW()/1000000</f>
        <v/>
      </c>
    </row>
    <row r="27">
      <c r="A27" s="4">
        <f>Use_Library!$A$26</f>
        <v/>
      </c>
      <c r="B27" s="9">
        <f>Use_Library!$C$26</f>
        <v/>
      </c>
      <c r="C27" s="9">
        <f>Use_Library!$D$26</f>
        <v/>
      </c>
      <c r="D27" s="9">
        <f>Use_Library!$F$26</f>
        <v/>
      </c>
      <c r="E27" s="15">
        <f>IF(Org_Profile!$C$43="Y",1,0)</f>
        <v/>
      </c>
      <c r="F27" s="14">
        <f>MAX(0,Parcel!$C$37*(1-Use_Library!$N$26-IF(Use_Library!$AB$26="Y",Assumptions!$C$7,0)))</f>
        <v/>
      </c>
      <c r="G27" s="14">
        <f>IF(Use_Library!$M$26&gt;0,MIN(F27,Use_Library!$M$26),F27)</f>
        <v/>
      </c>
      <c r="H27" s="23">
        <f>IF(F27=0,0,G27/F27)</f>
        <v/>
      </c>
      <c r="I27" s="14">
        <f>Parcel!$C$37*H27</f>
        <v/>
      </c>
      <c r="J27" s="9">
        <f>IF(ISNUMBER(SEARCH(","&amp;Use_Library!$F$26&amp;",",","&amp;SUBSTITUTE(Parcel!$C$11," ","")&amp;",")),"Deed restricted",IF(Parcel!$C$46=0,"No zoning",IF(ISNUMBER(SEARCH(","&amp;Use_Library!$F$26&amp;",",","&amp;SUBSTITUTE(Parcel!$C$10," ","")&amp;",")),"By right",IF(OR(TRIM(Parcel!$C$12)="*",ISNUMBER(SEARCH(","&amp;Use_Library!$F$26&amp;",",","&amp;SUBSTITUTE(Parcel!$C$12," ","")&amp;","))),"Rezone required","Prohibited by zoning"))))</f>
        <v/>
      </c>
      <c r="K27" s="15">
        <f>IF(OR(J27="Deed restricted",J27="Prohibited by zoning"),0,1)</f>
        <v/>
      </c>
      <c r="L27" s="15">
        <f>IF(J27="Rezone required",1,0)</f>
        <v/>
      </c>
      <c r="M27" s="15">
        <f>IF(Parcel!$C$20="None",0,IF(AND(Parcel!$C$20="Private easement",Use_Library!$BA$26="Y"),0,1))</f>
        <v/>
      </c>
      <c r="N27" s="15">
        <f>IF(AND(Use_Library!$AZ$26="Y",Parcel!$C$19&lt;Use_Library!$AY$26),0,1)</f>
        <v/>
      </c>
      <c r="O27" s="15">
        <f>IF(AND(Use_Library!$T$26="Y",Parcel!$C$39=0),0,1)</f>
        <v/>
      </c>
      <c r="P27" s="15">
        <f>IF(AND(Use_Library!$U$26="Y",Parcel!$C$38=0),0,1)</f>
        <v/>
      </c>
      <c r="Q27" s="9">
        <f>TRIM(IF(AND(Use_Library!$BB$26&gt;0,Parcel!$C$28&lt;Use_Library!$BB$26),"Traffic under "&amp;TEXT(Use_Library!$BB$26,"#,##0")&amp;" VPD. ","")&amp;IF(AND(Use_Library!$BC$26&gt;0,Parcel!$C$29&lt;Use_Library!$BC$26),"Under "&amp;TEXT(Use_Library!$BC$26,"#,##0")&amp;" households in 3 mi. ","")&amp;IF(AND(Use_Library!$BD$26&gt;0,Parcel!$C$31&gt;Use_Library!$BD$26),"Over "&amp;Use_Library!$BD$26&amp;" mi to highway. ","")&amp;IF(AND(Use_Library!$BE$26="Y",Parcel!$C$32&lt;&gt;"Y"),"Needs a corner. ","")&amp;IF(AND(Use_Library!$BF$26&gt;0,Parcel!$C$33&gt;Use_Library!$BF$26),"Over "&amp;Use_Library!$BF$26&amp;" mi to substation. ","")&amp;IF(AND(Use_Library!$BG$26&gt;0,Parcel!$C$34&gt;Use_Library!$BG$26),"Over "&amp;Use_Library!$BG$26&amp;" mi to a major employer. ",""))</f>
        <v/>
      </c>
      <c r="R27" s="15">
        <f>IF(Q27="",1,0)</f>
        <v/>
      </c>
      <c r="S27" s="15">
        <f>IF(F27&gt;=Use_Library!$L$26,1,0)</f>
        <v/>
      </c>
      <c r="T27" s="15">
        <f>K27*M27*N27*O27*P27*R27*S27</f>
        <v/>
      </c>
      <c r="U27" s="14">
        <f>IF(Use_Library!$G$26&gt;0,I27*Use_Library!$G$26,1E+9)</f>
        <v/>
      </c>
      <c r="V27" s="14">
        <f>IF(Use_Library!$H$26&gt;0,G27*43560/Use_Library!$H$26,1E+9)</f>
        <v/>
      </c>
      <c r="W27" s="14">
        <f>IF(AND(Use_Library!$K$26="Y",Parcel!$C$39=0),G27*(1-Assumptions!$C$8)/IF(Parcel!$C$38=1,Location!$C$25,Location!$C$26),1E+9)</f>
        <v/>
      </c>
      <c r="X27" s="14">
        <f>IF(Use_Library!$I$26&gt;0,Parcel!$C$14*H27/Use_Library!$I$26,1E+9)</f>
        <v/>
      </c>
      <c r="Y27" s="14">
        <f>IF(Use_Library!$J$26&gt;0,Parcel!$C$19/Use_Library!$J$26,1E+9)</f>
        <v/>
      </c>
      <c r="Z27" s="14">
        <f>IF(AND(Parcel!$C$39=0,Use_Library!$K$26="N",Use_Library!$Y$26&gt;0,Use_Library!$Z$26="Y"),G27*Location!$C$27*Parcel!$C$45/Use_Library!$Y$26,1E+9)</f>
        <v/>
      </c>
      <c r="AA27" s="14">
        <f>MIN(U27,V27,W27,X27,Y27,Z27)</f>
        <v/>
      </c>
      <c r="AB27" s="14">
        <f>IF(Use_Library!$O$26&gt;0,IF(Use_Library!$P$26&gt;=10,Parcel!$C$30,Parcel!$C$29)*Use_Library!$O$26*Use_Library!$Q$26,1E+9)</f>
        <v/>
      </c>
      <c r="AC27" s="23">
        <f>IF(OR(AA27&gt;=1E+9,AA27&lt;=0),1,MIN(1,AB27/AA27))</f>
        <v/>
      </c>
      <c r="AD27" s="14">
        <f>G27*AC27</f>
        <v/>
      </c>
      <c r="AE27" s="23">
        <f>IF(F27=0,0,AD27/F27)</f>
        <v/>
      </c>
      <c r="AF27" s="14">
        <f>Parcel!$C$37*AE27</f>
        <v/>
      </c>
      <c r="AG27" s="14">
        <f>AF27*IF(Use_Library!$AB$26="Y",Assumptions!$C$7,0)</f>
        <v/>
      </c>
      <c r="AH27" s="14">
        <f>AF27*(1-Use_Library!$N$26)</f>
        <v/>
      </c>
      <c r="AI27" s="14">
        <f>Parcel!$C$14*(1-AE27)</f>
        <v/>
      </c>
      <c r="AJ27" s="14">
        <f>MIN(AA27,AB27)</f>
        <v/>
      </c>
      <c r="AK27" s="25">
        <f>IF(T27=0,0,IF(AJ27&gt;=1E+9,AD27,IF(Use_Library!$E$26="Y",INT(AJ27+1E-9),AJ27)))</f>
        <v/>
      </c>
      <c r="AL27" s="9">
        <f>IF(M27=0,"No public road access",IF(K27=0,J27,IF(R27=0,"Location fails",IF(N27=0,"Frontage under "&amp;Use_Library!$AY$26&amp;" LF",IF(S27=0,"Too small - needs "&amp;Use_Library!$L$26&amp;" usable ac",IF(O27=0,"Needs public sewer",IF(P27=0,"Needs public water",IF(AJ27&gt;=1E+9,"Usable acres",IF(AB27&lt;=AA27,"Market demand",IF(W27=AA27,"Septic lot size",IF(Z27=AA27,"Septic capacity (gal/day)",IF(X27=AA27,"Min lot size",IF(Y27=AA27,"Road frontage",IF(V27=AA27,"Site area / parking","Density"))))))))))))))</f>
        <v/>
      </c>
      <c r="AM27" s="15">
        <f>IF(AK27&gt;0,1,0)</f>
        <v/>
      </c>
      <c r="AN27" s="15">
        <f>IF(Use_Library!$Z$26="Y",1,0)*AM27</f>
        <v/>
      </c>
      <c r="AO27" s="14">
        <f>IF(Parcel!$C$39=0,MIN(U27,V27,X27,Y27,AB27),0)</f>
        <v/>
      </c>
      <c r="AP27" s="9">
        <f>IF(AND(Parcel!$C$39=0,M27*K27*R27*N27*S27*P27=1,AO27&lt;1E+9,AO27&gt;=MAX(1,AK27)*1.25),"Unlock: sewer or package plant allows ~"&amp;TEXT(INT(AO27),"#,##0")&amp;" "&amp;Use_Library!$D$26&amp;". ","")</f>
        <v/>
      </c>
      <c r="AQ27" s="15">
        <f>AK27*Use_Library!$AC$26*AN27</f>
        <v/>
      </c>
      <c r="AR27" s="15">
        <f>AK27*Use_Library!$AD$26*AN27</f>
        <v/>
      </c>
      <c r="AS27" s="14">
        <f>AK27*Use_Library!$V$26*AN27</f>
        <v/>
      </c>
      <c r="AT27" s="15">
        <f>IF(Parcel!$C$38=1,AQ27+Parcel!$C$40,0)*AN27</f>
        <v/>
      </c>
      <c r="AU27" s="14">
        <f>AS27*Parcel!$C$38</f>
        <v/>
      </c>
      <c r="AV27" s="15">
        <f>IF(AND(Parcel!$C$38=0,Use_Library!$K$26="N",AS27&gt;=Location!$C$30),1,0)*AN27</f>
        <v/>
      </c>
      <c r="AW27" s="15">
        <f>IF(Parcel!$C$39=1,AQ27+Parcel!$C$41,0)*AN27</f>
        <v/>
      </c>
      <c r="AX27" s="14">
        <f>AS27*Parcel!$C$39</f>
        <v/>
      </c>
      <c r="AY27" s="14">
        <f>IF(Parcel!$C$39=0,AK27*Use_Library!$W$26,0)*AN27</f>
        <v/>
      </c>
      <c r="AZ27" s="15">
        <f>IF(Parcel!$C$39=0,AK27*Use_Library!$Y$26,0)*AN27</f>
        <v/>
      </c>
      <c r="BA27" s="15">
        <f>IF(AND(Use_Library!$K$26="N",AZ27&gt;Location!$C$28),1,0)</f>
        <v/>
      </c>
      <c r="BB27" s="14">
        <f>IF(AND(Parcel!$C$38=0,AV27=0),AK27*Use_Library!$X$26,0)*AN27</f>
        <v/>
      </c>
      <c r="BC27" s="14">
        <f>AH27*Parcel!$C$18*Use_Library!$AA$26*AN27</f>
        <v/>
      </c>
      <c r="BD27" s="14">
        <f>AH27*Use_Library!$AA$26*AN27</f>
        <v/>
      </c>
      <c r="BE27" s="15">
        <f>IF(Use_Library!$C$26="For-Sale",IF(Use_Library!$E$26="Y",AK27,1),1)*AM27</f>
        <v/>
      </c>
      <c r="BF27" s="15">
        <f>IF(OR(Use_Library!$F$26="RES-SF",Use_Library!$F$26="RES-ATT",Use_Library!$F$26="RES-MF",Use_Library!$F$26="MH"),1,0)</f>
        <v/>
      </c>
      <c r="BG27" s="20">
        <f>Cost_Library!$J$5*Location!$C$9*AM27</f>
        <v/>
      </c>
      <c r="BH27" s="20">
        <f>BE27*Cost_Library!$J$6*Location!$C$9</f>
        <v/>
      </c>
      <c r="BI27" s="20">
        <f>BD27*Cost_Library!$J$7*Location!$C$9</f>
        <v/>
      </c>
      <c r="BJ27" s="20">
        <f>Cost_Library!$J$8*Location!$C$9*AN27*IF(Use_Library!$AA$26&gt;=0.5,1,0)</f>
        <v/>
      </c>
      <c r="BK27" s="20">
        <f>AY27*Cost_Library!$J$9*Location!$C$9</f>
        <v/>
      </c>
      <c r="BL27" s="20">
        <f>BA27*Cost_Library!$J$10*Location!$C$9</f>
        <v/>
      </c>
      <c r="BM27" s="20">
        <f>Cost_Library!$J$11*Location!$C$9*AM27</f>
        <v/>
      </c>
      <c r="BN27" s="20">
        <f>Cost_Library!$J$12*Location!$C$9*AN27*IF(Use_Library!$AB$26="Y",1,0)</f>
        <v/>
      </c>
      <c r="BO27" s="20">
        <f>Use_Effective!$C$26*AM27</f>
        <v/>
      </c>
      <c r="BP27" s="20">
        <f>L27*Location!$C$31*AM27</f>
        <v/>
      </c>
      <c r="BQ27" s="20">
        <f>Cost_Library!$J$13*Location!$C$9*AM27</f>
        <v/>
      </c>
      <c r="BR27" s="20">
        <f>BC27*Cost_Library!$J$14*Location!$C$9</f>
        <v/>
      </c>
      <c r="BS27" s="20">
        <f>BD27*Cost_Library!$J$15*Location!$C$9*Parcel!$C$43</f>
        <v/>
      </c>
      <c r="BT27" s="20">
        <f>AQ27*Cost_Library!$J$16*Location!$C$9</f>
        <v/>
      </c>
      <c r="BU27" s="20">
        <f>AR27*Cost_Library!$J$17*Location!$C$9</f>
        <v/>
      </c>
      <c r="BV27" s="20">
        <f>AG27*Cost_Library!$J$18*Location!$C$9*AN27</f>
        <v/>
      </c>
      <c r="BW27" s="20">
        <f>BD27*Cost_Library!$J$19*Location!$C$9</f>
        <v/>
      </c>
      <c r="BX27" s="20">
        <f>IF(Use_Library!$AZ$26="Y",1,0)*Cost_Library!$J$20*Location!$C$9*AN27</f>
        <v/>
      </c>
      <c r="BY27" s="20">
        <f>AT27*Cost_Library!$J$21*Location!$C$9</f>
        <v/>
      </c>
      <c r="BZ27" s="20">
        <f>AU27*Cost_Library!$J$22*Location!$C$9</f>
        <v/>
      </c>
      <c r="CA27" s="20">
        <f>AW27*Cost_Library!$J$23*Location!$C$9</f>
        <v/>
      </c>
      <c r="CB27" s="20">
        <f>AX27*Cost_Library!$J$24*Location!$C$9</f>
        <v/>
      </c>
      <c r="CC27" s="20">
        <f>AY27*Cost_Library!$J$25*Location!$C$9*Parcel!$C$44</f>
        <v/>
      </c>
      <c r="CD27" s="20">
        <f>BB27*Cost_Library!$J$26*Location!$C$9</f>
        <v/>
      </c>
      <c r="CE27" s="20">
        <f>AV27*(Cost_Library!$J$27+AS27*Cost_Library!$J$28)*Location!$C$9</f>
        <v/>
      </c>
      <c r="CF27" s="20">
        <f>AQ27*Cost_Library!$J$29*Location!$C$9</f>
        <v/>
      </c>
      <c r="CG27" s="20">
        <f>SUM(BG27:CF27)</f>
        <v/>
      </c>
      <c r="CH27" s="20">
        <f>CG27*Assumptions!$C$9</f>
        <v/>
      </c>
      <c r="CI27" s="20">
        <f>(CG27+CH27)*Org_Profile!$C$17</f>
        <v/>
      </c>
      <c r="CJ27" s="20">
        <f>CG27+CH27+CI27</f>
        <v/>
      </c>
      <c r="CK27" s="20">
        <f>AK27*Use_Effective!$B$26*(1+Org_Profile!$C$17)</f>
        <v/>
      </c>
      <c r="CL27" s="20">
        <f>CK27*(Assumptions!$C$10+Assumptions!$C$11)</f>
        <v/>
      </c>
      <c r="CM27" s="20">
        <f>AK27*Use_Effective!$D$26</f>
        <v/>
      </c>
      <c r="CN27" s="20">
        <f>AK27*Location!$C$21*BF27*AM27</f>
        <v/>
      </c>
      <c r="CO27" s="14">
        <f>Use_Effective!$F$26+L27*Location!$C$32+BA27*Location!$C$29</f>
        <v/>
      </c>
      <c r="CP27" s="14">
        <f>IF(Use_Effective!$P$26&gt;0,IF(Use_Library!$C$26="For-Sale",AK27,AD27)/Use_Effective!$P$26,0)*AM27</f>
        <v/>
      </c>
      <c r="CQ27" s="14">
        <f>IF(AND(Use_Library!$C$26="For-Sale",Use_Effective!$O$26&gt;0),AK27/Use_Effective!$O$26,0)*AM27</f>
        <v/>
      </c>
      <c r="CR27" s="14">
        <f>IF(Use_Library!$C$26="Income",MAX(Use_Library!$AQ$26,IF(Use_Effective!$O$26&gt;0,AK27/Use_Effective!$O$26,0)),0)</f>
        <v/>
      </c>
      <c r="CS27" s="14">
        <f>CO27+CP27</f>
        <v/>
      </c>
      <c r="CT27" s="14">
        <f>CO27+CQ27+CR27</f>
        <v/>
      </c>
      <c r="CU27" s="14">
        <f>CO27+IF(Use_Library!$C$26="Income",CR27,0)</f>
        <v/>
      </c>
      <c r="CV27" s="23">
        <f>Use_Effective!$G$26+Assumptions!$C$25*MAX(0,(CS27-12)/12)</f>
        <v/>
      </c>
      <c r="CW27" s="23">
        <f>Use_Effective!$G$26+Assumptions!$C$25*MAX(0,(CT27-12)/12)</f>
        <v/>
      </c>
      <c r="CX27" s="23">
        <f>Use_Effective!$G$26+Assumptions!$C$25*MAX(0,(CU27-12)/12)</f>
        <v/>
      </c>
      <c r="CY27" s="28">
        <f>1+Location!$C$17+IF(Parcel!$C$26="Y",Location!$C$20,0)</f>
        <v/>
      </c>
      <c r="CZ27" s="28">
        <f>CY27+Location!$C$19*(CO27+CP27/2)/12</f>
        <v/>
      </c>
      <c r="DA27" s="28">
        <f>CY27+Location!$C$19*(CO27+CQ27/2)/12</f>
        <v/>
      </c>
      <c r="DB27" s="28">
        <f>IF(Use_Library!$C$26="Income",DA27,CY27+Location!$C$19*CO27/12)</f>
        <v/>
      </c>
      <c r="DC27" s="28">
        <f>1+Assumptions!$C$15*(Assumptions!$C$16*(CO27+CP27/2)/12*Assumptions!$C$18+Assumptions!$C$17)</f>
        <v/>
      </c>
      <c r="DD27" s="28">
        <f>1+Assumptions!$C$15*(Assumptions!$C$16*((CO27+CQ27/2)/12*Assumptions!$C$18+CR27/12*Assumptions!$C$19)+Assumptions!$C$17)</f>
        <v/>
      </c>
      <c r="DE27" s="28">
        <f>IF(Use_Library!$C$26="Income",DD27,1+Assumptions!$C$15*(Assumptions!$C$16*CO27/12*Assumptions!$C$18+Assumptions!$C$17))</f>
        <v/>
      </c>
      <c r="DF27" s="23">
        <f>Assumptions!$C$13+Location!$C$18</f>
        <v/>
      </c>
      <c r="DG27" s="23">
        <f>Assumptions!$C$12+Location!$C$18</f>
        <v/>
      </c>
      <c r="DH27" s="23">
        <f>Assumptions!$C$14+Location!$C$18</f>
        <v/>
      </c>
      <c r="DI27" s="20">
        <f>AI27*Location!$C$14*(1-DF27)*AM27</f>
        <v/>
      </c>
      <c r="DJ27" s="20">
        <f>IF(Use_Library!$AV$26=1,IF(Use_Library!$C$26="For-Sale",AK27*Use_Effective!$H$26+Parcel!$C$14*AE27*Use_Effective!$J$26,AD27*Use_Effective!$J$26)*(1-DF27)+DI27,0)*AM27</f>
        <v/>
      </c>
      <c r="DK27" s="20">
        <f>(CG27-BU27-CC27-CD27)*(1+Assumptions!$C$9)*(1+Org_Profile!$C$17)</f>
        <v/>
      </c>
      <c r="DL27" s="28">
        <f>CZ27*DC27</f>
        <v/>
      </c>
      <c r="DM27" s="20">
        <f>(Parcel!$C$27*CZ27+DK27)*DC27</f>
        <v/>
      </c>
      <c r="DN27" s="20">
        <f>DJ27-DM27</f>
        <v/>
      </c>
      <c r="DO27" s="38">
        <f>IF(AND(Use_Library!$AV$26=1,AM27=1),MAX(0,((1-CV27)*DJ27-DK27*DC27)/DL27),0)</f>
        <v/>
      </c>
      <c r="DP27" s="20">
        <f>CJ27+CK27+CL27+CM27+CN27</f>
        <v/>
      </c>
      <c r="DQ27" s="28">
        <f>DA27*DD27</f>
        <v/>
      </c>
      <c r="DR27" s="20">
        <f>(Parcel!$C$27*DA27+DP27)*DD27</f>
        <v/>
      </c>
      <c r="DS27" s="20">
        <f>IF(Use_Library!$C$26="Income",AK27*Use_Effective!$K$26,0)</f>
        <v/>
      </c>
      <c r="DT27" s="20">
        <f>DS27*(1+Use_Library!$AL$26)*(1-Use_Effective!$N$26)</f>
        <v/>
      </c>
      <c r="DU27" s="20">
        <f>IF(Use_Library!$C$26="Income",AK27*Use_Effective!$E$26,0)</f>
        <v/>
      </c>
      <c r="DV27" s="20">
        <f>IF(Use_Library!$C$26="Income",Location!$C$15*Location!$C$16*DR27,0)</f>
        <v/>
      </c>
      <c r="DW27" s="20">
        <f>DT27*Use_Library!$AO$26</f>
        <v/>
      </c>
      <c r="DX27" s="20">
        <f>(DU27+DV27)*Use_Library!$AP$26</f>
        <v/>
      </c>
      <c r="DY27" s="20">
        <f>DT27-DU27-DV27-DW27+DX27</f>
        <v/>
      </c>
      <c r="DZ27" s="26">
        <f>Use_Effective!$M$26</f>
        <v/>
      </c>
      <c r="EA27" s="20">
        <f>IF(AND(Use_Library!$C$26="Income",DZ27&gt;0),DY27/DZ27,0)</f>
        <v/>
      </c>
      <c r="EB27" s="39">
        <f>IF(Use_Library!$C$26="Income",-Location!$C$15*Location!$C$16*(1-Use_Library!$AP$26)*DQ27,0)</f>
        <v/>
      </c>
      <c r="EC27" s="23">
        <f>IF(DR27=0,0,DY27/DR27)</f>
        <v/>
      </c>
      <c r="ED27" s="20">
        <f>IF(Use_Library!$AW$26=1,IF(Use_Library!$C$26="Income",EA27*(1-DH27),AK27*Use_Effective!$I$26*(1-DG27))+DI27,0)*AM27</f>
        <v/>
      </c>
      <c r="EE27" s="39">
        <f>IF(AND(Use_Library!$AW$26=1,Use_Library!$C$26="Income",DZ27&gt;0),EB27/DZ27*(1-DH27),0)</f>
        <v/>
      </c>
      <c r="EF27" s="20">
        <f>ED27-DR27</f>
        <v/>
      </c>
      <c r="EG27" s="38">
        <f>IF(AND(Use_Library!$AW$26=1,AM27=1),MAX(0,Parcel!$C$27-((1-CW27)*ED27-DR27)/((1-CW27)*EE27-DQ27)),0)</f>
        <v/>
      </c>
      <c r="EH27" s="20">
        <f>IF(Use_Library!$AX$26=1,IF(Use_Library!$C$26="Income",EA27,IF(DZ27&gt;0,AD27*Use_Effective!$L$26/DZ27,0))+DI27,0)*AM27</f>
        <v/>
      </c>
      <c r="EI27" s="20">
        <f>IF(Use_Library!$C$26="Income",DP27,CJ27)</f>
        <v/>
      </c>
      <c r="EJ27" s="28">
        <f>IF(Use_Library!$C$26="Income",DQ27,DB27*DE27)</f>
        <v/>
      </c>
      <c r="EK27" s="20">
        <f>IF(Use_Library!$C$26="Income",DR27,(Parcel!$C$27*DB27+CJ27)*DE27)</f>
        <v/>
      </c>
      <c r="EL27" s="39">
        <f>IF(AND(Use_Library!$AX$26=1,Use_Library!$C$26="Income",DZ27&gt;0),EB27/DZ27,0)</f>
        <v/>
      </c>
      <c r="EM27" s="20">
        <f>EH27-EK27</f>
        <v/>
      </c>
      <c r="EN27" s="38">
        <f>IF(AND(Use_Library!$AX$26=1,AM27=1),MAX(0,Parcel!$C$27-((1-CX27)*EH27-EK27)/((1-CX27)*EL27-EJ27)),0)</f>
        <v/>
      </c>
      <c r="EO27" s="20">
        <f>IF(Use_Library!$C$26="Income",Assumptions!$C$15*(Parcel!$C$27*DA27+DP27),0)</f>
        <v/>
      </c>
      <c r="EP27" s="20">
        <f>IF(AND(Use_Library!$C$26="Income",DY27&gt;0),MIN(Assumptions!$C$20*EA27,PV(Assumptions!$C$23/12,Assumptions!$C$24*12,-DY27/Assumptions!$C$21/12),DY27/Assumptions!$C$22),0)</f>
        <v/>
      </c>
      <c r="EQ27" s="27">
        <f>IF(EP27=0,0,DY27/(-PMT(Assumptions!$C$23/12,Assumptions!$C$24*12,EP27)*12))</f>
        <v/>
      </c>
      <c r="ER27" s="20">
        <f>EP27-EO27</f>
        <v/>
      </c>
      <c r="ES27" s="19">
        <f>MAX(DO27,EG27,EN27)</f>
        <v/>
      </c>
      <c r="ET27" s="15">
        <f>IF(ES27&lt;=0,0,IF(DO27=ES27,1,IF(EG27=ES27,2,3)))</f>
        <v/>
      </c>
      <c r="EU27" s="9">
        <f>CHOOSE(ET27+1,"None works","Land / pad sale","Build &amp; sell","Build &amp; hold / lease")</f>
        <v/>
      </c>
      <c r="EV27" s="15">
        <f>CHOOSE(ET27+1,0,CS27,CT27,CU27)</f>
        <v/>
      </c>
      <c r="EW27" s="20">
        <f>ES27*(1-Assumptions!$C$26)</f>
        <v/>
      </c>
      <c r="EX27" s="20">
        <f>ES27-Parcel!$C$27</f>
        <v/>
      </c>
      <c r="EY27" s="20">
        <f>IF(Parcel!$C$14=0,0,ES27/Parcel!$C$14)</f>
        <v/>
      </c>
      <c r="EZ27" s="36">
        <f>IF(AK27=0,0,ES27/AK27)</f>
        <v/>
      </c>
      <c r="FA27" s="9">
        <f>IF(ES27&lt;=0,"Pass",IF(ES27&gt;=Parcel!$C$27*Assumptions!$C$27,"Strong",IF(ES27&gt;=Parcel!$C$27,"Works at asking",IF(ES27&gt;=Parcel!$C$27*Assumptions!$C$28,"Negotiate","Pass"))))</f>
        <v/>
      </c>
      <c r="FB27" s="9">
        <f>IF(AM27=0,"",IF(Use_Library!$BH$26="Y",IF(Use_Effective!$AF$26&gt;=3,"High","Medium"),"Low - verify location"))</f>
        <v/>
      </c>
      <c r="FC27" s="9">
        <f>IF(AND(Use_Library!$BH$26="N",AM27=1),Use_Library!$BI$26,"")</f>
        <v/>
      </c>
      <c r="FD27" s="9">
        <f>TRIM(Q27&amp;" "&amp;IF(AND(AM27=0,T27=1),"Nothing fits. ","")&amp;IF(AND(Use_Library!$AZ$26&lt;&gt;"Y",Parcel!$C$19&lt;Use_Library!$AY$26),"Frontage under "&amp;Use_Library!$AY$26&amp;" LF. ","")&amp;IF(Parcel!$C$17&gt;0.15,"Slope over 15%. ","")&amp;IF(AND(AM27=1,AI27&gt;0.5),TEXT(AI27,"0")&amp;" ac not used - resold as raw land. ","")&amp;IF(AND(AM27=1,AC27&lt;1),"Demand caps it at "&amp;TEXT(AK27,"#,##0")&amp;" "&amp;Use_Library!$D$26&amp;". ","")&amp;IF(AND(AM27=1,L27=1),"Rezone required (+"&amp;Location!$C$32&amp;" mo). ","")&amp;IF(AND(AM27=1,BA27=1),"State wastewater permit needed. ","")&amp;IF(AND(AM27=1,AV27=1),"Public water system needed. ","")&amp;AP27&amp;IF(Parcel!$C$16&gt;Assumptions!$C$29,"Floodplain over "&amp;TEXT(Assumptions!$C$29,"0%")&amp;". ","")&amp;IF(AND(AM27=1,EV27&gt;60),"Over 5 years to exit. ",""))</f>
        <v/>
      </c>
      <c r="FE27" s="20">
        <f>IF(AND(Org_Profile!$C$5="My uses",E27=0),-1E+9,ES27)+ROW()/1000000</f>
        <v/>
      </c>
    </row>
    <row r="28">
      <c r="A28" s="4">
        <f>Use_Library!$A$27</f>
        <v/>
      </c>
      <c r="B28" s="9">
        <f>Use_Library!$C$27</f>
        <v/>
      </c>
      <c r="C28" s="9">
        <f>Use_Library!$D$27</f>
        <v/>
      </c>
      <c r="D28" s="9">
        <f>Use_Library!$F$27</f>
        <v/>
      </c>
      <c r="E28" s="15">
        <f>IF(Org_Profile!$C$44="Y",1,0)</f>
        <v/>
      </c>
      <c r="F28" s="14">
        <f>MAX(0,Parcel!$C$37*(1-Use_Library!$N$27-IF(Use_Library!$AB$27="Y",Assumptions!$C$7,0)))</f>
        <v/>
      </c>
      <c r="G28" s="14">
        <f>IF(Use_Library!$M$27&gt;0,MIN(F28,Use_Library!$M$27),F28)</f>
        <v/>
      </c>
      <c r="H28" s="23">
        <f>IF(F28=0,0,G28/F28)</f>
        <v/>
      </c>
      <c r="I28" s="14">
        <f>Parcel!$C$37*H28</f>
        <v/>
      </c>
      <c r="J28" s="9">
        <f>IF(ISNUMBER(SEARCH(","&amp;Use_Library!$F$27&amp;",",","&amp;SUBSTITUTE(Parcel!$C$11," ","")&amp;",")),"Deed restricted",IF(Parcel!$C$46=0,"No zoning",IF(ISNUMBER(SEARCH(","&amp;Use_Library!$F$27&amp;",",","&amp;SUBSTITUTE(Parcel!$C$10," ","")&amp;",")),"By right",IF(OR(TRIM(Parcel!$C$12)="*",ISNUMBER(SEARCH(","&amp;Use_Library!$F$27&amp;",",","&amp;SUBSTITUTE(Parcel!$C$12," ","")&amp;","))),"Rezone required","Prohibited by zoning"))))</f>
        <v/>
      </c>
      <c r="K28" s="15">
        <f>IF(OR(J28="Deed restricted",J28="Prohibited by zoning"),0,1)</f>
        <v/>
      </c>
      <c r="L28" s="15">
        <f>IF(J28="Rezone required",1,0)</f>
        <v/>
      </c>
      <c r="M28" s="15">
        <f>IF(Parcel!$C$20="None",0,IF(AND(Parcel!$C$20="Private easement",Use_Library!$BA$27="Y"),0,1))</f>
        <v/>
      </c>
      <c r="N28" s="15">
        <f>IF(AND(Use_Library!$AZ$27="Y",Parcel!$C$19&lt;Use_Library!$AY$27),0,1)</f>
        <v/>
      </c>
      <c r="O28" s="15">
        <f>IF(AND(Use_Library!$T$27="Y",Parcel!$C$39=0),0,1)</f>
        <v/>
      </c>
      <c r="P28" s="15">
        <f>IF(AND(Use_Library!$U$27="Y",Parcel!$C$38=0),0,1)</f>
        <v/>
      </c>
      <c r="Q28" s="9">
        <f>TRIM(IF(AND(Use_Library!$BB$27&gt;0,Parcel!$C$28&lt;Use_Library!$BB$27),"Traffic under "&amp;TEXT(Use_Library!$BB$27,"#,##0")&amp;" VPD. ","")&amp;IF(AND(Use_Library!$BC$27&gt;0,Parcel!$C$29&lt;Use_Library!$BC$27),"Under "&amp;TEXT(Use_Library!$BC$27,"#,##0")&amp;" households in 3 mi. ","")&amp;IF(AND(Use_Library!$BD$27&gt;0,Parcel!$C$31&gt;Use_Library!$BD$27),"Over "&amp;Use_Library!$BD$27&amp;" mi to highway. ","")&amp;IF(AND(Use_Library!$BE$27="Y",Parcel!$C$32&lt;&gt;"Y"),"Needs a corner. ","")&amp;IF(AND(Use_Library!$BF$27&gt;0,Parcel!$C$33&gt;Use_Library!$BF$27),"Over "&amp;Use_Library!$BF$27&amp;" mi to substation. ","")&amp;IF(AND(Use_Library!$BG$27&gt;0,Parcel!$C$34&gt;Use_Library!$BG$27),"Over "&amp;Use_Library!$BG$27&amp;" mi to a major employer. ",""))</f>
        <v/>
      </c>
      <c r="R28" s="15">
        <f>IF(Q28="",1,0)</f>
        <v/>
      </c>
      <c r="S28" s="15">
        <f>IF(F28&gt;=Use_Library!$L$27,1,0)</f>
        <v/>
      </c>
      <c r="T28" s="15">
        <f>K28*M28*N28*O28*P28*R28*S28</f>
        <v/>
      </c>
      <c r="U28" s="14">
        <f>IF(Use_Library!$G$27&gt;0,I28*Use_Library!$G$27,1E+9)</f>
        <v/>
      </c>
      <c r="V28" s="14">
        <f>IF(Use_Library!$H$27&gt;0,G28*43560/Use_Library!$H$27,1E+9)</f>
        <v/>
      </c>
      <c r="W28" s="14">
        <f>IF(AND(Use_Library!$K$27="Y",Parcel!$C$39=0),G28*(1-Assumptions!$C$8)/IF(Parcel!$C$38=1,Location!$C$25,Location!$C$26),1E+9)</f>
        <v/>
      </c>
      <c r="X28" s="14">
        <f>IF(Use_Library!$I$27&gt;0,Parcel!$C$14*H28/Use_Library!$I$27,1E+9)</f>
        <v/>
      </c>
      <c r="Y28" s="14">
        <f>IF(Use_Library!$J$27&gt;0,Parcel!$C$19/Use_Library!$J$27,1E+9)</f>
        <v/>
      </c>
      <c r="Z28" s="14">
        <f>IF(AND(Parcel!$C$39=0,Use_Library!$K$27="N",Use_Library!$Y$27&gt;0,Use_Library!$Z$27="Y"),G28*Location!$C$27*Parcel!$C$45/Use_Library!$Y$27,1E+9)</f>
        <v/>
      </c>
      <c r="AA28" s="14">
        <f>MIN(U28,V28,W28,X28,Y28,Z28)</f>
        <v/>
      </c>
      <c r="AB28" s="14">
        <f>IF(Use_Library!$O$27&gt;0,IF(Use_Library!$P$27&gt;=10,Parcel!$C$30,Parcel!$C$29)*Use_Library!$O$27*Use_Library!$Q$27,1E+9)</f>
        <v/>
      </c>
      <c r="AC28" s="23">
        <f>IF(OR(AA28&gt;=1E+9,AA28&lt;=0),1,MIN(1,AB28/AA28))</f>
        <v/>
      </c>
      <c r="AD28" s="14">
        <f>G28*AC28</f>
        <v/>
      </c>
      <c r="AE28" s="23">
        <f>IF(F28=0,0,AD28/F28)</f>
        <v/>
      </c>
      <c r="AF28" s="14">
        <f>Parcel!$C$37*AE28</f>
        <v/>
      </c>
      <c r="AG28" s="14">
        <f>AF28*IF(Use_Library!$AB$27="Y",Assumptions!$C$7,0)</f>
        <v/>
      </c>
      <c r="AH28" s="14">
        <f>AF28*(1-Use_Library!$N$27)</f>
        <v/>
      </c>
      <c r="AI28" s="14">
        <f>Parcel!$C$14*(1-AE28)</f>
        <v/>
      </c>
      <c r="AJ28" s="14">
        <f>MIN(AA28,AB28)</f>
        <v/>
      </c>
      <c r="AK28" s="25">
        <f>IF(T28=0,0,IF(AJ28&gt;=1E+9,AD28,IF(Use_Library!$E$27="Y",INT(AJ28+1E-9),AJ28)))</f>
        <v/>
      </c>
      <c r="AL28" s="9">
        <f>IF(M28=0,"No public road access",IF(K28=0,J28,IF(R28=0,"Location fails",IF(N28=0,"Frontage under "&amp;Use_Library!$AY$27&amp;" LF",IF(S28=0,"Too small - needs "&amp;Use_Library!$L$27&amp;" usable ac",IF(O28=0,"Needs public sewer",IF(P28=0,"Needs public water",IF(AJ28&gt;=1E+9,"Usable acres",IF(AB28&lt;=AA28,"Market demand",IF(W28=AA28,"Septic lot size",IF(Z28=AA28,"Septic capacity (gal/day)",IF(X28=AA28,"Min lot size",IF(Y28=AA28,"Road frontage",IF(V28=AA28,"Site area / parking","Density"))))))))))))))</f>
        <v/>
      </c>
      <c r="AM28" s="15">
        <f>IF(AK28&gt;0,1,0)</f>
        <v/>
      </c>
      <c r="AN28" s="15">
        <f>IF(Use_Library!$Z$27="Y",1,0)*AM28</f>
        <v/>
      </c>
      <c r="AO28" s="14">
        <f>IF(Parcel!$C$39=0,MIN(U28,V28,X28,Y28,AB28),0)</f>
        <v/>
      </c>
      <c r="AP28" s="9">
        <f>IF(AND(Parcel!$C$39=0,M28*K28*R28*N28*S28*P28=1,AO28&lt;1E+9,AO28&gt;=MAX(1,AK28)*1.25),"Unlock: sewer or package plant allows ~"&amp;TEXT(INT(AO28),"#,##0")&amp;" "&amp;Use_Library!$D$27&amp;". ","")</f>
        <v/>
      </c>
      <c r="AQ28" s="15">
        <f>AK28*Use_Library!$AC$27*AN28</f>
        <v/>
      </c>
      <c r="AR28" s="15">
        <f>AK28*Use_Library!$AD$27*AN28</f>
        <v/>
      </c>
      <c r="AS28" s="14">
        <f>AK28*Use_Library!$V$27*AN28</f>
        <v/>
      </c>
      <c r="AT28" s="15">
        <f>IF(Parcel!$C$38=1,AQ28+Parcel!$C$40,0)*AN28</f>
        <v/>
      </c>
      <c r="AU28" s="14">
        <f>AS28*Parcel!$C$38</f>
        <v/>
      </c>
      <c r="AV28" s="15">
        <f>IF(AND(Parcel!$C$38=0,Use_Library!$K$27="N",AS28&gt;=Location!$C$30),1,0)*AN28</f>
        <v/>
      </c>
      <c r="AW28" s="15">
        <f>IF(Parcel!$C$39=1,AQ28+Parcel!$C$41,0)*AN28</f>
        <v/>
      </c>
      <c r="AX28" s="14">
        <f>AS28*Parcel!$C$39</f>
        <v/>
      </c>
      <c r="AY28" s="14">
        <f>IF(Parcel!$C$39=0,AK28*Use_Library!$W$27,0)*AN28</f>
        <v/>
      </c>
      <c r="AZ28" s="15">
        <f>IF(Parcel!$C$39=0,AK28*Use_Library!$Y$27,0)*AN28</f>
        <v/>
      </c>
      <c r="BA28" s="15">
        <f>IF(AND(Use_Library!$K$27="N",AZ28&gt;Location!$C$28),1,0)</f>
        <v/>
      </c>
      <c r="BB28" s="14">
        <f>IF(AND(Parcel!$C$38=0,AV28=0),AK28*Use_Library!$X$27,0)*AN28</f>
        <v/>
      </c>
      <c r="BC28" s="14">
        <f>AH28*Parcel!$C$18*Use_Library!$AA$27*AN28</f>
        <v/>
      </c>
      <c r="BD28" s="14">
        <f>AH28*Use_Library!$AA$27*AN28</f>
        <v/>
      </c>
      <c r="BE28" s="15">
        <f>IF(Use_Library!$C$27="For-Sale",IF(Use_Library!$E$27="Y",AK28,1),1)*AM28</f>
        <v/>
      </c>
      <c r="BF28" s="15">
        <f>IF(OR(Use_Library!$F$27="RES-SF",Use_Library!$F$27="RES-ATT",Use_Library!$F$27="RES-MF",Use_Library!$F$27="MH"),1,0)</f>
        <v/>
      </c>
      <c r="BG28" s="20">
        <f>Cost_Library!$J$5*Location!$C$9*AM28</f>
        <v/>
      </c>
      <c r="BH28" s="20">
        <f>BE28*Cost_Library!$J$6*Location!$C$9</f>
        <v/>
      </c>
      <c r="BI28" s="20">
        <f>BD28*Cost_Library!$J$7*Location!$C$9</f>
        <v/>
      </c>
      <c r="BJ28" s="20">
        <f>Cost_Library!$J$8*Location!$C$9*AN28*IF(Use_Library!$AA$27&gt;=0.5,1,0)</f>
        <v/>
      </c>
      <c r="BK28" s="20">
        <f>AY28*Cost_Library!$J$9*Location!$C$9</f>
        <v/>
      </c>
      <c r="BL28" s="20">
        <f>BA28*Cost_Library!$J$10*Location!$C$9</f>
        <v/>
      </c>
      <c r="BM28" s="20">
        <f>Cost_Library!$J$11*Location!$C$9*AM28</f>
        <v/>
      </c>
      <c r="BN28" s="20">
        <f>Cost_Library!$J$12*Location!$C$9*AN28*IF(Use_Library!$AB$27="Y",1,0)</f>
        <v/>
      </c>
      <c r="BO28" s="20">
        <f>Use_Effective!$C$27*AM28</f>
        <v/>
      </c>
      <c r="BP28" s="20">
        <f>L28*Location!$C$31*AM28</f>
        <v/>
      </c>
      <c r="BQ28" s="20">
        <f>Cost_Library!$J$13*Location!$C$9*AM28</f>
        <v/>
      </c>
      <c r="BR28" s="20">
        <f>BC28*Cost_Library!$J$14*Location!$C$9</f>
        <v/>
      </c>
      <c r="BS28" s="20">
        <f>BD28*Cost_Library!$J$15*Location!$C$9*Parcel!$C$43</f>
        <v/>
      </c>
      <c r="BT28" s="20">
        <f>AQ28*Cost_Library!$J$16*Location!$C$9</f>
        <v/>
      </c>
      <c r="BU28" s="20">
        <f>AR28*Cost_Library!$J$17*Location!$C$9</f>
        <v/>
      </c>
      <c r="BV28" s="20">
        <f>AG28*Cost_Library!$J$18*Location!$C$9*AN28</f>
        <v/>
      </c>
      <c r="BW28" s="20">
        <f>BD28*Cost_Library!$J$19*Location!$C$9</f>
        <v/>
      </c>
      <c r="BX28" s="20">
        <f>IF(Use_Library!$AZ$27="Y",1,0)*Cost_Library!$J$20*Location!$C$9*AN28</f>
        <v/>
      </c>
      <c r="BY28" s="20">
        <f>AT28*Cost_Library!$J$21*Location!$C$9</f>
        <v/>
      </c>
      <c r="BZ28" s="20">
        <f>AU28*Cost_Library!$J$22*Location!$C$9</f>
        <v/>
      </c>
      <c r="CA28" s="20">
        <f>AW28*Cost_Library!$J$23*Location!$C$9</f>
        <v/>
      </c>
      <c r="CB28" s="20">
        <f>AX28*Cost_Library!$J$24*Location!$C$9</f>
        <v/>
      </c>
      <c r="CC28" s="20">
        <f>AY28*Cost_Library!$J$25*Location!$C$9*Parcel!$C$44</f>
        <v/>
      </c>
      <c r="CD28" s="20">
        <f>BB28*Cost_Library!$J$26*Location!$C$9</f>
        <v/>
      </c>
      <c r="CE28" s="20">
        <f>AV28*(Cost_Library!$J$27+AS28*Cost_Library!$J$28)*Location!$C$9</f>
        <v/>
      </c>
      <c r="CF28" s="20">
        <f>AQ28*Cost_Library!$J$29*Location!$C$9</f>
        <v/>
      </c>
      <c r="CG28" s="20">
        <f>SUM(BG28:CF28)</f>
        <v/>
      </c>
      <c r="CH28" s="20">
        <f>CG28*Assumptions!$C$9</f>
        <v/>
      </c>
      <c r="CI28" s="20">
        <f>(CG28+CH28)*Org_Profile!$C$17</f>
        <v/>
      </c>
      <c r="CJ28" s="20">
        <f>CG28+CH28+CI28</f>
        <v/>
      </c>
      <c r="CK28" s="20">
        <f>AK28*Use_Effective!$B$27*(1+Org_Profile!$C$17)</f>
        <v/>
      </c>
      <c r="CL28" s="20">
        <f>CK28*(Assumptions!$C$10+Assumptions!$C$11)</f>
        <v/>
      </c>
      <c r="CM28" s="20">
        <f>AK28*Use_Effective!$D$27</f>
        <v/>
      </c>
      <c r="CN28" s="20">
        <f>AK28*Location!$C$21*BF28*AM28</f>
        <v/>
      </c>
      <c r="CO28" s="14">
        <f>Use_Effective!$F$27+L28*Location!$C$32+BA28*Location!$C$29</f>
        <v/>
      </c>
      <c r="CP28" s="14">
        <f>IF(Use_Effective!$P$27&gt;0,IF(Use_Library!$C$27="For-Sale",AK28,AD28)/Use_Effective!$P$27,0)*AM28</f>
        <v/>
      </c>
      <c r="CQ28" s="14">
        <f>IF(AND(Use_Library!$C$27="For-Sale",Use_Effective!$O$27&gt;0),AK28/Use_Effective!$O$27,0)*AM28</f>
        <v/>
      </c>
      <c r="CR28" s="14">
        <f>IF(Use_Library!$C$27="Income",MAX(Use_Library!$AQ$27,IF(Use_Effective!$O$27&gt;0,AK28/Use_Effective!$O$27,0)),0)</f>
        <v/>
      </c>
      <c r="CS28" s="14">
        <f>CO28+CP28</f>
        <v/>
      </c>
      <c r="CT28" s="14">
        <f>CO28+CQ28+CR28</f>
        <v/>
      </c>
      <c r="CU28" s="14">
        <f>CO28+IF(Use_Library!$C$27="Income",CR28,0)</f>
        <v/>
      </c>
      <c r="CV28" s="23">
        <f>Use_Effective!$G$27+Assumptions!$C$25*MAX(0,(CS28-12)/12)</f>
        <v/>
      </c>
      <c r="CW28" s="23">
        <f>Use_Effective!$G$27+Assumptions!$C$25*MAX(0,(CT28-12)/12)</f>
        <v/>
      </c>
      <c r="CX28" s="23">
        <f>Use_Effective!$G$27+Assumptions!$C$25*MAX(0,(CU28-12)/12)</f>
        <v/>
      </c>
      <c r="CY28" s="28">
        <f>1+Location!$C$17+IF(Parcel!$C$26="Y",Location!$C$20,0)</f>
        <v/>
      </c>
      <c r="CZ28" s="28">
        <f>CY28+Location!$C$19*(CO28+CP28/2)/12</f>
        <v/>
      </c>
      <c r="DA28" s="28">
        <f>CY28+Location!$C$19*(CO28+CQ28/2)/12</f>
        <v/>
      </c>
      <c r="DB28" s="28">
        <f>IF(Use_Library!$C$27="Income",DA28,CY28+Location!$C$19*CO28/12)</f>
        <v/>
      </c>
      <c r="DC28" s="28">
        <f>1+Assumptions!$C$15*(Assumptions!$C$16*(CO28+CP28/2)/12*Assumptions!$C$18+Assumptions!$C$17)</f>
        <v/>
      </c>
      <c r="DD28" s="28">
        <f>1+Assumptions!$C$15*(Assumptions!$C$16*((CO28+CQ28/2)/12*Assumptions!$C$18+CR28/12*Assumptions!$C$19)+Assumptions!$C$17)</f>
        <v/>
      </c>
      <c r="DE28" s="28">
        <f>IF(Use_Library!$C$27="Income",DD28,1+Assumptions!$C$15*(Assumptions!$C$16*CO28/12*Assumptions!$C$18+Assumptions!$C$17))</f>
        <v/>
      </c>
      <c r="DF28" s="23">
        <f>Assumptions!$C$13+Location!$C$18</f>
        <v/>
      </c>
      <c r="DG28" s="23">
        <f>Assumptions!$C$12+Location!$C$18</f>
        <v/>
      </c>
      <c r="DH28" s="23">
        <f>Assumptions!$C$14+Location!$C$18</f>
        <v/>
      </c>
      <c r="DI28" s="20">
        <f>AI28*Location!$C$14*(1-DF28)*AM28</f>
        <v/>
      </c>
      <c r="DJ28" s="20">
        <f>IF(Use_Library!$AV$27=1,IF(Use_Library!$C$27="For-Sale",AK28*Use_Effective!$H$27+Parcel!$C$14*AE28*Use_Effective!$J$27,AD28*Use_Effective!$J$27)*(1-DF28)+DI28,0)*AM28</f>
        <v/>
      </c>
      <c r="DK28" s="20">
        <f>(CG28-BU28-CC28-CD28)*(1+Assumptions!$C$9)*(1+Org_Profile!$C$17)</f>
        <v/>
      </c>
      <c r="DL28" s="28">
        <f>CZ28*DC28</f>
        <v/>
      </c>
      <c r="DM28" s="20">
        <f>(Parcel!$C$27*CZ28+DK28)*DC28</f>
        <v/>
      </c>
      <c r="DN28" s="20">
        <f>DJ28-DM28</f>
        <v/>
      </c>
      <c r="DO28" s="38">
        <f>IF(AND(Use_Library!$AV$27=1,AM28=1),MAX(0,((1-CV28)*DJ28-DK28*DC28)/DL28),0)</f>
        <v/>
      </c>
      <c r="DP28" s="20">
        <f>CJ28+CK28+CL28+CM28+CN28</f>
        <v/>
      </c>
      <c r="DQ28" s="28">
        <f>DA28*DD28</f>
        <v/>
      </c>
      <c r="DR28" s="20">
        <f>(Parcel!$C$27*DA28+DP28)*DD28</f>
        <v/>
      </c>
      <c r="DS28" s="20">
        <f>IF(Use_Library!$C$27="Income",AK28*Use_Effective!$K$27,0)</f>
        <v/>
      </c>
      <c r="DT28" s="20">
        <f>DS28*(1+Use_Library!$AL$27)*(1-Use_Effective!$N$27)</f>
        <v/>
      </c>
      <c r="DU28" s="20">
        <f>IF(Use_Library!$C$27="Income",AK28*Use_Effective!$E$27,0)</f>
        <v/>
      </c>
      <c r="DV28" s="20">
        <f>IF(Use_Library!$C$27="Income",Location!$C$15*Location!$C$16*DR28,0)</f>
        <v/>
      </c>
      <c r="DW28" s="20">
        <f>DT28*Use_Library!$AO$27</f>
        <v/>
      </c>
      <c r="DX28" s="20">
        <f>(DU28+DV28)*Use_Library!$AP$27</f>
        <v/>
      </c>
      <c r="DY28" s="20">
        <f>DT28-DU28-DV28-DW28+DX28</f>
        <v/>
      </c>
      <c r="DZ28" s="26">
        <f>Use_Effective!$M$27</f>
        <v/>
      </c>
      <c r="EA28" s="20">
        <f>IF(AND(Use_Library!$C$27="Income",DZ28&gt;0),DY28/DZ28,0)</f>
        <v/>
      </c>
      <c r="EB28" s="39">
        <f>IF(Use_Library!$C$27="Income",-Location!$C$15*Location!$C$16*(1-Use_Library!$AP$27)*DQ28,0)</f>
        <v/>
      </c>
      <c r="EC28" s="23">
        <f>IF(DR28=0,0,DY28/DR28)</f>
        <v/>
      </c>
      <c r="ED28" s="20">
        <f>IF(Use_Library!$AW$27=1,IF(Use_Library!$C$27="Income",EA28*(1-DH28),AK28*Use_Effective!$I$27*(1-DG28))+DI28,0)*AM28</f>
        <v/>
      </c>
      <c r="EE28" s="39">
        <f>IF(AND(Use_Library!$AW$27=1,Use_Library!$C$27="Income",DZ28&gt;0),EB28/DZ28*(1-DH28),0)</f>
        <v/>
      </c>
      <c r="EF28" s="20">
        <f>ED28-DR28</f>
        <v/>
      </c>
      <c r="EG28" s="38">
        <f>IF(AND(Use_Library!$AW$27=1,AM28=1),MAX(0,Parcel!$C$27-((1-CW28)*ED28-DR28)/((1-CW28)*EE28-DQ28)),0)</f>
        <v/>
      </c>
      <c r="EH28" s="20">
        <f>IF(Use_Library!$AX$27=1,IF(Use_Library!$C$27="Income",EA28,IF(DZ28&gt;0,AD28*Use_Effective!$L$27/DZ28,0))+DI28,0)*AM28</f>
        <v/>
      </c>
      <c r="EI28" s="20">
        <f>IF(Use_Library!$C$27="Income",DP28,CJ28)</f>
        <v/>
      </c>
      <c r="EJ28" s="28">
        <f>IF(Use_Library!$C$27="Income",DQ28,DB28*DE28)</f>
        <v/>
      </c>
      <c r="EK28" s="20">
        <f>IF(Use_Library!$C$27="Income",DR28,(Parcel!$C$27*DB28+CJ28)*DE28)</f>
        <v/>
      </c>
      <c r="EL28" s="39">
        <f>IF(AND(Use_Library!$AX$27=1,Use_Library!$C$27="Income",DZ28&gt;0),EB28/DZ28,0)</f>
        <v/>
      </c>
      <c r="EM28" s="20">
        <f>EH28-EK28</f>
        <v/>
      </c>
      <c r="EN28" s="38">
        <f>IF(AND(Use_Library!$AX$27=1,AM28=1),MAX(0,Parcel!$C$27-((1-CX28)*EH28-EK28)/((1-CX28)*EL28-EJ28)),0)</f>
        <v/>
      </c>
      <c r="EO28" s="20">
        <f>IF(Use_Library!$C$27="Income",Assumptions!$C$15*(Parcel!$C$27*DA28+DP28),0)</f>
        <v/>
      </c>
      <c r="EP28" s="20">
        <f>IF(AND(Use_Library!$C$27="Income",DY28&gt;0),MIN(Assumptions!$C$20*EA28,PV(Assumptions!$C$23/12,Assumptions!$C$24*12,-DY28/Assumptions!$C$21/12),DY28/Assumptions!$C$22),0)</f>
        <v/>
      </c>
      <c r="EQ28" s="27">
        <f>IF(EP28=0,0,DY28/(-PMT(Assumptions!$C$23/12,Assumptions!$C$24*12,EP28)*12))</f>
        <v/>
      </c>
      <c r="ER28" s="20">
        <f>EP28-EO28</f>
        <v/>
      </c>
      <c r="ES28" s="19">
        <f>MAX(DO28,EG28,EN28)</f>
        <v/>
      </c>
      <c r="ET28" s="15">
        <f>IF(ES28&lt;=0,0,IF(DO28=ES28,1,IF(EG28=ES28,2,3)))</f>
        <v/>
      </c>
      <c r="EU28" s="9">
        <f>CHOOSE(ET28+1,"None works","Land / pad sale","Build &amp; sell","Build &amp; hold / lease")</f>
        <v/>
      </c>
      <c r="EV28" s="15">
        <f>CHOOSE(ET28+1,0,CS28,CT28,CU28)</f>
        <v/>
      </c>
      <c r="EW28" s="20">
        <f>ES28*(1-Assumptions!$C$26)</f>
        <v/>
      </c>
      <c r="EX28" s="20">
        <f>ES28-Parcel!$C$27</f>
        <v/>
      </c>
      <c r="EY28" s="20">
        <f>IF(Parcel!$C$14=0,0,ES28/Parcel!$C$14)</f>
        <v/>
      </c>
      <c r="EZ28" s="36">
        <f>IF(AK28=0,0,ES28/AK28)</f>
        <v/>
      </c>
      <c r="FA28" s="9">
        <f>IF(ES28&lt;=0,"Pass",IF(ES28&gt;=Parcel!$C$27*Assumptions!$C$27,"Strong",IF(ES28&gt;=Parcel!$C$27,"Works at asking",IF(ES28&gt;=Parcel!$C$27*Assumptions!$C$28,"Negotiate","Pass"))))</f>
        <v/>
      </c>
      <c r="FB28" s="9">
        <f>IF(AM28=0,"",IF(Use_Library!$BH$27="Y",IF(Use_Effective!$AF$27&gt;=3,"High","Medium"),"Low - verify location"))</f>
        <v/>
      </c>
      <c r="FC28" s="9">
        <f>IF(AND(Use_Library!$BH$27="N",AM28=1),Use_Library!$BI$27,"")</f>
        <v/>
      </c>
      <c r="FD28" s="9">
        <f>TRIM(Q28&amp;" "&amp;IF(AND(AM28=0,T28=1),"Nothing fits. ","")&amp;IF(AND(Use_Library!$AZ$27&lt;&gt;"Y",Parcel!$C$19&lt;Use_Library!$AY$27),"Frontage under "&amp;Use_Library!$AY$27&amp;" LF. ","")&amp;IF(Parcel!$C$17&gt;0.15,"Slope over 15%. ","")&amp;IF(AND(AM28=1,AI28&gt;0.5),TEXT(AI28,"0")&amp;" ac not used - resold as raw land. ","")&amp;IF(AND(AM28=1,AC28&lt;1),"Demand caps it at "&amp;TEXT(AK28,"#,##0")&amp;" "&amp;Use_Library!$D$27&amp;". ","")&amp;IF(AND(AM28=1,L28=1),"Rezone required (+"&amp;Location!$C$32&amp;" mo). ","")&amp;IF(AND(AM28=1,BA28=1),"State wastewater permit needed. ","")&amp;IF(AND(AM28=1,AV28=1),"Public water system needed. ","")&amp;AP28&amp;IF(Parcel!$C$16&gt;Assumptions!$C$29,"Floodplain over "&amp;TEXT(Assumptions!$C$29,"0%")&amp;". ","")&amp;IF(AND(AM28=1,EV28&gt;60),"Over 5 years to exit. ",""))</f>
        <v/>
      </c>
      <c r="FE28" s="20">
        <f>IF(AND(Org_Profile!$C$5="My uses",E28=0),-1E+9,ES28)+ROW()/1000000</f>
        <v/>
      </c>
    </row>
    <row r="29">
      <c r="A29" s="4">
        <f>Use_Library!$A$28</f>
        <v/>
      </c>
      <c r="B29" s="9">
        <f>Use_Library!$C$28</f>
        <v/>
      </c>
      <c r="C29" s="9">
        <f>Use_Library!$D$28</f>
        <v/>
      </c>
      <c r="D29" s="9">
        <f>Use_Library!$F$28</f>
        <v/>
      </c>
      <c r="E29" s="15">
        <f>IF(Org_Profile!$C$45="Y",1,0)</f>
        <v/>
      </c>
      <c r="F29" s="14">
        <f>MAX(0,Parcel!$C$37*(1-Use_Library!$N$28-IF(Use_Library!$AB$28="Y",Assumptions!$C$7,0)))</f>
        <v/>
      </c>
      <c r="G29" s="14">
        <f>IF(Use_Library!$M$28&gt;0,MIN(F29,Use_Library!$M$28),F29)</f>
        <v/>
      </c>
      <c r="H29" s="23">
        <f>IF(F29=0,0,G29/F29)</f>
        <v/>
      </c>
      <c r="I29" s="14">
        <f>Parcel!$C$37*H29</f>
        <v/>
      </c>
      <c r="J29" s="9">
        <f>IF(ISNUMBER(SEARCH(","&amp;Use_Library!$F$28&amp;",",","&amp;SUBSTITUTE(Parcel!$C$11," ","")&amp;",")),"Deed restricted",IF(Parcel!$C$46=0,"No zoning",IF(ISNUMBER(SEARCH(","&amp;Use_Library!$F$28&amp;",",","&amp;SUBSTITUTE(Parcel!$C$10," ","")&amp;",")),"By right",IF(OR(TRIM(Parcel!$C$12)="*",ISNUMBER(SEARCH(","&amp;Use_Library!$F$28&amp;",",","&amp;SUBSTITUTE(Parcel!$C$12," ","")&amp;","))),"Rezone required","Prohibited by zoning"))))</f>
        <v/>
      </c>
      <c r="K29" s="15">
        <f>IF(OR(J29="Deed restricted",J29="Prohibited by zoning"),0,1)</f>
        <v/>
      </c>
      <c r="L29" s="15">
        <f>IF(J29="Rezone required",1,0)</f>
        <v/>
      </c>
      <c r="M29" s="15">
        <f>IF(Parcel!$C$20="None",0,IF(AND(Parcel!$C$20="Private easement",Use_Library!$BA$28="Y"),0,1))</f>
        <v/>
      </c>
      <c r="N29" s="15">
        <f>IF(AND(Use_Library!$AZ$28="Y",Parcel!$C$19&lt;Use_Library!$AY$28),0,1)</f>
        <v/>
      </c>
      <c r="O29" s="15">
        <f>IF(AND(Use_Library!$T$28="Y",Parcel!$C$39=0),0,1)</f>
        <v/>
      </c>
      <c r="P29" s="15">
        <f>IF(AND(Use_Library!$U$28="Y",Parcel!$C$38=0),0,1)</f>
        <v/>
      </c>
      <c r="Q29" s="9">
        <f>TRIM(IF(AND(Use_Library!$BB$28&gt;0,Parcel!$C$28&lt;Use_Library!$BB$28),"Traffic under "&amp;TEXT(Use_Library!$BB$28,"#,##0")&amp;" VPD. ","")&amp;IF(AND(Use_Library!$BC$28&gt;0,Parcel!$C$29&lt;Use_Library!$BC$28),"Under "&amp;TEXT(Use_Library!$BC$28,"#,##0")&amp;" households in 3 mi. ","")&amp;IF(AND(Use_Library!$BD$28&gt;0,Parcel!$C$31&gt;Use_Library!$BD$28),"Over "&amp;Use_Library!$BD$28&amp;" mi to highway. ","")&amp;IF(AND(Use_Library!$BE$28="Y",Parcel!$C$32&lt;&gt;"Y"),"Needs a corner. ","")&amp;IF(AND(Use_Library!$BF$28&gt;0,Parcel!$C$33&gt;Use_Library!$BF$28),"Over "&amp;Use_Library!$BF$28&amp;" mi to substation. ","")&amp;IF(AND(Use_Library!$BG$28&gt;0,Parcel!$C$34&gt;Use_Library!$BG$28),"Over "&amp;Use_Library!$BG$28&amp;" mi to a major employer. ",""))</f>
        <v/>
      </c>
      <c r="R29" s="15">
        <f>IF(Q29="",1,0)</f>
        <v/>
      </c>
      <c r="S29" s="15">
        <f>IF(F29&gt;=Use_Library!$L$28,1,0)</f>
        <v/>
      </c>
      <c r="T29" s="15">
        <f>K29*M29*N29*O29*P29*R29*S29</f>
        <v/>
      </c>
      <c r="U29" s="14">
        <f>IF(Use_Library!$G$28&gt;0,I29*Use_Library!$G$28,1E+9)</f>
        <v/>
      </c>
      <c r="V29" s="14">
        <f>IF(Use_Library!$H$28&gt;0,G29*43560/Use_Library!$H$28,1E+9)</f>
        <v/>
      </c>
      <c r="W29" s="14">
        <f>IF(AND(Use_Library!$K$28="Y",Parcel!$C$39=0),G29*(1-Assumptions!$C$8)/IF(Parcel!$C$38=1,Location!$C$25,Location!$C$26),1E+9)</f>
        <v/>
      </c>
      <c r="X29" s="14">
        <f>IF(Use_Library!$I$28&gt;0,Parcel!$C$14*H29/Use_Library!$I$28,1E+9)</f>
        <v/>
      </c>
      <c r="Y29" s="14">
        <f>IF(Use_Library!$J$28&gt;0,Parcel!$C$19/Use_Library!$J$28,1E+9)</f>
        <v/>
      </c>
      <c r="Z29" s="14">
        <f>IF(AND(Parcel!$C$39=0,Use_Library!$K$28="N",Use_Library!$Y$28&gt;0,Use_Library!$Z$28="Y"),G29*Location!$C$27*Parcel!$C$45/Use_Library!$Y$28,1E+9)</f>
        <v/>
      </c>
      <c r="AA29" s="14">
        <f>MIN(U29,V29,W29,X29,Y29,Z29)</f>
        <v/>
      </c>
      <c r="AB29" s="14">
        <f>IF(Use_Library!$O$28&gt;0,IF(Use_Library!$P$28&gt;=10,Parcel!$C$30,Parcel!$C$29)*Use_Library!$O$28*Use_Library!$Q$28,1E+9)</f>
        <v/>
      </c>
      <c r="AC29" s="23">
        <f>IF(OR(AA29&gt;=1E+9,AA29&lt;=0),1,MIN(1,AB29/AA29))</f>
        <v/>
      </c>
      <c r="AD29" s="14">
        <f>G29*AC29</f>
        <v/>
      </c>
      <c r="AE29" s="23">
        <f>IF(F29=0,0,AD29/F29)</f>
        <v/>
      </c>
      <c r="AF29" s="14">
        <f>Parcel!$C$37*AE29</f>
        <v/>
      </c>
      <c r="AG29" s="14">
        <f>AF29*IF(Use_Library!$AB$28="Y",Assumptions!$C$7,0)</f>
        <v/>
      </c>
      <c r="AH29" s="14">
        <f>AF29*(1-Use_Library!$N$28)</f>
        <v/>
      </c>
      <c r="AI29" s="14">
        <f>Parcel!$C$14*(1-AE29)</f>
        <v/>
      </c>
      <c r="AJ29" s="14">
        <f>MIN(AA29,AB29)</f>
        <v/>
      </c>
      <c r="AK29" s="25">
        <f>IF(T29=0,0,IF(AJ29&gt;=1E+9,AD29,IF(Use_Library!$E$28="Y",INT(AJ29+1E-9),AJ29)))</f>
        <v/>
      </c>
      <c r="AL29" s="9">
        <f>IF(M29=0,"No public road access",IF(K29=0,J29,IF(R29=0,"Location fails",IF(N29=0,"Frontage under "&amp;Use_Library!$AY$28&amp;" LF",IF(S29=0,"Too small - needs "&amp;Use_Library!$L$28&amp;" usable ac",IF(O29=0,"Needs public sewer",IF(P29=0,"Needs public water",IF(AJ29&gt;=1E+9,"Usable acres",IF(AB29&lt;=AA29,"Market demand",IF(W29=AA29,"Septic lot size",IF(Z29=AA29,"Septic capacity (gal/day)",IF(X29=AA29,"Min lot size",IF(Y29=AA29,"Road frontage",IF(V29=AA29,"Site area / parking","Density"))))))))))))))</f>
        <v/>
      </c>
      <c r="AM29" s="15">
        <f>IF(AK29&gt;0,1,0)</f>
        <v/>
      </c>
      <c r="AN29" s="15">
        <f>IF(Use_Library!$Z$28="Y",1,0)*AM29</f>
        <v/>
      </c>
      <c r="AO29" s="14">
        <f>IF(Parcel!$C$39=0,MIN(U29,V29,X29,Y29,AB29),0)</f>
        <v/>
      </c>
      <c r="AP29" s="9">
        <f>IF(AND(Parcel!$C$39=0,M29*K29*R29*N29*S29*P29=1,AO29&lt;1E+9,AO29&gt;=MAX(1,AK29)*1.25),"Unlock: sewer or package plant allows ~"&amp;TEXT(INT(AO29),"#,##0")&amp;" "&amp;Use_Library!$D$28&amp;". ","")</f>
        <v/>
      </c>
      <c r="AQ29" s="15">
        <f>AK29*Use_Library!$AC$28*AN29</f>
        <v/>
      </c>
      <c r="AR29" s="15">
        <f>AK29*Use_Library!$AD$28*AN29</f>
        <v/>
      </c>
      <c r="AS29" s="14">
        <f>AK29*Use_Library!$V$28*AN29</f>
        <v/>
      </c>
      <c r="AT29" s="15">
        <f>IF(Parcel!$C$38=1,AQ29+Parcel!$C$40,0)*AN29</f>
        <v/>
      </c>
      <c r="AU29" s="14">
        <f>AS29*Parcel!$C$38</f>
        <v/>
      </c>
      <c r="AV29" s="15">
        <f>IF(AND(Parcel!$C$38=0,Use_Library!$K$28="N",AS29&gt;=Location!$C$30),1,0)*AN29</f>
        <v/>
      </c>
      <c r="AW29" s="15">
        <f>IF(Parcel!$C$39=1,AQ29+Parcel!$C$41,0)*AN29</f>
        <v/>
      </c>
      <c r="AX29" s="14">
        <f>AS29*Parcel!$C$39</f>
        <v/>
      </c>
      <c r="AY29" s="14">
        <f>IF(Parcel!$C$39=0,AK29*Use_Library!$W$28,0)*AN29</f>
        <v/>
      </c>
      <c r="AZ29" s="15">
        <f>IF(Parcel!$C$39=0,AK29*Use_Library!$Y$28,0)*AN29</f>
        <v/>
      </c>
      <c r="BA29" s="15">
        <f>IF(AND(Use_Library!$K$28="N",AZ29&gt;Location!$C$28),1,0)</f>
        <v/>
      </c>
      <c r="BB29" s="14">
        <f>IF(AND(Parcel!$C$38=0,AV29=0),AK29*Use_Library!$X$28,0)*AN29</f>
        <v/>
      </c>
      <c r="BC29" s="14">
        <f>AH29*Parcel!$C$18*Use_Library!$AA$28*AN29</f>
        <v/>
      </c>
      <c r="BD29" s="14">
        <f>AH29*Use_Library!$AA$28*AN29</f>
        <v/>
      </c>
      <c r="BE29" s="15">
        <f>IF(Use_Library!$C$28="For-Sale",IF(Use_Library!$E$28="Y",AK29,1),1)*AM29</f>
        <v/>
      </c>
      <c r="BF29" s="15">
        <f>IF(OR(Use_Library!$F$28="RES-SF",Use_Library!$F$28="RES-ATT",Use_Library!$F$28="RES-MF",Use_Library!$F$28="MH"),1,0)</f>
        <v/>
      </c>
      <c r="BG29" s="20">
        <f>Cost_Library!$J$5*Location!$C$9*AM29</f>
        <v/>
      </c>
      <c r="BH29" s="20">
        <f>BE29*Cost_Library!$J$6*Location!$C$9</f>
        <v/>
      </c>
      <c r="BI29" s="20">
        <f>BD29*Cost_Library!$J$7*Location!$C$9</f>
        <v/>
      </c>
      <c r="BJ29" s="20">
        <f>Cost_Library!$J$8*Location!$C$9*AN29*IF(Use_Library!$AA$28&gt;=0.5,1,0)</f>
        <v/>
      </c>
      <c r="BK29" s="20">
        <f>AY29*Cost_Library!$J$9*Location!$C$9</f>
        <v/>
      </c>
      <c r="BL29" s="20">
        <f>BA29*Cost_Library!$J$10*Location!$C$9</f>
        <v/>
      </c>
      <c r="BM29" s="20">
        <f>Cost_Library!$J$11*Location!$C$9*AM29</f>
        <v/>
      </c>
      <c r="BN29" s="20">
        <f>Cost_Library!$J$12*Location!$C$9*AN29*IF(Use_Library!$AB$28="Y",1,0)</f>
        <v/>
      </c>
      <c r="BO29" s="20">
        <f>Use_Effective!$C$28*AM29</f>
        <v/>
      </c>
      <c r="BP29" s="20">
        <f>L29*Location!$C$31*AM29</f>
        <v/>
      </c>
      <c r="BQ29" s="20">
        <f>Cost_Library!$J$13*Location!$C$9*AM29</f>
        <v/>
      </c>
      <c r="BR29" s="20">
        <f>BC29*Cost_Library!$J$14*Location!$C$9</f>
        <v/>
      </c>
      <c r="BS29" s="20">
        <f>BD29*Cost_Library!$J$15*Location!$C$9*Parcel!$C$43</f>
        <v/>
      </c>
      <c r="BT29" s="20">
        <f>AQ29*Cost_Library!$J$16*Location!$C$9</f>
        <v/>
      </c>
      <c r="BU29" s="20">
        <f>AR29*Cost_Library!$J$17*Location!$C$9</f>
        <v/>
      </c>
      <c r="BV29" s="20">
        <f>AG29*Cost_Library!$J$18*Location!$C$9*AN29</f>
        <v/>
      </c>
      <c r="BW29" s="20">
        <f>BD29*Cost_Library!$J$19*Location!$C$9</f>
        <v/>
      </c>
      <c r="BX29" s="20">
        <f>IF(Use_Library!$AZ$28="Y",1,0)*Cost_Library!$J$20*Location!$C$9*AN29</f>
        <v/>
      </c>
      <c r="BY29" s="20">
        <f>AT29*Cost_Library!$J$21*Location!$C$9</f>
        <v/>
      </c>
      <c r="BZ29" s="20">
        <f>AU29*Cost_Library!$J$22*Location!$C$9</f>
        <v/>
      </c>
      <c r="CA29" s="20">
        <f>AW29*Cost_Library!$J$23*Location!$C$9</f>
        <v/>
      </c>
      <c r="CB29" s="20">
        <f>AX29*Cost_Library!$J$24*Location!$C$9</f>
        <v/>
      </c>
      <c r="CC29" s="20">
        <f>AY29*Cost_Library!$J$25*Location!$C$9*Parcel!$C$44</f>
        <v/>
      </c>
      <c r="CD29" s="20">
        <f>BB29*Cost_Library!$J$26*Location!$C$9</f>
        <v/>
      </c>
      <c r="CE29" s="20">
        <f>AV29*(Cost_Library!$J$27+AS29*Cost_Library!$J$28)*Location!$C$9</f>
        <v/>
      </c>
      <c r="CF29" s="20">
        <f>AQ29*Cost_Library!$J$29*Location!$C$9</f>
        <v/>
      </c>
      <c r="CG29" s="20">
        <f>SUM(BG29:CF29)</f>
        <v/>
      </c>
      <c r="CH29" s="20">
        <f>CG29*Assumptions!$C$9</f>
        <v/>
      </c>
      <c r="CI29" s="20">
        <f>(CG29+CH29)*Org_Profile!$C$17</f>
        <v/>
      </c>
      <c r="CJ29" s="20">
        <f>CG29+CH29+CI29</f>
        <v/>
      </c>
      <c r="CK29" s="20">
        <f>AK29*Use_Effective!$B$28*(1+Org_Profile!$C$17)</f>
        <v/>
      </c>
      <c r="CL29" s="20">
        <f>CK29*(Assumptions!$C$10+Assumptions!$C$11)</f>
        <v/>
      </c>
      <c r="CM29" s="20">
        <f>AK29*Use_Effective!$D$28</f>
        <v/>
      </c>
      <c r="CN29" s="20">
        <f>AK29*Location!$C$21*BF29*AM29</f>
        <v/>
      </c>
      <c r="CO29" s="14">
        <f>Use_Effective!$F$28+L29*Location!$C$32+BA29*Location!$C$29</f>
        <v/>
      </c>
      <c r="CP29" s="14">
        <f>IF(Use_Effective!$P$28&gt;0,IF(Use_Library!$C$28="For-Sale",AK29,AD29)/Use_Effective!$P$28,0)*AM29</f>
        <v/>
      </c>
      <c r="CQ29" s="14">
        <f>IF(AND(Use_Library!$C$28="For-Sale",Use_Effective!$O$28&gt;0),AK29/Use_Effective!$O$28,0)*AM29</f>
        <v/>
      </c>
      <c r="CR29" s="14">
        <f>IF(Use_Library!$C$28="Income",MAX(Use_Library!$AQ$28,IF(Use_Effective!$O$28&gt;0,AK29/Use_Effective!$O$28,0)),0)</f>
        <v/>
      </c>
      <c r="CS29" s="14">
        <f>CO29+CP29</f>
        <v/>
      </c>
      <c r="CT29" s="14">
        <f>CO29+CQ29+CR29</f>
        <v/>
      </c>
      <c r="CU29" s="14">
        <f>CO29+IF(Use_Library!$C$28="Income",CR29,0)</f>
        <v/>
      </c>
      <c r="CV29" s="23">
        <f>Use_Effective!$G$28+Assumptions!$C$25*MAX(0,(CS29-12)/12)</f>
        <v/>
      </c>
      <c r="CW29" s="23">
        <f>Use_Effective!$G$28+Assumptions!$C$25*MAX(0,(CT29-12)/12)</f>
        <v/>
      </c>
      <c r="CX29" s="23">
        <f>Use_Effective!$G$28+Assumptions!$C$25*MAX(0,(CU29-12)/12)</f>
        <v/>
      </c>
      <c r="CY29" s="28">
        <f>1+Location!$C$17+IF(Parcel!$C$26="Y",Location!$C$20,0)</f>
        <v/>
      </c>
      <c r="CZ29" s="28">
        <f>CY29+Location!$C$19*(CO29+CP29/2)/12</f>
        <v/>
      </c>
      <c r="DA29" s="28">
        <f>CY29+Location!$C$19*(CO29+CQ29/2)/12</f>
        <v/>
      </c>
      <c r="DB29" s="28">
        <f>IF(Use_Library!$C$28="Income",DA29,CY29+Location!$C$19*CO29/12)</f>
        <v/>
      </c>
      <c r="DC29" s="28">
        <f>1+Assumptions!$C$15*(Assumptions!$C$16*(CO29+CP29/2)/12*Assumptions!$C$18+Assumptions!$C$17)</f>
        <v/>
      </c>
      <c r="DD29" s="28">
        <f>1+Assumptions!$C$15*(Assumptions!$C$16*((CO29+CQ29/2)/12*Assumptions!$C$18+CR29/12*Assumptions!$C$19)+Assumptions!$C$17)</f>
        <v/>
      </c>
      <c r="DE29" s="28">
        <f>IF(Use_Library!$C$28="Income",DD29,1+Assumptions!$C$15*(Assumptions!$C$16*CO29/12*Assumptions!$C$18+Assumptions!$C$17))</f>
        <v/>
      </c>
      <c r="DF29" s="23">
        <f>Assumptions!$C$13+Location!$C$18</f>
        <v/>
      </c>
      <c r="DG29" s="23">
        <f>Assumptions!$C$12+Location!$C$18</f>
        <v/>
      </c>
      <c r="DH29" s="23">
        <f>Assumptions!$C$14+Location!$C$18</f>
        <v/>
      </c>
      <c r="DI29" s="20">
        <f>AI29*Location!$C$14*(1-DF29)*AM29</f>
        <v/>
      </c>
      <c r="DJ29" s="20">
        <f>IF(Use_Library!$AV$28=1,IF(Use_Library!$C$28="For-Sale",AK29*Use_Effective!$H$28+Parcel!$C$14*AE29*Use_Effective!$J$28,AD29*Use_Effective!$J$28)*(1-DF29)+DI29,0)*AM29</f>
        <v/>
      </c>
      <c r="DK29" s="20">
        <f>(CG29-BU29-CC29-CD29)*(1+Assumptions!$C$9)*(1+Org_Profile!$C$17)</f>
        <v/>
      </c>
      <c r="DL29" s="28">
        <f>CZ29*DC29</f>
        <v/>
      </c>
      <c r="DM29" s="20">
        <f>(Parcel!$C$27*CZ29+DK29)*DC29</f>
        <v/>
      </c>
      <c r="DN29" s="20">
        <f>DJ29-DM29</f>
        <v/>
      </c>
      <c r="DO29" s="38">
        <f>IF(AND(Use_Library!$AV$28=1,AM29=1),MAX(0,((1-CV29)*DJ29-DK29*DC29)/DL29),0)</f>
        <v/>
      </c>
      <c r="DP29" s="20">
        <f>CJ29+CK29+CL29+CM29+CN29</f>
        <v/>
      </c>
      <c r="DQ29" s="28">
        <f>DA29*DD29</f>
        <v/>
      </c>
      <c r="DR29" s="20">
        <f>(Parcel!$C$27*DA29+DP29)*DD29</f>
        <v/>
      </c>
      <c r="DS29" s="20">
        <f>IF(Use_Library!$C$28="Income",AK29*Use_Effective!$K$28,0)</f>
        <v/>
      </c>
      <c r="DT29" s="20">
        <f>DS29*(1+Use_Library!$AL$28)*(1-Use_Effective!$N$28)</f>
        <v/>
      </c>
      <c r="DU29" s="20">
        <f>IF(Use_Library!$C$28="Income",AK29*Use_Effective!$E$28,0)</f>
        <v/>
      </c>
      <c r="DV29" s="20">
        <f>IF(Use_Library!$C$28="Income",Location!$C$15*Location!$C$16*DR29,0)</f>
        <v/>
      </c>
      <c r="DW29" s="20">
        <f>DT29*Use_Library!$AO$28</f>
        <v/>
      </c>
      <c r="DX29" s="20">
        <f>(DU29+DV29)*Use_Library!$AP$28</f>
        <v/>
      </c>
      <c r="DY29" s="20">
        <f>DT29-DU29-DV29-DW29+DX29</f>
        <v/>
      </c>
      <c r="DZ29" s="26">
        <f>Use_Effective!$M$28</f>
        <v/>
      </c>
      <c r="EA29" s="20">
        <f>IF(AND(Use_Library!$C$28="Income",DZ29&gt;0),DY29/DZ29,0)</f>
        <v/>
      </c>
      <c r="EB29" s="39">
        <f>IF(Use_Library!$C$28="Income",-Location!$C$15*Location!$C$16*(1-Use_Library!$AP$28)*DQ29,0)</f>
        <v/>
      </c>
      <c r="EC29" s="23">
        <f>IF(DR29=0,0,DY29/DR29)</f>
        <v/>
      </c>
      <c r="ED29" s="20">
        <f>IF(Use_Library!$AW$28=1,IF(Use_Library!$C$28="Income",EA29*(1-DH29),AK29*Use_Effective!$I$28*(1-DG29))+DI29,0)*AM29</f>
        <v/>
      </c>
      <c r="EE29" s="39">
        <f>IF(AND(Use_Library!$AW$28=1,Use_Library!$C$28="Income",DZ29&gt;0),EB29/DZ29*(1-DH29),0)</f>
        <v/>
      </c>
      <c r="EF29" s="20">
        <f>ED29-DR29</f>
        <v/>
      </c>
      <c r="EG29" s="38">
        <f>IF(AND(Use_Library!$AW$28=1,AM29=1),MAX(0,Parcel!$C$27-((1-CW29)*ED29-DR29)/((1-CW29)*EE29-DQ29)),0)</f>
        <v/>
      </c>
      <c r="EH29" s="20">
        <f>IF(Use_Library!$AX$28=1,IF(Use_Library!$C$28="Income",EA29,IF(DZ29&gt;0,AD29*Use_Effective!$L$28/DZ29,0))+DI29,0)*AM29</f>
        <v/>
      </c>
      <c r="EI29" s="20">
        <f>IF(Use_Library!$C$28="Income",DP29,CJ29)</f>
        <v/>
      </c>
      <c r="EJ29" s="28">
        <f>IF(Use_Library!$C$28="Income",DQ29,DB29*DE29)</f>
        <v/>
      </c>
      <c r="EK29" s="20">
        <f>IF(Use_Library!$C$28="Income",DR29,(Parcel!$C$27*DB29+CJ29)*DE29)</f>
        <v/>
      </c>
      <c r="EL29" s="39">
        <f>IF(AND(Use_Library!$AX$28=1,Use_Library!$C$28="Income",DZ29&gt;0),EB29/DZ29,0)</f>
        <v/>
      </c>
      <c r="EM29" s="20">
        <f>EH29-EK29</f>
        <v/>
      </c>
      <c r="EN29" s="38">
        <f>IF(AND(Use_Library!$AX$28=1,AM29=1),MAX(0,Parcel!$C$27-((1-CX29)*EH29-EK29)/((1-CX29)*EL29-EJ29)),0)</f>
        <v/>
      </c>
      <c r="EO29" s="20">
        <f>IF(Use_Library!$C$28="Income",Assumptions!$C$15*(Parcel!$C$27*DA29+DP29),0)</f>
        <v/>
      </c>
      <c r="EP29" s="20">
        <f>IF(AND(Use_Library!$C$28="Income",DY29&gt;0),MIN(Assumptions!$C$20*EA29,PV(Assumptions!$C$23/12,Assumptions!$C$24*12,-DY29/Assumptions!$C$21/12),DY29/Assumptions!$C$22),0)</f>
        <v/>
      </c>
      <c r="EQ29" s="27">
        <f>IF(EP29=0,0,DY29/(-PMT(Assumptions!$C$23/12,Assumptions!$C$24*12,EP29)*12))</f>
        <v/>
      </c>
      <c r="ER29" s="20">
        <f>EP29-EO29</f>
        <v/>
      </c>
      <c r="ES29" s="19">
        <f>MAX(DO29,EG29,EN29)</f>
        <v/>
      </c>
      <c r="ET29" s="15">
        <f>IF(ES29&lt;=0,0,IF(DO29=ES29,1,IF(EG29=ES29,2,3)))</f>
        <v/>
      </c>
      <c r="EU29" s="9">
        <f>CHOOSE(ET29+1,"None works","Land / pad sale","Build &amp; sell","Build &amp; hold / lease")</f>
        <v/>
      </c>
      <c r="EV29" s="15">
        <f>CHOOSE(ET29+1,0,CS29,CT29,CU29)</f>
        <v/>
      </c>
      <c r="EW29" s="20">
        <f>ES29*(1-Assumptions!$C$26)</f>
        <v/>
      </c>
      <c r="EX29" s="20">
        <f>ES29-Parcel!$C$27</f>
        <v/>
      </c>
      <c r="EY29" s="20">
        <f>IF(Parcel!$C$14=0,0,ES29/Parcel!$C$14)</f>
        <v/>
      </c>
      <c r="EZ29" s="36">
        <f>IF(AK29=0,0,ES29/AK29)</f>
        <v/>
      </c>
      <c r="FA29" s="9">
        <f>IF(ES29&lt;=0,"Pass",IF(ES29&gt;=Parcel!$C$27*Assumptions!$C$27,"Strong",IF(ES29&gt;=Parcel!$C$27,"Works at asking",IF(ES29&gt;=Parcel!$C$27*Assumptions!$C$28,"Negotiate","Pass"))))</f>
        <v/>
      </c>
      <c r="FB29" s="9">
        <f>IF(AM29=0,"",IF(Use_Library!$BH$28="Y",IF(Use_Effective!$AF$28&gt;=3,"High","Medium"),"Low - verify location"))</f>
        <v/>
      </c>
      <c r="FC29" s="9">
        <f>IF(AND(Use_Library!$BH$28="N",AM29=1),Use_Library!$BI$28,"")</f>
        <v/>
      </c>
      <c r="FD29" s="9">
        <f>TRIM(Q29&amp;" "&amp;IF(AND(AM29=0,T29=1),"Nothing fits. ","")&amp;IF(AND(Use_Library!$AZ$28&lt;&gt;"Y",Parcel!$C$19&lt;Use_Library!$AY$28),"Frontage under "&amp;Use_Library!$AY$28&amp;" LF. ","")&amp;IF(Parcel!$C$17&gt;0.15,"Slope over 15%. ","")&amp;IF(AND(AM29=1,AI29&gt;0.5),TEXT(AI29,"0")&amp;" ac not used - resold as raw land. ","")&amp;IF(AND(AM29=1,AC29&lt;1),"Demand caps it at "&amp;TEXT(AK29,"#,##0")&amp;" "&amp;Use_Library!$D$28&amp;". ","")&amp;IF(AND(AM29=1,L29=1),"Rezone required (+"&amp;Location!$C$32&amp;" mo). ","")&amp;IF(AND(AM29=1,BA29=1),"State wastewater permit needed. ","")&amp;IF(AND(AM29=1,AV29=1),"Public water system needed. ","")&amp;AP29&amp;IF(Parcel!$C$16&gt;Assumptions!$C$29,"Floodplain over "&amp;TEXT(Assumptions!$C$29,"0%")&amp;". ","")&amp;IF(AND(AM29=1,EV29&gt;60),"Over 5 years to exit. ",""))</f>
        <v/>
      </c>
      <c r="FE29" s="20">
        <f>IF(AND(Org_Profile!$C$5="My uses",E29=0),-1E+9,ES29)+ROW()/1000000</f>
        <v/>
      </c>
    </row>
    <row r="30">
      <c r="A30" s="4">
        <f>Use_Library!$A$29</f>
        <v/>
      </c>
      <c r="B30" s="9">
        <f>Use_Library!$C$29</f>
        <v/>
      </c>
      <c r="C30" s="9">
        <f>Use_Library!$D$29</f>
        <v/>
      </c>
      <c r="D30" s="9">
        <f>Use_Library!$F$29</f>
        <v/>
      </c>
      <c r="E30" s="15">
        <f>IF(Org_Profile!$C$46="Y",1,0)</f>
        <v/>
      </c>
      <c r="F30" s="14">
        <f>MAX(0,Parcel!$C$37*(1-Use_Library!$N$29-IF(Use_Library!$AB$29="Y",Assumptions!$C$7,0)))</f>
        <v/>
      </c>
      <c r="G30" s="14">
        <f>IF(Use_Library!$M$29&gt;0,MIN(F30,Use_Library!$M$29),F30)</f>
        <v/>
      </c>
      <c r="H30" s="23">
        <f>IF(F30=0,0,G30/F30)</f>
        <v/>
      </c>
      <c r="I30" s="14">
        <f>Parcel!$C$37*H30</f>
        <v/>
      </c>
      <c r="J30" s="9">
        <f>IF(ISNUMBER(SEARCH(","&amp;Use_Library!$F$29&amp;",",","&amp;SUBSTITUTE(Parcel!$C$11," ","")&amp;",")),"Deed restricted",IF(Parcel!$C$46=0,"No zoning",IF(ISNUMBER(SEARCH(","&amp;Use_Library!$F$29&amp;",",","&amp;SUBSTITUTE(Parcel!$C$10," ","")&amp;",")),"By right",IF(OR(TRIM(Parcel!$C$12)="*",ISNUMBER(SEARCH(","&amp;Use_Library!$F$29&amp;",",","&amp;SUBSTITUTE(Parcel!$C$12," ","")&amp;","))),"Rezone required","Prohibited by zoning"))))</f>
        <v/>
      </c>
      <c r="K30" s="15">
        <f>IF(OR(J30="Deed restricted",J30="Prohibited by zoning"),0,1)</f>
        <v/>
      </c>
      <c r="L30" s="15">
        <f>IF(J30="Rezone required",1,0)</f>
        <v/>
      </c>
      <c r="M30" s="15">
        <f>IF(Parcel!$C$20="None",0,IF(AND(Parcel!$C$20="Private easement",Use_Library!$BA$29="Y"),0,1))</f>
        <v/>
      </c>
      <c r="N30" s="15">
        <f>IF(AND(Use_Library!$AZ$29="Y",Parcel!$C$19&lt;Use_Library!$AY$29),0,1)</f>
        <v/>
      </c>
      <c r="O30" s="15">
        <f>IF(AND(Use_Library!$T$29="Y",Parcel!$C$39=0),0,1)</f>
        <v/>
      </c>
      <c r="P30" s="15">
        <f>IF(AND(Use_Library!$U$29="Y",Parcel!$C$38=0),0,1)</f>
        <v/>
      </c>
      <c r="Q30" s="9">
        <f>TRIM(IF(AND(Use_Library!$BB$29&gt;0,Parcel!$C$28&lt;Use_Library!$BB$29),"Traffic under "&amp;TEXT(Use_Library!$BB$29,"#,##0")&amp;" VPD. ","")&amp;IF(AND(Use_Library!$BC$29&gt;0,Parcel!$C$29&lt;Use_Library!$BC$29),"Under "&amp;TEXT(Use_Library!$BC$29,"#,##0")&amp;" households in 3 mi. ","")&amp;IF(AND(Use_Library!$BD$29&gt;0,Parcel!$C$31&gt;Use_Library!$BD$29),"Over "&amp;Use_Library!$BD$29&amp;" mi to highway. ","")&amp;IF(AND(Use_Library!$BE$29="Y",Parcel!$C$32&lt;&gt;"Y"),"Needs a corner. ","")&amp;IF(AND(Use_Library!$BF$29&gt;0,Parcel!$C$33&gt;Use_Library!$BF$29),"Over "&amp;Use_Library!$BF$29&amp;" mi to substation. ","")&amp;IF(AND(Use_Library!$BG$29&gt;0,Parcel!$C$34&gt;Use_Library!$BG$29),"Over "&amp;Use_Library!$BG$29&amp;" mi to a major employer. ",""))</f>
        <v/>
      </c>
      <c r="R30" s="15">
        <f>IF(Q30="",1,0)</f>
        <v/>
      </c>
      <c r="S30" s="15">
        <f>IF(F30&gt;=Use_Library!$L$29,1,0)</f>
        <v/>
      </c>
      <c r="T30" s="15">
        <f>K30*M30*N30*O30*P30*R30*S30</f>
        <v/>
      </c>
      <c r="U30" s="14">
        <f>IF(Use_Library!$G$29&gt;0,I30*Use_Library!$G$29,1E+9)</f>
        <v/>
      </c>
      <c r="V30" s="14">
        <f>IF(Use_Library!$H$29&gt;0,G30*43560/Use_Library!$H$29,1E+9)</f>
        <v/>
      </c>
      <c r="W30" s="14">
        <f>IF(AND(Use_Library!$K$29="Y",Parcel!$C$39=0),G30*(1-Assumptions!$C$8)/IF(Parcel!$C$38=1,Location!$C$25,Location!$C$26),1E+9)</f>
        <v/>
      </c>
      <c r="X30" s="14">
        <f>IF(Use_Library!$I$29&gt;0,Parcel!$C$14*H30/Use_Library!$I$29,1E+9)</f>
        <v/>
      </c>
      <c r="Y30" s="14">
        <f>IF(Use_Library!$J$29&gt;0,Parcel!$C$19/Use_Library!$J$29,1E+9)</f>
        <v/>
      </c>
      <c r="Z30" s="14">
        <f>IF(AND(Parcel!$C$39=0,Use_Library!$K$29="N",Use_Library!$Y$29&gt;0,Use_Library!$Z$29="Y"),G30*Location!$C$27*Parcel!$C$45/Use_Library!$Y$29,1E+9)</f>
        <v/>
      </c>
      <c r="AA30" s="14">
        <f>MIN(U30,V30,W30,X30,Y30,Z30)</f>
        <v/>
      </c>
      <c r="AB30" s="14">
        <f>IF(Use_Library!$O$29&gt;0,IF(Use_Library!$P$29&gt;=10,Parcel!$C$30,Parcel!$C$29)*Use_Library!$O$29*Use_Library!$Q$29,1E+9)</f>
        <v/>
      </c>
      <c r="AC30" s="23">
        <f>IF(OR(AA30&gt;=1E+9,AA30&lt;=0),1,MIN(1,AB30/AA30))</f>
        <v/>
      </c>
      <c r="AD30" s="14">
        <f>G30*AC30</f>
        <v/>
      </c>
      <c r="AE30" s="23">
        <f>IF(F30=0,0,AD30/F30)</f>
        <v/>
      </c>
      <c r="AF30" s="14">
        <f>Parcel!$C$37*AE30</f>
        <v/>
      </c>
      <c r="AG30" s="14">
        <f>AF30*IF(Use_Library!$AB$29="Y",Assumptions!$C$7,0)</f>
        <v/>
      </c>
      <c r="AH30" s="14">
        <f>AF30*(1-Use_Library!$N$29)</f>
        <v/>
      </c>
      <c r="AI30" s="14">
        <f>Parcel!$C$14*(1-AE30)</f>
        <v/>
      </c>
      <c r="AJ30" s="14">
        <f>MIN(AA30,AB30)</f>
        <v/>
      </c>
      <c r="AK30" s="25">
        <f>IF(T30=0,0,IF(AJ30&gt;=1E+9,AD30,IF(Use_Library!$E$29="Y",INT(AJ30+1E-9),AJ30)))</f>
        <v/>
      </c>
      <c r="AL30" s="9">
        <f>IF(M30=0,"No public road access",IF(K30=0,J30,IF(R30=0,"Location fails",IF(N30=0,"Frontage under "&amp;Use_Library!$AY$29&amp;" LF",IF(S30=0,"Too small - needs "&amp;Use_Library!$L$29&amp;" usable ac",IF(O30=0,"Needs public sewer",IF(P30=0,"Needs public water",IF(AJ30&gt;=1E+9,"Usable acres",IF(AB30&lt;=AA30,"Market demand",IF(W30=AA30,"Septic lot size",IF(Z30=AA30,"Septic capacity (gal/day)",IF(X30=AA30,"Min lot size",IF(Y30=AA30,"Road frontage",IF(V30=AA30,"Site area / parking","Density"))))))))))))))</f>
        <v/>
      </c>
      <c r="AM30" s="15">
        <f>IF(AK30&gt;0,1,0)</f>
        <v/>
      </c>
      <c r="AN30" s="15">
        <f>IF(Use_Library!$Z$29="Y",1,0)*AM30</f>
        <v/>
      </c>
      <c r="AO30" s="14">
        <f>IF(Parcel!$C$39=0,MIN(U30,V30,X30,Y30,AB30),0)</f>
        <v/>
      </c>
      <c r="AP30" s="9">
        <f>IF(AND(Parcel!$C$39=0,M30*K30*R30*N30*S30*P30=1,AO30&lt;1E+9,AO30&gt;=MAX(1,AK30)*1.25),"Unlock: sewer or package plant allows ~"&amp;TEXT(INT(AO30),"#,##0")&amp;" "&amp;Use_Library!$D$29&amp;". ","")</f>
        <v/>
      </c>
      <c r="AQ30" s="15">
        <f>AK30*Use_Library!$AC$29*AN30</f>
        <v/>
      </c>
      <c r="AR30" s="15">
        <f>AK30*Use_Library!$AD$29*AN30</f>
        <v/>
      </c>
      <c r="AS30" s="14">
        <f>AK30*Use_Library!$V$29*AN30</f>
        <v/>
      </c>
      <c r="AT30" s="15">
        <f>IF(Parcel!$C$38=1,AQ30+Parcel!$C$40,0)*AN30</f>
        <v/>
      </c>
      <c r="AU30" s="14">
        <f>AS30*Parcel!$C$38</f>
        <v/>
      </c>
      <c r="AV30" s="15">
        <f>IF(AND(Parcel!$C$38=0,Use_Library!$K$29="N",AS30&gt;=Location!$C$30),1,0)*AN30</f>
        <v/>
      </c>
      <c r="AW30" s="15">
        <f>IF(Parcel!$C$39=1,AQ30+Parcel!$C$41,0)*AN30</f>
        <v/>
      </c>
      <c r="AX30" s="14">
        <f>AS30*Parcel!$C$39</f>
        <v/>
      </c>
      <c r="AY30" s="14">
        <f>IF(Parcel!$C$39=0,AK30*Use_Library!$W$29,0)*AN30</f>
        <v/>
      </c>
      <c r="AZ30" s="15">
        <f>IF(Parcel!$C$39=0,AK30*Use_Library!$Y$29,0)*AN30</f>
        <v/>
      </c>
      <c r="BA30" s="15">
        <f>IF(AND(Use_Library!$K$29="N",AZ30&gt;Location!$C$28),1,0)</f>
        <v/>
      </c>
      <c r="BB30" s="14">
        <f>IF(AND(Parcel!$C$38=0,AV30=0),AK30*Use_Library!$X$29,0)*AN30</f>
        <v/>
      </c>
      <c r="BC30" s="14">
        <f>AH30*Parcel!$C$18*Use_Library!$AA$29*AN30</f>
        <v/>
      </c>
      <c r="BD30" s="14">
        <f>AH30*Use_Library!$AA$29*AN30</f>
        <v/>
      </c>
      <c r="BE30" s="15">
        <f>IF(Use_Library!$C$29="For-Sale",IF(Use_Library!$E$29="Y",AK30,1),1)*AM30</f>
        <v/>
      </c>
      <c r="BF30" s="15">
        <f>IF(OR(Use_Library!$F$29="RES-SF",Use_Library!$F$29="RES-ATT",Use_Library!$F$29="RES-MF",Use_Library!$F$29="MH"),1,0)</f>
        <v/>
      </c>
      <c r="BG30" s="20">
        <f>Cost_Library!$J$5*Location!$C$9*AM30</f>
        <v/>
      </c>
      <c r="BH30" s="20">
        <f>BE30*Cost_Library!$J$6*Location!$C$9</f>
        <v/>
      </c>
      <c r="BI30" s="20">
        <f>BD30*Cost_Library!$J$7*Location!$C$9</f>
        <v/>
      </c>
      <c r="BJ30" s="20">
        <f>Cost_Library!$J$8*Location!$C$9*AN30*IF(Use_Library!$AA$29&gt;=0.5,1,0)</f>
        <v/>
      </c>
      <c r="BK30" s="20">
        <f>AY30*Cost_Library!$J$9*Location!$C$9</f>
        <v/>
      </c>
      <c r="BL30" s="20">
        <f>BA30*Cost_Library!$J$10*Location!$C$9</f>
        <v/>
      </c>
      <c r="BM30" s="20">
        <f>Cost_Library!$J$11*Location!$C$9*AM30</f>
        <v/>
      </c>
      <c r="BN30" s="20">
        <f>Cost_Library!$J$12*Location!$C$9*AN30*IF(Use_Library!$AB$29="Y",1,0)</f>
        <v/>
      </c>
      <c r="BO30" s="20">
        <f>Use_Effective!$C$29*AM30</f>
        <v/>
      </c>
      <c r="BP30" s="20">
        <f>L30*Location!$C$31*AM30</f>
        <v/>
      </c>
      <c r="BQ30" s="20">
        <f>Cost_Library!$J$13*Location!$C$9*AM30</f>
        <v/>
      </c>
      <c r="BR30" s="20">
        <f>BC30*Cost_Library!$J$14*Location!$C$9</f>
        <v/>
      </c>
      <c r="BS30" s="20">
        <f>BD30*Cost_Library!$J$15*Location!$C$9*Parcel!$C$43</f>
        <v/>
      </c>
      <c r="BT30" s="20">
        <f>AQ30*Cost_Library!$J$16*Location!$C$9</f>
        <v/>
      </c>
      <c r="BU30" s="20">
        <f>AR30*Cost_Library!$J$17*Location!$C$9</f>
        <v/>
      </c>
      <c r="BV30" s="20">
        <f>AG30*Cost_Library!$J$18*Location!$C$9*AN30</f>
        <v/>
      </c>
      <c r="BW30" s="20">
        <f>BD30*Cost_Library!$J$19*Location!$C$9</f>
        <v/>
      </c>
      <c r="BX30" s="20">
        <f>IF(Use_Library!$AZ$29="Y",1,0)*Cost_Library!$J$20*Location!$C$9*AN30</f>
        <v/>
      </c>
      <c r="BY30" s="20">
        <f>AT30*Cost_Library!$J$21*Location!$C$9</f>
        <v/>
      </c>
      <c r="BZ30" s="20">
        <f>AU30*Cost_Library!$J$22*Location!$C$9</f>
        <v/>
      </c>
      <c r="CA30" s="20">
        <f>AW30*Cost_Library!$J$23*Location!$C$9</f>
        <v/>
      </c>
      <c r="CB30" s="20">
        <f>AX30*Cost_Library!$J$24*Location!$C$9</f>
        <v/>
      </c>
      <c r="CC30" s="20">
        <f>AY30*Cost_Library!$J$25*Location!$C$9*Parcel!$C$44</f>
        <v/>
      </c>
      <c r="CD30" s="20">
        <f>BB30*Cost_Library!$J$26*Location!$C$9</f>
        <v/>
      </c>
      <c r="CE30" s="20">
        <f>AV30*(Cost_Library!$J$27+AS30*Cost_Library!$J$28)*Location!$C$9</f>
        <v/>
      </c>
      <c r="CF30" s="20">
        <f>AQ30*Cost_Library!$J$29*Location!$C$9</f>
        <v/>
      </c>
      <c r="CG30" s="20">
        <f>SUM(BG30:CF30)</f>
        <v/>
      </c>
      <c r="CH30" s="20">
        <f>CG30*Assumptions!$C$9</f>
        <v/>
      </c>
      <c r="CI30" s="20">
        <f>(CG30+CH30)*Org_Profile!$C$17</f>
        <v/>
      </c>
      <c r="CJ30" s="20">
        <f>CG30+CH30+CI30</f>
        <v/>
      </c>
      <c r="CK30" s="20">
        <f>AK30*Use_Effective!$B$29*(1+Org_Profile!$C$17)</f>
        <v/>
      </c>
      <c r="CL30" s="20">
        <f>CK30*(Assumptions!$C$10+Assumptions!$C$11)</f>
        <v/>
      </c>
      <c r="CM30" s="20">
        <f>AK30*Use_Effective!$D$29</f>
        <v/>
      </c>
      <c r="CN30" s="20">
        <f>AK30*Location!$C$21*BF30*AM30</f>
        <v/>
      </c>
      <c r="CO30" s="14">
        <f>Use_Effective!$F$29+L30*Location!$C$32+BA30*Location!$C$29</f>
        <v/>
      </c>
      <c r="CP30" s="14">
        <f>IF(Use_Effective!$P$29&gt;0,IF(Use_Library!$C$29="For-Sale",AK30,AD30)/Use_Effective!$P$29,0)*AM30</f>
        <v/>
      </c>
      <c r="CQ30" s="14">
        <f>IF(AND(Use_Library!$C$29="For-Sale",Use_Effective!$O$29&gt;0),AK30/Use_Effective!$O$29,0)*AM30</f>
        <v/>
      </c>
      <c r="CR30" s="14">
        <f>IF(Use_Library!$C$29="Income",MAX(Use_Library!$AQ$29,IF(Use_Effective!$O$29&gt;0,AK30/Use_Effective!$O$29,0)),0)</f>
        <v/>
      </c>
      <c r="CS30" s="14">
        <f>CO30+CP30</f>
        <v/>
      </c>
      <c r="CT30" s="14">
        <f>CO30+CQ30+CR30</f>
        <v/>
      </c>
      <c r="CU30" s="14">
        <f>CO30+IF(Use_Library!$C$29="Income",CR30,0)</f>
        <v/>
      </c>
      <c r="CV30" s="23">
        <f>Use_Effective!$G$29+Assumptions!$C$25*MAX(0,(CS30-12)/12)</f>
        <v/>
      </c>
      <c r="CW30" s="23">
        <f>Use_Effective!$G$29+Assumptions!$C$25*MAX(0,(CT30-12)/12)</f>
        <v/>
      </c>
      <c r="CX30" s="23">
        <f>Use_Effective!$G$29+Assumptions!$C$25*MAX(0,(CU30-12)/12)</f>
        <v/>
      </c>
      <c r="CY30" s="28">
        <f>1+Location!$C$17+IF(Parcel!$C$26="Y",Location!$C$20,0)</f>
        <v/>
      </c>
      <c r="CZ30" s="28">
        <f>CY30+Location!$C$19*(CO30+CP30/2)/12</f>
        <v/>
      </c>
      <c r="DA30" s="28">
        <f>CY30+Location!$C$19*(CO30+CQ30/2)/12</f>
        <v/>
      </c>
      <c r="DB30" s="28">
        <f>IF(Use_Library!$C$29="Income",DA30,CY30+Location!$C$19*CO30/12)</f>
        <v/>
      </c>
      <c r="DC30" s="28">
        <f>1+Assumptions!$C$15*(Assumptions!$C$16*(CO30+CP30/2)/12*Assumptions!$C$18+Assumptions!$C$17)</f>
        <v/>
      </c>
      <c r="DD30" s="28">
        <f>1+Assumptions!$C$15*(Assumptions!$C$16*((CO30+CQ30/2)/12*Assumptions!$C$18+CR30/12*Assumptions!$C$19)+Assumptions!$C$17)</f>
        <v/>
      </c>
      <c r="DE30" s="28">
        <f>IF(Use_Library!$C$29="Income",DD30,1+Assumptions!$C$15*(Assumptions!$C$16*CO30/12*Assumptions!$C$18+Assumptions!$C$17))</f>
        <v/>
      </c>
      <c r="DF30" s="23">
        <f>Assumptions!$C$13+Location!$C$18</f>
        <v/>
      </c>
      <c r="DG30" s="23">
        <f>Assumptions!$C$12+Location!$C$18</f>
        <v/>
      </c>
      <c r="DH30" s="23">
        <f>Assumptions!$C$14+Location!$C$18</f>
        <v/>
      </c>
      <c r="DI30" s="20">
        <f>AI30*Location!$C$14*(1-DF30)*AM30</f>
        <v/>
      </c>
      <c r="DJ30" s="20">
        <f>IF(Use_Library!$AV$29=1,IF(Use_Library!$C$29="For-Sale",AK30*Use_Effective!$H$29+Parcel!$C$14*AE30*Use_Effective!$J$29,AD30*Use_Effective!$J$29)*(1-DF30)+DI30,0)*AM30</f>
        <v/>
      </c>
      <c r="DK30" s="20">
        <f>(CG30-BU30-CC30-CD30)*(1+Assumptions!$C$9)*(1+Org_Profile!$C$17)</f>
        <v/>
      </c>
      <c r="DL30" s="28">
        <f>CZ30*DC30</f>
        <v/>
      </c>
      <c r="DM30" s="20">
        <f>(Parcel!$C$27*CZ30+DK30)*DC30</f>
        <v/>
      </c>
      <c r="DN30" s="20">
        <f>DJ30-DM30</f>
        <v/>
      </c>
      <c r="DO30" s="38">
        <f>IF(AND(Use_Library!$AV$29=1,AM30=1),MAX(0,((1-CV30)*DJ30-DK30*DC30)/DL30),0)</f>
        <v/>
      </c>
      <c r="DP30" s="20">
        <f>CJ30+CK30+CL30+CM30+CN30</f>
        <v/>
      </c>
      <c r="DQ30" s="28">
        <f>DA30*DD30</f>
        <v/>
      </c>
      <c r="DR30" s="20">
        <f>(Parcel!$C$27*DA30+DP30)*DD30</f>
        <v/>
      </c>
      <c r="DS30" s="20">
        <f>IF(Use_Library!$C$29="Income",AK30*Use_Effective!$K$29,0)</f>
        <v/>
      </c>
      <c r="DT30" s="20">
        <f>DS30*(1+Use_Library!$AL$29)*(1-Use_Effective!$N$29)</f>
        <v/>
      </c>
      <c r="DU30" s="20">
        <f>IF(Use_Library!$C$29="Income",AK30*Use_Effective!$E$29,0)</f>
        <v/>
      </c>
      <c r="DV30" s="20">
        <f>IF(Use_Library!$C$29="Income",Location!$C$15*Location!$C$16*DR30,0)</f>
        <v/>
      </c>
      <c r="DW30" s="20">
        <f>DT30*Use_Library!$AO$29</f>
        <v/>
      </c>
      <c r="DX30" s="20">
        <f>(DU30+DV30)*Use_Library!$AP$29</f>
        <v/>
      </c>
      <c r="DY30" s="20">
        <f>DT30-DU30-DV30-DW30+DX30</f>
        <v/>
      </c>
      <c r="DZ30" s="26">
        <f>Use_Effective!$M$29</f>
        <v/>
      </c>
      <c r="EA30" s="20">
        <f>IF(AND(Use_Library!$C$29="Income",DZ30&gt;0),DY30/DZ30,0)</f>
        <v/>
      </c>
      <c r="EB30" s="39">
        <f>IF(Use_Library!$C$29="Income",-Location!$C$15*Location!$C$16*(1-Use_Library!$AP$29)*DQ30,0)</f>
        <v/>
      </c>
      <c r="EC30" s="23">
        <f>IF(DR30=0,0,DY30/DR30)</f>
        <v/>
      </c>
      <c r="ED30" s="20">
        <f>IF(Use_Library!$AW$29=1,IF(Use_Library!$C$29="Income",EA30*(1-DH30),AK30*Use_Effective!$I$29*(1-DG30))+DI30,0)*AM30</f>
        <v/>
      </c>
      <c r="EE30" s="39">
        <f>IF(AND(Use_Library!$AW$29=1,Use_Library!$C$29="Income",DZ30&gt;0),EB30/DZ30*(1-DH30),0)</f>
        <v/>
      </c>
      <c r="EF30" s="20">
        <f>ED30-DR30</f>
        <v/>
      </c>
      <c r="EG30" s="38">
        <f>IF(AND(Use_Library!$AW$29=1,AM30=1),MAX(0,Parcel!$C$27-((1-CW30)*ED30-DR30)/((1-CW30)*EE30-DQ30)),0)</f>
        <v/>
      </c>
      <c r="EH30" s="20">
        <f>IF(Use_Library!$AX$29=1,IF(Use_Library!$C$29="Income",EA30,IF(DZ30&gt;0,AD30*Use_Effective!$L$29/DZ30,0))+DI30,0)*AM30</f>
        <v/>
      </c>
      <c r="EI30" s="20">
        <f>IF(Use_Library!$C$29="Income",DP30,CJ30)</f>
        <v/>
      </c>
      <c r="EJ30" s="28">
        <f>IF(Use_Library!$C$29="Income",DQ30,DB30*DE30)</f>
        <v/>
      </c>
      <c r="EK30" s="20">
        <f>IF(Use_Library!$C$29="Income",DR30,(Parcel!$C$27*DB30+CJ30)*DE30)</f>
        <v/>
      </c>
      <c r="EL30" s="39">
        <f>IF(AND(Use_Library!$AX$29=1,Use_Library!$C$29="Income",DZ30&gt;0),EB30/DZ30,0)</f>
        <v/>
      </c>
      <c r="EM30" s="20">
        <f>EH30-EK30</f>
        <v/>
      </c>
      <c r="EN30" s="38">
        <f>IF(AND(Use_Library!$AX$29=1,AM30=1),MAX(0,Parcel!$C$27-((1-CX30)*EH30-EK30)/((1-CX30)*EL30-EJ30)),0)</f>
        <v/>
      </c>
      <c r="EO30" s="20">
        <f>IF(Use_Library!$C$29="Income",Assumptions!$C$15*(Parcel!$C$27*DA30+DP30),0)</f>
        <v/>
      </c>
      <c r="EP30" s="20">
        <f>IF(AND(Use_Library!$C$29="Income",DY30&gt;0),MIN(Assumptions!$C$20*EA30,PV(Assumptions!$C$23/12,Assumptions!$C$24*12,-DY30/Assumptions!$C$21/12),DY30/Assumptions!$C$22),0)</f>
        <v/>
      </c>
      <c r="EQ30" s="27">
        <f>IF(EP30=0,0,DY30/(-PMT(Assumptions!$C$23/12,Assumptions!$C$24*12,EP30)*12))</f>
        <v/>
      </c>
      <c r="ER30" s="20">
        <f>EP30-EO30</f>
        <v/>
      </c>
      <c r="ES30" s="19">
        <f>MAX(DO30,EG30,EN30)</f>
        <v/>
      </c>
      <c r="ET30" s="15">
        <f>IF(ES30&lt;=0,0,IF(DO30=ES30,1,IF(EG30=ES30,2,3)))</f>
        <v/>
      </c>
      <c r="EU30" s="9">
        <f>CHOOSE(ET30+1,"None works","Land / pad sale","Build &amp; sell","Build &amp; hold / lease")</f>
        <v/>
      </c>
      <c r="EV30" s="15">
        <f>CHOOSE(ET30+1,0,CS30,CT30,CU30)</f>
        <v/>
      </c>
      <c r="EW30" s="20">
        <f>ES30*(1-Assumptions!$C$26)</f>
        <v/>
      </c>
      <c r="EX30" s="20">
        <f>ES30-Parcel!$C$27</f>
        <v/>
      </c>
      <c r="EY30" s="20">
        <f>IF(Parcel!$C$14=0,0,ES30/Parcel!$C$14)</f>
        <v/>
      </c>
      <c r="EZ30" s="36">
        <f>IF(AK30=0,0,ES30/AK30)</f>
        <v/>
      </c>
      <c r="FA30" s="9">
        <f>IF(ES30&lt;=0,"Pass",IF(ES30&gt;=Parcel!$C$27*Assumptions!$C$27,"Strong",IF(ES30&gt;=Parcel!$C$27,"Works at asking",IF(ES30&gt;=Parcel!$C$27*Assumptions!$C$28,"Negotiate","Pass"))))</f>
        <v/>
      </c>
      <c r="FB30" s="9">
        <f>IF(AM30=0,"",IF(Use_Library!$BH$29="Y",IF(Use_Effective!$AF$29&gt;=3,"High","Medium"),"Low - verify location"))</f>
        <v/>
      </c>
      <c r="FC30" s="9">
        <f>IF(AND(Use_Library!$BH$29="N",AM30=1),Use_Library!$BI$29,"")</f>
        <v/>
      </c>
      <c r="FD30" s="9">
        <f>TRIM(Q30&amp;" "&amp;IF(AND(AM30=0,T30=1),"Nothing fits. ","")&amp;IF(AND(Use_Library!$AZ$29&lt;&gt;"Y",Parcel!$C$19&lt;Use_Library!$AY$29),"Frontage under "&amp;Use_Library!$AY$29&amp;" LF. ","")&amp;IF(Parcel!$C$17&gt;0.15,"Slope over 15%. ","")&amp;IF(AND(AM30=1,AI30&gt;0.5),TEXT(AI30,"0")&amp;" ac not used - resold as raw land. ","")&amp;IF(AND(AM30=1,AC30&lt;1),"Demand caps it at "&amp;TEXT(AK30,"#,##0")&amp;" "&amp;Use_Library!$D$29&amp;". ","")&amp;IF(AND(AM30=1,L30=1),"Rezone required (+"&amp;Location!$C$32&amp;" mo). ","")&amp;IF(AND(AM30=1,BA30=1),"State wastewater permit needed. ","")&amp;IF(AND(AM30=1,AV30=1),"Public water system needed. ","")&amp;AP30&amp;IF(Parcel!$C$16&gt;Assumptions!$C$29,"Floodplain over "&amp;TEXT(Assumptions!$C$29,"0%")&amp;". ","")&amp;IF(AND(AM30=1,EV30&gt;60),"Over 5 years to exit. ",""))</f>
        <v/>
      </c>
      <c r="FE30" s="20">
        <f>IF(AND(Org_Profile!$C$5="My uses",E30=0),-1E+9,ES30)+ROW()/1000000</f>
        <v/>
      </c>
    </row>
    <row r="31">
      <c r="A31" s="4">
        <f>Use_Library!$A$30</f>
        <v/>
      </c>
      <c r="B31" s="9">
        <f>Use_Library!$C$30</f>
        <v/>
      </c>
      <c r="C31" s="9">
        <f>Use_Library!$D$30</f>
        <v/>
      </c>
      <c r="D31" s="9">
        <f>Use_Library!$F$30</f>
        <v/>
      </c>
      <c r="E31" s="15">
        <f>IF(Org_Profile!$C$47="Y",1,0)</f>
        <v/>
      </c>
      <c r="F31" s="14">
        <f>MAX(0,Parcel!$C$37*(1-Use_Library!$N$30-IF(Use_Library!$AB$30="Y",Assumptions!$C$7,0)))</f>
        <v/>
      </c>
      <c r="G31" s="14">
        <f>IF(Use_Library!$M$30&gt;0,MIN(F31,Use_Library!$M$30),F31)</f>
        <v/>
      </c>
      <c r="H31" s="23">
        <f>IF(F31=0,0,G31/F31)</f>
        <v/>
      </c>
      <c r="I31" s="14">
        <f>Parcel!$C$37*H31</f>
        <v/>
      </c>
      <c r="J31" s="9">
        <f>IF(ISNUMBER(SEARCH(","&amp;Use_Library!$F$30&amp;",",","&amp;SUBSTITUTE(Parcel!$C$11," ","")&amp;",")),"Deed restricted",IF(Parcel!$C$46=0,"No zoning",IF(ISNUMBER(SEARCH(","&amp;Use_Library!$F$30&amp;",",","&amp;SUBSTITUTE(Parcel!$C$10," ","")&amp;",")),"By right",IF(OR(TRIM(Parcel!$C$12)="*",ISNUMBER(SEARCH(","&amp;Use_Library!$F$30&amp;",",","&amp;SUBSTITUTE(Parcel!$C$12," ","")&amp;","))),"Rezone required","Prohibited by zoning"))))</f>
        <v/>
      </c>
      <c r="K31" s="15">
        <f>IF(OR(J31="Deed restricted",J31="Prohibited by zoning"),0,1)</f>
        <v/>
      </c>
      <c r="L31" s="15">
        <f>IF(J31="Rezone required",1,0)</f>
        <v/>
      </c>
      <c r="M31" s="15">
        <f>IF(Parcel!$C$20="None",0,IF(AND(Parcel!$C$20="Private easement",Use_Library!$BA$30="Y"),0,1))</f>
        <v/>
      </c>
      <c r="N31" s="15">
        <f>IF(AND(Use_Library!$AZ$30="Y",Parcel!$C$19&lt;Use_Library!$AY$30),0,1)</f>
        <v/>
      </c>
      <c r="O31" s="15">
        <f>IF(AND(Use_Library!$T$30="Y",Parcel!$C$39=0),0,1)</f>
        <v/>
      </c>
      <c r="P31" s="15">
        <f>IF(AND(Use_Library!$U$30="Y",Parcel!$C$38=0),0,1)</f>
        <v/>
      </c>
      <c r="Q31" s="9">
        <f>TRIM(IF(AND(Use_Library!$BB$30&gt;0,Parcel!$C$28&lt;Use_Library!$BB$30),"Traffic under "&amp;TEXT(Use_Library!$BB$30,"#,##0")&amp;" VPD. ","")&amp;IF(AND(Use_Library!$BC$30&gt;0,Parcel!$C$29&lt;Use_Library!$BC$30),"Under "&amp;TEXT(Use_Library!$BC$30,"#,##0")&amp;" households in 3 mi. ","")&amp;IF(AND(Use_Library!$BD$30&gt;0,Parcel!$C$31&gt;Use_Library!$BD$30),"Over "&amp;Use_Library!$BD$30&amp;" mi to highway. ","")&amp;IF(AND(Use_Library!$BE$30="Y",Parcel!$C$32&lt;&gt;"Y"),"Needs a corner. ","")&amp;IF(AND(Use_Library!$BF$30&gt;0,Parcel!$C$33&gt;Use_Library!$BF$30),"Over "&amp;Use_Library!$BF$30&amp;" mi to substation. ","")&amp;IF(AND(Use_Library!$BG$30&gt;0,Parcel!$C$34&gt;Use_Library!$BG$30),"Over "&amp;Use_Library!$BG$30&amp;" mi to a major employer. ",""))</f>
        <v/>
      </c>
      <c r="R31" s="15">
        <f>IF(Q31="",1,0)</f>
        <v/>
      </c>
      <c r="S31" s="15">
        <f>IF(F31&gt;=Use_Library!$L$30,1,0)</f>
        <v/>
      </c>
      <c r="T31" s="15">
        <f>K31*M31*N31*O31*P31*R31*S31</f>
        <v/>
      </c>
      <c r="U31" s="14">
        <f>IF(Use_Library!$G$30&gt;0,I31*Use_Library!$G$30,1E+9)</f>
        <v/>
      </c>
      <c r="V31" s="14">
        <f>IF(Use_Library!$H$30&gt;0,G31*43560/Use_Library!$H$30,1E+9)</f>
        <v/>
      </c>
      <c r="W31" s="14">
        <f>IF(AND(Use_Library!$K$30="Y",Parcel!$C$39=0),G31*(1-Assumptions!$C$8)/IF(Parcel!$C$38=1,Location!$C$25,Location!$C$26),1E+9)</f>
        <v/>
      </c>
      <c r="X31" s="14">
        <f>IF(Use_Library!$I$30&gt;0,Parcel!$C$14*H31/Use_Library!$I$30,1E+9)</f>
        <v/>
      </c>
      <c r="Y31" s="14">
        <f>IF(Use_Library!$J$30&gt;0,Parcel!$C$19/Use_Library!$J$30,1E+9)</f>
        <v/>
      </c>
      <c r="Z31" s="14">
        <f>IF(AND(Parcel!$C$39=0,Use_Library!$K$30="N",Use_Library!$Y$30&gt;0,Use_Library!$Z$30="Y"),G31*Location!$C$27*Parcel!$C$45/Use_Library!$Y$30,1E+9)</f>
        <v/>
      </c>
      <c r="AA31" s="14">
        <f>MIN(U31,V31,W31,X31,Y31,Z31)</f>
        <v/>
      </c>
      <c r="AB31" s="14">
        <f>IF(Use_Library!$O$30&gt;0,IF(Use_Library!$P$30&gt;=10,Parcel!$C$30,Parcel!$C$29)*Use_Library!$O$30*Use_Library!$Q$30,1E+9)</f>
        <v/>
      </c>
      <c r="AC31" s="23">
        <f>IF(OR(AA31&gt;=1E+9,AA31&lt;=0),1,MIN(1,AB31/AA31))</f>
        <v/>
      </c>
      <c r="AD31" s="14">
        <f>G31*AC31</f>
        <v/>
      </c>
      <c r="AE31" s="23">
        <f>IF(F31=0,0,AD31/F31)</f>
        <v/>
      </c>
      <c r="AF31" s="14">
        <f>Parcel!$C$37*AE31</f>
        <v/>
      </c>
      <c r="AG31" s="14">
        <f>AF31*IF(Use_Library!$AB$30="Y",Assumptions!$C$7,0)</f>
        <v/>
      </c>
      <c r="AH31" s="14">
        <f>AF31*(1-Use_Library!$N$30)</f>
        <v/>
      </c>
      <c r="AI31" s="14">
        <f>Parcel!$C$14*(1-AE31)</f>
        <v/>
      </c>
      <c r="AJ31" s="14">
        <f>MIN(AA31,AB31)</f>
        <v/>
      </c>
      <c r="AK31" s="25">
        <f>IF(T31=0,0,IF(AJ31&gt;=1E+9,AD31,IF(Use_Library!$E$30="Y",INT(AJ31+1E-9),AJ31)))</f>
        <v/>
      </c>
      <c r="AL31" s="9">
        <f>IF(M31=0,"No public road access",IF(K31=0,J31,IF(R31=0,"Location fails",IF(N31=0,"Frontage under "&amp;Use_Library!$AY$30&amp;" LF",IF(S31=0,"Too small - needs "&amp;Use_Library!$L$30&amp;" usable ac",IF(O31=0,"Needs public sewer",IF(P31=0,"Needs public water",IF(AJ31&gt;=1E+9,"Usable acres",IF(AB31&lt;=AA31,"Market demand",IF(W31=AA31,"Septic lot size",IF(Z31=AA31,"Septic capacity (gal/day)",IF(X31=AA31,"Min lot size",IF(Y31=AA31,"Road frontage",IF(V31=AA31,"Site area / parking","Density"))))))))))))))</f>
        <v/>
      </c>
      <c r="AM31" s="15">
        <f>IF(AK31&gt;0,1,0)</f>
        <v/>
      </c>
      <c r="AN31" s="15">
        <f>IF(Use_Library!$Z$30="Y",1,0)*AM31</f>
        <v/>
      </c>
      <c r="AO31" s="14">
        <f>IF(Parcel!$C$39=0,MIN(U31,V31,X31,Y31,AB31),0)</f>
        <v/>
      </c>
      <c r="AP31" s="9">
        <f>IF(AND(Parcel!$C$39=0,M31*K31*R31*N31*S31*P31=1,AO31&lt;1E+9,AO31&gt;=MAX(1,AK31)*1.25),"Unlock: sewer or package plant allows ~"&amp;TEXT(INT(AO31),"#,##0")&amp;" "&amp;Use_Library!$D$30&amp;". ","")</f>
        <v/>
      </c>
      <c r="AQ31" s="15">
        <f>AK31*Use_Library!$AC$30*AN31</f>
        <v/>
      </c>
      <c r="AR31" s="15">
        <f>AK31*Use_Library!$AD$30*AN31</f>
        <v/>
      </c>
      <c r="AS31" s="14">
        <f>AK31*Use_Library!$V$30*AN31</f>
        <v/>
      </c>
      <c r="AT31" s="15">
        <f>IF(Parcel!$C$38=1,AQ31+Parcel!$C$40,0)*AN31</f>
        <v/>
      </c>
      <c r="AU31" s="14">
        <f>AS31*Parcel!$C$38</f>
        <v/>
      </c>
      <c r="AV31" s="15">
        <f>IF(AND(Parcel!$C$38=0,Use_Library!$K$30="N",AS31&gt;=Location!$C$30),1,0)*AN31</f>
        <v/>
      </c>
      <c r="AW31" s="15">
        <f>IF(Parcel!$C$39=1,AQ31+Parcel!$C$41,0)*AN31</f>
        <v/>
      </c>
      <c r="AX31" s="14">
        <f>AS31*Parcel!$C$39</f>
        <v/>
      </c>
      <c r="AY31" s="14">
        <f>IF(Parcel!$C$39=0,AK31*Use_Library!$W$30,0)*AN31</f>
        <v/>
      </c>
      <c r="AZ31" s="15">
        <f>IF(Parcel!$C$39=0,AK31*Use_Library!$Y$30,0)*AN31</f>
        <v/>
      </c>
      <c r="BA31" s="15">
        <f>IF(AND(Use_Library!$K$30="N",AZ31&gt;Location!$C$28),1,0)</f>
        <v/>
      </c>
      <c r="BB31" s="14">
        <f>IF(AND(Parcel!$C$38=0,AV31=0),AK31*Use_Library!$X$30,0)*AN31</f>
        <v/>
      </c>
      <c r="BC31" s="14">
        <f>AH31*Parcel!$C$18*Use_Library!$AA$30*AN31</f>
        <v/>
      </c>
      <c r="BD31" s="14">
        <f>AH31*Use_Library!$AA$30*AN31</f>
        <v/>
      </c>
      <c r="BE31" s="15">
        <f>IF(Use_Library!$C$30="For-Sale",IF(Use_Library!$E$30="Y",AK31,1),1)*AM31</f>
        <v/>
      </c>
      <c r="BF31" s="15">
        <f>IF(OR(Use_Library!$F$30="RES-SF",Use_Library!$F$30="RES-ATT",Use_Library!$F$30="RES-MF",Use_Library!$F$30="MH"),1,0)</f>
        <v/>
      </c>
      <c r="BG31" s="20">
        <f>Cost_Library!$J$5*Location!$C$9*AM31</f>
        <v/>
      </c>
      <c r="BH31" s="20">
        <f>BE31*Cost_Library!$J$6*Location!$C$9</f>
        <v/>
      </c>
      <c r="BI31" s="20">
        <f>BD31*Cost_Library!$J$7*Location!$C$9</f>
        <v/>
      </c>
      <c r="BJ31" s="20">
        <f>Cost_Library!$J$8*Location!$C$9*AN31*IF(Use_Library!$AA$30&gt;=0.5,1,0)</f>
        <v/>
      </c>
      <c r="BK31" s="20">
        <f>AY31*Cost_Library!$J$9*Location!$C$9</f>
        <v/>
      </c>
      <c r="BL31" s="20">
        <f>BA31*Cost_Library!$J$10*Location!$C$9</f>
        <v/>
      </c>
      <c r="BM31" s="20">
        <f>Cost_Library!$J$11*Location!$C$9*AM31</f>
        <v/>
      </c>
      <c r="BN31" s="20">
        <f>Cost_Library!$J$12*Location!$C$9*AN31*IF(Use_Library!$AB$30="Y",1,0)</f>
        <v/>
      </c>
      <c r="BO31" s="20">
        <f>Use_Effective!$C$30*AM31</f>
        <v/>
      </c>
      <c r="BP31" s="20">
        <f>L31*Location!$C$31*AM31</f>
        <v/>
      </c>
      <c r="BQ31" s="20">
        <f>Cost_Library!$J$13*Location!$C$9*AM31</f>
        <v/>
      </c>
      <c r="BR31" s="20">
        <f>BC31*Cost_Library!$J$14*Location!$C$9</f>
        <v/>
      </c>
      <c r="BS31" s="20">
        <f>BD31*Cost_Library!$J$15*Location!$C$9*Parcel!$C$43</f>
        <v/>
      </c>
      <c r="BT31" s="20">
        <f>AQ31*Cost_Library!$J$16*Location!$C$9</f>
        <v/>
      </c>
      <c r="BU31" s="20">
        <f>AR31*Cost_Library!$J$17*Location!$C$9</f>
        <v/>
      </c>
      <c r="BV31" s="20">
        <f>AG31*Cost_Library!$J$18*Location!$C$9*AN31</f>
        <v/>
      </c>
      <c r="BW31" s="20">
        <f>BD31*Cost_Library!$J$19*Location!$C$9</f>
        <v/>
      </c>
      <c r="BX31" s="20">
        <f>IF(Use_Library!$AZ$30="Y",1,0)*Cost_Library!$J$20*Location!$C$9*AN31</f>
        <v/>
      </c>
      <c r="BY31" s="20">
        <f>AT31*Cost_Library!$J$21*Location!$C$9</f>
        <v/>
      </c>
      <c r="BZ31" s="20">
        <f>AU31*Cost_Library!$J$22*Location!$C$9</f>
        <v/>
      </c>
      <c r="CA31" s="20">
        <f>AW31*Cost_Library!$J$23*Location!$C$9</f>
        <v/>
      </c>
      <c r="CB31" s="20">
        <f>AX31*Cost_Library!$J$24*Location!$C$9</f>
        <v/>
      </c>
      <c r="CC31" s="20">
        <f>AY31*Cost_Library!$J$25*Location!$C$9*Parcel!$C$44</f>
        <v/>
      </c>
      <c r="CD31" s="20">
        <f>BB31*Cost_Library!$J$26*Location!$C$9</f>
        <v/>
      </c>
      <c r="CE31" s="20">
        <f>AV31*(Cost_Library!$J$27+AS31*Cost_Library!$J$28)*Location!$C$9</f>
        <v/>
      </c>
      <c r="CF31" s="20">
        <f>AQ31*Cost_Library!$J$29*Location!$C$9</f>
        <v/>
      </c>
      <c r="CG31" s="20">
        <f>SUM(BG31:CF31)</f>
        <v/>
      </c>
      <c r="CH31" s="20">
        <f>CG31*Assumptions!$C$9</f>
        <v/>
      </c>
      <c r="CI31" s="20">
        <f>(CG31+CH31)*Org_Profile!$C$17</f>
        <v/>
      </c>
      <c r="CJ31" s="20">
        <f>CG31+CH31+CI31</f>
        <v/>
      </c>
      <c r="CK31" s="20">
        <f>AK31*Use_Effective!$B$30*(1+Org_Profile!$C$17)</f>
        <v/>
      </c>
      <c r="CL31" s="20">
        <f>CK31*(Assumptions!$C$10+Assumptions!$C$11)</f>
        <v/>
      </c>
      <c r="CM31" s="20">
        <f>AK31*Use_Effective!$D$30</f>
        <v/>
      </c>
      <c r="CN31" s="20">
        <f>AK31*Location!$C$21*BF31*AM31</f>
        <v/>
      </c>
      <c r="CO31" s="14">
        <f>Use_Effective!$F$30+L31*Location!$C$32+BA31*Location!$C$29</f>
        <v/>
      </c>
      <c r="CP31" s="14">
        <f>IF(Use_Effective!$P$30&gt;0,IF(Use_Library!$C$30="For-Sale",AK31,AD31)/Use_Effective!$P$30,0)*AM31</f>
        <v/>
      </c>
      <c r="CQ31" s="14">
        <f>IF(AND(Use_Library!$C$30="For-Sale",Use_Effective!$O$30&gt;0),AK31/Use_Effective!$O$30,0)*AM31</f>
        <v/>
      </c>
      <c r="CR31" s="14">
        <f>IF(Use_Library!$C$30="Income",MAX(Use_Library!$AQ$30,IF(Use_Effective!$O$30&gt;0,AK31/Use_Effective!$O$30,0)),0)</f>
        <v/>
      </c>
      <c r="CS31" s="14">
        <f>CO31+CP31</f>
        <v/>
      </c>
      <c r="CT31" s="14">
        <f>CO31+CQ31+CR31</f>
        <v/>
      </c>
      <c r="CU31" s="14">
        <f>CO31+IF(Use_Library!$C$30="Income",CR31,0)</f>
        <v/>
      </c>
      <c r="CV31" s="23">
        <f>Use_Effective!$G$30+Assumptions!$C$25*MAX(0,(CS31-12)/12)</f>
        <v/>
      </c>
      <c r="CW31" s="23">
        <f>Use_Effective!$G$30+Assumptions!$C$25*MAX(0,(CT31-12)/12)</f>
        <v/>
      </c>
      <c r="CX31" s="23">
        <f>Use_Effective!$G$30+Assumptions!$C$25*MAX(0,(CU31-12)/12)</f>
        <v/>
      </c>
      <c r="CY31" s="28">
        <f>1+Location!$C$17+IF(Parcel!$C$26="Y",Location!$C$20,0)</f>
        <v/>
      </c>
      <c r="CZ31" s="28">
        <f>CY31+Location!$C$19*(CO31+CP31/2)/12</f>
        <v/>
      </c>
      <c r="DA31" s="28">
        <f>CY31+Location!$C$19*(CO31+CQ31/2)/12</f>
        <v/>
      </c>
      <c r="DB31" s="28">
        <f>IF(Use_Library!$C$30="Income",DA31,CY31+Location!$C$19*CO31/12)</f>
        <v/>
      </c>
      <c r="DC31" s="28">
        <f>1+Assumptions!$C$15*(Assumptions!$C$16*(CO31+CP31/2)/12*Assumptions!$C$18+Assumptions!$C$17)</f>
        <v/>
      </c>
      <c r="DD31" s="28">
        <f>1+Assumptions!$C$15*(Assumptions!$C$16*((CO31+CQ31/2)/12*Assumptions!$C$18+CR31/12*Assumptions!$C$19)+Assumptions!$C$17)</f>
        <v/>
      </c>
      <c r="DE31" s="28">
        <f>IF(Use_Library!$C$30="Income",DD31,1+Assumptions!$C$15*(Assumptions!$C$16*CO31/12*Assumptions!$C$18+Assumptions!$C$17))</f>
        <v/>
      </c>
      <c r="DF31" s="23">
        <f>Assumptions!$C$13+Location!$C$18</f>
        <v/>
      </c>
      <c r="DG31" s="23">
        <f>Assumptions!$C$12+Location!$C$18</f>
        <v/>
      </c>
      <c r="DH31" s="23">
        <f>Assumptions!$C$14+Location!$C$18</f>
        <v/>
      </c>
      <c r="DI31" s="20">
        <f>AI31*Location!$C$14*(1-DF31)*AM31</f>
        <v/>
      </c>
      <c r="DJ31" s="20">
        <f>IF(Use_Library!$AV$30=1,IF(Use_Library!$C$30="For-Sale",AK31*Use_Effective!$H$30+Parcel!$C$14*AE31*Use_Effective!$J$30,AD31*Use_Effective!$J$30)*(1-DF31)+DI31,0)*AM31</f>
        <v/>
      </c>
      <c r="DK31" s="20">
        <f>(CG31-BU31-CC31-CD31)*(1+Assumptions!$C$9)*(1+Org_Profile!$C$17)</f>
        <v/>
      </c>
      <c r="DL31" s="28">
        <f>CZ31*DC31</f>
        <v/>
      </c>
      <c r="DM31" s="20">
        <f>(Parcel!$C$27*CZ31+DK31)*DC31</f>
        <v/>
      </c>
      <c r="DN31" s="20">
        <f>DJ31-DM31</f>
        <v/>
      </c>
      <c r="DO31" s="38">
        <f>IF(AND(Use_Library!$AV$30=1,AM31=1),MAX(0,((1-CV31)*DJ31-DK31*DC31)/DL31),0)</f>
        <v/>
      </c>
      <c r="DP31" s="20">
        <f>CJ31+CK31+CL31+CM31+CN31</f>
        <v/>
      </c>
      <c r="DQ31" s="28">
        <f>DA31*DD31</f>
        <v/>
      </c>
      <c r="DR31" s="20">
        <f>(Parcel!$C$27*DA31+DP31)*DD31</f>
        <v/>
      </c>
      <c r="DS31" s="20">
        <f>IF(Use_Library!$C$30="Income",AK31*Use_Effective!$K$30,0)</f>
        <v/>
      </c>
      <c r="DT31" s="20">
        <f>DS31*(1+Use_Library!$AL$30)*(1-Use_Effective!$N$30)</f>
        <v/>
      </c>
      <c r="DU31" s="20">
        <f>IF(Use_Library!$C$30="Income",AK31*Use_Effective!$E$30,0)</f>
        <v/>
      </c>
      <c r="DV31" s="20">
        <f>IF(Use_Library!$C$30="Income",Location!$C$15*Location!$C$16*DR31,0)</f>
        <v/>
      </c>
      <c r="DW31" s="20">
        <f>DT31*Use_Library!$AO$30</f>
        <v/>
      </c>
      <c r="DX31" s="20">
        <f>(DU31+DV31)*Use_Library!$AP$30</f>
        <v/>
      </c>
      <c r="DY31" s="20">
        <f>DT31-DU31-DV31-DW31+DX31</f>
        <v/>
      </c>
      <c r="DZ31" s="26">
        <f>Use_Effective!$M$30</f>
        <v/>
      </c>
      <c r="EA31" s="20">
        <f>IF(AND(Use_Library!$C$30="Income",DZ31&gt;0),DY31/DZ31,0)</f>
        <v/>
      </c>
      <c r="EB31" s="39">
        <f>IF(Use_Library!$C$30="Income",-Location!$C$15*Location!$C$16*(1-Use_Library!$AP$30)*DQ31,0)</f>
        <v/>
      </c>
      <c r="EC31" s="23">
        <f>IF(DR31=0,0,DY31/DR31)</f>
        <v/>
      </c>
      <c r="ED31" s="20">
        <f>IF(Use_Library!$AW$30=1,IF(Use_Library!$C$30="Income",EA31*(1-DH31),AK31*Use_Effective!$I$30*(1-DG31))+DI31,0)*AM31</f>
        <v/>
      </c>
      <c r="EE31" s="39">
        <f>IF(AND(Use_Library!$AW$30=1,Use_Library!$C$30="Income",DZ31&gt;0),EB31/DZ31*(1-DH31),0)</f>
        <v/>
      </c>
      <c r="EF31" s="20">
        <f>ED31-DR31</f>
        <v/>
      </c>
      <c r="EG31" s="38">
        <f>IF(AND(Use_Library!$AW$30=1,AM31=1),MAX(0,Parcel!$C$27-((1-CW31)*ED31-DR31)/((1-CW31)*EE31-DQ31)),0)</f>
        <v/>
      </c>
      <c r="EH31" s="20">
        <f>IF(Use_Library!$AX$30=1,IF(Use_Library!$C$30="Income",EA31,IF(DZ31&gt;0,AD31*Use_Effective!$L$30/DZ31,0))+DI31,0)*AM31</f>
        <v/>
      </c>
      <c r="EI31" s="20">
        <f>IF(Use_Library!$C$30="Income",DP31,CJ31)</f>
        <v/>
      </c>
      <c r="EJ31" s="28">
        <f>IF(Use_Library!$C$30="Income",DQ31,DB31*DE31)</f>
        <v/>
      </c>
      <c r="EK31" s="20">
        <f>IF(Use_Library!$C$30="Income",DR31,(Parcel!$C$27*DB31+CJ31)*DE31)</f>
        <v/>
      </c>
      <c r="EL31" s="39">
        <f>IF(AND(Use_Library!$AX$30=1,Use_Library!$C$30="Income",DZ31&gt;0),EB31/DZ31,0)</f>
        <v/>
      </c>
      <c r="EM31" s="20">
        <f>EH31-EK31</f>
        <v/>
      </c>
      <c r="EN31" s="38">
        <f>IF(AND(Use_Library!$AX$30=1,AM31=1),MAX(0,Parcel!$C$27-((1-CX31)*EH31-EK31)/((1-CX31)*EL31-EJ31)),0)</f>
        <v/>
      </c>
      <c r="EO31" s="20">
        <f>IF(Use_Library!$C$30="Income",Assumptions!$C$15*(Parcel!$C$27*DA31+DP31),0)</f>
        <v/>
      </c>
      <c r="EP31" s="20">
        <f>IF(AND(Use_Library!$C$30="Income",DY31&gt;0),MIN(Assumptions!$C$20*EA31,PV(Assumptions!$C$23/12,Assumptions!$C$24*12,-DY31/Assumptions!$C$21/12),DY31/Assumptions!$C$22),0)</f>
        <v/>
      </c>
      <c r="EQ31" s="27">
        <f>IF(EP31=0,0,DY31/(-PMT(Assumptions!$C$23/12,Assumptions!$C$24*12,EP31)*12))</f>
        <v/>
      </c>
      <c r="ER31" s="20">
        <f>EP31-EO31</f>
        <v/>
      </c>
      <c r="ES31" s="19">
        <f>MAX(DO31,EG31,EN31)</f>
        <v/>
      </c>
      <c r="ET31" s="15">
        <f>IF(ES31&lt;=0,0,IF(DO31=ES31,1,IF(EG31=ES31,2,3)))</f>
        <v/>
      </c>
      <c r="EU31" s="9">
        <f>CHOOSE(ET31+1,"None works","Land / pad sale","Build &amp; sell","Build &amp; hold / lease")</f>
        <v/>
      </c>
      <c r="EV31" s="15">
        <f>CHOOSE(ET31+1,0,CS31,CT31,CU31)</f>
        <v/>
      </c>
      <c r="EW31" s="20">
        <f>ES31*(1-Assumptions!$C$26)</f>
        <v/>
      </c>
      <c r="EX31" s="20">
        <f>ES31-Parcel!$C$27</f>
        <v/>
      </c>
      <c r="EY31" s="20">
        <f>IF(Parcel!$C$14=0,0,ES31/Parcel!$C$14)</f>
        <v/>
      </c>
      <c r="EZ31" s="36">
        <f>IF(AK31=0,0,ES31/AK31)</f>
        <v/>
      </c>
      <c r="FA31" s="9">
        <f>IF(ES31&lt;=0,"Pass",IF(ES31&gt;=Parcel!$C$27*Assumptions!$C$27,"Strong",IF(ES31&gt;=Parcel!$C$27,"Works at asking",IF(ES31&gt;=Parcel!$C$27*Assumptions!$C$28,"Negotiate","Pass"))))</f>
        <v/>
      </c>
      <c r="FB31" s="9">
        <f>IF(AM31=0,"",IF(Use_Library!$BH$30="Y",IF(Use_Effective!$AF$30&gt;=3,"High","Medium"),"Low - verify location"))</f>
        <v/>
      </c>
      <c r="FC31" s="9">
        <f>IF(AND(Use_Library!$BH$30="N",AM31=1),Use_Library!$BI$30,"")</f>
        <v/>
      </c>
      <c r="FD31" s="9">
        <f>TRIM(Q31&amp;" "&amp;IF(AND(AM31=0,T31=1),"Nothing fits. ","")&amp;IF(AND(Use_Library!$AZ$30&lt;&gt;"Y",Parcel!$C$19&lt;Use_Library!$AY$30),"Frontage under "&amp;Use_Library!$AY$30&amp;" LF. ","")&amp;IF(Parcel!$C$17&gt;0.15,"Slope over 15%. ","")&amp;IF(AND(AM31=1,AI31&gt;0.5),TEXT(AI31,"0")&amp;" ac not used - resold as raw land. ","")&amp;IF(AND(AM31=1,AC31&lt;1),"Demand caps it at "&amp;TEXT(AK31,"#,##0")&amp;" "&amp;Use_Library!$D$30&amp;". ","")&amp;IF(AND(AM31=1,L31=1),"Rezone required (+"&amp;Location!$C$32&amp;" mo). ","")&amp;IF(AND(AM31=1,BA31=1),"State wastewater permit needed. ","")&amp;IF(AND(AM31=1,AV31=1),"Public water system needed. ","")&amp;AP31&amp;IF(Parcel!$C$16&gt;Assumptions!$C$29,"Floodplain over "&amp;TEXT(Assumptions!$C$29,"0%")&amp;". ","")&amp;IF(AND(AM31=1,EV31&gt;60),"Over 5 years to exit. ",""))</f>
        <v/>
      </c>
      <c r="FE31" s="20">
        <f>IF(AND(Org_Profile!$C$5="My uses",E31=0),-1E+9,ES31)+ROW()/1000000</f>
        <v/>
      </c>
    </row>
    <row r="32">
      <c r="A32" s="4">
        <f>Use_Library!$A$31</f>
        <v/>
      </c>
      <c r="B32" s="9">
        <f>Use_Library!$C$31</f>
        <v/>
      </c>
      <c r="C32" s="9">
        <f>Use_Library!$D$31</f>
        <v/>
      </c>
      <c r="D32" s="9">
        <f>Use_Library!$F$31</f>
        <v/>
      </c>
      <c r="E32" s="15">
        <f>IF(Org_Profile!$C$48="Y",1,0)</f>
        <v/>
      </c>
      <c r="F32" s="14">
        <f>MAX(0,Parcel!$C$37*(1-Use_Library!$N$31-IF(Use_Library!$AB$31="Y",Assumptions!$C$7,0)))</f>
        <v/>
      </c>
      <c r="G32" s="14">
        <f>IF(Use_Library!$M$31&gt;0,MIN(F32,Use_Library!$M$31),F32)</f>
        <v/>
      </c>
      <c r="H32" s="23">
        <f>IF(F32=0,0,G32/F32)</f>
        <v/>
      </c>
      <c r="I32" s="14">
        <f>Parcel!$C$37*H32</f>
        <v/>
      </c>
      <c r="J32" s="9">
        <f>IF(ISNUMBER(SEARCH(","&amp;Use_Library!$F$31&amp;",",","&amp;SUBSTITUTE(Parcel!$C$11," ","")&amp;",")),"Deed restricted",IF(Parcel!$C$46=0,"No zoning",IF(ISNUMBER(SEARCH(","&amp;Use_Library!$F$31&amp;",",","&amp;SUBSTITUTE(Parcel!$C$10," ","")&amp;",")),"By right",IF(OR(TRIM(Parcel!$C$12)="*",ISNUMBER(SEARCH(","&amp;Use_Library!$F$31&amp;",",","&amp;SUBSTITUTE(Parcel!$C$12," ","")&amp;","))),"Rezone required","Prohibited by zoning"))))</f>
        <v/>
      </c>
      <c r="K32" s="15">
        <f>IF(OR(J32="Deed restricted",J32="Prohibited by zoning"),0,1)</f>
        <v/>
      </c>
      <c r="L32" s="15">
        <f>IF(J32="Rezone required",1,0)</f>
        <v/>
      </c>
      <c r="M32" s="15">
        <f>IF(Parcel!$C$20="None",0,IF(AND(Parcel!$C$20="Private easement",Use_Library!$BA$31="Y"),0,1))</f>
        <v/>
      </c>
      <c r="N32" s="15">
        <f>IF(AND(Use_Library!$AZ$31="Y",Parcel!$C$19&lt;Use_Library!$AY$31),0,1)</f>
        <v/>
      </c>
      <c r="O32" s="15">
        <f>IF(AND(Use_Library!$T$31="Y",Parcel!$C$39=0),0,1)</f>
        <v/>
      </c>
      <c r="P32" s="15">
        <f>IF(AND(Use_Library!$U$31="Y",Parcel!$C$38=0),0,1)</f>
        <v/>
      </c>
      <c r="Q32" s="9">
        <f>TRIM(IF(AND(Use_Library!$BB$31&gt;0,Parcel!$C$28&lt;Use_Library!$BB$31),"Traffic under "&amp;TEXT(Use_Library!$BB$31,"#,##0")&amp;" VPD. ","")&amp;IF(AND(Use_Library!$BC$31&gt;0,Parcel!$C$29&lt;Use_Library!$BC$31),"Under "&amp;TEXT(Use_Library!$BC$31,"#,##0")&amp;" households in 3 mi. ","")&amp;IF(AND(Use_Library!$BD$31&gt;0,Parcel!$C$31&gt;Use_Library!$BD$31),"Over "&amp;Use_Library!$BD$31&amp;" mi to highway. ","")&amp;IF(AND(Use_Library!$BE$31="Y",Parcel!$C$32&lt;&gt;"Y"),"Needs a corner. ","")&amp;IF(AND(Use_Library!$BF$31&gt;0,Parcel!$C$33&gt;Use_Library!$BF$31),"Over "&amp;Use_Library!$BF$31&amp;" mi to substation. ","")&amp;IF(AND(Use_Library!$BG$31&gt;0,Parcel!$C$34&gt;Use_Library!$BG$31),"Over "&amp;Use_Library!$BG$31&amp;" mi to a major employer. ",""))</f>
        <v/>
      </c>
      <c r="R32" s="15">
        <f>IF(Q32="",1,0)</f>
        <v/>
      </c>
      <c r="S32" s="15">
        <f>IF(F32&gt;=Use_Library!$L$31,1,0)</f>
        <v/>
      </c>
      <c r="T32" s="15">
        <f>K32*M32*N32*O32*P32*R32*S32</f>
        <v/>
      </c>
      <c r="U32" s="14">
        <f>IF(Use_Library!$G$31&gt;0,I32*Use_Library!$G$31,1E+9)</f>
        <v/>
      </c>
      <c r="V32" s="14">
        <f>IF(Use_Library!$H$31&gt;0,G32*43560/Use_Library!$H$31,1E+9)</f>
        <v/>
      </c>
      <c r="W32" s="14">
        <f>IF(AND(Use_Library!$K$31="Y",Parcel!$C$39=0),G32*(1-Assumptions!$C$8)/IF(Parcel!$C$38=1,Location!$C$25,Location!$C$26),1E+9)</f>
        <v/>
      </c>
      <c r="X32" s="14">
        <f>IF(Use_Library!$I$31&gt;0,Parcel!$C$14*H32/Use_Library!$I$31,1E+9)</f>
        <v/>
      </c>
      <c r="Y32" s="14">
        <f>IF(Use_Library!$J$31&gt;0,Parcel!$C$19/Use_Library!$J$31,1E+9)</f>
        <v/>
      </c>
      <c r="Z32" s="14">
        <f>IF(AND(Parcel!$C$39=0,Use_Library!$K$31="N",Use_Library!$Y$31&gt;0,Use_Library!$Z$31="Y"),G32*Location!$C$27*Parcel!$C$45/Use_Library!$Y$31,1E+9)</f>
        <v/>
      </c>
      <c r="AA32" s="14">
        <f>MIN(U32,V32,W32,X32,Y32,Z32)</f>
        <v/>
      </c>
      <c r="AB32" s="14">
        <f>IF(Use_Library!$O$31&gt;0,IF(Use_Library!$P$31&gt;=10,Parcel!$C$30,Parcel!$C$29)*Use_Library!$O$31*Use_Library!$Q$31,1E+9)</f>
        <v/>
      </c>
      <c r="AC32" s="23">
        <f>IF(OR(AA32&gt;=1E+9,AA32&lt;=0),1,MIN(1,AB32/AA32))</f>
        <v/>
      </c>
      <c r="AD32" s="14">
        <f>G32*AC32</f>
        <v/>
      </c>
      <c r="AE32" s="23">
        <f>IF(F32=0,0,AD32/F32)</f>
        <v/>
      </c>
      <c r="AF32" s="14">
        <f>Parcel!$C$37*AE32</f>
        <v/>
      </c>
      <c r="AG32" s="14">
        <f>AF32*IF(Use_Library!$AB$31="Y",Assumptions!$C$7,0)</f>
        <v/>
      </c>
      <c r="AH32" s="14">
        <f>AF32*(1-Use_Library!$N$31)</f>
        <v/>
      </c>
      <c r="AI32" s="14">
        <f>Parcel!$C$14*(1-AE32)</f>
        <v/>
      </c>
      <c r="AJ32" s="14">
        <f>MIN(AA32,AB32)</f>
        <v/>
      </c>
      <c r="AK32" s="25">
        <f>IF(T32=0,0,IF(AJ32&gt;=1E+9,AD32,IF(Use_Library!$E$31="Y",INT(AJ32+1E-9),AJ32)))</f>
        <v/>
      </c>
      <c r="AL32" s="9">
        <f>IF(M32=0,"No public road access",IF(K32=0,J32,IF(R32=0,"Location fails",IF(N32=0,"Frontage under "&amp;Use_Library!$AY$31&amp;" LF",IF(S32=0,"Too small - needs "&amp;Use_Library!$L$31&amp;" usable ac",IF(O32=0,"Needs public sewer",IF(P32=0,"Needs public water",IF(AJ32&gt;=1E+9,"Usable acres",IF(AB32&lt;=AA32,"Market demand",IF(W32=AA32,"Septic lot size",IF(Z32=AA32,"Septic capacity (gal/day)",IF(X32=AA32,"Min lot size",IF(Y32=AA32,"Road frontage",IF(V32=AA32,"Site area / parking","Density"))))))))))))))</f>
        <v/>
      </c>
      <c r="AM32" s="15">
        <f>IF(AK32&gt;0,1,0)</f>
        <v/>
      </c>
      <c r="AN32" s="15">
        <f>IF(Use_Library!$Z$31="Y",1,0)*AM32</f>
        <v/>
      </c>
      <c r="AO32" s="14">
        <f>IF(Parcel!$C$39=0,MIN(U32,V32,X32,Y32,AB32),0)</f>
        <v/>
      </c>
      <c r="AP32" s="9">
        <f>IF(AND(Parcel!$C$39=0,M32*K32*R32*N32*S32*P32=1,AO32&lt;1E+9,AO32&gt;=MAX(1,AK32)*1.25),"Unlock: sewer or package plant allows ~"&amp;TEXT(INT(AO32),"#,##0")&amp;" "&amp;Use_Library!$D$31&amp;". ","")</f>
        <v/>
      </c>
      <c r="AQ32" s="15">
        <f>AK32*Use_Library!$AC$31*AN32</f>
        <v/>
      </c>
      <c r="AR32" s="15">
        <f>AK32*Use_Library!$AD$31*AN32</f>
        <v/>
      </c>
      <c r="AS32" s="14">
        <f>AK32*Use_Library!$V$31*AN32</f>
        <v/>
      </c>
      <c r="AT32" s="15">
        <f>IF(Parcel!$C$38=1,AQ32+Parcel!$C$40,0)*AN32</f>
        <v/>
      </c>
      <c r="AU32" s="14">
        <f>AS32*Parcel!$C$38</f>
        <v/>
      </c>
      <c r="AV32" s="15">
        <f>IF(AND(Parcel!$C$38=0,Use_Library!$K$31="N",AS32&gt;=Location!$C$30),1,0)*AN32</f>
        <v/>
      </c>
      <c r="AW32" s="15">
        <f>IF(Parcel!$C$39=1,AQ32+Parcel!$C$41,0)*AN32</f>
        <v/>
      </c>
      <c r="AX32" s="14">
        <f>AS32*Parcel!$C$39</f>
        <v/>
      </c>
      <c r="AY32" s="14">
        <f>IF(Parcel!$C$39=0,AK32*Use_Library!$W$31,0)*AN32</f>
        <v/>
      </c>
      <c r="AZ32" s="15">
        <f>IF(Parcel!$C$39=0,AK32*Use_Library!$Y$31,0)*AN32</f>
        <v/>
      </c>
      <c r="BA32" s="15">
        <f>IF(AND(Use_Library!$K$31="N",AZ32&gt;Location!$C$28),1,0)</f>
        <v/>
      </c>
      <c r="BB32" s="14">
        <f>IF(AND(Parcel!$C$38=0,AV32=0),AK32*Use_Library!$X$31,0)*AN32</f>
        <v/>
      </c>
      <c r="BC32" s="14">
        <f>AH32*Parcel!$C$18*Use_Library!$AA$31*AN32</f>
        <v/>
      </c>
      <c r="BD32" s="14">
        <f>AH32*Use_Library!$AA$31*AN32</f>
        <v/>
      </c>
      <c r="BE32" s="15">
        <f>IF(Use_Library!$C$31="For-Sale",IF(Use_Library!$E$31="Y",AK32,1),1)*AM32</f>
        <v/>
      </c>
      <c r="BF32" s="15">
        <f>IF(OR(Use_Library!$F$31="RES-SF",Use_Library!$F$31="RES-ATT",Use_Library!$F$31="RES-MF",Use_Library!$F$31="MH"),1,0)</f>
        <v/>
      </c>
      <c r="BG32" s="20">
        <f>Cost_Library!$J$5*Location!$C$9*AM32</f>
        <v/>
      </c>
      <c r="BH32" s="20">
        <f>BE32*Cost_Library!$J$6*Location!$C$9</f>
        <v/>
      </c>
      <c r="BI32" s="20">
        <f>BD32*Cost_Library!$J$7*Location!$C$9</f>
        <v/>
      </c>
      <c r="BJ32" s="20">
        <f>Cost_Library!$J$8*Location!$C$9*AN32*IF(Use_Library!$AA$31&gt;=0.5,1,0)</f>
        <v/>
      </c>
      <c r="BK32" s="20">
        <f>AY32*Cost_Library!$J$9*Location!$C$9</f>
        <v/>
      </c>
      <c r="BL32" s="20">
        <f>BA32*Cost_Library!$J$10*Location!$C$9</f>
        <v/>
      </c>
      <c r="BM32" s="20">
        <f>Cost_Library!$J$11*Location!$C$9*AM32</f>
        <v/>
      </c>
      <c r="BN32" s="20">
        <f>Cost_Library!$J$12*Location!$C$9*AN32*IF(Use_Library!$AB$31="Y",1,0)</f>
        <v/>
      </c>
      <c r="BO32" s="20">
        <f>Use_Effective!$C$31*AM32</f>
        <v/>
      </c>
      <c r="BP32" s="20">
        <f>L32*Location!$C$31*AM32</f>
        <v/>
      </c>
      <c r="BQ32" s="20">
        <f>Cost_Library!$J$13*Location!$C$9*AM32</f>
        <v/>
      </c>
      <c r="BR32" s="20">
        <f>BC32*Cost_Library!$J$14*Location!$C$9</f>
        <v/>
      </c>
      <c r="BS32" s="20">
        <f>BD32*Cost_Library!$J$15*Location!$C$9*Parcel!$C$43</f>
        <v/>
      </c>
      <c r="BT32" s="20">
        <f>AQ32*Cost_Library!$J$16*Location!$C$9</f>
        <v/>
      </c>
      <c r="BU32" s="20">
        <f>AR32*Cost_Library!$J$17*Location!$C$9</f>
        <v/>
      </c>
      <c r="BV32" s="20">
        <f>AG32*Cost_Library!$J$18*Location!$C$9*AN32</f>
        <v/>
      </c>
      <c r="BW32" s="20">
        <f>BD32*Cost_Library!$J$19*Location!$C$9</f>
        <v/>
      </c>
      <c r="BX32" s="20">
        <f>IF(Use_Library!$AZ$31="Y",1,0)*Cost_Library!$J$20*Location!$C$9*AN32</f>
        <v/>
      </c>
      <c r="BY32" s="20">
        <f>AT32*Cost_Library!$J$21*Location!$C$9</f>
        <v/>
      </c>
      <c r="BZ32" s="20">
        <f>AU32*Cost_Library!$J$22*Location!$C$9</f>
        <v/>
      </c>
      <c r="CA32" s="20">
        <f>AW32*Cost_Library!$J$23*Location!$C$9</f>
        <v/>
      </c>
      <c r="CB32" s="20">
        <f>AX32*Cost_Library!$J$24*Location!$C$9</f>
        <v/>
      </c>
      <c r="CC32" s="20">
        <f>AY32*Cost_Library!$J$25*Location!$C$9*Parcel!$C$44</f>
        <v/>
      </c>
      <c r="CD32" s="20">
        <f>BB32*Cost_Library!$J$26*Location!$C$9</f>
        <v/>
      </c>
      <c r="CE32" s="20">
        <f>AV32*(Cost_Library!$J$27+AS32*Cost_Library!$J$28)*Location!$C$9</f>
        <v/>
      </c>
      <c r="CF32" s="20">
        <f>AQ32*Cost_Library!$J$29*Location!$C$9</f>
        <v/>
      </c>
      <c r="CG32" s="20">
        <f>SUM(BG32:CF32)</f>
        <v/>
      </c>
      <c r="CH32" s="20">
        <f>CG32*Assumptions!$C$9</f>
        <v/>
      </c>
      <c r="CI32" s="20">
        <f>(CG32+CH32)*Org_Profile!$C$17</f>
        <v/>
      </c>
      <c r="CJ32" s="20">
        <f>CG32+CH32+CI32</f>
        <v/>
      </c>
      <c r="CK32" s="20">
        <f>AK32*Use_Effective!$B$31*(1+Org_Profile!$C$17)</f>
        <v/>
      </c>
      <c r="CL32" s="20">
        <f>CK32*(Assumptions!$C$10+Assumptions!$C$11)</f>
        <v/>
      </c>
      <c r="CM32" s="20">
        <f>AK32*Use_Effective!$D$31</f>
        <v/>
      </c>
      <c r="CN32" s="20">
        <f>AK32*Location!$C$21*BF32*AM32</f>
        <v/>
      </c>
      <c r="CO32" s="14">
        <f>Use_Effective!$F$31+L32*Location!$C$32+BA32*Location!$C$29</f>
        <v/>
      </c>
      <c r="CP32" s="14">
        <f>IF(Use_Effective!$P$31&gt;0,IF(Use_Library!$C$31="For-Sale",AK32,AD32)/Use_Effective!$P$31,0)*AM32</f>
        <v/>
      </c>
      <c r="CQ32" s="14">
        <f>IF(AND(Use_Library!$C$31="For-Sale",Use_Effective!$O$31&gt;0),AK32/Use_Effective!$O$31,0)*AM32</f>
        <v/>
      </c>
      <c r="CR32" s="14">
        <f>IF(Use_Library!$C$31="Income",MAX(Use_Library!$AQ$31,IF(Use_Effective!$O$31&gt;0,AK32/Use_Effective!$O$31,0)),0)</f>
        <v/>
      </c>
      <c r="CS32" s="14">
        <f>CO32+CP32</f>
        <v/>
      </c>
      <c r="CT32" s="14">
        <f>CO32+CQ32+CR32</f>
        <v/>
      </c>
      <c r="CU32" s="14">
        <f>CO32+IF(Use_Library!$C$31="Income",CR32,0)</f>
        <v/>
      </c>
      <c r="CV32" s="23">
        <f>Use_Effective!$G$31+Assumptions!$C$25*MAX(0,(CS32-12)/12)</f>
        <v/>
      </c>
      <c r="CW32" s="23">
        <f>Use_Effective!$G$31+Assumptions!$C$25*MAX(0,(CT32-12)/12)</f>
        <v/>
      </c>
      <c r="CX32" s="23">
        <f>Use_Effective!$G$31+Assumptions!$C$25*MAX(0,(CU32-12)/12)</f>
        <v/>
      </c>
      <c r="CY32" s="28">
        <f>1+Location!$C$17+IF(Parcel!$C$26="Y",Location!$C$20,0)</f>
        <v/>
      </c>
      <c r="CZ32" s="28">
        <f>CY32+Location!$C$19*(CO32+CP32/2)/12</f>
        <v/>
      </c>
      <c r="DA32" s="28">
        <f>CY32+Location!$C$19*(CO32+CQ32/2)/12</f>
        <v/>
      </c>
      <c r="DB32" s="28">
        <f>IF(Use_Library!$C$31="Income",DA32,CY32+Location!$C$19*CO32/12)</f>
        <v/>
      </c>
      <c r="DC32" s="28">
        <f>1+Assumptions!$C$15*(Assumptions!$C$16*(CO32+CP32/2)/12*Assumptions!$C$18+Assumptions!$C$17)</f>
        <v/>
      </c>
      <c r="DD32" s="28">
        <f>1+Assumptions!$C$15*(Assumptions!$C$16*((CO32+CQ32/2)/12*Assumptions!$C$18+CR32/12*Assumptions!$C$19)+Assumptions!$C$17)</f>
        <v/>
      </c>
      <c r="DE32" s="28">
        <f>IF(Use_Library!$C$31="Income",DD32,1+Assumptions!$C$15*(Assumptions!$C$16*CO32/12*Assumptions!$C$18+Assumptions!$C$17))</f>
        <v/>
      </c>
      <c r="DF32" s="23">
        <f>Assumptions!$C$13+Location!$C$18</f>
        <v/>
      </c>
      <c r="DG32" s="23">
        <f>Assumptions!$C$12+Location!$C$18</f>
        <v/>
      </c>
      <c r="DH32" s="23">
        <f>Assumptions!$C$14+Location!$C$18</f>
        <v/>
      </c>
      <c r="DI32" s="20">
        <f>AI32*Location!$C$14*(1-DF32)*AM32</f>
        <v/>
      </c>
      <c r="DJ32" s="20">
        <f>IF(Use_Library!$AV$31=1,IF(Use_Library!$C$31="For-Sale",AK32*Use_Effective!$H$31+Parcel!$C$14*AE32*Use_Effective!$J$31,AD32*Use_Effective!$J$31)*(1-DF32)+DI32,0)*AM32</f>
        <v/>
      </c>
      <c r="DK32" s="20">
        <f>(CG32-BU32-CC32-CD32)*(1+Assumptions!$C$9)*(1+Org_Profile!$C$17)</f>
        <v/>
      </c>
      <c r="DL32" s="28">
        <f>CZ32*DC32</f>
        <v/>
      </c>
      <c r="DM32" s="20">
        <f>(Parcel!$C$27*CZ32+DK32)*DC32</f>
        <v/>
      </c>
      <c r="DN32" s="20">
        <f>DJ32-DM32</f>
        <v/>
      </c>
      <c r="DO32" s="38">
        <f>IF(AND(Use_Library!$AV$31=1,AM32=1),MAX(0,((1-CV32)*DJ32-DK32*DC32)/DL32),0)</f>
        <v/>
      </c>
      <c r="DP32" s="20">
        <f>CJ32+CK32+CL32+CM32+CN32</f>
        <v/>
      </c>
      <c r="DQ32" s="28">
        <f>DA32*DD32</f>
        <v/>
      </c>
      <c r="DR32" s="20">
        <f>(Parcel!$C$27*DA32+DP32)*DD32</f>
        <v/>
      </c>
      <c r="DS32" s="20">
        <f>IF(Use_Library!$C$31="Income",AK32*Use_Effective!$K$31,0)</f>
        <v/>
      </c>
      <c r="DT32" s="20">
        <f>DS32*(1+Use_Library!$AL$31)*(1-Use_Effective!$N$31)</f>
        <v/>
      </c>
      <c r="DU32" s="20">
        <f>IF(Use_Library!$C$31="Income",AK32*Use_Effective!$E$31,0)</f>
        <v/>
      </c>
      <c r="DV32" s="20">
        <f>IF(Use_Library!$C$31="Income",Location!$C$15*Location!$C$16*DR32,0)</f>
        <v/>
      </c>
      <c r="DW32" s="20">
        <f>DT32*Use_Library!$AO$31</f>
        <v/>
      </c>
      <c r="DX32" s="20">
        <f>(DU32+DV32)*Use_Library!$AP$31</f>
        <v/>
      </c>
      <c r="DY32" s="20">
        <f>DT32-DU32-DV32-DW32+DX32</f>
        <v/>
      </c>
      <c r="DZ32" s="26">
        <f>Use_Effective!$M$31</f>
        <v/>
      </c>
      <c r="EA32" s="20">
        <f>IF(AND(Use_Library!$C$31="Income",DZ32&gt;0),DY32/DZ32,0)</f>
        <v/>
      </c>
      <c r="EB32" s="39">
        <f>IF(Use_Library!$C$31="Income",-Location!$C$15*Location!$C$16*(1-Use_Library!$AP$31)*DQ32,0)</f>
        <v/>
      </c>
      <c r="EC32" s="23">
        <f>IF(DR32=0,0,DY32/DR32)</f>
        <v/>
      </c>
      <c r="ED32" s="20">
        <f>IF(Use_Library!$AW$31=1,IF(Use_Library!$C$31="Income",EA32*(1-DH32),AK32*Use_Effective!$I$31*(1-DG32))+DI32,0)*AM32</f>
        <v/>
      </c>
      <c r="EE32" s="39">
        <f>IF(AND(Use_Library!$AW$31=1,Use_Library!$C$31="Income",DZ32&gt;0),EB32/DZ32*(1-DH32),0)</f>
        <v/>
      </c>
      <c r="EF32" s="20">
        <f>ED32-DR32</f>
        <v/>
      </c>
      <c r="EG32" s="38">
        <f>IF(AND(Use_Library!$AW$31=1,AM32=1),MAX(0,Parcel!$C$27-((1-CW32)*ED32-DR32)/((1-CW32)*EE32-DQ32)),0)</f>
        <v/>
      </c>
      <c r="EH32" s="20">
        <f>IF(Use_Library!$AX$31=1,IF(Use_Library!$C$31="Income",EA32,IF(DZ32&gt;0,AD32*Use_Effective!$L$31/DZ32,0))+DI32,0)*AM32</f>
        <v/>
      </c>
      <c r="EI32" s="20">
        <f>IF(Use_Library!$C$31="Income",DP32,CJ32)</f>
        <v/>
      </c>
      <c r="EJ32" s="28">
        <f>IF(Use_Library!$C$31="Income",DQ32,DB32*DE32)</f>
        <v/>
      </c>
      <c r="EK32" s="20">
        <f>IF(Use_Library!$C$31="Income",DR32,(Parcel!$C$27*DB32+CJ32)*DE32)</f>
        <v/>
      </c>
      <c r="EL32" s="39">
        <f>IF(AND(Use_Library!$AX$31=1,Use_Library!$C$31="Income",DZ32&gt;0),EB32/DZ32,0)</f>
        <v/>
      </c>
      <c r="EM32" s="20">
        <f>EH32-EK32</f>
        <v/>
      </c>
      <c r="EN32" s="38">
        <f>IF(AND(Use_Library!$AX$31=1,AM32=1),MAX(0,Parcel!$C$27-((1-CX32)*EH32-EK32)/((1-CX32)*EL32-EJ32)),0)</f>
        <v/>
      </c>
      <c r="EO32" s="20">
        <f>IF(Use_Library!$C$31="Income",Assumptions!$C$15*(Parcel!$C$27*DA32+DP32),0)</f>
        <v/>
      </c>
      <c r="EP32" s="20">
        <f>IF(AND(Use_Library!$C$31="Income",DY32&gt;0),MIN(Assumptions!$C$20*EA32,PV(Assumptions!$C$23/12,Assumptions!$C$24*12,-DY32/Assumptions!$C$21/12),DY32/Assumptions!$C$22),0)</f>
        <v/>
      </c>
      <c r="EQ32" s="27">
        <f>IF(EP32=0,0,DY32/(-PMT(Assumptions!$C$23/12,Assumptions!$C$24*12,EP32)*12))</f>
        <v/>
      </c>
      <c r="ER32" s="20">
        <f>EP32-EO32</f>
        <v/>
      </c>
      <c r="ES32" s="19">
        <f>MAX(DO32,EG32,EN32)</f>
        <v/>
      </c>
      <c r="ET32" s="15">
        <f>IF(ES32&lt;=0,0,IF(DO32=ES32,1,IF(EG32=ES32,2,3)))</f>
        <v/>
      </c>
      <c r="EU32" s="9">
        <f>CHOOSE(ET32+1,"None works","Land / pad sale","Build &amp; sell","Build &amp; hold / lease")</f>
        <v/>
      </c>
      <c r="EV32" s="15">
        <f>CHOOSE(ET32+1,0,CS32,CT32,CU32)</f>
        <v/>
      </c>
      <c r="EW32" s="20">
        <f>ES32*(1-Assumptions!$C$26)</f>
        <v/>
      </c>
      <c r="EX32" s="20">
        <f>ES32-Parcel!$C$27</f>
        <v/>
      </c>
      <c r="EY32" s="20">
        <f>IF(Parcel!$C$14=0,0,ES32/Parcel!$C$14)</f>
        <v/>
      </c>
      <c r="EZ32" s="36">
        <f>IF(AK32=0,0,ES32/AK32)</f>
        <v/>
      </c>
      <c r="FA32" s="9">
        <f>IF(ES32&lt;=0,"Pass",IF(ES32&gt;=Parcel!$C$27*Assumptions!$C$27,"Strong",IF(ES32&gt;=Parcel!$C$27,"Works at asking",IF(ES32&gt;=Parcel!$C$27*Assumptions!$C$28,"Negotiate","Pass"))))</f>
        <v/>
      </c>
      <c r="FB32" s="9">
        <f>IF(AM32=0,"",IF(Use_Library!$BH$31="Y",IF(Use_Effective!$AF$31&gt;=3,"High","Medium"),"Low - verify location"))</f>
        <v/>
      </c>
      <c r="FC32" s="9">
        <f>IF(AND(Use_Library!$BH$31="N",AM32=1),Use_Library!$BI$31,"")</f>
        <v/>
      </c>
      <c r="FD32" s="9">
        <f>TRIM(Q32&amp;" "&amp;IF(AND(AM32=0,T32=1),"Nothing fits. ","")&amp;IF(AND(Use_Library!$AZ$31&lt;&gt;"Y",Parcel!$C$19&lt;Use_Library!$AY$31),"Frontage under "&amp;Use_Library!$AY$31&amp;" LF. ","")&amp;IF(Parcel!$C$17&gt;0.15,"Slope over 15%. ","")&amp;IF(AND(AM32=1,AI32&gt;0.5),TEXT(AI32,"0")&amp;" ac not used - resold as raw land. ","")&amp;IF(AND(AM32=1,AC32&lt;1),"Demand caps it at "&amp;TEXT(AK32,"#,##0")&amp;" "&amp;Use_Library!$D$31&amp;". ","")&amp;IF(AND(AM32=1,L32=1),"Rezone required (+"&amp;Location!$C$32&amp;" mo). ","")&amp;IF(AND(AM32=1,BA32=1),"State wastewater permit needed. ","")&amp;IF(AND(AM32=1,AV32=1),"Public water system needed. ","")&amp;AP32&amp;IF(Parcel!$C$16&gt;Assumptions!$C$29,"Floodplain over "&amp;TEXT(Assumptions!$C$29,"0%")&amp;". ","")&amp;IF(AND(AM32=1,EV32&gt;60),"Over 5 years to exit. ",""))</f>
        <v/>
      </c>
      <c r="FE32" s="20">
        <f>IF(AND(Org_Profile!$C$5="My uses",E32=0),-1E+9,ES32)+ROW()/1000000</f>
        <v/>
      </c>
    </row>
    <row r="33">
      <c r="A33" s="4">
        <f>Use_Library!$A$32</f>
        <v/>
      </c>
      <c r="B33" s="9">
        <f>Use_Library!$C$32</f>
        <v/>
      </c>
      <c r="C33" s="9">
        <f>Use_Library!$D$32</f>
        <v/>
      </c>
      <c r="D33" s="9">
        <f>Use_Library!$F$32</f>
        <v/>
      </c>
      <c r="E33" s="15">
        <f>IF(Org_Profile!$C$49="Y",1,0)</f>
        <v/>
      </c>
      <c r="F33" s="14">
        <f>MAX(0,Parcel!$C$37*(1-Use_Library!$N$32-IF(Use_Library!$AB$32="Y",Assumptions!$C$7,0)))</f>
        <v/>
      </c>
      <c r="G33" s="14">
        <f>IF(Use_Library!$M$32&gt;0,MIN(F33,Use_Library!$M$32),F33)</f>
        <v/>
      </c>
      <c r="H33" s="23">
        <f>IF(F33=0,0,G33/F33)</f>
        <v/>
      </c>
      <c r="I33" s="14">
        <f>Parcel!$C$37*H33</f>
        <v/>
      </c>
      <c r="J33" s="9">
        <f>IF(ISNUMBER(SEARCH(","&amp;Use_Library!$F$32&amp;",",","&amp;SUBSTITUTE(Parcel!$C$11," ","")&amp;",")),"Deed restricted",IF(Parcel!$C$46=0,"No zoning",IF(ISNUMBER(SEARCH(","&amp;Use_Library!$F$32&amp;",",","&amp;SUBSTITUTE(Parcel!$C$10," ","")&amp;",")),"By right",IF(OR(TRIM(Parcel!$C$12)="*",ISNUMBER(SEARCH(","&amp;Use_Library!$F$32&amp;",",","&amp;SUBSTITUTE(Parcel!$C$12," ","")&amp;","))),"Rezone required","Prohibited by zoning"))))</f>
        <v/>
      </c>
      <c r="K33" s="15">
        <f>IF(OR(J33="Deed restricted",J33="Prohibited by zoning"),0,1)</f>
        <v/>
      </c>
      <c r="L33" s="15">
        <f>IF(J33="Rezone required",1,0)</f>
        <v/>
      </c>
      <c r="M33" s="15">
        <f>IF(Parcel!$C$20="None",0,IF(AND(Parcel!$C$20="Private easement",Use_Library!$BA$32="Y"),0,1))</f>
        <v/>
      </c>
      <c r="N33" s="15">
        <f>IF(AND(Use_Library!$AZ$32="Y",Parcel!$C$19&lt;Use_Library!$AY$32),0,1)</f>
        <v/>
      </c>
      <c r="O33" s="15">
        <f>IF(AND(Use_Library!$T$32="Y",Parcel!$C$39=0),0,1)</f>
        <v/>
      </c>
      <c r="P33" s="15">
        <f>IF(AND(Use_Library!$U$32="Y",Parcel!$C$38=0),0,1)</f>
        <v/>
      </c>
      <c r="Q33" s="9">
        <f>TRIM(IF(AND(Use_Library!$BB$32&gt;0,Parcel!$C$28&lt;Use_Library!$BB$32),"Traffic under "&amp;TEXT(Use_Library!$BB$32,"#,##0")&amp;" VPD. ","")&amp;IF(AND(Use_Library!$BC$32&gt;0,Parcel!$C$29&lt;Use_Library!$BC$32),"Under "&amp;TEXT(Use_Library!$BC$32,"#,##0")&amp;" households in 3 mi. ","")&amp;IF(AND(Use_Library!$BD$32&gt;0,Parcel!$C$31&gt;Use_Library!$BD$32),"Over "&amp;Use_Library!$BD$32&amp;" mi to highway. ","")&amp;IF(AND(Use_Library!$BE$32="Y",Parcel!$C$32&lt;&gt;"Y"),"Needs a corner. ","")&amp;IF(AND(Use_Library!$BF$32&gt;0,Parcel!$C$33&gt;Use_Library!$BF$32),"Over "&amp;Use_Library!$BF$32&amp;" mi to substation. ","")&amp;IF(AND(Use_Library!$BG$32&gt;0,Parcel!$C$34&gt;Use_Library!$BG$32),"Over "&amp;Use_Library!$BG$32&amp;" mi to a major employer. ",""))</f>
        <v/>
      </c>
      <c r="R33" s="15">
        <f>IF(Q33="",1,0)</f>
        <v/>
      </c>
      <c r="S33" s="15">
        <f>IF(F33&gt;=Use_Library!$L$32,1,0)</f>
        <v/>
      </c>
      <c r="T33" s="15">
        <f>K33*M33*N33*O33*P33*R33*S33</f>
        <v/>
      </c>
      <c r="U33" s="14">
        <f>IF(Use_Library!$G$32&gt;0,I33*Use_Library!$G$32,1E+9)</f>
        <v/>
      </c>
      <c r="V33" s="14">
        <f>IF(Use_Library!$H$32&gt;0,G33*43560/Use_Library!$H$32,1E+9)</f>
        <v/>
      </c>
      <c r="W33" s="14">
        <f>IF(AND(Use_Library!$K$32="Y",Parcel!$C$39=0),G33*(1-Assumptions!$C$8)/IF(Parcel!$C$38=1,Location!$C$25,Location!$C$26),1E+9)</f>
        <v/>
      </c>
      <c r="X33" s="14">
        <f>IF(Use_Library!$I$32&gt;0,Parcel!$C$14*H33/Use_Library!$I$32,1E+9)</f>
        <v/>
      </c>
      <c r="Y33" s="14">
        <f>IF(Use_Library!$J$32&gt;0,Parcel!$C$19/Use_Library!$J$32,1E+9)</f>
        <v/>
      </c>
      <c r="Z33" s="14">
        <f>IF(AND(Parcel!$C$39=0,Use_Library!$K$32="N",Use_Library!$Y$32&gt;0,Use_Library!$Z$32="Y"),G33*Location!$C$27*Parcel!$C$45/Use_Library!$Y$32,1E+9)</f>
        <v/>
      </c>
      <c r="AA33" s="14">
        <f>MIN(U33,V33,W33,X33,Y33,Z33)</f>
        <v/>
      </c>
      <c r="AB33" s="14">
        <f>IF(Use_Library!$O$32&gt;0,IF(Use_Library!$P$32&gt;=10,Parcel!$C$30,Parcel!$C$29)*Use_Library!$O$32*Use_Library!$Q$32,1E+9)</f>
        <v/>
      </c>
      <c r="AC33" s="23">
        <f>IF(OR(AA33&gt;=1E+9,AA33&lt;=0),1,MIN(1,AB33/AA33))</f>
        <v/>
      </c>
      <c r="AD33" s="14">
        <f>G33*AC33</f>
        <v/>
      </c>
      <c r="AE33" s="23">
        <f>IF(F33=0,0,AD33/F33)</f>
        <v/>
      </c>
      <c r="AF33" s="14">
        <f>Parcel!$C$37*AE33</f>
        <v/>
      </c>
      <c r="AG33" s="14">
        <f>AF33*IF(Use_Library!$AB$32="Y",Assumptions!$C$7,0)</f>
        <v/>
      </c>
      <c r="AH33" s="14">
        <f>AF33*(1-Use_Library!$N$32)</f>
        <v/>
      </c>
      <c r="AI33" s="14">
        <f>Parcel!$C$14*(1-AE33)</f>
        <v/>
      </c>
      <c r="AJ33" s="14">
        <f>MIN(AA33,AB33)</f>
        <v/>
      </c>
      <c r="AK33" s="25">
        <f>IF(T33=0,0,IF(AJ33&gt;=1E+9,AD33,IF(Use_Library!$E$32="Y",INT(AJ33+1E-9),AJ33)))</f>
        <v/>
      </c>
      <c r="AL33" s="9">
        <f>IF(M33=0,"No public road access",IF(K33=0,J33,IF(R33=0,"Location fails",IF(N33=0,"Frontage under "&amp;Use_Library!$AY$32&amp;" LF",IF(S33=0,"Too small - needs "&amp;Use_Library!$L$32&amp;" usable ac",IF(O33=0,"Needs public sewer",IF(P33=0,"Needs public water",IF(AJ33&gt;=1E+9,"Usable acres",IF(AB33&lt;=AA33,"Market demand",IF(W33=AA33,"Septic lot size",IF(Z33=AA33,"Septic capacity (gal/day)",IF(X33=AA33,"Min lot size",IF(Y33=AA33,"Road frontage",IF(V33=AA33,"Site area / parking","Density"))))))))))))))</f>
        <v/>
      </c>
      <c r="AM33" s="15">
        <f>IF(AK33&gt;0,1,0)</f>
        <v/>
      </c>
      <c r="AN33" s="15">
        <f>IF(Use_Library!$Z$32="Y",1,0)*AM33</f>
        <v/>
      </c>
      <c r="AO33" s="14">
        <f>IF(Parcel!$C$39=0,MIN(U33,V33,X33,Y33,AB33),0)</f>
        <v/>
      </c>
      <c r="AP33" s="9">
        <f>IF(AND(Parcel!$C$39=0,M33*K33*R33*N33*S33*P33=1,AO33&lt;1E+9,AO33&gt;=MAX(1,AK33)*1.25),"Unlock: sewer or package plant allows ~"&amp;TEXT(INT(AO33),"#,##0")&amp;" "&amp;Use_Library!$D$32&amp;". ","")</f>
        <v/>
      </c>
      <c r="AQ33" s="15">
        <f>AK33*Use_Library!$AC$32*AN33</f>
        <v/>
      </c>
      <c r="AR33" s="15">
        <f>AK33*Use_Library!$AD$32*AN33</f>
        <v/>
      </c>
      <c r="AS33" s="14">
        <f>AK33*Use_Library!$V$32*AN33</f>
        <v/>
      </c>
      <c r="AT33" s="15">
        <f>IF(Parcel!$C$38=1,AQ33+Parcel!$C$40,0)*AN33</f>
        <v/>
      </c>
      <c r="AU33" s="14">
        <f>AS33*Parcel!$C$38</f>
        <v/>
      </c>
      <c r="AV33" s="15">
        <f>IF(AND(Parcel!$C$38=0,Use_Library!$K$32="N",AS33&gt;=Location!$C$30),1,0)*AN33</f>
        <v/>
      </c>
      <c r="AW33" s="15">
        <f>IF(Parcel!$C$39=1,AQ33+Parcel!$C$41,0)*AN33</f>
        <v/>
      </c>
      <c r="AX33" s="14">
        <f>AS33*Parcel!$C$39</f>
        <v/>
      </c>
      <c r="AY33" s="14">
        <f>IF(Parcel!$C$39=0,AK33*Use_Library!$W$32,0)*AN33</f>
        <v/>
      </c>
      <c r="AZ33" s="15">
        <f>IF(Parcel!$C$39=0,AK33*Use_Library!$Y$32,0)*AN33</f>
        <v/>
      </c>
      <c r="BA33" s="15">
        <f>IF(AND(Use_Library!$K$32="N",AZ33&gt;Location!$C$28),1,0)</f>
        <v/>
      </c>
      <c r="BB33" s="14">
        <f>IF(AND(Parcel!$C$38=0,AV33=0),AK33*Use_Library!$X$32,0)*AN33</f>
        <v/>
      </c>
      <c r="BC33" s="14">
        <f>AH33*Parcel!$C$18*Use_Library!$AA$32*AN33</f>
        <v/>
      </c>
      <c r="BD33" s="14">
        <f>AH33*Use_Library!$AA$32*AN33</f>
        <v/>
      </c>
      <c r="BE33" s="15">
        <f>IF(Use_Library!$C$32="For-Sale",IF(Use_Library!$E$32="Y",AK33,1),1)*AM33</f>
        <v/>
      </c>
      <c r="BF33" s="15">
        <f>IF(OR(Use_Library!$F$32="RES-SF",Use_Library!$F$32="RES-ATT",Use_Library!$F$32="RES-MF",Use_Library!$F$32="MH"),1,0)</f>
        <v/>
      </c>
      <c r="BG33" s="20">
        <f>Cost_Library!$J$5*Location!$C$9*AM33</f>
        <v/>
      </c>
      <c r="BH33" s="20">
        <f>BE33*Cost_Library!$J$6*Location!$C$9</f>
        <v/>
      </c>
      <c r="BI33" s="20">
        <f>BD33*Cost_Library!$J$7*Location!$C$9</f>
        <v/>
      </c>
      <c r="BJ33" s="20">
        <f>Cost_Library!$J$8*Location!$C$9*AN33*IF(Use_Library!$AA$32&gt;=0.5,1,0)</f>
        <v/>
      </c>
      <c r="BK33" s="20">
        <f>AY33*Cost_Library!$J$9*Location!$C$9</f>
        <v/>
      </c>
      <c r="BL33" s="20">
        <f>BA33*Cost_Library!$J$10*Location!$C$9</f>
        <v/>
      </c>
      <c r="BM33" s="20">
        <f>Cost_Library!$J$11*Location!$C$9*AM33</f>
        <v/>
      </c>
      <c r="BN33" s="20">
        <f>Cost_Library!$J$12*Location!$C$9*AN33*IF(Use_Library!$AB$32="Y",1,0)</f>
        <v/>
      </c>
      <c r="BO33" s="20">
        <f>Use_Effective!$C$32*AM33</f>
        <v/>
      </c>
      <c r="BP33" s="20">
        <f>L33*Location!$C$31*AM33</f>
        <v/>
      </c>
      <c r="BQ33" s="20">
        <f>Cost_Library!$J$13*Location!$C$9*AM33</f>
        <v/>
      </c>
      <c r="BR33" s="20">
        <f>BC33*Cost_Library!$J$14*Location!$C$9</f>
        <v/>
      </c>
      <c r="BS33" s="20">
        <f>BD33*Cost_Library!$J$15*Location!$C$9*Parcel!$C$43</f>
        <v/>
      </c>
      <c r="BT33" s="20">
        <f>AQ33*Cost_Library!$J$16*Location!$C$9</f>
        <v/>
      </c>
      <c r="BU33" s="20">
        <f>AR33*Cost_Library!$J$17*Location!$C$9</f>
        <v/>
      </c>
      <c r="BV33" s="20">
        <f>AG33*Cost_Library!$J$18*Location!$C$9*AN33</f>
        <v/>
      </c>
      <c r="BW33" s="20">
        <f>BD33*Cost_Library!$J$19*Location!$C$9</f>
        <v/>
      </c>
      <c r="BX33" s="20">
        <f>IF(Use_Library!$AZ$32="Y",1,0)*Cost_Library!$J$20*Location!$C$9*AN33</f>
        <v/>
      </c>
      <c r="BY33" s="20">
        <f>AT33*Cost_Library!$J$21*Location!$C$9</f>
        <v/>
      </c>
      <c r="BZ33" s="20">
        <f>AU33*Cost_Library!$J$22*Location!$C$9</f>
        <v/>
      </c>
      <c r="CA33" s="20">
        <f>AW33*Cost_Library!$J$23*Location!$C$9</f>
        <v/>
      </c>
      <c r="CB33" s="20">
        <f>AX33*Cost_Library!$J$24*Location!$C$9</f>
        <v/>
      </c>
      <c r="CC33" s="20">
        <f>AY33*Cost_Library!$J$25*Location!$C$9*Parcel!$C$44</f>
        <v/>
      </c>
      <c r="CD33" s="20">
        <f>BB33*Cost_Library!$J$26*Location!$C$9</f>
        <v/>
      </c>
      <c r="CE33" s="20">
        <f>AV33*(Cost_Library!$J$27+AS33*Cost_Library!$J$28)*Location!$C$9</f>
        <v/>
      </c>
      <c r="CF33" s="20">
        <f>AQ33*Cost_Library!$J$29*Location!$C$9</f>
        <v/>
      </c>
      <c r="CG33" s="20">
        <f>SUM(BG33:CF33)</f>
        <v/>
      </c>
      <c r="CH33" s="20">
        <f>CG33*Assumptions!$C$9</f>
        <v/>
      </c>
      <c r="CI33" s="20">
        <f>(CG33+CH33)*Org_Profile!$C$17</f>
        <v/>
      </c>
      <c r="CJ33" s="20">
        <f>CG33+CH33+CI33</f>
        <v/>
      </c>
      <c r="CK33" s="20">
        <f>AK33*Use_Effective!$B$32*(1+Org_Profile!$C$17)</f>
        <v/>
      </c>
      <c r="CL33" s="20">
        <f>CK33*(Assumptions!$C$10+Assumptions!$C$11)</f>
        <v/>
      </c>
      <c r="CM33" s="20">
        <f>AK33*Use_Effective!$D$32</f>
        <v/>
      </c>
      <c r="CN33" s="20">
        <f>AK33*Location!$C$21*BF33*AM33</f>
        <v/>
      </c>
      <c r="CO33" s="14">
        <f>Use_Effective!$F$32+L33*Location!$C$32+BA33*Location!$C$29</f>
        <v/>
      </c>
      <c r="CP33" s="14">
        <f>IF(Use_Effective!$P$32&gt;0,IF(Use_Library!$C$32="For-Sale",AK33,AD33)/Use_Effective!$P$32,0)*AM33</f>
        <v/>
      </c>
      <c r="CQ33" s="14">
        <f>IF(AND(Use_Library!$C$32="For-Sale",Use_Effective!$O$32&gt;0),AK33/Use_Effective!$O$32,0)*AM33</f>
        <v/>
      </c>
      <c r="CR33" s="14">
        <f>IF(Use_Library!$C$32="Income",MAX(Use_Library!$AQ$32,IF(Use_Effective!$O$32&gt;0,AK33/Use_Effective!$O$32,0)),0)</f>
        <v/>
      </c>
      <c r="CS33" s="14">
        <f>CO33+CP33</f>
        <v/>
      </c>
      <c r="CT33" s="14">
        <f>CO33+CQ33+CR33</f>
        <v/>
      </c>
      <c r="CU33" s="14">
        <f>CO33+IF(Use_Library!$C$32="Income",CR33,0)</f>
        <v/>
      </c>
      <c r="CV33" s="23">
        <f>Use_Effective!$G$32+Assumptions!$C$25*MAX(0,(CS33-12)/12)</f>
        <v/>
      </c>
      <c r="CW33" s="23">
        <f>Use_Effective!$G$32+Assumptions!$C$25*MAX(0,(CT33-12)/12)</f>
        <v/>
      </c>
      <c r="CX33" s="23">
        <f>Use_Effective!$G$32+Assumptions!$C$25*MAX(0,(CU33-12)/12)</f>
        <v/>
      </c>
      <c r="CY33" s="28">
        <f>1+Location!$C$17+IF(Parcel!$C$26="Y",Location!$C$20,0)</f>
        <v/>
      </c>
      <c r="CZ33" s="28">
        <f>CY33+Location!$C$19*(CO33+CP33/2)/12</f>
        <v/>
      </c>
      <c r="DA33" s="28">
        <f>CY33+Location!$C$19*(CO33+CQ33/2)/12</f>
        <v/>
      </c>
      <c r="DB33" s="28">
        <f>IF(Use_Library!$C$32="Income",DA33,CY33+Location!$C$19*CO33/12)</f>
        <v/>
      </c>
      <c r="DC33" s="28">
        <f>1+Assumptions!$C$15*(Assumptions!$C$16*(CO33+CP33/2)/12*Assumptions!$C$18+Assumptions!$C$17)</f>
        <v/>
      </c>
      <c r="DD33" s="28">
        <f>1+Assumptions!$C$15*(Assumptions!$C$16*((CO33+CQ33/2)/12*Assumptions!$C$18+CR33/12*Assumptions!$C$19)+Assumptions!$C$17)</f>
        <v/>
      </c>
      <c r="DE33" s="28">
        <f>IF(Use_Library!$C$32="Income",DD33,1+Assumptions!$C$15*(Assumptions!$C$16*CO33/12*Assumptions!$C$18+Assumptions!$C$17))</f>
        <v/>
      </c>
      <c r="DF33" s="23">
        <f>Assumptions!$C$13+Location!$C$18</f>
        <v/>
      </c>
      <c r="DG33" s="23">
        <f>Assumptions!$C$12+Location!$C$18</f>
        <v/>
      </c>
      <c r="DH33" s="23">
        <f>Assumptions!$C$14+Location!$C$18</f>
        <v/>
      </c>
      <c r="DI33" s="20">
        <f>AI33*Location!$C$14*(1-DF33)*AM33</f>
        <v/>
      </c>
      <c r="DJ33" s="20">
        <f>IF(Use_Library!$AV$32=1,IF(Use_Library!$C$32="For-Sale",AK33*Use_Effective!$H$32+Parcel!$C$14*AE33*Use_Effective!$J$32,AD33*Use_Effective!$J$32)*(1-DF33)+DI33,0)*AM33</f>
        <v/>
      </c>
      <c r="DK33" s="20">
        <f>(CG33-BU33-CC33-CD33)*(1+Assumptions!$C$9)*(1+Org_Profile!$C$17)</f>
        <v/>
      </c>
      <c r="DL33" s="28">
        <f>CZ33*DC33</f>
        <v/>
      </c>
      <c r="DM33" s="20">
        <f>(Parcel!$C$27*CZ33+DK33)*DC33</f>
        <v/>
      </c>
      <c r="DN33" s="20">
        <f>DJ33-DM33</f>
        <v/>
      </c>
      <c r="DO33" s="38">
        <f>IF(AND(Use_Library!$AV$32=1,AM33=1),MAX(0,((1-CV33)*DJ33-DK33*DC33)/DL33),0)</f>
        <v/>
      </c>
      <c r="DP33" s="20">
        <f>CJ33+CK33+CL33+CM33+CN33</f>
        <v/>
      </c>
      <c r="DQ33" s="28">
        <f>DA33*DD33</f>
        <v/>
      </c>
      <c r="DR33" s="20">
        <f>(Parcel!$C$27*DA33+DP33)*DD33</f>
        <v/>
      </c>
      <c r="DS33" s="20">
        <f>IF(Use_Library!$C$32="Income",AK33*Use_Effective!$K$32,0)</f>
        <v/>
      </c>
      <c r="DT33" s="20">
        <f>DS33*(1+Use_Library!$AL$32)*(1-Use_Effective!$N$32)</f>
        <v/>
      </c>
      <c r="DU33" s="20">
        <f>IF(Use_Library!$C$32="Income",AK33*Use_Effective!$E$32,0)</f>
        <v/>
      </c>
      <c r="DV33" s="20">
        <f>IF(Use_Library!$C$32="Income",Location!$C$15*Location!$C$16*DR33,0)</f>
        <v/>
      </c>
      <c r="DW33" s="20">
        <f>DT33*Use_Library!$AO$32</f>
        <v/>
      </c>
      <c r="DX33" s="20">
        <f>(DU33+DV33)*Use_Library!$AP$32</f>
        <v/>
      </c>
      <c r="DY33" s="20">
        <f>DT33-DU33-DV33-DW33+DX33</f>
        <v/>
      </c>
      <c r="DZ33" s="26">
        <f>Use_Effective!$M$32</f>
        <v/>
      </c>
      <c r="EA33" s="20">
        <f>IF(AND(Use_Library!$C$32="Income",DZ33&gt;0),DY33/DZ33,0)</f>
        <v/>
      </c>
      <c r="EB33" s="39">
        <f>IF(Use_Library!$C$32="Income",-Location!$C$15*Location!$C$16*(1-Use_Library!$AP$32)*DQ33,0)</f>
        <v/>
      </c>
      <c r="EC33" s="23">
        <f>IF(DR33=0,0,DY33/DR33)</f>
        <v/>
      </c>
      <c r="ED33" s="20">
        <f>IF(Use_Library!$AW$32=1,IF(Use_Library!$C$32="Income",EA33*(1-DH33),AK33*Use_Effective!$I$32*(1-DG33))+DI33,0)*AM33</f>
        <v/>
      </c>
      <c r="EE33" s="39">
        <f>IF(AND(Use_Library!$AW$32=1,Use_Library!$C$32="Income",DZ33&gt;0),EB33/DZ33*(1-DH33),0)</f>
        <v/>
      </c>
      <c r="EF33" s="20">
        <f>ED33-DR33</f>
        <v/>
      </c>
      <c r="EG33" s="38">
        <f>IF(AND(Use_Library!$AW$32=1,AM33=1),MAX(0,Parcel!$C$27-((1-CW33)*ED33-DR33)/((1-CW33)*EE33-DQ33)),0)</f>
        <v/>
      </c>
      <c r="EH33" s="20">
        <f>IF(Use_Library!$AX$32=1,IF(Use_Library!$C$32="Income",EA33,IF(DZ33&gt;0,AD33*Use_Effective!$L$32/DZ33,0))+DI33,0)*AM33</f>
        <v/>
      </c>
      <c r="EI33" s="20">
        <f>IF(Use_Library!$C$32="Income",DP33,CJ33)</f>
        <v/>
      </c>
      <c r="EJ33" s="28">
        <f>IF(Use_Library!$C$32="Income",DQ33,DB33*DE33)</f>
        <v/>
      </c>
      <c r="EK33" s="20">
        <f>IF(Use_Library!$C$32="Income",DR33,(Parcel!$C$27*DB33+CJ33)*DE33)</f>
        <v/>
      </c>
      <c r="EL33" s="39">
        <f>IF(AND(Use_Library!$AX$32=1,Use_Library!$C$32="Income",DZ33&gt;0),EB33/DZ33,0)</f>
        <v/>
      </c>
      <c r="EM33" s="20">
        <f>EH33-EK33</f>
        <v/>
      </c>
      <c r="EN33" s="38">
        <f>IF(AND(Use_Library!$AX$32=1,AM33=1),MAX(0,Parcel!$C$27-((1-CX33)*EH33-EK33)/((1-CX33)*EL33-EJ33)),0)</f>
        <v/>
      </c>
      <c r="EO33" s="20">
        <f>IF(Use_Library!$C$32="Income",Assumptions!$C$15*(Parcel!$C$27*DA33+DP33),0)</f>
        <v/>
      </c>
      <c r="EP33" s="20">
        <f>IF(AND(Use_Library!$C$32="Income",DY33&gt;0),MIN(Assumptions!$C$20*EA33,PV(Assumptions!$C$23/12,Assumptions!$C$24*12,-DY33/Assumptions!$C$21/12),DY33/Assumptions!$C$22),0)</f>
        <v/>
      </c>
      <c r="EQ33" s="27">
        <f>IF(EP33=0,0,DY33/(-PMT(Assumptions!$C$23/12,Assumptions!$C$24*12,EP33)*12))</f>
        <v/>
      </c>
      <c r="ER33" s="20">
        <f>EP33-EO33</f>
        <v/>
      </c>
      <c r="ES33" s="19">
        <f>MAX(DO33,EG33,EN33)</f>
        <v/>
      </c>
      <c r="ET33" s="15">
        <f>IF(ES33&lt;=0,0,IF(DO33=ES33,1,IF(EG33=ES33,2,3)))</f>
        <v/>
      </c>
      <c r="EU33" s="9">
        <f>CHOOSE(ET33+1,"None works","Land / pad sale","Build &amp; sell","Build &amp; hold / lease")</f>
        <v/>
      </c>
      <c r="EV33" s="15">
        <f>CHOOSE(ET33+1,0,CS33,CT33,CU33)</f>
        <v/>
      </c>
      <c r="EW33" s="20">
        <f>ES33*(1-Assumptions!$C$26)</f>
        <v/>
      </c>
      <c r="EX33" s="20">
        <f>ES33-Parcel!$C$27</f>
        <v/>
      </c>
      <c r="EY33" s="20">
        <f>IF(Parcel!$C$14=0,0,ES33/Parcel!$C$14)</f>
        <v/>
      </c>
      <c r="EZ33" s="36">
        <f>IF(AK33=0,0,ES33/AK33)</f>
        <v/>
      </c>
      <c r="FA33" s="9">
        <f>IF(ES33&lt;=0,"Pass",IF(ES33&gt;=Parcel!$C$27*Assumptions!$C$27,"Strong",IF(ES33&gt;=Parcel!$C$27,"Works at asking",IF(ES33&gt;=Parcel!$C$27*Assumptions!$C$28,"Negotiate","Pass"))))</f>
        <v/>
      </c>
      <c r="FB33" s="9">
        <f>IF(AM33=0,"",IF(Use_Library!$BH$32="Y",IF(Use_Effective!$AF$32&gt;=3,"High","Medium"),"Low - verify location"))</f>
        <v/>
      </c>
      <c r="FC33" s="9">
        <f>IF(AND(Use_Library!$BH$32="N",AM33=1),Use_Library!$BI$32,"")</f>
        <v/>
      </c>
      <c r="FD33" s="9">
        <f>TRIM(Q33&amp;" "&amp;IF(AND(AM33=0,T33=1),"Nothing fits. ","")&amp;IF(AND(Use_Library!$AZ$32&lt;&gt;"Y",Parcel!$C$19&lt;Use_Library!$AY$32),"Frontage under "&amp;Use_Library!$AY$32&amp;" LF. ","")&amp;IF(Parcel!$C$17&gt;0.15,"Slope over 15%. ","")&amp;IF(AND(AM33=1,AI33&gt;0.5),TEXT(AI33,"0")&amp;" ac not used - resold as raw land. ","")&amp;IF(AND(AM33=1,AC33&lt;1),"Demand caps it at "&amp;TEXT(AK33,"#,##0")&amp;" "&amp;Use_Library!$D$32&amp;". ","")&amp;IF(AND(AM33=1,L33=1),"Rezone required (+"&amp;Location!$C$32&amp;" mo). ","")&amp;IF(AND(AM33=1,BA33=1),"State wastewater permit needed. ","")&amp;IF(AND(AM33=1,AV33=1),"Public water system needed. ","")&amp;AP33&amp;IF(Parcel!$C$16&gt;Assumptions!$C$29,"Floodplain over "&amp;TEXT(Assumptions!$C$29,"0%")&amp;". ","")&amp;IF(AND(AM33=1,EV33&gt;60),"Over 5 years to exit. ",""))</f>
        <v/>
      </c>
      <c r="FE33" s="20">
        <f>IF(AND(Org_Profile!$C$5="My uses",E33=0),-1E+9,ES33)+ROW()/1000000</f>
        <v/>
      </c>
    </row>
    <row r="34">
      <c r="A34" s="4">
        <f>Use_Library!$A$33</f>
        <v/>
      </c>
      <c r="B34" s="9">
        <f>Use_Library!$C$33</f>
        <v/>
      </c>
      <c r="C34" s="9">
        <f>Use_Library!$D$33</f>
        <v/>
      </c>
      <c r="D34" s="9">
        <f>Use_Library!$F$33</f>
        <v/>
      </c>
      <c r="E34" s="15">
        <f>IF(Org_Profile!$C$50="Y",1,0)</f>
        <v/>
      </c>
      <c r="F34" s="14">
        <f>MAX(0,Parcel!$C$37*(1-Use_Library!$N$33-IF(Use_Library!$AB$33="Y",Assumptions!$C$7,0)))</f>
        <v/>
      </c>
      <c r="G34" s="14">
        <f>IF(Use_Library!$M$33&gt;0,MIN(F34,Use_Library!$M$33),F34)</f>
        <v/>
      </c>
      <c r="H34" s="23">
        <f>IF(F34=0,0,G34/F34)</f>
        <v/>
      </c>
      <c r="I34" s="14">
        <f>Parcel!$C$37*H34</f>
        <v/>
      </c>
      <c r="J34" s="9">
        <f>IF(ISNUMBER(SEARCH(","&amp;Use_Library!$F$33&amp;",",","&amp;SUBSTITUTE(Parcel!$C$11," ","")&amp;",")),"Deed restricted",IF(Parcel!$C$46=0,"No zoning",IF(ISNUMBER(SEARCH(","&amp;Use_Library!$F$33&amp;",",","&amp;SUBSTITUTE(Parcel!$C$10," ","")&amp;",")),"By right",IF(OR(TRIM(Parcel!$C$12)="*",ISNUMBER(SEARCH(","&amp;Use_Library!$F$33&amp;",",","&amp;SUBSTITUTE(Parcel!$C$12," ","")&amp;","))),"Rezone required","Prohibited by zoning"))))</f>
        <v/>
      </c>
      <c r="K34" s="15">
        <f>IF(OR(J34="Deed restricted",J34="Prohibited by zoning"),0,1)</f>
        <v/>
      </c>
      <c r="L34" s="15">
        <f>IF(J34="Rezone required",1,0)</f>
        <v/>
      </c>
      <c r="M34" s="15">
        <f>IF(Parcel!$C$20="None",0,IF(AND(Parcel!$C$20="Private easement",Use_Library!$BA$33="Y"),0,1))</f>
        <v/>
      </c>
      <c r="N34" s="15">
        <f>IF(AND(Use_Library!$AZ$33="Y",Parcel!$C$19&lt;Use_Library!$AY$33),0,1)</f>
        <v/>
      </c>
      <c r="O34" s="15">
        <f>IF(AND(Use_Library!$T$33="Y",Parcel!$C$39=0),0,1)</f>
        <v/>
      </c>
      <c r="P34" s="15">
        <f>IF(AND(Use_Library!$U$33="Y",Parcel!$C$38=0),0,1)</f>
        <v/>
      </c>
      <c r="Q34" s="9">
        <f>TRIM(IF(AND(Use_Library!$BB$33&gt;0,Parcel!$C$28&lt;Use_Library!$BB$33),"Traffic under "&amp;TEXT(Use_Library!$BB$33,"#,##0")&amp;" VPD. ","")&amp;IF(AND(Use_Library!$BC$33&gt;0,Parcel!$C$29&lt;Use_Library!$BC$33),"Under "&amp;TEXT(Use_Library!$BC$33,"#,##0")&amp;" households in 3 mi. ","")&amp;IF(AND(Use_Library!$BD$33&gt;0,Parcel!$C$31&gt;Use_Library!$BD$33),"Over "&amp;Use_Library!$BD$33&amp;" mi to highway. ","")&amp;IF(AND(Use_Library!$BE$33="Y",Parcel!$C$32&lt;&gt;"Y"),"Needs a corner. ","")&amp;IF(AND(Use_Library!$BF$33&gt;0,Parcel!$C$33&gt;Use_Library!$BF$33),"Over "&amp;Use_Library!$BF$33&amp;" mi to substation. ","")&amp;IF(AND(Use_Library!$BG$33&gt;0,Parcel!$C$34&gt;Use_Library!$BG$33),"Over "&amp;Use_Library!$BG$33&amp;" mi to a major employer. ",""))</f>
        <v/>
      </c>
      <c r="R34" s="15">
        <f>IF(Q34="",1,0)</f>
        <v/>
      </c>
      <c r="S34" s="15">
        <f>IF(F34&gt;=Use_Library!$L$33,1,0)</f>
        <v/>
      </c>
      <c r="T34" s="15">
        <f>K34*M34*N34*O34*P34*R34*S34</f>
        <v/>
      </c>
      <c r="U34" s="14">
        <f>IF(Use_Library!$G$33&gt;0,I34*Use_Library!$G$33,1E+9)</f>
        <v/>
      </c>
      <c r="V34" s="14">
        <f>IF(Use_Library!$H$33&gt;0,G34*43560/Use_Library!$H$33,1E+9)</f>
        <v/>
      </c>
      <c r="W34" s="14">
        <f>IF(AND(Use_Library!$K$33="Y",Parcel!$C$39=0),G34*(1-Assumptions!$C$8)/IF(Parcel!$C$38=1,Location!$C$25,Location!$C$26),1E+9)</f>
        <v/>
      </c>
      <c r="X34" s="14">
        <f>IF(Use_Library!$I$33&gt;0,Parcel!$C$14*H34/Use_Library!$I$33,1E+9)</f>
        <v/>
      </c>
      <c r="Y34" s="14">
        <f>IF(Use_Library!$J$33&gt;0,Parcel!$C$19/Use_Library!$J$33,1E+9)</f>
        <v/>
      </c>
      <c r="Z34" s="14">
        <f>IF(AND(Parcel!$C$39=0,Use_Library!$K$33="N",Use_Library!$Y$33&gt;0,Use_Library!$Z$33="Y"),G34*Location!$C$27*Parcel!$C$45/Use_Library!$Y$33,1E+9)</f>
        <v/>
      </c>
      <c r="AA34" s="14">
        <f>MIN(U34,V34,W34,X34,Y34,Z34)</f>
        <v/>
      </c>
      <c r="AB34" s="14">
        <f>IF(Use_Library!$O$33&gt;0,IF(Use_Library!$P$33&gt;=10,Parcel!$C$30,Parcel!$C$29)*Use_Library!$O$33*Use_Library!$Q$33,1E+9)</f>
        <v/>
      </c>
      <c r="AC34" s="23">
        <f>IF(OR(AA34&gt;=1E+9,AA34&lt;=0),1,MIN(1,AB34/AA34))</f>
        <v/>
      </c>
      <c r="AD34" s="14">
        <f>G34*AC34</f>
        <v/>
      </c>
      <c r="AE34" s="23">
        <f>IF(F34=0,0,AD34/F34)</f>
        <v/>
      </c>
      <c r="AF34" s="14">
        <f>Parcel!$C$37*AE34</f>
        <v/>
      </c>
      <c r="AG34" s="14">
        <f>AF34*IF(Use_Library!$AB$33="Y",Assumptions!$C$7,0)</f>
        <v/>
      </c>
      <c r="AH34" s="14">
        <f>AF34*(1-Use_Library!$N$33)</f>
        <v/>
      </c>
      <c r="AI34" s="14">
        <f>Parcel!$C$14*(1-AE34)</f>
        <v/>
      </c>
      <c r="AJ34" s="14">
        <f>MIN(AA34,AB34)</f>
        <v/>
      </c>
      <c r="AK34" s="25">
        <f>IF(T34=0,0,IF(AJ34&gt;=1E+9,AD34,IF(Use_Library!$E$33="Y",INT(AJ34+1E-9),AJ34)))</f>
        <v/>
      </c>
      <c r="AL34" s="9">
        <f>IF(M34=0,"No public road access",IF(K34=0,J34,IF(R34=0,"Location fails",IF(N34=0,"Frontage under "&amp;Use_Library!$AY$33&amp;" LF",IF(S34=0,"Too small - needs "&amp;Use_Library!$L$33&amp;" usable ac",IF(O34=0,"Needs public sewer",IF(P34=0,"Needs public water",IF(AJ34&gt;=1E+9,"Usable acres",IF(AB34&lt;=AA34,"Market demand",IF(W34=AA34,"Septic lot size",IF(Z34=AA34,"Septic capacity (gal/day)",IF(X34=AA34,"Min lot size",IF(Y34=AA34,"Road frontage",IF(V34=AA34,"Site area / parking","Density"))))))))))))))</f>
        <v/>
      </c>
      <c r="AM34" s="15">
        <f>IF(AK34&gt;0,1,0)</f>
        <v/>
      </c>
      <c r="AN34" s="15">
        <f>IF(Use_Library!$Z$33="Y",1,0)*AM34</f>
        <v/>
      </c>
      <c r="AO34" s="14">
        <f>IF(Parcel!$C$39=0,MIN(U34,V34,X34,Y34,AB34),0)</f>
        <v/>
      </c>
      <c r="AP34" s="9">
        <f>IF(AND(Parcel!$C$39=0,M34*K34*R34*N34*S34*P34=1,AO34&lt;1E+9,AO34&gt;=MAX(1,AK34)*1.25),"Unlock: sewer or package plant allows ~"&amp;TEXT(INT(AO34),"#,##0")&amp;" "&amp;Use_Library!$D$33&amp;". ","")</f>
        <v/>
      </c>
      <c r="AQ34" s="15">
        <f>AK34*Use_Library!$AC$33*AN34</f>
        <v/>
      </c>
      <c r="AR34" s="15">
        <f>AK34*Use_Library!$AD$33*AN34</f>
        <v/>
      </c>
      <c r="AS34" s="14">
        <f>AK34*Use_Library!$V$33*AN34</f>
        <v/>
      </c>
      <c r="AT34" s="15">
        <f>IF(Parcel!$C$38=1,AQ34+Parcel!$C$40,0)*AN34</f>
        <v/>
      </c>
      <c r="AU34" s="14">
        <f>AS34*Parcel!$C$38</f>
        <v/>
      </c>
      <c r="AV34" s="15">
        <f>IF(AND(Parcel!$C$38=0,Use_Library!$K$33="N",AS34&gt;=Location!$C$30),1,0)*AN34</f>
        <v/>
      </c>
      <c r="AW34" s="15">
        <f>IF(Parcel!$C$39=1,AQ34+Parcel!$C$41,0)*AN34</f>
        <v/>
      </c>
      <c r="AX34" s="14">
        <f>AS34*Parcel!$C$39</f>
        <v/>
      </c>
      <c r="AY34" s="14">
        <f>IF(Parcel!$C$39=0,AK34*Use_Library!$W$33,0)*AN34</f>
        <v/>
      </c>
      <c r="AZ34" s="15">
        <f>IF(Parcel!$C$39=0,AK34*Use_Library!$Y$33,0)*AN34</f>
        <v/>
      </c>
      <c r="BA34" s="15">
        <f>IF(AND(Use_Library!$K$33="N",AZ34&gt;Location!$C$28),1,0)</f>
        <v/>
      </c>
      <c r="BB34" s="14">
        <f>IF(AND(Parcel!$C$38=0,AV34=0),AK34*Use_Library!$X$33,0)*AN34</f>
        <v/>
      </c>
      <c r="BC34" s="14">
        <f>AH34*Parcel!$C$18*Use_Library!$AA$33*AN34</f>
        <v/>
      </c>
      <c r="BD34" s="14">
        <f>AH34*Use_Library!$AA$33*AN34</f>
        <v/>
      </c>
      <c r="BE34" s="15">
        <f>IF(Use_Library!$C$33="For-Sale",IF(Use_Library!$E$33="Y",AK34,1),1)*AM34</f>
        <v/>
      </c>
      <c r="BF34" s="15">
        <f>IF(OR(Use_Library!$F$33="RES-SF",Use_Library!$F$33="RES-ATT",Use_Library!$F$33="RES-MF",Use_Library!$F$33="MH"),1,0)</f>
        <v/>
      </c>
      <c r="BG34" s="20">
        <f>Cost_Library!$J$5*Location!$C$9*AM34</f>
        <v/>
      </c>
      <c r="BH34" s="20">
        <f>BE34*Cost_Library!$J$6*Location!$C$9</f>
        <v/>
      </c>
      <c r="BI34" s="20">
        <f>BD34*Cost_Library!$J$7*Location!$C$9</f>
        <v/>
      </c>
      <c r="BJ34" s="20">
        <f>Cost_Library!$J$8*Location!$C$9*AN34*IF(Use_Library!$AA$33&gt;=0.5,1,0)</f>
        <v/>
      </c>
      <c r="BK34" s="20">
        <f>AY34*Cost_Library!$J$9*Location!$C$9</f>
        <v/>
      </c>
      <c r="BL34" s="20">
        <f>BA34*Cost_Library!$J$10*Location!$C$9</f>
        <v/>
      </c>
      <c r="BM34" s="20">
        <f>Cost_Library!$J$11*Location!$C$9*AM34</f>
        <v/>
      </c>
      <c r="BN34" s="20">
        <f>Cost_Library!$J$12*Location!$C$9*AN34*IF(Use_Library!$AB$33="Y",1,0)</f>
        <v/>
      </c>
      <c r="BO34" s="20">
        <f>Use_Effective!$C$33*AM34</f>
        <v/>
      </c>
      <c r="BP34" s="20">
        <f>L34*Location!$C$31*AM34</f>
        <v/>
      </c>
      <c r="BQ34" s="20">
        <f>Cost_Library!$J$13*Location!$C$9*AM34</f>
        <v/>
      </c>
      <c r="BR34" s="20">
        <f>BC34*Cost_Library!$J$14*Location!$C$9</f>
        <v/>
      </c>
      <c r="BS34" s="20">
        <f>BD34*Cost_Library!$J$15*Location!$C$9*Parcel!$C$43</f>
        <v/>
      </c>
      <c r="BT34" s="20">
        <f>AQ34*Cost_Library!$J$16*Location!$C$9</f>
        <v/>
      </c>
      <c r="BU34" s="20">
        <f>AR34*Cost_Library!$J$17*Location!$C$9</f>
        <v/>
      </c>
      <c r="BV34" s="20">
        <f>AG34*Cost_Library!$J$18*Location!$C$9*AN34</f>
        <v/>
      </c>
      <c r="BW34" s="20">
        <f>BD34*Cost_Library!$J$19*Location!$C$9</f>
        <v/>
      </c>
      <c r="BX34" s="20">
        <f>IF(Use_Library!$AZ$33="Y",1,0)*Cost_Library!$J$20*Location!$C$9*AN34</f>
        <v/>
      </c>
      <c r="BY34" s="20">
        <f>AT34*Cost_Library!$J$21*Location!$C$9</f>
        <v/>
      </c>
      <c r="BZ34" s="20">
        <f>AU34*Cost_Library!$J$22*Location!$C$9</f>
        <v/>
      </c>
      <c r="CA34" s="20">
        <f>AW34*Cost_Library!$J$23*Location!$C$9</f>
        <v/>
      </c>
      <c r="CB34" s="20">
        <f>AX34*Cost_Library!$J$24*Location!$C$9</f>
        <v/>
      </c>
      <c r="CC34" s="20">
        <f>AY34*Cost_Library!$J$25*Location!$C$9*Parcel!$C$44</f>
        <v/>
      </c>
      <c r="CD34" s="20">
        <f>BB34*Cost_Library!$J$26*Location!$C$9</f>
        <v/>
      </c>
      <c r="CE34" s="20">
        <f>AV34*(Cost_Library!$J$27+AS34*Cost_Library!$J$28)*Location!$C$9</f>
        <v/>
      </c>
      <c r="CF34" s="20">
        <f>AQ34*Cost_Library!$J$29*Location!$C$9</f>
        <v/>
      </c>
      <c r="CG34" s="20">
        <f>SUM(BG34:CF34)</f>
        <v/>
      </c>
      <c r="CH34" s="20">
        <f>CG34*Assumptions!$C$9</f>
        <v/>
      </c>
      <c r="CI34" s="20">
        <f>(CG34+CH34)*Org_Profile!$C$17</f>
        <v/>
      </c>
      <c r="CJ34" s="20">
        <f>CG34+CH34+CI34</f>
        <v/>
      </c>
      <c r="CK34" s="20">
        <f>AK34*Use_Effective!$B$33*(1+Org_Profile!$C$17)</f>
        <v/>
      </c>
      <c r="CL34" s="20">
        <f>CK34*(Assumptions!$C$10+Assumptions!$C$11)</f>
        <v/>
      </c>
      <c r="CM34" s="20">
        <f>AK34*Use_Effective!$D$33</f>
        <v/>
      </c>
      <c r="CN34" s="20">
        <f>AK34*Location!$C$21*BF34*AM34</f>
        <v/>
      </c>
      <c r="CO34" s="14">
        <f>Use_Effective!$F$33+L34*Location!$C$32+BA34*Location!$C$29</f>
        <v/>
      </c>
      <c r="CP34" s="14">
        <f>IF(Use_Effective!$P$33&gt;0,IF(Use_Library!$C$33="For-Sale",AK34,AD34)/Use_Effective!$P$33,0)*AM34</f>
        <v/>
      </c>
      <c r="CQ34" s="14">
        <f>IF(AND(Use_Library!$C$33="For-Sale",Use_Effective!$O$33&gt;0),AK34/Use_Effective!$O$33,0)*AM34</f>
        <v/>
      </c>
      <c r="CR34" s="14">
        <f>IF(Use_Library!$C$33="Income",MAX(Use_Library!$AQ$33,IF(Use_Effective!$O$33&gt;0,AK34/Use_Effective!$O$33,0)),0)</f>
        <v/>
      </c>
      <c r="CS34" s="14">
        <f>CO34+CP34</f>
        <v/>
      </c>
      <c r="CT34" s="14">
        <f>CO34+CQ34+CR34</f>
        <v/>
      </c>
      <c r="CU34" s="14">
        <f>CO34+IF(Use_Library!$C$33="Income",CR34,0)</f>
        <v/>
      </c>
      <c r="CV34" s="23">
        <f>Use_Effective!$G$33+Assumptions!$C$25*MAX(0,(CS34-12)/12)</f>
        <v/>
      </c>
      <c r="CW34" s="23">
        <f>Use_Effective!$G$33+Assumptions!$C$25*MAX(0,(CT34-12)/12)</f>
        <v/>
      </c>
      <c r="CX34" s="23">
        <f>Use_Effective!$G$33+Assumptions!$C$25*MAX(0,(CU34-12)/12)</f>
        <v/>
      </c>
      <c r="CY34" s="28">
        <f>1+Location!$C$17+IF(Parcel!$C$26="Y",Location!$C$20,0)</f>
        <v/>
      </c>
      <c r="CZ34" s="28">
        <f>CY34+Location!$C$19*(CO34+CP34/2)/12</f>
        <v/>
      </c>
      <c r="DA34" s="28">
        <f>CY34+Location!$C$19*(CO34+CQ34/2)/12</f>
        <v/>
      </c>
      <c r="DB34" s="28">
        <f>IF(Use_Library!$C$33="Income",DA34,CY34+Location!$C$19*CO34/12)</f>
        <v/>
      </c>
      <c r="DC34" s="28">
        <f>1+Assumptions!$C$15*(Assumptions!$C$16*(CO34+CP34/2)/12*Assumptions!$C$18+Assumptions!$C$17)</f>
        <v/>
      </c>
      <c r="DD34" s="28">
        <f>1+Assumptions!$C$15*(Assumptions!$C$16*((CO34+CQ34/2)/12*Assumptions!$C$18+CR34/12*Assumptions!$C$19)+Assumptions!$C$17)</f>
        <v/>
      </c>
      <c r="DE34" s="28">
        <f>IF(Use_Library!$C$33="Income",DD34,1+Assumptions!$C$15*(Assumptions!$C$16*CO34/12*Assumptions!$C$18+Assumptions!$C$17))</f>
        <v/>
      </c>
      <c r="DF34" s="23">
        <f>Assumptions!$C$13+Location!$C$18</f>
        <v/>
      </c>
      <c r="DG34" s="23">
        <f>Assumptions!$C$12+Location!$C$18</f>
        <v/>
      </c>
      <c r="DH34" s="23">
        <f>Assumptions!$C$14+Location!$C$18</f>
        <v/>
      </c>
      <c r="DI34" s="20">
        <f>AI34*Location!$C$14*(1-DF34)*AM34</f>
        <v/>
      </c>
      <c r="DJ34" s="20">
        <f>IF(Use_Library!$AV$33=1,IF(Use_Library!$C$33="For-Sale",AK34*Use_Effective!$H$33+Parcel!$C$14*AE34*Use_Effective!$J$33,AD34*Use_Effective!$J$33)*(1-DF34)+DI34,0)*AM34</f>
        <v/>
      </c>
      <c r="DK34" s="20">
        <f>(CG34-BU34-CC34-CD34)*(1+Assumptions!$C$9)*(1+Org_Profile!$C$17)</f>
        <v/>
      </c>
      <c r="DL34" s="28">
        <f>CZ34*DC34</f>
        <v/>
      </c>
      <c r="DM34" s="20">
        <f>(Parcel!$C$27*CZ34+DK34)*DC34</f>
        <v/>
      </c>
      <c r="DN34" s="20">
        <f>DJ34-DM34</f>
        <v/>
      </c>
      <c r="DO34" s="38">
        <f>IF(AND(Use_Library!$AV$33=1,AM34=1),MAX(0,((1-CV34)*DJ34-DK34*DC34)/DL34),0)</f>
        <v/>
      </c>
      <c r="DP34" s="20">
        <f>CJ34+CK34+CL34+CM34+CN34</f>
        <v/>
      </c>
      <c r="DQ34" s="28">
        <f>DA34*DD34</f>
        <v/>
      </c>
      <c r="DR34" s="20">
        <f>(Parcel!$C$27*DA34+DP34)*DD34</f>
        <v/>
      </c>
      <c r="DS34" s="20">
        <f>IF(Use_Library!$C$33="Income",AK34*Use_Effective!$K$33,0)</f>
        <v/>
      </c>
      <c r="DT34" s="20">
        <f>DS34*(1+Use_Library!$AL$33)*(1-Use_Effective!$N$33)</f>
        <v/>
      </c>
      <c r="DU34" s="20">
        <f>IF(Use_Library!$C$33="Income",AK34*Use_Effective!$E$33,0)</f>
        <v/>
      </c>
      <c r="DV34" s="20">
        <f>IF(Use_Library!$C$33="Income",Location!$C$15*Location!$C$16*DR34,0)</f>
        <v/>
      </c>
      <c r="DW34" s="20">
        <f>DT34*Use_Library!$AO$33</f>
        <v/>
      </c>
      <c r="DX34" s="20">
        <f>(DU34+DV34)*Use_Library!$AP$33</f>
        <v/>
      </c>
      <c r="DY34" s="20">
        <f>DT34-DU34-DV34-DW34+DX34</f>
        <v/>
      </c>
      <c r="DZ34" s="26">
        <f>Use_Effective!$M$33</f>
        <v/>
      </c>
      <c r="EA34" s="20">
        <f>IF(AND(Use_Library!$C$33="Income",DZ34&gt;0),DY34/DZ34,0)</f>
        <v/>
      </c>
      <c r="EB34" s="39">
        <f>IF(Use_Library!$C$33="Income",-Location!$C$15*Location!$C$16*(1-Use_Library!$AP$33)*DQ34,0)</f>
        <v/>
      </c>
      <c r="EC34" s="23">
        <f>IF(DR34=0,0,DY34/DR34)</f>
        <v/>
      </c>
      <c r="ED34" s="20">
        <f>IF(Use_Library!$AW$33=1,IF(Use_Library!$C$33="Income",EA34*(1-DH34),AK34*Use_Effective!$I$33*(1-DG34))+DI34,0)*AM34</f>
        <v/>
      </c>
      <c r="EE34" s="39">
        <f>IF(AND(Use_Library!$AW$33=1,Use_Library!$C$33="Income",DZ34&gt;0),EB34/DZ34*(1-DH34),0)</f>
        <v/>
      </c>
      <c r="EF34" s="20">
        <f>ED34-DR34</f>
        <v/>
      </c>
      <c r="EG34" s="38">
        <f>IF(AND(Use_Library!$AW$33=1,AM34=1),MAX(0,Parcel!$C$27-((1-CW34)*ED34-DR34)/((1-CW34)*EE34-DQ34)),0)</f>
        <v/>
      </c>
      <c r="EH34" s="20">
        <f>IF(Use_Library!$AX$33=1,IF(Use_Library!$C$33="Income",EA34,IF(DZ34&gt;0,AD34*Use_Effective!$L$33/DZ34,0))+DI34,0)*AM34</f>
        <v/>
      </c>
      <c r="EI34" s="20">
        <f>IF(Use_Library!$C$33="Income",DP34,CJ34)</f>
        <v/>
      </c>
      <c r="EJ34" s="28">
        <f>IF(Use_Library!$C$33="Income",DQ34,DB34*DE34)</f>
        <v/>
      </c>
      <c r="EK34" s="20">
        <f>IF(Use_Library!$C$33="Income",DR34,(Parcel!$C$27*DB34+CJ34)*DE34)</f>
        <v/>
      </c>
      <c r="EL34" s="39">
        <f>IF(AND(Use_Library!$AX$33=1,Use_Library!$C$33="Income",DZ34&gt;0),EB34/DZ34,0)</f>
        <v/>
      </c>
      <c r="EM34" s="20">
        <f>EH34-EK34</f>
        <v/>
      </c>
      <c r="EN34" s="38">
        <f>IF(AND(Use_Library!$AX$33=1,AM34=1),MAX(0,Parcel!$C$27-((1-CX34)*EH34-EK34)/((1-CX34)*EL34-EJ34)),0)</f>
        <v/>
      </c>
      <c r="EO34" s="20">
        <f>IF(Use_Library!$C$33="Income",Assumptions!$C$15*(Parcel!$C$27*DA34+DP34),0)</f>
        <v/>
      </c>
      <c r="EP34" s="20">
        <f>IF(AND(Use_Library!$C$33="Income",DY34&gt;0),MIN(Assumptions!$C$20*EA34,PV(Assumptions!$C$23/12,Assumptions!$C$24*12,-DY34/Assumptions!$C$21/12),DY34/Assumptions!$C$22),0)</f>
        <v/>
      </c>
      <c r="EQ34" s="27">
        <f>IF(EP34=0,0,DY34/(-PMT(Assumptions!$C$23/12,Assumptions!$C$24*12,EP34)*12))</f>
        <v/>
      </c>
      <c r="ER34" s="20">
        <f>EP34-EO34</f>
        <v/>
      </c>
      <c r="ES34" s="19">
        <f>MAX(DO34,EG34,EN34)</f>
        <v/>
      </c>
      <c r="ET34" s="15">
        <f>IF(ES34&lt;=0,0,IF(DO34=ES34,1,IF(EG34=ES34,2,3)))</f>
        <v/>
      </c>
      <c r="EU34" s="9">
        <f>CHOOSE(ET34+1,"None works","Land / pad sale","Build &amp; sell","Build &amp; hold / lease")</f>
        <v/>
      </c>
      <c r="EV34" s="15">
        <f>CHOOSE(ET34+1,0,CS34,CT34,CU34)</f>
        <v/>
      </c>
      <c r="EW34" s="20">
        <f>ES34*(1-Assumptions!$C$26)</f>
        <v/>
      </c>
      <c r="EX34" s="20">
        <f>ES34-Parcel!$C$27</f>
        <v/>
      </c>
      <c r="EY34" s="20">
        <f>IF(Parcel!$C$14=0,0,ES34/Parcel!$C$14)</f>
        <v/>
      </c>
      <c r="EZ34" s="36">
        <f>IF(AK34=0,0,ES34/AK34)</f>
        <v/>
      </c>
      <c r="FA34" s="9">
        <f>IF(ES34&lt;=0,"Pass",IF(ES34&gt;=Parcel!$C$27*Assumptions!$C$27,"Strong",IF(ES34&gt;=Parcel!$C$27,"Works at asking",IF(ES34&gt;=Parcel!$C$27*Assumptions!$C$28,"Negotiate","Pass"))))</f>
        <v/>
      </c>
      <c r="FB34" s="9">
        <f>IF(AM34=0,"",IF(Use_Library!$BH$33="Y",IF(Use_Effective!$AF$33&gt;=3,"High","Medium"),"Low - verify location"))</f>
        <v/>
      </c>
      <c r="FC34" s="9">
        <f>IF(AND(Use_Library!$BH$33="N",AM34=1),Use_Library!$BI$33,"")</f>
        <v/>
      </c>
      <c r="FD34" s="9">
        <f>TRIM(Q34&amp;" "&amp;IF(AND(AM34=0,T34=1),"Nothing fits. ","")&amp;IF(AND(Use_Library!$AZ$33&lt;&gt;"Y",Parcel!$C$19&lt;Use_Library!$AY$33),"Frontage under "&amp;Use_Library!$AY$33&amp;" LF. ","")&amp;IF(Parcel!$C$17&gt;0.15,"Slope over 15%. ","")&amp;IF(AND(AM34=1,AI34&gt;0.5),TEXT(AI34,"0")&amp;" ac not used - resold as raw land. ","")&amp;IF(AND(AM34=1,AC34&lt;1),"Demand caps it at "&amp;TEXT(AK34,"#,##0")&amp;" "&amp;Use_Library!$D$33&amp;". ","")&amp;IF(AND(AM34=1,L34=1),"Rezone required (+"&amp;Location!$C$32&amp;" mo). ","")&amp;IF(AND(AM34=1,BA34=1),"State wastewater permit needed. ","")&amp;IF(AND(AM34=1,AV34=1),"Public water system needed. ","")&amp;AP34&amp;IF(Parcel!$C$16&gt;Assumptions!$C$29,"Floodplain over "&amp;TEXT(Assumptions!$C$29,"0%")&amp;". ","")&amp;IF(AND(AM34=1,EV34&gt;60),"Over 5 years to exit. ",""))</f>
        <v/>
      </c>
      <c r="FE34" s="20">
        <f>IF(AND(Org_Profile!$C$5="My uses",E34=0),-1E+9,ES34)+ROW()/1000000</f>
        <v/>
      </c>
    </row>
    <row r="35">
      <c r="A35" s="4">
        <f>Use_Library!$A$34</f>
        <v/>
      </c>
      <c r="B35" s="9">
        <f>Use_Library!$C$34</f>
        <v/>
      </c>
      <c r="C35" s="9">
        <f>Use_Library!$D$34</f>
        <v/>
      </c>
      <c r="D35" s="9">
        <f>Use_Library!$F$34</f>
        <v/>
      </c>
      <c r="E35" s="15">
        <f>IF(Org_Profile!$C$51="Y",1,0)</f>
        <v/>
      </c>
      <c r="F35" s="14">
        <f>MAX(0,Parcel!$C$37*(1-Use_Library!$N$34-IF(Use_Library!$AB$34="Y",Assumptions!$C$7,0)))</f>
        <v/>
      </c>
      <c r="G35" s="14">
        <f>IF(Use_Library!$M$34&gt;0,MIN(F35,Use_Library!$M$34),F35)</f>
        <v/>
      </c>
      <c r="H35" s="23">
        <f>IF(F35=0,0,G35/F35)</f>
        <v/>
      </c>
      <c r="I35" s="14">
        <f>Parcel!$C$37*H35</f>
        <v/>
      </c>
      <c r="J35" s="9">
        <f>IF(ISNUMBER(SEARCH(","&amp;Use_Library!$F$34&amp;",",","&amp;SUBSTITUTE(Parcel!$C$11," ","")&amp;",")),"Deed restricted",IF(Parcel!$C$46=0,"No zoning",IF(ISNUMBER(SEARCH(","&amp;Use_Library!$F$34&amp;",",","&amp;SUBSTITUTE(Parcel!$C$10," ","")&amp;",")),"By right",IF(OR(TRIM(Parcel!$C$12)="*",ISNUMBER(SEARCH(","&amp;Use_Library!$F$34&amp;",",","&amp;SUBSTITUTE(Parcel!$C$12," ","")&amp;","))),"Rezone required","Prohibited by zoning"))))</f>
        <v/>
      </c>
      <c r="K35" s="15">
        <f>IF(OR(J35="Deed restricted",J35="Prohibited by zoning"),0,1)</f>
        <v/>
      </c>
      <c r="L35" s="15">
        <f>IF(J35="Rezone required",1,0)</f>
        <v/>
      </c>
      <c r="M35" s="15">
        <f>IF(Parcel!$C$20="None",0,IF(AND(Parcel!$C$20="Private easement",Use_Library!$BA$34="Y"),0,1))</f>
        <v/>
      </c>
      <c r="N35" s="15">
        <f>IF(AND(Use_Library!$AZ$34="Y",Parcel!$C$19&lt;Use_Library!$AY$34),0,1)</f>
        <v/>
      </c>
      <c r="O35" s="15">
        <f>IF(AND(Use_Library!$T$34="Y",Parcel!$C$39=0),0,1)</f>
        <v/>
      </c>
      <c r="P35" s="15">
        <f>IF(AND(Use_Library!$U$34="Y",Parcel!$C$38=0),0,1)</f>
        <v/>
      </c>
      <c r="Q35" s="9">
        <f>TRIM(IF(AND(Use_Library!$BB$34&gt;0,Parcel!$C$28&lt;Use_Library!$BB$34),"Traffic under "&amp;TEXT(Use_Library!$BB$34,"#,##0")&amp;" VPD. ","")&amp;IF(AND(Use_Library!$BC$34&gt;0,Parcel!$C$29&lt;Use_Library!$BC$34),"Under "&amp;TEXT(Use_Library!$BC$34,"#,##0")&amp;" households in 3 mi. ","")&amp;IF(AND(Use_Library!$BD$34&gt;0,Parcel!$C$31&gt;Use_Library!$BD$34),"Over "&amp;Use_Library!$BD$34&amp;" mi to highway. ","")&amp;IF(AND(Use_Library!$BE$34="Y",Parcel!$C$32&lt;&gt;"Y"),"Needs a corner. ","")&amp;IF(AND(Use_Library!$BF$34&gt;0,Parcel!$C$33&gt;Use_Library!$BF$34),"Over "&amp;Use_Library!$BF$34&amp;" mi to substation. ","")&amp;IF(AND(Use_Library!$BG$34&gt;0,Parcel!$C$34&gt;Use_Library!$BG$34),"Over "&amp;Use_Library!$BG$34&amp;" mi to a major employer. ",""))</f>
        <v/>
      </c>
      <c r="R35" s="15">
        <f>IF(Q35="",1,0)</f>
        <v/>
      </c>
      <c r="S35" s="15">
        <f>IF(F35&gt;=Use_Library!$L$34,1,0)</f>
        <v/>
      </c>
      <c r="T35" s="15">
        <f>K35*M35*N35*O35*P35*R35*S35</f>
        <v/>
      </c>
      <c r="U35" s="14">
        <f>IF(Use_Library!$G$34&gt;0,I35*Use_Library!$G$34,1E+9)</f>
        <v/>
      </c>
      <c r="V35" s="14">
        <f>IF(Use_Library!$H$34&gt;0,G35*43560/Use_Library!$H$34,1E+9)</f>
        <v/>
      </c>
      <c r="W35" s="14">
        <f>IF(AND(Use_Library!$K$34="Y",Parcel!$C$39=0),G35*(1-Assumptions!$C$8)/IF(Parcel!$C$38=1,Location!$C$25,Location!$C$26),1E+9)</f>
        <v/>
      </c>
      <c r="X35" s="14">
        <f>IF(Use_Library!$I$34&gt;0,Parcel!$C$14*H35/Use_Library!$I$34,1E+9)</f>
        <v/>
      </c>
      <c r="Y35" s="14">
        <f>IF(Use_Library!$J$34&gt;0,Parcel!$C$19/Use_Library!$J$34,1E+9)</f>
        <v/>
      </c>
      <c r="Z35" s="14">
        <f>IF(AND(Parcel!$C$39=0,Use_Library!$K$34="N",Use_Library!$Y$34&gt;0,Use_Library!$Z$34="Y"),G35*Location!$C$27*Parcel!$C$45/Use_Library!$Y$34,1E+9)</f>
        <v/>
      </c>
      <c r="AA35" s="14">
        <f>MIN(U35,V35,W35,X35,Y35,Z35)</f>
        <v/>
      </c>
      <c r="AB35" s="14">
        <f>IF(Use_Library!$O$34&gt;0,IF(Use_Library!$P$34&gt;=10,Parcel!$C$30,Parcel!$C$29)*Use_Library!$O$34*Use_Library!$Q$34,1E+9)</f>
        <v/>
      </c>
      <c r="AC35" s="23">
        <f>IF(OR(AA35&gt;=1E+9,AA35&lt;=0),1,MIN(1,AB35/AA35))</f>
        <v/>
      </c>
      <c r="AD35" s="14">
        <f>G35*AC35</f>
        <v/>
      </c>
      <c r="AE35" s="23">
        <f>IF(F35=0,0,AD35/F35)</f>
        <v/>
      </c>
      <c r="AF35" s="14">
        <f>Parcel!$C$37*AE35</f>
        <v/>
      </c>
      <c r="AG35" s="14">
        <f>AF35*IF(Use_Library!$AB$34="Y",Assumptions!$C$7,0)</f>
        <v/>
      </c>
      <c r="AH35" s="14">
        <f>AF35*(1-Use_Library!$N$34)</f>
        <v/>
      </c>
      <c r="AI35" s="14">
        <f>Parcel!$C$14*(1-AE35)</f>
        <v/>
      </c>
      <c r="AJ35" s="14">
        <f>MIN(AA35,AB35)</f>
        <v/>
      </c>
      <c r="AK35" s="25">
        <f>IF(T35=0,0,IF(AJ35&gt;=1E+9,AD35,IF(Use_Library!$E$34="Y",INT(AJ35+1E-9),AJ35)))</f>
        <v/>
      </c>
      <c r="AL35" s="9">
        <f>IF(M35=0,"No public road access",IF(K35=0,J35,IF(R35=0,"Location fails",IF(N35=0,"Frontage under "&amp;Use_Library!$AY$34&amp;" LF",IF(S35=0,"Too small - needs "&amp;Use_Library!$L$34&amp;" usable ac",IF(O35=0,"Needs public sewer",IF(P35=0,"Needs public water",IF(AJ35&gt;=1E+9,"Usable acres",IF(AB35&lt;=AA35,"Market demand",IF(W35=AA35,"Septic lot size",IF(Z35=AA35,"Septic capacity (gal/day)",IF(X35=AA35,"Min lot size",IF(Y35=AA35,"Road frontage",IF(V35=AA35,"Site area / parking","Density"))))))))))))))</f>
        <v/>
      </c>
      <c r="AM35" s="15">
        <f>IF(AK35&gt;0,1,0)</f>
        <v/>
      </c>
      <c r="AN35" s="15">
        <f>IF(Use_Library!$Z$34="Y",1,0)*AM35</f>
        <v/>
      </c>
      <c r="AO35" s="14">
        <f>IF(Parcel!$C$39=0,MIN(U35,V35,X35,Y35,AB35),0)</f>
        <v/>
      </c>
      <c r="AP35" s="9">
        <f>IF(AND(Parcel!$C$39=0,M35*K35*R35*N35*S35*P35=1,AO35&lt;1E+9,AO35&gt;=MAX(1,AK35)*1.25),"Unlock: sewer or package plant allows ~"&amp;TEXT(INT(AO35),"#,##0")&amp;" "&amp;Use_Library!$D$34&amp;". ","")</f>
        <v/>
      </c>
      <c r="AQ35" s="15">
        <f>AK35*Use_Library!$AC$34*AN35</f>
        <v/>
      </c>
      <c r="AR35" s="15">
        <f>AK35*Use_Library!$AD$34*AN35</f>
        <v/>
      </c>
      <c r="AS35" s="14">
        <f>AK35*Use_Library!$V$34*AN35</f>
        <v/>
      </c>
      <c r="AT35" s="15">
        <f>IF(Parcel!$C$38=1,AQ35+Parcel!$C$40,0)*AN35</f>
        <v/>
      </c>
      <c r="AU35" s="14">
        <f>AS35*Parcel!$C$38</f>
        <v/>
      </c>
      <c r="AV35" s="15">
        <f>IF(AND(Parcel!$C$38=0,Use_Library!$K$34="N",AS35&gt;=Location!$C$30),1,0)*AN35</f>
        <v/>
      </c>
      <c r="AW35" s="15">
        <f>IF(Parcel!$C$39=1,AQ35+Parcel!$C$41,0)*AN35</f>
        <v/>
      </c>
      <c r="AX35" s="14">
        <f>AS35*Parcel!$C$39</f>
        <v/>
      </c>
      <c r="AY35" s="14">
        <f>IF(Parcel!$C$39=0,AK35*Use_Library!$W$34,0)*AN35</f>
        <v/>
      </c>
      <c r="AZ35" s="15">
        <f>IF(Parcel!$C$39=0,AK35*Use_Library!$Y$34,0)*AN35</f>
        <v/>
      </c>
      <c r="BA35" s="15">
        <f>IF(AND(Use_Library!$K$34="N",AZ35&gt;Location!$C$28),1,0)</f>
        <v/>
      </c>
      <c r="BB35" s="14">
        <f>IF(AND(Parcel!$C$38=0,AV35=0),AK35*Use_Library!$X$34,0)*AN35</f>
        <v/>
      </c>
      <c r="BC35" s="14">
        <f>AH35*Parcel!$C$18*Use_Library!$AA$34*AN35</f>
        <v/>
      </c>
      <c r="BD35" s="14">
        <f>AH35*Use_Library!$AA$34*AN35</f>
        <v/>
      </c>
      <c r="BE35" s="15">
        <f>IF(Use_Library!$C$34="For-Sale",IF(Use_Library!$E$34="Y",AK35,1),1)*AM35</f>
        <v/>
      </c>
      <c r="BF35" s="15">
        <f>IF(OR(Use_Library!$F$34="RES-SF",Use_Library!$F$34="RES-ATT",Use_Library!$F$34="RES-MF",Use_Library!$F$34="MH"),1,0)</f>
        <v/>
      </c>
      <c r="BG35" s="20">
        <f>Cost_Library!$J$5*Location!$C$9*AM35</f>
        <v/>
      </c>
      <c r="BH35" s="20">
        <f>BE35*Cost_Library!$J$6*Location!$C$9</f>
        <v/>
      </c>
      <c r="BI35" s="20">
        <f>BD35*Cost_Library!$J$7*Location!$C$9</f>
        <v/>
      </c>
      <c r="BJ35" s="20">
        <f>Cost_Library!$J$8*Location!$C$9*AN35*IF(Use_Library!$AA$34&gt;=0.5,1,0)</f>
        <v/>
      </c>
      <c r="BK35" s="20">
        <f>AY35*Cost_Library!$J$9*Location!$C$9</f>
        <v/>
      </c>
      <c r="BL35" s="20">
        <f>BA35*Cost_Library!$J$10*Location!$C$9</f>
        <v/>
      </c>
      <c r="BM35" s="20">
        <f>Cost_Library!$J$11*Location!$C$9*AM35</f>
        <v/>
      </c>
      <c r="BN35" s="20">
        <f>Cost_Library!$J$12*Location!$C$9*AN35*IF(Use_Library!$AB$34="Y",1,0)</f>
        <v/>
      </c>
      <c r="BO35" s="20">
        <f>Use_Effective!$C$34*AM35</f>
        <v/>
      </c>
      <c r="BP35" s="20">
        <f>L35*Location!$C$31*AM35</f>
        <v/>
      </c>
      <c r="BQ35" s="20">
        <f>Cost_Library!$J$13*Location!$C$9*AM35</f>
        <v/>
      </c>
      <c r="BR35" s="20">
        <f>BC35*Cost_Library!$J$14*Location!$C$9</f>
        <v/>
      </c>
      <c r="BS35" s="20">
        <f>BD35*Cost_Library!$J$15*Location!$C$9*Parcel!$C$43</f>
        <v/>
      </c>
      <c r="BT35" s="20">
        <f>AQ35*Cost_Library!$J$16*Location!$C$9</f>
        <v/>
      </c>
      <c r="BU35" s="20">
        <f>AR35*Cost_Library!$J$17*Location!$C$9</f>
        <v/>
      </c>
      <c r="BV35" s="20">
        <f>AG35*Cost_Library!$J$18*Location!$C$9*AN35</f>
        <v/>
      </c>
      <c r="BW35" s="20">
        <f>BD35*Cost_Library!$J$19*Location!$C$9</f>
        <v/>
      </c>
      <c r="BX35" s="20">
        <f>IF(Use_Library!$AZ$34="Y",1,0)*Cost_Library!$J$20*Location!$C$9*AN35</f>
        <v/>
      </c>
      <c r="BY35" s="20">
        <f>AT35*Cost_Library!$J$21*Location!$C$9</f>
        <v/>
      </c>
      <c r="BZ35" s="20">
        <f>AU35*Cost_Library!$J$22*Location!$C$9</f>
        <v/>
      </c>
      <c r="CA35" s="20">
        <f>AW35*Cost_Library!$J$23*Location!$C$9</f>
        <v/>
      </c>
      <c r="CB35" s="20">
        <f>AX35*Cost_Library!$J$24*Location!$C$9</f>
        <v/>
      </c>
      <c r="CC35" s="20">
        <f>AY35*Cost_Library!$J$25*Location!$C$9*Parcel!$C$44</f>
        <v/>
      </c>
      <c r="CD35" s="20">
        <f>BB35*Cost_Library!$J$26*Location!$C$9</f>
        <v/>
      </c>
      <c r="CE35" s="20">
        <f>AV35*(Cost_Library!$J$27+AS35*Cost_Library!$J$28)*Location!$C$9</f>
        <v/>
      </c>
      <c r="CF35" s="20">
        <f>AQ35*Cost_Library!$J$29*Location!$C$9</f>
        <v/>
      </c>
      <c r="CG35" s="20">
        <f>SUM(BG35:CF35)</f>
        <v/>
      </c>
      <c r="CH35" s="20">
        <f>CG35*Assumptions!$C$9</f>
        <v/>
      </c>
      <c r="CI35" s="20">
        <f>(CG35+CH35)*Org_Profile!$C$17</f>
        <v/>
      </c>
      <c r="CJ35" s="20">
        <f>CG35+CH35+CI35</f>
        <v/>
      </c>
      <c r="CK35" s="20">
        <f>AK35*Use_Effective!$B$34*(1+Org_Profile!$C$17)</f>
        <v/>
      </c>
      <c r="CL35" s="20">
        <f>CK35*(Assumptions!$C$10+Assumptions!$C$11)</f>
        <v/>
      </c>
      <c r="CM35" s="20">
        <f>AK35*Use_Effective!$D$34</f>
        <v/>
      </c>
      <c r="CN35" s="20">
        <f>AK35*Location!$C$21*BF35*AM35</f>
        <v/>
      </c>
      <c r="CO35" s="14">
        <f>Use_Effective!$F$34+L35*Location!$C$32+BA35*Location!$C$29</f>
        <v/>
      </c>
      <c r="CP35" s="14">
        <f>IF(Use_Effective!$P$34&gt;0,IF(Use_Library!$C$34="For-Sale",AK35,AD35)/Use_Effective!$P$34,0)*AM35</f>
        <v/>
      </c>
      <c r="CQ35" s="14">
        <f>IF(AND(Use_Library!$C$34="For-Sale",Use_Effective!$O$34&gt;0),AK35/Use_Effective!$O$34,0)*AM35</f>
        <v/>
      </c>
      <c r="CR35" s="14">
        <f>IF(Use_Library!$C$34="Income",MAX(Use_Library!$AQ$34,IF(Use_Effective!$O$34&gt;0,AK35/Use_Effective!$O$34,0)),0)</f>
        <v/>
      </c>
      <c r="CS35" s="14">
        <f>CO35+CP35</f>
        <v/>
      </c>
      <c r="CT35" s="14">
        <f>CO35+CQ35+CR35</f>
        <v/>
      </c>
      <c r="CU35" s="14">
        <f>CO35+IF(Use_Library!$C$34="Income",CR35,0)</f>
        <v/>
      </c>
      <c r="CV35" s="23">
        <f>Use_Effective!$G$34+Assumptions!$C$25*MAX(0,(CS35-12)/12)</f>
        <v/>
      </c>
      <c r="CW35" s="23">
        <f>Use_Effective!$G$34+Assumptions!$C$25*MAX(0,(CT35-12)/12)</f>
        <v/>
      </c>
      <c r="CX35" s="23">
        <f>Use_Effective!$G$34+Assumptions!$C$25*MAX(0,(CU35-12)/12)</f>
        <v/>
      </c>
      <c r="CY35" s="28">
        <f>1+Location!$C$17+IF(Parcel!$C$26="Y",Location!$C$20,0)</f>
        <v/>
      </c>
      <c r="CZ35" s="28">
        <f>CY35+Location!$C$19*(CO35+CP35/2)/12</f>
        <v/>
      </c>
      <c r="DA35" s="28">
        <f>CY35+Location!$C$19*(CO35+CQ35/2)/12</f>
        <v/>
      </c>
      <c r="DB35" s="28">
        <f>IF(Use_Library!$C$34="Income",DA35,CY35+Location!$C$19*CO35/12)</f>
        <v/>
      </c>
      <c r="DC35" s="28">
        <f>1+Assumptions!$C$15*(Assumptions!$C$16*(CO35+CP35/2)/12*Assumptions!$C$18+Assumptions!$C$17)</f>
        <v/>
      </c>
      <c r="DD35" s="28">
        <f>1+Assumptions!$C$15*(Assumptions!$C$16*((CO35+CQ35/2)/12*Assumptions!$C$18+CR35/12*Assumptions!$C$19)+Assumptions!$C$17)</f>
        <v/>
      </c>
      <c r="DE35" s="28">
        <f>IF(Use_Library!$C$34="Income",DD35,1+Assumptions!$C$15*(Assumptions!$C$16*CO35/12*Assumptions!$C$18+Assumptions!$C$17))</f>
        <v/>
      </c>
      <c r="DF35" s="23">
        <f>Assumptions!$C$13+Location!$C$18</f>
        <v/>
      </c>
      <c r="DG35" s="23">
        <f>Assumptions!$C$12+Location!$C$18</f>
        <v/>
      </c>
      <c r="DH35" s="23">
        <f>Assumptions!$C$14+Location!$C$18</f>
        <v/>
      </c>
      <c r="DI35" s="20">
        <f>AI35*Location!$C$14*(1-DF35)*AM35</f>
        <v/>
      </c>
      <c r="DJ35" s="20">
        <f>IF(Use_Library!$AV$34=1,IF(Use_Library!$C$34="For-Sale",AK35*Use_Effective!$H$34+Parcel!$C$14*AE35*Use_Effective!$J$34,AD35*Use_Effective!$J$34)*(1-DF35)+DI35,0)*AM35</f>
        <v/>
      </c>
      <c r="DK35" s="20">
        <f>(CG35-BU35-CC35-CD35)*(1+Assumptions!$C$9)*(1+Org_Profile!$C$17)</f>
        <v/>
      </c>
      <c r="DL35" s="28">
        <f>CZ35*DC35</f>
        <v/>
      </c>
      <c r="DM35" s="20">
        <f>(Parcel!$C$27*CZ35+DK35)*DC35</f>
        <v/>
      </c>
      <c r="DN35" s="20">
        <f>DJ35-DM35</f>
        <v/>
      </c>
      <c r="DO35" s="38">
        <f>IF(AND(Use_Library!$AV$34=1,AM35=1),MAX(0,((1-CV35)*DJ35-DK35*DC35)/DL35),0)</f>
        <v/>
      </c>
      <c r="DP35" s="20">
        <f>CJ35+CK35+CL35+CM35+CN35</f>
        <v/>
      </c>
      <c r="DQ35" s="28">
        <f>DA35*DD35</f>
        <v/>
      </c>
      <c r="DR35" s="20">
        <f>(Parcel!$C$27*DA35+DP35)*DD35</f>
        <v/>
      </c>
      <c r="DS35" s="20">
        <f>IF(Use_Library!$C$34="Income",AK35*Use_Effective!$K$34,0)</f>
        <v/>
      </c>
      <c r="DT35" s="20">
        <f>DS35*(1+Use_Library!$AL$34)*(1-Use_Effective!$N$34)</f>
        <v/>
      </c>
      <c r="DU35" s="20">
        <f>IF(Use_Library!$C$34="Income",AK35*Use_Effective!$E$34,0)</f>
        <v/>
      </c>
      <c r="DV35" s="20">
        <f>IF(Use_Library!$C$34="Income",Location!$C$15*Location!$C$16*DR35,0)</f>
        <v/>
      </c>
      <c r="DW35" s="20">
        <f>DT35*Use_Library!$AO$34</f>
        <v/>
      </c>
      <c r="DX35" s="20">
        <f>(DU35+DV35)*Use_Library!$AP$34</f>
        <v/>
      </c>
      <c r="DY35" s="20">
        <f>DT35-DU35-DV35-DW35+DX35</f>
        <v/>
      </c>
      <c r="DZ35" s="26">
        <f>Use_Effective!$M$34</f>
        <v/>
      </c>
      <c r="EA35" s="20">
        <f>IF(AND(Use_Library!$C$34="Income",DZ35&gt;0),DY35/DZ35,0)</f>
        <v/>
      </c>
      <c r="EB35" s="39">
        <f>IF(Use_Library!$C$34="Income",-Location!$C$15*Location!$C$16*(1-Use_Library!$AP$34)*DQ35,0)</f>
        <v/>
      </c>
      <c r="EC35" s="23">
        <f>IF(DR35=0,0,DY35/DR35)</f>
        <v/>
      </c>
      <c r="ED35" s="20">
        <f>IF(Use_Library!$AW$34=1,IF(Use_Library!$C$34="Income",EA35*(1-DH35),AK35*Use_Effective!$I$34*(1-DG35))+DI35,0)*AM35</f>
        <v/>
      </c>
      <c r="EE35" s="39">
        <f>IF(AND(Use_Library!$AW$34=1,Use_Library!$C$34="Income",DZ35&gt;0),EB35/DZ35*(1-DH35),0)</f>
        <v/>
      </c>
      <c r="EF35" s="20">
        <f>ED35-DR35</f>
        <v/>
      </c>
      <c r="EG35" s="38">
        <f>IF(AND(Use_Library!$AW$34=1,AM35=1),MAX(0,Parcel!$C$27-((1-CW35)*ED35-DR35)/((1-CW35)*EE35-DQ35)),0)</f>
        <v/>
      </c>
      <c r="EH35" s="20">
        <f>IF(Use_Library!$AX$34=1,IF(Use_Library!$C$34="Income",EA35,IF(DZ35&gt;0,AD35*Use_Effective!$L$34/DZ35,0))+DI35,0)*AM35</f>
        <v/>
      </c>
      <c r="EI35" s="20">
        <f>IF(Use_Library!$C$34="Income",DP35,CJ35)</f>
        <v/>
      </c>
      <c r="EJ35" s="28">
        <f>IF(Use_Library!$C$34="Income",DQ35,DB35*DE35)</f>
        <v/>
      </c>
      <c r="EK35" s="20">
        <f>IF(Use_Library!$C$34="Income",DR35,(Parcel!$C$27*DB35+CJ35)*DE35)</f>
        <v/>
      </c>
      <c r="EL35" s="39">
        <f>IF(AND(Use_Library!$AX$34=1,Use_Library!$C$34="Income",DZ35&gt;0),EB35/DZ35,0)</f>
        <v/>
      </c>
      <c r="EM35" s="20">
        <f>EH35-EK35</f>
        <v/>
      </c>
      <c r="EN35" s="38">
        <f>IF(AND(Use_Library!$AX$34=1,AM35=1),MAX(0,Parcel!$C$27-((1-CX35)*EH35-EK35)/((1-CX35)*EL35-EJ35)),0)</f>
        <v/>
      </c>
      <c r="EO35" s="20">
        <f>IF(Use_Library!$C$34="Income",Assumptions!$C$15*(Parcel!$C$27*DA35+DP35),0)</f>
        <v/>
      </c>
      <c r="EP35" s="20">
        <f>IF(AND(Use_Library!$C$34="Income",DY35&gt;0),MIN(Assumptions!$C$20*EA35,PV(Assumptions!$C$23/12,Assumptions!$C$24*12,-DY35/Assumptions!$C$21/12),DY35/Assumptions!$C$22),0)</f>
        <v/>
      </c>
      <c r="EQ35" s="27">
        <f>IF(EP35=0,0,DY35/(-PMT(Assumptions!$C$23/12,Assumptions!$C$24*12,EP35)*12))</f>
        <v/>
      </c>
      <c r="ER35" s="20">
        <f>EP35-EO35</f>
        <v/>
      </c>
      <c r="ES35" s="19">
        <f>MAX(DO35,EG35,EN35)</f>
        <v/>
      </c>
      <c r="ET35" s="15">
        <f>IF(ES35&lt;=0,0,IF(DO35=ES35,1,IF(EG35=ES35,2,3)))</f>
        <v/>
      </c>
      <c r="EU35" s="9">
        <f>CHOOSE(ET35+1,"None works","Land / pad sale","Build &amp; sell","Build &amp; hold / lease")</f>
        <v/>
      </c>
      <c r="EV35" s="15">
        <f>CHOOSE(ET35+1,0,CS35,CT35,CU35)</f>
        <v/>
      </c>
      <c r="EW35" s="20">
        <f>ES35*(1-Assumptions!$C$26)</f>
        <v/>
      </c>
      <c r="EX35" s="20">
        <f>ES35-Parcel!$C$27</f>
        <v/>
      </c>
      <c r="EY35" s="20">
        <f>IF(Parcel!$C$14=0,0,ES35/Parcel!$C$14)</f>
        <v/>
      </c>
      <c r="EZ35" s="36">
        <f>IF(AK35=0,0,ES35/AK35)</f>
        <v/>
      </c>
      <c r="FA35" s="9">
        <f>IF(ES35&lt;=0,"Pass",IF(ES35&gt;=Parcel!$C$27*Assumptions!$C$27,"Strong",IF(ES35&gt;=Parcel!$C$27,"Works at asking",IF(ES35&gt;=Parcel!$C$27*Assumptions!$C$28,"Negotiate","Pass"))))</f>
        <v/>
      </c>
      <c r="FB35" s="9">
        <f>IF(AM35=0,"",IF(Use_Library!$BH$34="Y",IF(Use_Effective!$AF$34&gt;=3,"High","Medium"),"Low - verify location"))</f>
        <v/>
      </c>
      <c r="FC35" s="9">
        <f>IF(AND(Use_Library!$BH$34="N",AM35=1),Use_Library!$BI$34,"")</f>
        <v/>
      </c>
      <c r="FD35" s="9">
        <f>TRIM(Q35&amp;" "&amp;IF(AND(AM35=0,T35=1),"Nothing fits. ","")&amp;IF(AND(Use_Library!$AZ$34&lt;&gt;"Y",Parcel!$C$19&lt;Use_Library!$AY$34),"Frontage under "&amp;Use_Library!$AY$34&amp;" LF. ","")&amp;IF(Parcel!$C$17&gt;0.15,"Slope over 15%. ","")&amp;IF(AND(AM35=1,AI35&gt;0.5),TEXT(AI35,"0")&amp;" ac not used - resold as raw land. ","")&amp;IF(AND(AM35=1,AC35&lt;1),"Demand caps it at "&amp;TEXT(AK35,"#,##0")&amp;" "&amp;Use_Library!$D$34&amp;". ","")&amp;IF(AND(AM35=1,L35=1),"Rezone required (+"&amp;Location!$C$32&amp;" mo). ","")&amp;IF(AND(AM35=1,BA35=1),"State wastewater permit needed. ","")&amp;IF(AND(AM35=1,AV35=1),"Public water system needed. ","")&amp;AP35&amp;IF(Parcel!$C$16&gt;Assumptions!$C$29,"Floodplain over "&amp;TEXT(Assumptions!$C$29,"0%")&amp;". ","")&amp;IF(AND(AM35=1,EV35&gt;60),"Over 5 years to exit. ",""))</f>
        <v/>
      </c>
      <c r="FE35" s="20">
        <f>IF(AND(Org_Profile!$C$5="My uses",E35=0),-1E+9,ES35)+ROW()/1000000</f>
        <v/>
      </c>
    </row>
    <row r="36">
      <c r="A36" s="4">
        <f>Use_Library!$A$35</f>
        <v/>
      </c>
      <c r="B36" s="9">
        <f>Use_Library!$C$35</f>
        <v/>
      </c>
      <c r="C36" s="9">
        <f>Use_Library!$D$35</f>
        <v/>
      </c>
      <c r="D36" s="9">
        <f>Use_Library!$F$35</f>
        <v/>
      </c>
      <c r="E36" s="15">
        <f>IF(Org_Profile!$C$52="Y",1,0)</f>
        <v/>
      </c>
      <c r="F36" s="14">
        <f>MAX(0,Parcel!$C$37*(1-Use_Library!$N$35-IF(Use_Library!$AB$35="Y",Assumptions!$C$7,0)))</f>
        <v/>
      </c>
      <c r="G36" s="14">
        <f>IF(Use_Library!$M$35&gt;0,MIN(F36,Use_Library!$M$35),F36)</f>
        <v/>
      </c>
      <c r="H36" s="23">
        <f>IF(F36=0,0,G36/F36)</f>
        <v/>
      </c>
      <c r="I36" s="14">
        <f>Parcel!$C$37*H36</f>
        <v/>
      </c>
      <c r="J36" s="9">
        <f>IF(ISNUMBER(SEARCH(","&amp;Use_Library!$F$35&amp;",",","&amp;SUBSTITUTE(Parcel!$C$11," ","")&amp;",")),"Deed restricted",IF(Parcel!$C$46=0,"No zoning",IF(ISNUMBER(SEARCH(","&amp;Use_Library!$F$35&amp;",",","&amp;SUBSTITUTE(Parcel!$C$10," ","")&amp;",")),"By right",IF(OR(TRIM(Parcel!$C$12)="*",ISNUMBER(SEARCH(","&amp;Use_Library!$F$35&amp;",",","&amp;SUBSTITUTE(Parcel!$C$12," ","")&amp;","))),"Rezone required","Prohibited by zoning"))))</f>
        <v/>
      </c>
      <c r="K36" s="15">
        <f>IF(OR(J36="Deed restricted",J36="Prohibited by zoning"),0,1)</f>
        <v/>
      </c>
      <c r="L36" s="15">
        <f>IF(J36="Rezone required",1,0)</f>
        <v/>
      </c>
      <c r="M36" s="15">
        <f>IF(Parcel!$C$20="None",0,IF(AND(Parcel!$C$20="Private easement",Use_Library!$BA$35="Y"),0,1))</f>
        <v/>
      </c>
      <c r="N36" s="15">
        <f>IF(AND(Use_Library!$AZ$35="Y",Parcel!$C$19&lt;Use_Library!$AY$35),0,1)</f>
        <v/>
      </c>
      <c r="O36" s="15">
        <f>IF(AND(Use_Library!$T$35="Y",Parcel!$C$39=0),0,1)</f>
        <v/>
      </c>
      <c r="P36" s="15">
        <f>IF(AND(Use_Library!$U$35="Y",Parcel!$C$38=0),0,1)</f>
        <v/>
      </c>
      <c r="Q36" s="9">
        <f>TRIM(IF(AND(Use_Library!$BB$35&gt;0,Parcel!$C$28&lt;Use_Library!$BB$35),"Traffic under "&amp;TEXT(Use_Library!$BB$35,"#,##0")&amp;" VPD. ","")&amp;IF(AND(Use_Library!$BC$35&gt;0,Parcel!$C$29&lt;Use_Library!$BC$35),"Under "&amp;TEXT(Use_Library!$BC$35,"#,##0")&amp;" households in 3 mi. ","")&amp;IF(AND(Use_Library!$BD$35&gt;0,Parcel!$C$31&gt;Use_Library!$BD$35),"Over "&amp;Use_Library!$BD$35&amp;" mi to highway. ","")&amp;IF(AND(Use_Library!$BE$35="Y",Parcel!$C$32&lt;&gt;"Y"),"Needs a corner. ","")&amp;IF(AND(Use_Library!$BF$35&gt;0,Parcel!$C$33&gt;Use_Library!$BF$35),"Over "&amp;Use_Library!$BF$35&amp;" mi to substation. ","")&amp;IF(AND(Use_Library!$BG$35&gt;0,Parcel!$C$34&gt;Use_Library!$BG$35),"Over "&amp;Use_Library!$BG$35&amp;" mi to a major employer. ",""))</f>
        <v/>
      </c>
      <c r="R36" s="15">
        <f>IF(Q36="",1,0)</f>
        <v/>
      </c>
      <c r="S36" s="15">
        <f>IF(F36&gt;=Use_Library!$L$35,1,0)</f>
        <v/>
      </c>
      <c r="T36" s="15">
        <f>K36*M36*N36*O36*P36*R36*S36</f>
        <v/>
      </c>
      <c r="U36" s="14">
        <f>IF(Use_Library!$G$35&gt;0,I36*Use_Library!$G$35,1E+9)</f>
        <v/>
      </c>
      <c r="V36" s="14">
        <f>IF(Use_Library!$H$35&gt;0,G36*43560/Use_Library!$H$35,1E+9)</f>
        <v/>
      </c>
      <c r="W36" s="14">
        <f>IF(AND(Use_Library!$K$35="Y",Parcel!$C$39=0),G36*(1-Assumptions!$C$8)/IF(Parcel!$C$38=1,Location!$C$25,Location!$C$26),1E+9)</f>
        <v/>
      </c>
      <c r="X36" s="14">
        <f>IF(Use_Library!$I$35&gt;0,Parcel!$C$14*H36/Use_Library!$I$35,1E+9)</f>
        <v/>
      </c>
      <c r="Y36" s="14">
        <f>IF(Use_Library!$J$35&gt;0,Parcel!$C$19/Use_Library!$J$35,1E+9)</f>
        <v/>
      </c>
      <c r="Z36" s="14">
        <f>IF(AND(Parcel!$C$39=0,Use_Library!$K$35="N",Use_Library!$Y$35&gt;0,Use_Library!$Z$35="Y"),G36*Location!$C$27*Parcel!$C$45/Use_Library!$Y$35,1E+9)</f>
        <v/>
      </c>
      <c r="AA36" s="14">
        <f>MIN(U36,V36,W36,X36,Y36,Z36)</f>
        <v/>
      </c>
      <c r="AB36" s="14">
        <f>IF(Use_Library!$O$35&gt;0,IF(Use_Library!$P$35&gt;=10,Parcel!$C$30,Parcel!$C$29)*Use_Library!$O$35*Use_Library!$Q$35,1E+9)</f>
        <v/>
      </c>
      <c r="AC36" s="23">
        <f>IF(OR(AA36&gt;=1E+9,AA36&lt;=0),1,MIN(1,AB36/AA36))</f>
        <v/>
      </c>
      <c r="AD36" s="14">
        <f>G36*AC36</f>
        <v/>
      </c>
      <c r="AE36" s="23">
        <f>IF(F36=0,0,AD36/F36)</f>
        <v/>
      </c>
      <c r="AF36" s="14">
        <f>Parcel!$C$37*AE36</f>
        <v/>
      </c>
      <c r="AG36" s="14">
        <f>AF36*IF(Use_Library!$AB$35="Y",Assumptions!$C$7,0)</f>
        <v/>
      </c>
      <c r="AH36" s="14">
        <f>AF36*(1-Use_Library!$N$35)</f>
        <v/>
      </c>
      <c r="AI36" s="14">
        <f>Parcel!$C$14*(1-AE36)</f>
        <v/>
      </c>
      <c r="AJ36" s="14">
        <f>MIN(AA36,AB36)</f>
        <v/>
      </c>
      <c r="AK36" s="25">
        <f>IF(T36=0,0,IF(AJ36&gt;=1E+9,AD36,IF(Use_Library!$E$35="Y",INT(AJ36+1E-9),AJ36)))</f>
        <v/>
      </c>
      <c r="AL36" s="9">
        <f>IF(M36=0,"No public road access",IF(K36=0,J36,IF(R36=0,"Location fails",IF(N36=0,"Frontage under "&amp;Use_Library!$AY$35&amp;" LF",IF(S36=0,"Too small - needs "&amp;Use_Library!$L$35&amp;" usable ac",IF(O36=0,"Needs public sewer",IF(P36=0,"Needs public water",IF(AJ36&gt;=1E+9,"Usable acres",IF(AB36&lt;=AA36,"Market demand",IF(W36=AA36,"Septic lot size",IF(Z36=AA36,"Septic capacity (gal/day)",IF(X36=AA36,"Min lot size",IF(Y36=AA36,"Road frontage",IF(V36=AA36,"Site area / parking","Density"))))))))))))))</f>
        <v/>
      </c>
      <c r="AM36" s="15">
        <f>IF(AK36&gt;0,1,0)</f>
        <v/>
      </c>
      <c r="AN36" s="15">
        <f>IF(Use_Library!$Z$35="Y",1,0)*AM36</f>
        <v/>
      </c>
      <c r="AO36" s="14">
        <f>IF(Parcel!$C$39=0,MIN(U36,V36,X36,Y36,AB36),0)</f>
        <v/>
      </c>
      <c r="AP36" s="9">
        <f>IF(AND(Parcel!$C$39=0,M36*K36*R36*N36*S36*P36=1,AO36&lt;1E+9,AO36&gt;=MAX(1,AK36)*1.25),"Unlock: sewer or package plant allows ~"&amp;TEXT(INT(AO36),"#,##0")&amp;" "&amp;Use_Library!$D$35&amp;". ","")</f>
        <v/>
      </c>
      <c r="AQ36" s="15">
        <f>AK36*Use_Library!$AC$35*AN36</f>
        <v/>
      </c>
      <c r="AR36" s="15">
        <f>AK36*Use_Library!$AD$35*AN36</f>
        <v/>
      </c>
      <c r="AS36" s="14">
        <f>AK36*Use_Library!$V$35*AN36</f>
        <v/>
      </c>
      <c r="AT36" s="15">
        <f>IF(Parcel!$C$38=1,AQ36+Parcel!$C$40,0)*AN36</f>
        <v/>
      </c>
      <c r="AU36" s="14">
        <f>AS36*Parcel!$C$38</f>
        <v/>
      </c>
      <c r="AV36" s="15">
        <f>IF(AND(Parcel!$C$38=0,Use_Library!$K$35="N",AS36&gt;=Location!$C$30),1,0)*AN36</f>
        <v/>
      </c>
      <c r="AW36" s="15">
        <f>IF(Parcel!$C$39=1,AQ36+Parcel!$C$41,0)*AN36</f>
        <v/>
      </c>
      <c r="AX36" s="14">
        <f>AS36*Parcel!$C$39</f>
        <v/>
      </c>
      <c r="AY36" s="14">
        <f>IF(Parcel!$C$39=0,AK36*Use_Library!$W$35,0)*AN36</f>
        <v/>
      </c>
      <c r="AZ36" s="15">
        <f>IF(Parcel!$C$39=0,AK36*Use_Library!$Y$35,0)*AN36</f>
        <v/>
      </c>
      <c r="BA36" s="15">
        <f>IF(AND(Use_Library!$K$35="N",AZ36&gt;Location!$C$28),1,0)</f>
        <v/>
      </c>
      <c r="BB36" s="14">
        <f>IF(AND(Parcel!$C$38=0,AV36=0),AK36*Use_Library!$X$35,0)*AN36</f>
        <v/>
      </c>
      <c r="BC36" s="14">
        <f>AH36*Parcel!$C$18*Use_Library!$AA$35*AN36</f>
        <v/>
      </c>
      <c r="BD36" s="14">
        <f>AH36*Use_Library!$AA$35*AN36</f>
        <v/>
      </c>
      <c r="BE36" s="15">
        <f>IF(Use_Library!$C$35="For-Sale",IF(Use_Library!$E$35="Y",AK36,1),1)*AM36</f>
        <v/>
      </c>
      <c r="BF36" s="15">
        <f>IF(OR(Use_Library!$F$35="RES-SF",Use_Library!$F$35="RES-ATT",Use_Library!$F$35="RES-MF",Use_Library!$F$35="MH"),1,0)</f>
        <v/>
      </c>
      <c r="BG36" s="20">
        <f>Cost_Library!$J$5*Location!$C$9*AM36</f>
        <v/>
      </c>
      <c r="BH36" s="20">
        <f>BE36*Cost_Library!$J$6*Location!$C$9</f>
        <v/>
      </c>
      <c r="BI36" s="20">
        <f>BD36*Cost_Library!$J$7*Location!$C$9</f>
        <v/>
      </c>
      <c r="BJ36" s="20">
        <f>Cost_Library!$J$8*Location!$C$9*AN36*IF(Use_Library!$AA$35&gt;=0.5,1,0)</f>
        <v/>
      </c>
      <c r="BK36" s="20">
        <f>AY36*Cost_Library!$J$9*Location!$C$9</f>
        <v/>
      </c>
      <c r="BL36" s="20">
        <f>BA36*Cost_Library!$J$10*Location!$C$9</f>
        <v/>
      </c>
      <c r="BM36" s="20">
        <f>Cost_Library!$J$11*Location!$C$9*AM36</f>
        <v/>
      </c>
      <c r="BN36" s="20">
        <f>Cost_Library!$J$12*Location!$C$9*AN36*IF(Use_Library!$AB$35="Y",1,0)</f>
        <v/>
      </c>
      <c r="BO36" s="20">
        <f>Use_Effective!$C$35*AM36</f>
        <v/>
      </c>
      <c r="BP36" s="20">
        <f>L36*Location!$C$31*AM36</f>
        <v/>
      </c>
      <c r="BQ36" s="20">
        <f>Cost_Library!$J$13*Location!$C$9*AM36</f>
        <v/>
      </c>
      <c r="BR36" s="20">
        <f>BC36*Cost_Library!$J$14*Location!$C$9</f>
        <v/>
      </c>
      <c r="BS36" s="20">
        <f>BD36*Cost_Library!$J$15*Location!$C$9*Parcel!$C$43</f>
        <v/>
      </c>
      <c r="BT36" s="20">
        <f>AQ36*Cost_Library!$J$16*Location!$C$9</f>
        <v/>
      </c>
      <c r="BU36" s="20">
        <f>AR36*Cost_Library!$J$17*Location!$C$9</f>
        <v/>
      </c>
      <c r="BV36" s="20">
        <f>AG36*Cost_Library!$J$18*Location!$C$9*AN36</f>
        <v/>
      </c>
      <c r="BW36" s="20">
        <f>BD36*Cost_Library!$J$19*Location!$C$9</f>
        <v/>
      </c>
      <c r="BX36" s="20">
        <f>IF(Use_Library!$AZ$35="Y",1,0)*Cost_Library!$J$20*Location!$C$9*AN36</f>
        <v/>
      </c>
      <c r="BY36" s="20">
        <f>AT36*Cost_Library!$J$21*Location!$C$9</f>
        <v/>
      </c>
      <c r="BZ36" s="20">
        <f>AU36*Cost_Library!$J$22*Location!$C$9</f>
        <v/>
      </c>
      <c r="CA36" s="20">
        <f>AW36*Cost_Library!$J$23*Location!$C$9</f>
        <v/>
      </c>
      <c r="CB36" s="20">
        <f>AX36*Cost_Library!$J$24*Location!$C$9</f>
        <v/>
      </c>
      <c r="CC36" s="20">
        <f>AY36*Cost_Library!$J$25*Location!$C$9*Parcel!$C$44</f>
        <v/>
      </c>
      <c r="CD36" s="20">
        <f>BB36*Cost_Library!$J$26*Location!$C$9</f>
        <v/>
      </c>
      <c r="CE36" s="20">
        <f>AV36*(Cost_Library!$J$27+AS36*Cost_Library!$J$28)*Location!$C$9</f>
        <v/>
      </c>
      <c r="CF36" s="20">
        <f>AQ36*Cost_Library!$J$29*Location!$C$9</f>
        <v/>
      </c>
      <c r="CG36" s="20">
        <f>SUM(BG36:CF36)</f>
        <v/>
      </c>
      <c r="CH36" s="20">
        <f>CG36*Assumptions!$C$9</f>
        <v/>
      </c>
      <c r="CI36" s="20">
        <f>(CG36+CH36)*Org_Profile!$C$17</f>
        <v/>
      </c>
      <c r="CJ36" s="20">
        <f>CG36+CH36+CI36</f>
        <v/>
      </c>
      <c r="CK36" s="20">
        <f>AK36*Use_Effective!$B$35*(1+Org_Profile!$C$17)</f>
        <v/>
      </c>
      <c r="CL36" s="20">
        <f>CK36*(Assumptions!$C$10+Assumptions!$C$11)</f>
        <v/>
      </c>
      <c r="CM36" s="20">
        <f>AK36*Use_Effective!$D$35</f>
        <v/>
      </c>
      <c r="CN36" s="20">
        <f>AK36*Location!$C$21*BF36*AM36</f>
        <v/>
      </c>
      <c r="CO36" s="14">
        <f>Use_Effective!$F$35+L36*Location!$C$32+BA36*Location!$C$29</f>
        <v/>
      </c>
      <c r="CP36" s="14">
        <f>IF(Use_Effective!$P$35&gt;0,IF(Use_Library!$C$35="For-Sale",AK36,AD36)/Use_Effective!$P$35,0)*AM36</f>
        <v/>
      </c>
      <c r="CQ36" s="14">
        <f>IF(AND(Use_Library!$C$35="For-Sale",Use_Effective!$O$35&gt;0),AK36/Use_Effective!$O$35,0)*AM36</f>
        <v/>
      </c>
      <c r="CR36" s="14">
        <f>IF(Use_Library!$C$35="Income",MAX(Use_Library!$AQ$35,IF(Use_Effective!$O$35&gt;0,AK36/Use_Effective!$O$35,0)),0)</f>
        <v/>
      </c>
      <c r="CS36" s="14">
        <f>CO36+CP36</f>
        <v/>
      </c>
      <c r="CT36" s="14">
        <f>CO36+CQ36+CR36</f>
        <v/>
      </c>
      <c r="CU36" s="14">
        <f>CO36+IF(Use_Library!$C$35="Income",CR36,0)</f>
        <v/>
      </c>
      <c r="CV36" s="23">
        <f>Use_Effective!$G$35+Assumptions!$C$25*MAX(0,(CS36-12)/12)</f>
        <v/>
      </c>
      <c r="CW36" s="23">
        <f>Use_Effective!$G$35+Assumptions!$C$25*MAX(0,(CT36-12)/12)</f>
        <v/>
      </c>
      <c r="CX36" s="23">
        <f>Use_Effective!$G$35+Assumptions!$C$25*MAX(0,(CU36-12)/12)</f>
        <v/>
      </c>
      <c r="CY36" s="28">
        <f>1+Location!$C$17+IF(Parcel!$C$26="Y",Location!$C$20,0)</f>
        <v/>
      </c>
      <c r="CZ36" s="28">
        <f>CY36+Location!$C$19*(CO36+CP36/2)/12</f>
        <v/>
      </c>
      <c r="DA36" s="28">
        <f>CY36+Location!$C$19*(CO36+CQ36/2)/12</f>
        <v/>
      </c>
      <c r="DB36" s="28">
        <f>IF(Use_Library!$C$35="Income",DA36,CY36+Location!$C$19*CO36/12)</f>
        <v/>
      </c>
      <c r="DC36" s="28">
        <f>1+Assumptions!$C$15*(Assumptions!$C$16*(CO36+CP36/2)/12*Assumptions!$C$18+Assumptions!$C$17)</f>
        <v/>
      </c>
      <c r="DD36" s="28">
        <f>1+Assumptions!$C$15*(Assumptions!$C$16*((CO36+CQ36/2)/12*Assumptions!$C$18+CR36/12*Assumptions!$C$19)+Assumptions!$C$17)</f>
        <v/>
      </c>
      <c r="DE36" s="28">
        <f>IF(Use_Library!$C$35="Income",DD36,1+Assumptions!$C$15*(Assumptions!$C$16*CO36/12*Assumptions!$C$18+Assumptions!$C$17))</f>
        <v/>
      </c>
      <c r="DF36" s="23">
        <f>Assumptions!$C$13+Location!$C$18</f>
        <v/>
      </c>
      <c r="DG36" s="23">
        <f>Assumptions!$C$12+Location!$C$18</f>
        <v/>
      </c>
      <c r="DH36" s="23">
        <f>Assumptions!$C$14+Location!$C$18</f>
        <v/>
      </c>
      <c r="DI36" s="20">
        <f>AI36*Location!$C$14*(1-DF36)*AM36</f>
        <v/>
      </c>
      <c r="DJ36" s="20">
        <f>IF(Use_Library!$AV$35=1,IF(Use_Library!$C$35="For-Sale",AK36*Use_Effective!$H$35+Parcel!$C$14*AE36*Use_Effective!$J$35,AD36*Use_Effective!$J$35)*(1-DF36)+DI36,0)*AM36</f>
        <v/>
      </c>
      <c r="DK36" s="20">
        <f>(CG36-BU36-CC36-CD36)*(1+Assumptions!$C$9)*(1+Org_Profile!$C$17)</f>
        <v/>
      </c>
      <c r="DL36" s="28">
        <f>CZ36*DC36</f>
        <v/>
      </c>
      <c r="DM36" s="20">
        <f>(Parcel!$C$27*CZ36+DK36)*DC36</f>
        <v/>
      </c>
      <c r="DN36" s="20">
        <f>DJ36-DM36</f>
        <v/>
      </c>
      <c r="DO36" s="38">
        <f>IF(AND(Use_Library!$AV$35=1,AM36=1),MAX(0,((1-CV36)*DJ36-DK36*DC36)/DL36),0)</f>
        <v/>
      </c>
      <c r="DP36" s="20">
        <f>CJ36+CK36+CL36+CM36+CN36</f>
        <v/>
      </c>
      <c r="DQ36" s="28">
        <f>DA36*DD36</f>
        <v/>
      </c>
      <c r="DR36" s="20">
        <f>(Parcel!$C$27*DA36+DP36)*DD36</f>
        <v/>
      </c>
      <c r="DS36" s="20">
        <f>IF(Use_Library!$C$35="Income",AK36*Use_Effective!$K$35,0)</f>
        <v/>
      </c>
      <c r="DT36" s="20">
        <f>DS36*(1+Use_Library!$AL$35)*(1-Use_Effective!$N$35)</f>
        <v/>
      </c>
      <c r="DU36" s="20">
        <f>IF(Use_Library!$C$35="Income",AK36*Use_Effective!$E$35,0)</f>
        <v/>
      </c>
      <c r="DV36" s="20">
        <f>IF(Use_Library!$C$35="Income",Location!$C$15*Location!$C$16*DR36,0)</f>
        <v/>
      </c>
      <c r="DW36" s="20">
        <f>DT36*Use_Library!$AO$35</f>
        <v/>
      </c>
      <c r="DX36" s="20">
        <f>(DU36+DV36)*Use_Library!$AP$35</f>
        <v/>
      </c>
      <c r="DY36" s="20">
        <f>DT36-DU36-DV36-DW36+DX36</f>
        <v/>
      </c>
      <c r="DZ36" s="26">
        <f>Use_Effective!$M$35</f>
        <v/>
      </c>
      <c r="EA36" s="20">
        <f>IF(AND(Use_Library!$C$35="Income",DZ36&gt;0),DY36/DZ36,0)</f>
        <v/>
      </c>
      <c r="EB36" s="39">
        <f>IF(Use_Library!$C$35="Income",-Location!$C$15*Location!$C$16*(1-Use_Library!$AP$35)*DQ36,0)</f>
        <v/>
      </c>
      <c r="EC36" s="23">
        <f>IF(DR36=0,0,DY36/DR36)</f>
        <v/>
      </c>
      <c r="ED36" s="20">
        <f>IF(Use_Library!$AW$35=1,IF(Use_Library!$C$35="Income",EA36*(1-DH36),AK36*Use_Effective!$I$35*(1-DG36))+DI36,0)*AM36</f>
        <v/>
      </c>
      <c r="EE36" s="39">
        <f>IF(AND(Use_Library!$AW$35=1,Use_Library!$C$35="Income",DZ36&gt;0),EB36/DZ36*(1-DH36),0)</f>
        <v/>
      </c>
      <c r="EF36" s="20">
        <f>ED36-DR36</f>
        <v/>
      </c>
      <c r="EG36" s="38">
        <f>IF(AND(Use_Library!$AW$35=1,AM36=1),MAX(0,Parcel!$C$27-((1-CW36)*ED36-DR36)/((1-CW36)*EE36-DQ36)),0)</f>
        <v/>
      </c>
      <c r="EH36" s="20">
        <f>IF(Use_Library!$AX$35=1,IF(Use_Library!$C$35="Income",EA36,IF(DZ36&gt;0,AD36*Use_Effective!$L$35/DZ36,0))+DI36,0)*AM36</f>
        <v/>
      </c>
      <c r="EI36" s="20">
        <f>IF(Use_Library!$C$35="Income",DP36,CJ36)</f>
        <v/>
      </c>
      <c r="EJ36" s="28">
        <f>IF(Use_Library!$C$35="Income",DQ36,DB36*DE36)</f>
        <v/>
      </c>
      <c r="EK36" s="20">
        <f>IF(Use_Library!$C$35="Income",DR36,(Parcel!$C$27*DB36+CJ36)*DE36)</f>
        <v/>
      </c>
      <c r="EL36" s="39">
        <f>IF(AND(Use_Library!$AX$35=1,Use_Library!$C$35="Income",DZ36&gt;0),EB36/DZ36,0)</f>
        <v/>
      </c>
      <c r="EM36" s="20">
        <f>EH36-EK36</f>
        <v/>
      </c>
      <c r="EN36" s="38">
        <f>IF(AND(Use_Library!$AX$35=1,AM36=1),MAX(0,Parcel!$C$27-((1-CX36)*EH36-EK36)/((1-CX36)*EL36-EJ36)),0)</f>
        <v/>
      </c>
      <c r="EO36" s="20">
        <f>IF(Use_Library!$C$35="Income",Assumptions!$C$15*(Parcel!$C$27*DA36+DP36),0)</f>
        <v/>
      </c>
      <c r="EP36" s="20">
        <f>IF(AND(Use_Library!$C$35="Income",DY36&gt;0),MIN(Assumptions!$C$20*EA36,PV(Assumptions!$C$23/12,Assumptions!$C$24*12,-DY36/Assumptions!$C$21/12),DY36/Assumptions!$C$22),0)</f>
        <v/>
      </c>
      <c r="EQ36" s="27">
        <f>IF(EP36=0,0,DY36/(-PMT(Assumptions!$C$23/12,Assumptions!$C$24*12,EP36)*12))</f>
        <v/>
      </c>
      <c r="ER36" s="20">
        <f>EP36-EO36</f>
        <v/>
      </c>
      <c r="ES36" s="19">
        <f>MAX(DO36,EG36,EN36)</f>
        <v/>
      </c>
      <c r="ET36" s="15">
        <f>IF(ES36&lt;=0,0,IF(DO36=ES36,1,IF(EG36=ES36,2,3)))</f>
        <v/>
      </c>
      <c r="EU36" s="9">
        <f>CHOOSE(ET36+1,"None works","Land / pad sale","Build &amp; sell","Build &amp; hold / lease")</f>
        <v/>
      </c>
      <c r="EV36" s="15">
        <f>CHOOSE(ET36+1,0,CS36,CT36,CU36)</f>
        <v/>
      </c>
      <c r="EW36" s="20">
        <f>ES36*(1-Assumptions!$C$26)</f>
        <v/>
      </c>
      <c r="EX36" s="20">
        <f>ES36-Parcel!$C$27</f>
        <v/>
      </c>
      <c r="EY36" s="20">
        <f>IF(Parcel!$C$14=0,0,ES36/Parcel!$C$14)</f>
        <v/>
      </c>
      <c r="EZ36" s="36">
        <f>IF(AK36=0,0,ES36/AK36)</f>
        <v/>
      </c>
      <c r="FA36" s="9">
        <f>IF(ES36&lt;=0,"Pass",IF(ES36&gt;=Parcel!$C$27*Assumptions!$C$27,"Strong",IF(ES36&gt;=Parcel!$C$27,"Works at asking",IF(ES36&gt;=Parcel!$C$27*Assumptions!$C$28,"Negotiate","Pass"))))</f>
        <v/>
      </c>
      <c r="FB36" s="9">
        <f>IF(AM36=0,"",IF(Use_Library!$BH$35="Y",IF(Use_Effective!$AF$35&gt;=3,"High","Medium"),"Low - verify location"))</f>
        <v/>
      </c>
      <c r="FC36" s="9">
        <f>IF(AND(Use_Library!$BH$35="N",AM36=1),Use_Library!$BI$35,"")</f>
        <v/>
      </c>
      <c r="FD36" s="9">
        <f>TRIM(Q36&amp;" "&amp;IF(AND(AM36=0,T36=1),"Nothing fits. ","")&amp;IF(AND(Use_Library!$AZ$35&lt;&gt;"Y",Parcel!$C$19&lt;Use_Library!$AY$35),"Frontage under "&amp;Use_Library!$AY$35&amp;" LF. ","")&amp;IF(Parcel!$C$17&gt;0.15,"Slope over 15%. ","")&amp;IF(AND(AM36=1,AI36&gt;0.5),TEXT(AI36,"0")&amp;" ac not used - resold as raw land. ","")&amp;IF(AND(AM36=1,AC36&lt;1),"Demand caps it at "&amp;TEXT(AK36,"#,##0")&amp;" "&amp;Use_Library!$D$35&amp;". ","")&amp;IF(AND(AM36=1,L36=1),"Rezone required (+"&amp;Location!$C$32&amp;" mo). ","")&amp;IF(AND(AM36=1,BA36=1),"State wastewater permit needed. ","")&amp;IF(AND(AM36=1,AV36=1),"Public water system needed. ","")&amp;AP36&amp;IF(Parcel!$C$16&gt;Assumptions!$C$29,"Floodplain over "&amp;TEXT(Assumptions!$C$29,"0%")&amp;". ","")&amp;IF(AND(AM36=1,EV36&gt;60),"Over 5 years to exit. ",""))</f>
        <v/>
      </c>
      <c r="FE36" s="20">
        <f>IF(AND(Org_Profile!$C$5="My uses",E36=0),-1E+9,ES36)+ROW()/1000000</f>
        <v/>
      </c>
    </row>
    <row r="37">
      <c r="A37" s="4">
        <f>Use_Library!$A$36</f>
        <v/>
      </c>
      <c r="B37" s="9">
        <f>Use_Library!$C$36</f>
        <v/>
      </c>
      <c r="C37" s="9">
        <f>Use_Library!$D$36</f>
        <v/>
      </c>
      <c r="D37" s="9">
        <f>Use_Library!$F$36</f>
        <v/>
      </c>
      <c r="E37" s="15">
        <f>IF(Org_Profile!$C$53="Y",1,0)</f>
        <v/>
      </c>
      <c r="F37" s="14">
        <f>MAX(0,Parcel!$C$37*(1-Use_Library!$N$36-IF(Use_Library!$AB$36="Y",Assumptions!$C$7,0)))</f>
        <v/>
      </c>
      <c r="G37" s="14">
        <f>IF(Use_Library!$M$36&gt;0,MIN(F37,Use_Library!$M$36),F37)</f>
        <v/>
      </c>
      <c r="H37" s="23">
        <f>IF(F37=0,0,G37/F37)</f>
        <v/>
      </c>
      <c r="I37" s="14">
        <f>Parcel!$C$37*H37</f>
        <v/>
      </c>
      <c r="J37" s="9">
        <f>IF(ISNUMBER(SEARCH(","&amp;Use_Library!$F$36&amp;",",","&amp;SUBSTITUTE(Parcel!$C$11," ","")&amp;",")),"Deed restricted",IF(Parcel!$C$46=0,"No zoning",IF(ISNUMBER(SEARCH(","&amp;Use_Library!$F$36&amp;",",","&amp;SUBSTITUTE(Parcel!$C$10," ","")&amp;",")),"By right",IF(OR(TRIM(Parcel!$C$12)="*",ISNUMBER(SEARCH(","&amp;Use_Library!$F$36&amp;",",","&amp;SUBSTITUTE(Parcel!$C$12," ","")&amp;","))),"Rezone required","Prohibited by zoning"))))</f>
        <v/>
      </c>
      <c r="K37" s="15">
        <f>IF(OR(J37="Deed restricted",J37="Prohibited by zoning"),0,1)</f>
        <v/>
      </c>
      <c r="L37" s="15">
        <f>IF(J37="Rezone required",1,0)</f>
        <v/>
      </c>
      <c r="M37" s="15">
        <f>IF(Parcel!$C$20="None",0,IF(AND(Parcel!$C$20="Private easement",Use_Library!$BA$36="Y"),0,1))</f>
        <v/>
      </c>
      <c r="N37" s="15">
        <f>IF(AND(Use_Library!$AZ$36="Y",Parcel!$C$19&lt;Use_Library!$AY$36),0,1)</f>
        <v/>
      </c>
      <c r="O37" s="15">
        <f>IF(AND(Use_Library!$T$36="Y",Parcel!$C$39=0),0,1)</f>
        <v/>
      </c>
      <c r="P37" s="15">
        <f>IF(AND(Use_Library!$U$36="Y",Parcel!$C$38=0),0,1)</f>
        <v/>
      </c>
      <c r="Q37" s="9">
        <f>TRIM(IF(AND(Use_Library!$BB$36&gt;0,Parcel!$C$28&lt;Use_Library!$BB$36),"Traffic under "&amp;TEXT(Use_Library!$BB$36,"#,##0")&amp;" VPD. ","")&amp;IF(AND(Use_Library!$BC$36&gt;0,Parcel!$C$29&lt;Use_Library!$BC$36),"Under "&amp;TEXT(Use_Library!$BC$36,"#,##0")&amp;" households in 3 mi. ","")&amp;IF(AND(Use_Library!$BD$36&gt;0,Parcel!$C$31&gt;Use_Library!$BD$36),"Over "&amp;Use_Library!$BD$36&amp;" mi to highway. ","")&amp;IF(AND(Use_Library!$BE$36="Y",Parcel!$C$32&lt;&gt;"Y"),"Needs a corner. ","")&amp;IF(AND(Use_Library!$BF$36&gt;0,Parcel!$C$33&gt;Use_Library!$BF$36),"Over "&amp;Use_Library!$BF$36&amp;" mi to substation. ","")&amp;IF(AND(Use_Library!$BG$36&gt;0,Parcel!$C$34&gt;Use_Library!$BG$36),"Over "&amp;Use_Library!$BG$36&amp;" mi to a major employer. ",""))</f>
        <v/>
      </c>
      <c r="R37" s="15">
        <f>IF(Q37="",1,0)</f>
        <v/>
      </c>
      <c r="S37" s="15">
        <f>IF(F37&gt;=Use_Library!$L$36,1,0)</f>
        <v/>
      </c>
      <c r="T37" s="15">
        <f>K37*M37*N37*O37*P37*R37*S37</f>
        <v/>
      </c>
      <c r="U37" s="14">
        <f>IF(Use_Library!$G$36&gt;0,I37*Use_Library!$G$36,1E+9)</f>
        <v/>
      </c>
      <c r="V37" s="14">
        <f>IF(Use_Library!$H$36&gt;0,G37*43560/Use_Library!$H$36,1E+9)</f>
        <v/>
      </c>
      <c r="W37" s="14">
        <f>IF(AND(Use_Library!$K$36="Y",Parcel!$C$39=0),G37*(1-Assumptions!$C$8)/IF(Parcel!$C$38=1,Location!$C$25,Location!$C$26),1E+9)</f>
        <v/>
      </c>
      <c r="X37" s="14">
        <f>IF(Use_Library!$I$36&gt;0,Parcel!$C$14*H37/Use_Library!$I$36,1E+9)</f>
        <v/>
      </c>
      <c r="Y37" s="14">
        <f>IF(Use_Library!$J$36&gt;0,Parcel!$C$19/Use_Library!$J$36,1E+9)</f>
        <v/>
      </c>
      <c r="Z37" s="14">
        <f>IF(AND(Parcel!$C$39=0,Use_Library!$K$36="N",Use_Library!$Y$36&gt;0,Use_Library!$Z$36="Y"),G37*Location!$C$27*Parcel!$C$45/Use_Library!$Y$36,1E+9)</f>
        <v/>
      </c>
      <c r="AA37" s="14">
        <f>MIN(U37,V37,W37,X37,Y37,Z37)</f>
        <v/>
      </c>
      <c r="AB37" s="14">
        <f>IF(Use_Library!$O$36&gt;0,IF(Use_Library!$P$36&gt;=10,Parcel!$C$30,Parcel!$C$29)*Use_Library!$O$36*Use_Library!$Q$36,1E+9)</f>
        <v/>
      </c>
      <c r="AC37" s="23">
        <f>IF(OR(AA37&gt;=1E+9,AA37&lt;=0),1,MIN(1,AB37/AA37))</f>
        <v/>
      </c>
      <c r="AD37" s="14">
        <f>G37*AC37</f>
        <v/>
      </c>
      <c r="AE37" s="23">
        <f>IF(F37=0,0,AD37/F37)</f>
        <v/>
      </c>
      <c r="AF37" s="14">
        <f>Parcel!$C$37*AE37</f>
        <v/>
      </c>
      <c r="AG37" s="14">
        <f>AF37*IF(Use_Library!$AB$36="Y",Assumptions!$C$7,0)</f>
        <v/>
      </c>
      <c r="AH37" s="14">
        <f>AF37*(1-Use_Library!$N$36)</f>
        <v/>
      </c>
      <c r="AI37" s="14">
        <f>Parcel!$C$14*(1-AE37)</f>
        <v/>
      </c>
      <c r="AJ37" s="14">
        <f>MIN(AA37,AB37)</f>
        <v/>
      </c>
      <c r="AK37" s="25">
        <f>IF(T37=0,0,IF(AJ37&gt;=1E+9,AD37,IF(Use_Library!$E$36="Y",INT(AJ37+1E-9),AJ37)))</f>
        <v/>
      </c>
      <c r="AL37" s="9">
        <f>IF(M37=0,"No public road access",IF(K37=0,J37,IF(R37=0,"Location fails",IF(N37=0,"Frontage under "&amp;Use_Library!$AY$36&amp;" LF",IF(S37=0,"Too small - needs "&amp;Use_Library!$L$36&amp;" usable ac",IF(O37=0,"Needs public sewer",IF(P37=0,"Needs public water",IF(AJ37&gt;=1E+9,"Usable acres",IF(AB37&lt;=AA37,"Market demand",IF(W37=AA37,"Septic lot size",IF(Z37=AA37,"Septic capacity (gal/day)",IF(X37=AA37,"Min lot size",IF(Y37=AA37,"Road frontage",IF(V37=AA37,"Site area / parking","Density"))))))))))))))</f>
        <v/>
      </c>
      <c r="AM37" s="15">
        <f>IF(AK37&gt;0,1,0)</f>
        <v/>
      </c>
      <c r="AN37" s="15">
        <f>IF(Use_Library!$Z$36="Y",1,0)*AM37</f>
        <v/>
      </c>
      <c r="AO37" s="14">
        <f>IF(Parcel!$C$39=0,MIN(U37,V37,X37,Y37,AB37),0)</f>
        <v/>
      </c>
      <c r="AP37" s="9">
        <f>IF(AND(Parcel!$C$39=0,M37*K37*R37*N37*S37*P37=1,AO37&lt;1E+9,AO37&gt;=MAX(1,AK37)*1.25),"Unlock: sewer or package plant allows ~"&amp;TEXT(INT(AO37),"#,##0")&amp;" "&amp;Use_Library!$D$36&amp;". ","")</f>
        <v/>
      </c>
      <c r="AQ37" s="15">
        <f>AK37*Use_Library!$AC$36*AN37</f>
        <v/>
      </c>
      <c r="AR37" s="15">
        <f>AK37*Use_Library!$AD$36*AN37</f>
        <v/>
      </c>
      <c r="AS37" s="14">
        <f>AK37*Use_Library!$V$36*AN37</f>
        <v/>
      </c>
      <c r="AT37" s="15">
        <f>IF(Parcel!$C$38=1,AQ37+Parcel!$C$40,0)*AN37</f>
        <v/>
      </c>
      <c r="AU37" s="14">
        <f>AS37*Parcel!$C$38</f>
        <v/>
      </c>
      <c r="AV37" s="15">
        <f>IF(AND(Parcel!$C$38=0,Use_Library!$K$36="N",AS37&gt;=Location!$C$30),1,0)*AN37</f>
        <v/>
      </c>
      <c r="AW37" s="15">
        <f>IF(Parcel!$C$39=1,AQ37+Parcel!$C$41,0)*AN37</f>
        <v/>
      </c>
      <c r="AX37" s="14">
        <f>AS37*Parcel!$C$39</f>
        <v/>
      </c>
      <c r="AY37" s="14">
        <f>IF(Parcel!$C$39=0,AK37*Use_Library!$W$36,0)*AN37</f>
        <v/>
      </c>
      <c r="AZ37" s="15">
        <f>IF(Parcel!$C$39=0,AK37*Use_Library!$Y$36,0)*AN37</f>
        <v/>
      </c>
      <c r="BA37" s="15">
        <f>IF(AND(Use_Library!$K$36="N",AZ37&gt;Location!$C$28),1,0)</f>
        <v/>
      </c>
      <c r="BB37" s="14">
        <f>IF(AND(Parcel!$C$38=0,AV37=0),AK37*Use_Library!$X$36,0)*AN37</f>
        <v/>
      </c>
      <c r="BC37" s="14">
        <f>AH37*Parcel!$C$18*Use_Library!$AA$36*AN37</f>
        <v/>
      </c>
      <c r="BD37" s="14">
        <f>AH37*Use_Library!$AA$36*AN37</f>
        <v/>
      </c>
      <c r="BE37" s="15">
        <f>IF(Use_Library!$C$36="For-Sale",IF(Use_Library!$E$36="Y",AK37,1),1)*AM37</f>
        <v/>
      </c>
      <c r="BF37" s="15">
        <f>IF(OR(Use_Library!$F$36="RES-SF",Use_Library!$F$36="RES-ATT",Use_Library!$F$36="RES-MF",Use_Library!$F$36="MH"),1,0)</f>
        <v/>
      </c>
      <c r="BG37" s="20">
        <f>Cost_Library!$J$5*Location!$C$9*AM37</f>
        <v/>
      </c>
      <c r="BH37" s="20">
        <f>BE37*Cost_Library!$J$6*Location!$C$9</f>
        <v/>
      </c>
      <c r="BI37" s="20">
        <f>BD37*Cost_Library!$J$7*Location!$C$9</f>
        <v/>
      </c>
      <c r="BJ37" s="20">
        <f>Cost_Library!$J$8*Location!$C$9*AN37*IF(Use_Library!$AA$36&gt;=0.5,1,0)</f>
        <v/>
      </c>
      <c r="BK37" s="20">
        <f>AY37*Cost_Library!$J$9*Location!$C$9</f>
        <v/>
      </c>
      <c r="BL37" s="20">
        <f>BA37*Cost_Library!$J$10*Location!$C$9</f>
        <v/>
      </c>
      <c r="BM37" s="20">
        <f>Cost_Library!$J$11*Location!$C$9*AM37</f>
        <v/>
      </c>
      <c r="BN37" s="20">
        <f>Cost_Library!$J$12*Location!$C$9*AN37*IF(Use_Library!$AB$36="Y",1,0)</f>
        <v/>
      </c>
      <c r="BO37" s="20">
        <f>Use_Effective!$C$36*AM37</f>
        <v/>
      </c>
      <c r="BP37" s="20">
        <f>L37*Location!$C$31*AM37</f>
        <v/>
      </c>
      <c r="BQ37" s="20">
        <f>Cost_Library!$J$13*Location!$C$9*AM37</f>
        <v/>
      </c>
      <c r="BR37" s="20">
        <f>BC37*Cost_Library!$J$14*Location!$C$9</f>
        <v/>
      </c>
      <c r="BS37" s="20">
        <f>BD37*Cost_Library!$J$15*Location!$C$9*Parcel!$C$43</f>
        <v/>
      </c>
      <c r="BT37" s="20">
        <f>AQ37*Cost_Library!$J$16*Location!$C$9</f>
        <v/>
      </c>
      <c r="BU37" s="20">
        <f>AR37*Cost_Library!$J$17*Location!$C$9</f>
        <v/>
      </c>
      <c r="BV37" s="20">
        <f>AG37*Cost_Library!$J$18*Location!$C$9*AN37</f>
        <v/>
      </c>
      <c r="BW37" s="20">
        <f>BD37*Cost_Library!$J$19*Location!$C$9</f>
        <v/>
      </c>
      <c r="BX37" s="20">
        <f>IF(Use_Library!$AZ$36="Y",1,0)*Cost_Library!$J$20*Location!$C$9*AN37</f>
        <v/>
      </c>
      <c r="BY37" s="20">
        <f>AT37*Cost_Library!$J$21*Location!$C$9</f>
        <v/>
      </c>
      <c r="BZ37" s="20">
        <f>AU37*Cost_Library!$J$22*Location!$C$9</f>
        <v/>
      </c>
      <c r="CA37" s="20">
        <f>AW37*Cost_Library!$J$23*Location!$C$9</f>
        <v/>
      </c>
      <c r="CB37" s="20">
        <f>AX37*Cost_Library!$J$24*Location!$C$9</f>
        <v/>
      </c>
      <c r="CC37" s="20">
        <f>AY37*Cost_Library!$J$25*Location!$C$9*Parcel!$C$44</f>
        <v/>
      </c>
      <c r="CD37" s="20">
        <f>BB37*Cost_Library!$J$26*Location!$C$9</f>
        <v/>
      </c>
      <c r="CE37" s="20">
        <f>AV37*(Cost_Library!$J$27+AS37*Cost_Library!$J$28)*Location!$C$9</f>
        <v/>
      </c>
      <c r="CF37" s="20">
        <f>AQ37*Cost_Library!$J$29*Location!$C$9</f>
        <v/>
      </c>
      <c r="CG37" s="20">
        <f>SUM(BG37:CF37)</f>
        <v/>
      </c>
      <c r="CH37" s="20">
        <f>CG37*Assumptions!$C$9</f>
        <v/>
      </c>
      <c r="CI37" s="20">
        <f>(CG37+CH37)*Org_Profile!$C$17</f>
        <v/>
      </c>
      <c r="CJ37" s="20">
        <f>CG37+CH37+CI37</f>
        <v/>
      </c>
      <c r="CK37" s="20">
        <f>AK37*Use_Effective!$B$36*(1+Org_Profile!$C$17)</f>
        <v/>
      </c>
      <c r="CL37" s="20">
        <f>CK37*(Assumptions!$C$10+Assumptions!$C$11)</f>
        <v/>
      </c>
      <c r="CM37" s="20">
        <f>AK37*Use_Effective!$D$36</f>
        <v/>
      </c>
      <c r="CN37" s="20">
        <f>AK37*Location!$C$21*BF37*AM37</f>
        <v/>
      </c>
      <c r="CO37" s="14">
        <f>Use_Effective!$F$36+L37*Location!$C$32+BA37*Location!$C$29</f>
        <v/>
      </c>
      <c r="CP37" s="14">
        <f>IF(Use_Effective!$P$36&gt;0,IF(Use_Library!$C$36="For-Sale",AK37,AD37)/Use_Effective!$P$36,0)*AM37</f>
        <v/>
      </c>
      <c r="CQ37" s="14">
        <f>IF(AND(Use_Library!$C$36="For-Sale",Use_Effective!$O$36&gt;0),AK37/Use_Effective!$O$36,0)*AM37</f>
        <v/>
      </c>
      <c r="CR37" s="14">
        <f>IF(Use_Library!$C$36="Income",MAX(Use_Library!$AQ$36,IF(Use_Effective!$O$36&gt;0,AK37/Use_Effective!$O$36,0)),0)</f>
        <v/>
      </c>
      <c r="CS37" s="14">
        <f>CO37+CP37</f>
        <v/>
      </c>
      <c r="CT37" s="14">
        <f>CO37+CQ37+CR37</f>
        <v/>
      </c>
      <c r="CU37" s="14">
        <f>CO37+IF(Use_Library!$C$36="Income",CR37,0)</f>
        <v/>
      </c>
      <c r="CV37" s="23">
        <f>Use_Effective!$G$36+Assumptions!$C$25*MAX(0,(CS37-12)/12)</f>
        <v/>
      </c>
      <c r="CW37" s="23">
        <f>Use_Effective!$G$36+Assumptions!$C$25*MAX(0,(CT37-12)/12)</f>
        <v/>
      </c>
      <c r="CX37" s="23">
        <f>Use_Effective!$G$36+Assumptions!$C$25*MAX(0,(CU37-12)/12)</f>
        <v/>
      </c>
      <c r="CY37" s="28">
        <f>1+Location!$C$17+IF(Parcel!$C$26="Y",Location!$C$20,0)</f>
        <v/>
      </c>
      <c r="CZ37" s="28">
        <f>CY37+Location!$C$19*(CO37+CP37/2)/12</f>
        <v/>
      </c>
      <c r="DA37" s="28">
        <f>CY37+Location!$C$19*(CO37+CQ37/2)/12</f>
        <v/>
      </c>
      <c r="DB37" s="28">
        <f>IF(Use_Library!$C$36="Income",DA37,CY37+Location!$C$19*CO37/12)</f>
        <v/>
      </c>
      <c r="DC37" s="28">
        <f>1+Assumptions!$C$15*(Assumptions!$C$16*(CO37+CP37/2)/12*Assumptions!$C$18+Assumptions!$C$17)</f>
        <v/>
      </c>
      <c r="DD37" s="28">
        <f>1+Assumptions!$C$15*(Assumptions!$C$16*((CO37+CQ37/2)/12*Assumptions!$C$18+CR37/12*Assumptions!$C$19)+Assumptions!$C$17)</f>
        <v/>
      </c>
      <c r="DE37" s="28">
        <f>IF(Use_Library!$C$36="Income",DD37,1+Assumptions!$C$15*(Assumptions!$C$16*CO37/12*Assumptions!$C$18+Assumptions!$C$17))</f>
        <v/>
      </c>
      <c r="DF37" s="23">
        <f>Assumptions!$C$13+Location!$C$18</f>
        <v/>
      </c>
      <c r="DG37" s="23">
        <f>Assumptions!$C$12+Location!$C$18</f>
        <v/>
      </c>
      <c r="DH37" s="23">
        <f>Assumptions!$C$14+Location!$C$18</f>
        <v/>
      </c>
      <c r="DI37" s="20">
        <f>AI37*Location!$C$14*(1-DF37)*AM37</f>
        <v/>
      </c>
      <c r="DJ37" s="20">
        <f>IF(Use_Library!$AV$36=1,IF(Use_Library!$C$36="For-Sale",AK37*Use_Effective!$H$36+Parcel!$C$14*AE37*Use_Effective!$J$36,AD37*Use_Effective!$J$36)*(1-DF37)+DI37,0)*AM37</f>
        <v/>
      </c>
      <c r="DK37" s="20">
        <f>(CG37-BU37-CC37-CD37)*(1+Assumptions!$C$9)*(1+Org_Profile!$C$17)</f>
        <v/>
      </c>
      <c r="DL37" s="28">
        <f>CZ37*DC37</f>
        <v/>
      </c>
      <c r="DM37" s="20">
        <f>(Parcel!$C$27*CZ37+DK37)*DC37</f>
        <v/>
      </c>
      <c r="DN37" s="20">
        <f>DJ37-DM37</f>
        <v/>
      </c>
      <c r="DO37" s="38">
        <f>IF(AND(Use_Library!$AV$36=1,AM37=1),MAX(0,((1-CV37)*DJ37-DK37*DC37)/DL37),0)</f>
        <v/>
      </c>
      <c r="DP37" s="20">
        <f>CJ37+CK37+CL37+CM37+CN37</f>
        <v/>
      </c>
      <c r="DQ37" s="28">
        <f>DA37*DD37</f>
        <v/>
      </c>
      <c r="DR37" s="20">
        <f>(Parcel!$C$27*DA37+DP37)*DD37</f>
        <v/>
      </c>
      <c r="DS37" s="20">
        <f>IF(Use_Library!$C$36="Income",AK37*Use_Effective!$K$36,0)</f>
        <v/>
      </c>
      <c r="DT37" s="20">
        <f>DS37*(1+Use_Library!$AL$36)*(1-Use_Effective!$N$36)</f>
        <v/>
      </c>
      <c r="DU37" s="20">
        <f>IF(Use_Library!$C$36="Income",AK37*Use_Effective!$E$36,0)</f>
        <v/>
      </c>
      <c r="DV37" s="20">
        <f>IF(Use_Library!$C$36="Income",Location!$C$15*Location!$C$16*DR37,0)</f>
        <v/>
      </c>
      <c r="DW37" s="20">
        <f>DT37*Use_Library!$AO$36</f>
        <v/>
      </c>
      <c r="DX37" s="20">
        <f>(DU37+DV37)*Use_Library!$AP$36</f>
        <v/>
      </c>
      <c r="DY37" s="20">
        <f>DT37-DU37-DV37-DW37+DX37</f>
        <v/>
      </c>
      <c r="DZ37" s="26">
        <f>Use_Effective!$M$36</f>
        <v/>
      </c>
      <c r="EA37" s="20">
        <f>IF(AND(Use_Library!$C$36="Income",DZ37&gt;0),DY37/DZ37,0)</f>
        <v/>
      </c>
      <c r="EB37" s="39">
        <f>IF(Use_Library!$C$36="Income",-Location!$C$15*Location!$C$16*(1-Use_Library!$AP$36)*DQ37,0)</f>
        <v/>
      </c>
      <c r="EC37" s="23">
        <f>IF(DR37=0,0,DY37/DR37)</f>
        <v/>
      </c>
      <c r="ED37" s="20">
        <f>IF(Use_Library!$AW$36=1,IF(Use_Library!$C$36="Income",EA37*(1-DH37),AK37*Use_Effective!$I$36*(1-DG37))+DI37,0)*AM37</f>
        <v/>
      </c>
      <c r="EE37" s="39">
        <f>IF(AND(Use_Library!$AW$36=1,Use_Library!$C$36="Income",DZ37&gt;0),EB37/DZ37*(1-DH37),0)</f>
        <v/>
      </c>
      <c r="EF37" s="20">
        <f>ED37-DR37</f>
        <v/>
      </c>
      <c r="EG37" s="38">
        <f>IF(AND(Use_Library!$AW$36=1,AM37=1),MAX(0,Parcel!$C$27-((1-CW37)*ED37-DR37)/((1-CW37)*EE37-DQ37)),0)</f>
        <v/>
      </c>
      <c r="EH37" s="20">
        <f>IF(Use_Library!$AX$36=1,IF(Use_Library!$C$36="Income",EA37,IF(DZ37&gt;0,AD37*Use_Effective!$L$36/DZ37,0))+DI37,0)*AM37</f>
        <v/>
      </c>
      <c r="EI37" s="20">
        <f>IF(Use_Library!$C$36="Income",DP37,CJ37)</f>
        <v/>
      </c>
      <c r="EJ37" s="28">
        <f>IF(Use_Library!$C$36="Income",DQ37,DB37*DE37)</f>
        <v/>
      </c>
      <c r="EK37" s="20">
        <f>IF(Use_Library!$C$36="Income",DR37,(Parcel!$C$27*DB37+CJ37)*DE37)</f>
        <v/>
      </c>
      <c r="EL37" s="39">
        <f>IF(AND(Use_Library!$AX$36=1,Use_Library!$C$36="Income",DZ37&gt;0),EB37/DZ37,0)</f>
        <v/>
      </c>
      <c r="EM37" s="20">
        <f>EH37-EK37</f>
        <v/>
      </c>
      <c r="EN37" s="38">
        <f>IF(AND(Use_Library!$AX$36=1,AM37=1),MAX(0,Parcel!$C$27-((1-CX37)*EH37-EK37)/((1-CX37)*EL37-EJ37)),0)</f>
        <v/>
      </c>
      <c r="EO37" s="20">
        <f>IF(Use_Library!$C$36="Income",Assumptions!$C$15*(Parcel!$C$27*DA37+DP37),0)</f>
        <v/>
      </c>
      <c r="EP37" s="20">
        <f>IF(AND(Use_Library!$C$36="Income",DY37&gt;0),MIN(Assumptions!$C$20*EA37,PV(Assumptions!$C$23/12,Assumptions!$C$24*12,-DY37/Assumptions!$C$21/12),DY37/Assumptions!$C$22),0)</f>
        <v/>
      </c>
      <c r="EQ37" s="27">
        <f>IF(EP37=0,0,DY37/(-PMT(Assumptions!$C$23/12,Assumptions!$C$24*12,EP37)*12))</f>
        <v/>
      </c>
      <c r="ER37" s="20">
        <f>EP37-EO37</f>
        <v/>
      </c>
      <c r="ES37" s="19">
        <f>MAX(DO37,EG37,EN37)</f>
        <v/>
      </c>
      <c r="ET37" s="15">
        <f>IF(ES37&lt;=0,0,IF(DO37=ES37,1,IF(EG37=ES37,2,3)))</f>
        <v/>
      </c>
      <c r="EU37" s="9">
        <f>CHOOSE(ET37+1,"None works","Land / pad sale","Build &amp; sell","Build &amp; hold / lease")</f>
        <v/>
      </c>
      <c r="EV37" s="15">
        <f>CHOOSE(ET37+1,0,CS37,CT37,CU37)</f>
        <v/>
      </c>
      <c r="EW37" s="20">
        <f>ES37*(1-Assumptions!$C$26)</f>
        <v/>
      </c>
      <c r="EX37" s="20">
        <f>ES37-Parcel!$C$27</f>
        <v/>
      </c>
      <c r="EY37" s="20">
        <f>IF(Parcel!$C$14=0,0,ES37/Parcel!$C$14)</f>
        <v/>
      </c>
      <c r="EZ37" s="36">
        <f>IF(AK37=0,0,ES37/AK37)</f>
        <v/>
      </c>
      <c r="FA37" s="9">
        <f>IF(ES37&lt;=0,"Pass",IF(ES37&gt;=Parcel!$C$27*Assumptions!$C$27,"Strong",IF(ES37&gt;=Parcel!$C$27,"Works at asking",IF(ES37&gt;=Parcel!$C$27*Assumptions!$C$28,"Negotiate","Pass"))))</f>
        <v/>
      </c>
      <c r="FB37" s="9">
        <f>IF(AM37=0,"",IF(Use_Library!$BH$36="Y",IF(Use_Effective!$AF$36&gt;=3,"High","Medium"),"Low - verify location"))</f>
        <v/>
      </c>
      <c r="FC37" s="9">
        <f>IF(AND(Use_Library!$BH$36="N",AM37=1),Use_Library!$BI$36,"")</f>
        <v/>
      </c>
      <c r="FD37" s="9">
        <f>TRIM(Q37&amp;" "&amp;IF(AND(AM37=0,T37=1),"Nothing fits. ","")&amp;IF(AND(Use_Library!$AZ$36&lt;&gt;"Y",Parcel!$C$19&lt;Use_Library!$AY$36),"Frontage under "&amp;Use_Library!$AY$36&amp;" LF. ","")&amp;IF(Parcel!$C$17&gt;0.15,"Slope over 15%. ","")&amp;IF(AND(AM37=1,AI37&gt;0.5),TEXT(AI37,"0")&amp;" ac not used - resold as raw land. ","")&amp;IF(AND(AM37=1,AC37&lt;1),"Demand caps it at "&amp;TEXT(AK37,"#,##0")&amp;" "&amp;Use_Library!$D$36&amp;". ","")&amp;IF(AND(AM37=1,L37=1),"Rezone required (+"&amp;Location!$C$32&amp;" mo). ","")&amp;IF(AND(AM37=1,BA37=1),"State wastewater permit needed. ","")&amp;IF(AND(AM37=1,AV37=1),"Public water system needed. ","")&amp;AP37&amp;IF(Parcel!$C$16&gt;Assumptions!$C$29,"Floodplain over "&amp;TEXT(Assumptions!$C$29,"0%")&amp;". ","")&amp;IF(AND(AM37=1,EV37&gt;60),"Over 5 years to exit. ",""))</f>
        <v/>
      </c>
      <c r="FE37" s="20">
        <f>IF(AND(Org_Profile!$C$5="My uses",E37=0),-1E+9,ES37)+ROW()/1000000</f>
        <v/>
      </c>
    </row>
    <row r="38">
      <c r="A38" s="4">
        <f>Use_Library!$A$37</f>
        <v/>
      </c>
      <c r="B38" s="9">
        <f>Use_Library!$C$37</f>
        <v/>
      </c>
      <c r="C38" s="9">
        <f>Use_Library!$D$37</f>
        <v/>
      </c>
      <c r="D38" s="9">
        <f>Use_Library!$F$37</f>
        <v/>
      </c>
      <c r="E38" s="15">
        <f>IF(Org_Profile!$C$54="Y",1,0)</f>
        <v/>
      </c>
      <c r="F38" s="14">
        <f>MAX(0,Parcel!$C$37*(1-Use_Library!$N$37-IF(Use_Library!$AB$37="Y",Assumptions!$C$7,0)))</f>
        <v/>
      </c>
      <c r="G38" s="14">
        <f>IF(Use_Library!$M$37&gt;0,MIN(F38,Use_Library!$M$37),F38)</f>
        <v/>
      </c>
      <c r="H38" s="23">
        <f>IF(F38=0,0,G38/F38)</f>
        <v/>
      </c>
      <c r="I38" s="14">
        <f>Parcel!$C$37*H38</f>
        <v/>
      </c>
      <c r="J38" s="9">
        <f>IF(ISNUMBER(SEARCH(","&amp;Use_Library!$F$37&amp;",",","&amp;SUBSTITUTE(Parcel!$C$11," ","")&amp;",")),"Deed restricted",IF(Parcel!$C$46=0,"No zoning",IF(ISNUMBER(SEARCH(","&amp;Use_Library!$F$37&amp;",",","&amp;SUBSTITUTE(Parcel!$C$10," ","")&amp;",")),"By right",IF(OR(TRIM(Parcel!$C$12)="*",ISNUMBER(SEARCH(","&amp;Use_Library!$F$37&amp;",",","&amp;SUBSTITUTE(Parcel!$C$12," ","")&amp;","))),"Rezone required","Prohibited by zoning"))))</f>
        <v/>
      </c>
      <c r="K38" s="15">
        <f>IF(OR(J38="Deed restricted",J38="Prohibited by zoning"),0,1)</f>
        <v/>
      </c>
      <c r="L38" s="15">
        <f>IF(J38="Rezone required",1,0)</f>
        <v/>
      </c>
      <c r="M38" s="15">
        <f>IF(Parcel!$C$20="None",0,IF(AND(Parcel!$C$20="Private easement",Use_Library!$BA$37="Y"),0,1))</f>
        <v/>
      </c>
      <c r="N38" s="15">
        <f>IF(AND(Use_Library!$AZ$37="Y",Parcel!$C$19&lt;Use_Library!$AY$37),0,1)</f>
        <v/>
      </c>
      <c r="O38" s="15">
        <f>IF(AND(Use_Library!$T$37="Y",Parcel!$C$39=0),0,1)</f>
        <v/>
      </c>
      <c r="P38" s="15">
        <f>IF(AND(Use_Library!$U$37="Y",Parcel!$C$38=0),0,1)</f>
        <v/>
      </c>
      <c r="Q38" s="9">
        <f>TRIM(IF(AND(Use_Library!$BB$37&gt;0,Parcel!$C$28&lt;Use_Library!$BB$37),"Traffic under "&amp;TEXT(Use_Library!$BB$37,"#,##0")&amp;" VPD. ","")&amp;IF(AND(Use_Library!$BC$37&gt;0,Parcel!$C$29&lt;Use_Library!$BC$37),"Under "&amp;TEXT(Use_Library!$BC$37,"#,##0")&amp;" households in 3 mi. ","")&amp;IF(AND(Use_Library!$BD$37&gt;0,Parcel!$C$31&gt;Use_Library!$BD$37),"Over "&amp;Use_Library!$BD$37&amp;" mi to highway. ","")&amp;IF(AND(Use_Library!$BE$37="Y",Parcel!$C$32&lt;&gt;"Y"),"Needs a corner. ","")&amp;IF(AND(Use_Library!$BF$37&gt;0,Parcel!$C$33&gt;Use_Library!$BF$37),"Over "&amp;Use_Library!$BF$37&amp;" mi to substation. ","")&amp;IF(AND(Use_Library!$BG$37&gt;0,Parcel!$C$34&gt;Use_Library!$BG$37),"Over "&amp;Use_Library!$BG$37&amp;" mi to a major employer. ",""))</f>
        <v/>
      </c>
      <c r="R38" s="15">
        <f>IF(Q38="",1,0)</f>
        <v/>
      </c>
      <c r="S38" s="15">
        <f>IF(F38&gt;=Use_Library!$L$37,1,0)</f>
        <v/>
      </c>
      <c r="T38" s="15">
        <f>K38*M38*N38*O38*P38*R38*S38</f>
        <v/>
      </c>
      <c r="U38" s="14">
        <f>IF(Use_Library!$G$37&gt;0,I38*Use_Library!$G$37,1E+9)</f>
        <v/>
      </c>
      <c r="V38" s="14">
        <f>IF(Use_Library!$H$37&gt;0,G38*43560/Use_Library!$H$37,1E+9)</f>
        <v/>
      </c>
      <c r="W38" s="14">
        <f>IF(AND(Use_Library!$K$37="Y",Parcel!$C$39=0),G38*(1-Assumptions!$C$8)/IF(Parcel!$C$38=1,Location!$C$25,Location!$C$26),1E+9)</f>
        <v/>
      </c>
      <c r="X38" s="14">
        <f>IF(Use_Library!$I$37&gt;0,Parcel!$C$14*H38/Use_Library!$I$37,1E+9)</f>
        <v/>
      </c>
      <c r="Y38" s="14">
        <f>IF(Use_Library!$J$37&gt;0,Parcel!$C$19/Use_Library!$J$37,1E+9)</f>
        <v/>
      </c>
      <c r="Z38" s="14">
        <f>IF(AND(Parcel!$C$39=0,Use_Library!$K$37="N",Use_Library!$Y$37&gt;0,Use_Library!$Z$37="Y"),G38*Location!$C$27*Parcel!$C$45/Use_Library!$Y$37,1E+9)</f>
        <v/>
      </c>
      <c r="AA38" s="14">
        <f>MIN(U38,V38,W38,X38,Y38,Z38)</f>
        <v/>
      </c>
      <c r="AB38" s="14">
        <f>IF(Use_Library!$O$37&gt;0,IF(Use_Library!$P$37&gt;=10,Parcel!$C$30,Parcel!$C$29)*Use_Library!$O$37*Use_Library!$Q$37,1E+9)</f>
        <v/>
      </c>
      <c r="AC38" s="23">
        <f>IF(OR(AA38&gt;=1E+9,AA38&lt;=0),1,MIN(1,AB38/AA38))</f>
        <v/>
      </c>
      <c r="AD38" s="14">
        <f>G38*AC38</f>
        <v/>
      </c>
      <c r="AE38" s="23">
        <f>IF(F38=0,0,AD38/F38)</f>
        <v/>
      </c>
      <c r="AF38" s="14">
        <f>Parcel!$C$37*AE38</f>
        <v/>
      </c>
      <c r="AG38" s="14">
        <f>AF38*IF(Use_Library!$AB$37="Y",Assumptions!$C$7,0)</f>
        <v/>
      </c>
      <c r="AH38" s="14">
        <f>AF38*(1-Use_Library!$N$37)</f>
        <v/>
      </c>
      <c r="AI38" s="14">
        <f>Parcel!$C$14*(1-AE38)</f>
        <v/>
      </c>
      <c r="AJ38" s="14">
        <f>MIN(AA38,AB38)</f>
        <v/>
      </c>
      <c r="AK38" s="25">
        <f>IF(T38=0,0,IF(AJ38&gt;=1E+9,AD38,IF(Use_Library!$E$37="Y",INT(AJ38+1E-9),AJ38)))</f>
        <v/>
      </c>
      <c r="AL38" s="9">
        <f>IF(M38=0,"No public road access",IF(K38=0,J38,IF(R38=0,"Location fails",IF(N38=0,"Frontage under "&amp;Use_Library!$AY$37&amp;" LF",IF(S38=0,"Too small - needs "&amp;Use_Library!$L$37&amp;" usable ac",IF(O38=0,"Needs public sewer",IF(P38=0,"Needs public water",IF(AJ38&gt;=1E+9,"Usable acres",IF(AB38&lt;=AA38,"Market demand",IF(W38=AA38,"Septic lot size",IF(Z38=AA38,"Septic capacity (gal/day)",IF(X38=AA38,"Min lot size",IF(Y38=AA38,"Road frontage",IF(V38=AA38,"Site area / parking","Density"))))))))))))))</f>
        <v/>
      </c>
      <c r="AM38" s="15">
        <f>IF(AK38&gt;0,1,0)</f>
        <v/>
      </c>
      <c r="AN38" s="15">
        <f>IF(Use_Library!$Z$37="Y",1,0)*AM38</f>
        <v/>
      </c>
      <c r="AO38" s="14">
        <f>IF(Parcel!$C$39=0,MIN(U38,V38,X38,Y38,AB38),0)</f>
        <v/>
      </c>
      <c r="AP38" s="9">
        <f>IF(AND(Parcel!$C$39=0,M38*K38*R38*N38*S38*P38=1,AO38&lt;1E+9,AO38&gt;=MAX(1,AK38)*1.25),"Unlock: sewer or package plant allows ~"&amp;TEXT(INT(AO38),"#,##0")&amp;" "&amp;Use_Library!$D$37&amp;". ","")</f>
        <v/>
      </c>
      <c r="AQ38" s="15">
        <f>AK38*Use_Library!$AC$37*AN38</f>
        <v/>
      </c>
      <c r="AR38" s="15">
        <f>AK38*Use_Library!$AD$37*AN38</f>
        <v/>
      </c>
      <c r="AS38" s="14">
        <f>AK38*Use_Library!$V$37*AN38</f>
        <v/>
      </c>
      <c r="AT38" s="15">
        <f>IF(Parcel!$C$38=1,AQ38+Parcel!$C$40,0)*AN38</f>
        <v/>
      </c>
      <c r="AU38" s="14">
        <f>AS38*Parcel!$C$38</f>
        <v/>
      </c>
      <c r="AV38" s="15">
        <f>IF(AND(Parcel!$C$38=0,Use_Library!$K$37="N",AS38&gt;=Location!$C$30),1,0)*AN38</f>
        <v/>
      </c>
      <c r="AW38" s="15">
        <f>IF(Parcel!$C$39=1,AQ38+Parcel!$C$41,0)*AN38</f>
        <v/>
      </c>
      <c r="AX38" s="14">
        <f>AS38*Parcel!$C$39</f>
        <v/>
      </c>
      <c r="AY38" s="14">
        <f>IF(Parcel!$C$39=0,AK38*Use_Library!$W$37,0)*AN38</f>
        <v/>
      </c>
      <c r="AZ38" s="15">
        <f>IF(Parcel!$C$39=0,AK38*Use_Library!$Y$37,0)*AN38</f>
        <v/>
      </c>
      <c r="BA38" s="15">
        <f>IF(AND(Use_Library!$K$37="N",AZ38&gt;Location!$C$28),1,0)</f>
        <v/>
      </c>
      <c r="BB38" s="14">
        <f>IF(AND(Parcel!$C$38=0,AV38=0),AK38*Use_Library!$X$37,0)*AN38</f>
        <v/>
      </c>
      <c r="BC38" s="14">
        <f>AH38*Parcel!$C$18*Use_Library!$AA$37*AN38</f>
        <v/>
      </c>
      <c r="BD38" s="14">
        <f>AH38*Use_Library!$AA$37*AN38</f>
        <v/>
      </c>
      <c r="BE38" s="15">
        <f>IF(Use_Library!$C$37="For-Sale",IF(Use_Library!$E$37="Y",AK38,1),1)*AM38</f>
        <v/>
      </c>
      <c r="BF38" s="15">
        <f>IF(OR(Use_Library!$F$37="RES-SF",Use_Library!$F$37="RES-ATT",Use_Library!$F$37="RES-MF",Use_Library!$F$37="MH"),1,0)</f>
        <v/>
      </c>
      <c r="BG38" s="20">
        <f>Cost_Library!$J$5*Location!$C$9*AM38</f>
        <v/>
      </c>
      <c r="BH38" s="20">
        <f>BE38*Cost_Library!$J$6*Location!$C$9</f>
        <v/>
      </c>
      <c r="BI38" s="20">
        <f>BD38*Cost_Library!$J$7*Location!$C$9</f>
        <v/>
      </c>
      <c r="BJ38" s="20">
        <f>Cost_Library!$J$8*Location!$C$9*AN38*IF(Use_Library!$AA$37&gt;=0.5,1,0)</f>
        <v/>
      </c>
      <c r="BK38" s="20">
        <f>AY38*Cost_Library!$J$9*Location!$C$9</f>
        <v/>
      </c>
      <c r="BL38" s="20">
        <f>BA38*Cost_Library!$J$10*Location!$C$9</f>
        <v/>
      </c>
      <c r="BM38" s="20">
        <f>Cost_Library!$J$11*Location!$C$9*AM38</f>
        <v/>
      </c>
      <c r="BN38" s="20">
        <f>Cost_Library!$J$12*Location!$C$9*AN38*IF(Use_Library!$AB$37="Y",1,0)</f>
        <v/>
      </c>
      <c r="BO38" s="20">
        <f>Use_Effective!$C$37*AM38</f>
        <v/>
      </c>
      <c r="BP38" s="20">
        <f>L38*Location!$C$31*AM38</f>
        <v/>
      </c>
      <c r="BQ38" s="20">
        <f>Cost_Library!$J$13*Location!$C$9*AM38</f>
        <v/>
      </c>
      <c r="BR38" s="20">
        <f>BC38*Cost_Library!$J$14*Location!$C$9</f>
        <v/>
      </c>
      <c r="BS38" s="20">
        <f>BD38*Cost_Library!$J$15*Location!$C$9*Parcel!$C$43</f>
        <v/>
      </c>
      <c r="BT38" s="20">
        <f>AQ38*Cost_Library!$J$16*Location!$C$9</f>
        <v/>
      </c>
      <c r="BU38" s="20">
        <f>AR38*Cost_Library!$J$17*Location!$C$9</f>
        <v/>
      </c>
      <c r="BV38" s="20">
        <f>AG38*Cost_Library!$J$18*Location!$C$9*AN38</f>
        <v/>
      </c>
      <c r="BW38" s="20">
        <f>BD38*Cost_Library!$J$19*Location!$C$9</f>
        <v/>
      </c>
      <c r="BX38" s="20">
        <f>IF(Use_Library!$AZ$37="Y",1,0)*Cost_Library!$J$20*Location!$C$9*AN38</f>
        <v/>
      </c>
      <c r="BY38" s="20">
        <f>AT38*Cost_Library!$J$21*Location!$C$9</f>
        <v/>
      </c>
      <c r="BZ38" s="20">
        <f>AU38*Cost_Library!$J$22*Location!$C$9</f>
        <v/>
      </c>
      <c r="CA38" s="20">
        <f>AW38*Cost_Library!$J$23*Location!$C$9</f>
        <v/>
      </c>
      <c r="CB38" s="20">
        <f>AX38*Cost_Library!$J$24*Location!$C$9</f>
        <v/>
      </c>
      <c r="CC38" s="20">
        <f>AY38*Cost_Library!$J$25*Location!$C$9*Parcel!$C$44</f>
        <v/>
      </c>
      <c r="CD38" s="20">
        <f>BB38*Cost_Library!$J$26*Location!$C$9</f>
        <v/>
      </c>
      <c r="CE38" s="20">
        <f>AV38*(Cost_Library!$J$27+AS38*Cost_Library!$J$28)*Location!$C$9</f>
        <v/>
      </c>
      <c r="CF38" s="20">
        <f>AQ38*Cost_Library!$J$29*Location!$C$9</f>
        <v/>
      </c>
      <c r="CG38" s="20">
        <f>SUM(BG38:CF38)</f>
        <v/>
      </c>
      <c r="CH38" s="20">
        <f>CG38*Assumptions!$C$9</f>
        <v/>
      </c>
      <c r="CI38" s="20">
        <f>(CG38+CH38)*Org_Profile!$C$17</f>
        <v/>
      </c>
      <c r="CJ38" s="20">
        <f>CG38+CH38+CI38</f>
        <v/>
      </c>
      <c r="CK38" s="20">
        <f>AK38*Use_Effective!$B$37*(1+Org_Profile!$C$17)</f>
        <v/>
      </c>
      <c r="CL38" s="20">
        <f>CK38*(Assumptions!$C$10+Assumptions!$C$11)</f>
        <v/>
      </c>
      <c r="CM38" s="20">
        <f>AK38*Use_Effective!$D$37</f>
        <v/>
      </c>
      <c r="CN38" s="20">
        <f>AK38*Location!$C$21*BF38*AM38</f>
        <v/>
      </c>
      <c r="CO38" s="14">
        <f>Use_Effective!$F$37+L38*Location!$C$32+BA38*Location!$C$29</f>
        <v/>
      </c>
      <c r="CP38" s="14">
        <f>IF(Use_Effective!$P$37&gt;0,IF(Use_Library!$C$37="For-Sale",AK38,AD38)/Use_Effective!$P$37,0)*AM38</f>
        <v/>
      </c>
      <c r="CQ38" s="14">
        <f>IF(AND(Use_Library!$C$37="For-Sale",Use_Effective!$O$37&gt;0),AK38/Use_Effective!$O$37,0)*AM38</f>
        <v/>
      </c>
      <c r="CR38" s="14">
        <f>IF(Use_Library!$C$37="Income",MAX(Use_Library!$AQ$37,IF(Use_Effective!$O$37&gt;0,AK38/Use_Effective!$O$37,0)),0)</f>
        <v/>
      </c>
      <c r="CS38" s="14">
        <f>CO38+CP38</f>
        <v/>
      </c>
      <c r="CT38" s="14">
        <f>CO38+CQ38+CR38</f>
        <v/>
      </c>
      <c r="CU38" s="14">
        <f>CO38+IF(Use_Library!$C$37="Income",CR38,0)</f>
        <v/>
      </c>
      <c r="CV38" s="23">
        <f>Use_Effective!$G$37+Assumptions!$C$25*MAX(0,(CS38-12)/12)</f>
        <v/>
      </c>
      <c r="CW38" s="23">
        <f>Use_Effective!$G$37+Assumptions!$C$25*MAX(0,(CT38-12)/12)</f>
        <v/>
      </c>
      <c r="CX38" s="23">
        <f>Use_Effective!$G$37+Assumptions!$C$25*MAX(0,(CU38-12)/12)</f>
        <v/>
      </c>
      <c r="CY38" s="28">
        <f>1+Location!$C$17+IF(Parcel!$C$26="Y",Location!$C$20,0)</f>
        <v/>
      </c>
      <c r="CZ38" s="28">
        <f>CY38+Location!$C$19*(CO38+CP38/2)/12</f>
        <v/>
      </c>
      <c r="DA38" s="28">
        <f>CY38+Location!$C$19*(CO38+CQ38/2)/12</f>
        <v/>
      </c>
      <c r="DB38" s="28">
        <f>IF(Use_Library!$C$37="Income",DA38,CY38+Location!$C$19*CO38/12)</f>
        <v/>
      </c>
      <c r="DC38" s="28">
        <f>1+Assumptions!$C$15*(Assumptions!$C$16*(CO38+CP38/2)/12*Assumptions!$C$18+Assumptions!$C$17)</f>
        <v/>
      </c>
      <c r="DD38" s="28">
        <f>1+Assumptions!$C$15*(Assumptions!$C$16*((CO38+CQ38/2)/12*Assumptions!$C$18+CR38/12*Assumptions!$C$19)+Assumptions!$C$17)</f>
        <v/>
      </c>
      <c r="DE38" s="28">
        <f>IF(Use_Library!$C$37="Income",DD38,1+Assumptions!$C$15*(Assumptions!$C$16*CO38/12*Assumptions!$C$18+Assumptions!$C$17))</f>
        <v/>
      </c>
      <c r="DF38" s="23">
        <f>Assumptions!$C$13+Location!$C$18</f>
        <v/>
      </c>
      <c r="DG38" s="23">
        <f>Assumptions!$C$12+Location!$C$18</f>
        <v/>
      </c>
      <c r="DH38" s="23">
        <f>Assumptions!$C$14+Location!$C$18</f>
        <v/>
      </c>
      <c r="DI38" s="20">
        <f>AI38*Location!$C$14*(1-DF38)*AM38</f>
        <v/>
      </c>
      <c r="DJ38" s="20">
        <f>IF(Use_Library!$AV$37=1,IF(Use_Library!$C$37="For-Sale",AK38*Use_Effective!$H$37+Parcel!$C$14*AE38*Use_Effective!$J$37,AD38*Use_Effective!$J$37)*(1-DF38)+DI38,0)*AM38</f>
        <v/>
      </c>
      <c r="DK38" s="20">
        <f>(CG38-BU38-CC38-CD38)*(1+Assumptions!$C$9)*(1+Org_Profile!$C$17)</f>
        <v/>
      </c>
      <c r="DL38" s="28">
        <f>CZ38*DC38</f>
        <v/>
      </c>
      <c r="DM38" s="20">
        <f>(Parcel!$C$27*CZ38+DK38)*DC38</f>
        <v/>
      </c>
      <c r="DN38" s="20">
        <f>DJ38-DM38</f>
        <v/>
      </c>
      <c r="DO38" s="38">
        <f>IF(AND(Use_Library!$AV$37=1,AM38=1),MAX(0,((1-CV38)*DJ38-DK38*DC38)/DL38),0)</f>
        <v/>
      </c>
      <c r="DP38" s="20">
        <f>CJ38+CK38+CL38+CM38+CN38</f>
        <v/>
      </c>
      <c r="DQ38" s="28">
        <f>DA38*DD38</f>
        <v/>
      </c>
      <c r="DR38" s="20">
        <f>(Parcel!$C$27*DA38+DP38)*DD38</f>
        <v/>
      </c>
      <c r="DS38" s="20">
        <f>IF(Use_Library!$C$37="Income",AK38*Use_Effective!$K$37,0)</f>
        <v/>
      </c>
      <c r="DT38" s="20">
        <f>DS38*(1+Use_Library!$AL$37)*(1-Use_Effective!$N$37)</f>
        <v/>
      </c>
      <c r="DU38" s="20">
        <f>IF(Use_Library!$C$37="Income",AK38*Use_Effective!$E$37,0)</f>
        <v/>
      </c>
      <c r="DV38" s="20">
        <f>IF(Use_Library!$C$37="Income",Location!$C$15*Location!$C$16*DR38,0)</f>
        <v/>
      </c>
      <c r="DW38" s="20">
        <f>DT38*Use_Library!$AO$37</f>
        <v/>
      </c>
      <c r="DX38" s="20">
        <f>(DU38+DV38)*Use_Library!$AP$37</f>
        <v/>
      </c>
      <c r="DY38" s="20">
        <f>DT38-DU38-DV38-DW38+DX38</f>
        <v/>
      </c>
      <c r="DZ38" s="26">
        <f>Use_Effective!$M$37</f>
        <v/>
      </c>
      <c r="EA38" s="20">
        <f>IF(AND(Use_Library!$C$37="Income",DZ38&gt;0),DY38/DZ38,0)</f>
        <v/>
      </c>
      <c r="EB38" s="39">
        <f>IF(Use_Library!$C$37="Income",-Location!$C$15*Location!$C$16*(1-Use_Library!$AP$37)*DQ38,0)</f>
        <v/>
      </c>
      <c r="EC38" s="23">
        <f>IF(DR38=0,0,DY38/DR38)</f>
        <v/>
      </c>
      <c r="ED38" s="20">
        <f>IF(Use_Library!$AW$37=1,IF(Use_Library!$C$37="Income",EA38*(1-DH38),AK38*Use_Effective!$I$37*(1-DG38))+DI38,0)*AM38</f>
        <v/>
      </c>
      <c r="EE38" s="39">
        <f>IF(AND(Use_Library!$AW$37=1,Use_Library!$C$37="Income",DZ38&gt;0),EB38/DZ38*(1-DH38),0)</f>
        <v/>
      </c>
      <c r="EF38" s="20">
        <f>ED38-DR38</f>
        <v/>
      </c>
      <c r="EG38" s="38">
        <f>IF(AND(Use_Library!$AW$37=1,AM38=1),MAX(0,Parcel!$C$27-((1-CW38)*ED38-DR38)/((1-CW38)*EE38-DQ38)),0)</f>
        <v/>
      </c>
      <c r="EH38" s="20">
        <f>IF(Use_Library!$AX$37=1,IF(Use_Library!$C$37="Income",EA38,IF(DZ38&gt;0,AD38*Use_Effective!$L$37/DZ38,0))+DI38,0)*AM38</f>
        <v/>
      </c>
      <c r="EI38" s="20">
        <f>IF(Use_Library!$C$37="Income",DP38,CJ38)</f>
        <v/>
      </c>
      <c r="EJ38" s="28">
        <f>IF(Use_Library!$C$37="Income",DQ38,DB38*DE38)</f>
        <v/>
      </c>
      <c r="EK38" s="20">
        <f>IF(Use_Library!$C$37="Income",DR38,(Parcel!$C$27*DB38+CJ38)*DE38)</f>
        <v/>
      </c>
      <c r="EL38" s="39">
        <f>IF(AND(Use_Library!$AX$37=1,Use_Library!$C$37="Income",DZ38&gt;0),EB38/DZ38,0)</f>
        <v/>
      </c>
      <c r="EM38" s="20">
        <f>EH38-EK38</f>
        <v/>
      </c>
      <c r="EN38" s="38">
        <f>IF(AND(Use_Library!$AX$37=1,AM38=1),MAX(0,Parcel!$C$27-((1-CX38)*EH38-EK38)/((1-CX38)*EL38-EJ38)),0)</f>
        <v/>
      </c>
      <c r="EO38" s="20">
        <f>IF(Use_Library!$C$37="Income",Assumptions!$C$15*(Parcel!$C$27*DA38+DP38),0)</f>
        <v/>
      </c>
      <c r="EP38" s="20">
        <f>IF(AND(Use_Library!$C$37="Income",DY38&gt;0),MIN(Assumptions!$C$20*EA38,PV(Assumptions!$C$23/12,Assumptions!$C$24*12,-DY38/Assumptions!$C$21/12),DY38/Assumptions!$C$22),0)</f>
        <v/>
      </c>
      <c r="EQ38" s="27">
        <f>IF(EP38=0,0,DY38/(-PMT(Assumptions!$C$23/12,Assumptions!$C$24*12,EP38)*12))</f>
        <v/>
      </c>
      <c r="ER38" s="20">
        <f>EP38-EO38</f>
        <v/>
      </c>
      <c r="ES38" s="19">
        <f>MAX(DO38,EG38,EN38)</f>
        <v/>
      </c>
      <c r="ET38" s="15">
        <f>IF(ES38&lt;=0,0,IF(DO38=ES38,1,IF(EG38=ES38,2,3)))</f>
        <v/>
      </c>
      <c r="EU38" s="9">
        <f>CHOOSE(ET38+1,"None works","Land / pad sale","Build &amp; sell","Build &amp; hold / lease")</f>
        <v/>
      </c>
      <c r="EV38" s="15">
        <f>CHOOSE(ET38+1,0,CS38,CT38,CU38)</f>
        <v/>
      </c>
      <c r="EW38" s="20">
        <f>ES38*(1-Assumptions!$C$26)</f>
        <v/>
      </c>
      <c r="EX38" s="20">
        <f>ES38-Parcel!$C$27</f>
        <v/>
      </c>
      <c r="EY38" s="20">
        <f>IF(Parcel!$C$14=0,0,ES38/Parcel!$C$14)</f>
        <v/>
      </c>
      <c r="EZ38" s="36">
        <f>IF(AK38=0,0,ES38/AK38)</f>
        <v/>
      </c>
      <c r="FA38" s="9">
        <f>IF(ES38&lt;=0,"Pass",IF(ES38&gt;=Parcel!$C$27*Assumptions!$C$27,"Strong",IF(ES38&gt;=Parcel!$C$27,"Works at asking",IF(ES38&gt;=Parcel!$C$27*Assumptions!$C$28,"Negotiate","Pass"))))</f>
        <v/>
      </c>
      <c r="FB38" s="9">
        <f>IF(AM38=0,"",IF(Use_Library!$BH$37="Y",IF(Use_Effective!$AF$37&gt;=3,"High","Medium"),"Low - verify location"))</f>
        <v/>
      </c>
      <c r="FC38" s="9">
        <f>IF(AND(Use_Library!$BH$37="N",AM38=1),Use_Library!$BI$37,"")</f>
        <v/>
      </c>
      <c r="FD38" s="9">
        <f>TRIM(Q38&amp;" "&amp;IF(AND(AM38=0,T38=1),"Nothing fits. ","")&amp;IF(AND(Use_Library!$AZ$37&lt;&gt;"Y",Parcel!$C$19&lt;Use_Library!$AY$37),"Frontage under "&amp;Use_Library!$AY$37&amp;" LF. ","")&amp;IF(Parcel!$C$17&gt;0.15,"Slope over 15%. ","")&amp;IF(AND(AM38=1,AI38&gt;0.5),TEXT(AI38,"0")&amp;" ac not used - resold as raw land. ","")&amp;IF(AND(AM38=1,AC38&lt;1),"Demand caps it at "&amp;TEXT(AK38,"#,##0")&amp;" "&amp;Use_Library!$D$37&amp;". ","")&amp;IF(AND(AM38=1,L38=1),"Rezone required (+"&amp;Location!$C$32&amp;" mo). ","")&amp;IF(AND(AM38=1,BA38=1),"State wastewater permit needed. ","")&amp;IF(AND(AM38=1,AV38=1),"Public water system needed. ","")&amp;AP38&amp;IF(Parcel!$C$16&gt;Assumptions!$C$29,"Floodplain over "&amp;TEXT(Assumptions!$C$29,"0%")&amp;". ","")&amp;IF(AND(AM38=1,EV38&gt;60),"Over 5 years to exit. ",""))</f>
        <v/>
      </c>
      <c r="FE38" s="20">
        <f>IF(AND(Org_Profile!$C$5="My uses",E38=0),-1E+9,ES38)+ROW()/1000000</f>
        <v/>
      </c>
    </row>
    <row r="39">
      <c r="A39" s="4">
        <f>Use_Library!$A$38</f>
        <v/>
      </c>
      <c r="B39" s="9">
        <f>Use_Library!$C$38</f>
        <v/>
      </c>
      <c r="C39" s="9">
        <f>Use_Library!$D$38</f>
        <v/>
      </c>
      <c r="D39" s="9">
        <f>Use_Library!$F$38</f>
        <v/>
      </c>
      <c r="E39" s="15">
        <f>IF(Org_Profile!$C$55="Y",1,0)</f>
        <v/>
      </c>
      <c r="F39" s="14">
        <f>MAX(0,Parcel!$C$37*(1-Use_Library!$N$38-IF(Use_Library!$AB$38="Y",Assumptions!$C$7,0)))</f>
        <v/>
      </c>
      <c r="G39" s="14">
        <f>IF(Use_Library!$M$38&gt;0,MIN(F39,Use_Library!$M$38),F39)</f>
        <v/>
      </c>
      <c r="H39" s="23">
        <f>IF(F39=0,0,G39/F39)</f>
        <v/>
      </c>
      <c r="I39" s="14">
        <f>Parcel!$C$37*H39</f>
        <v/>
      </c>
      <c r="J39" s="9">
        <f>IF(ISNUMBER(SEARCH(","&amp;Use_Library!$F$38&amp;",",","&amp;SUBSTITUTE(Parcel!$C$11," ","")&amp;",")),"Deed restricted",IF(Parcel!$C$46=0,"No zoning",IF(ISNUMBER(SEARCH(","&amp;Use_Library!$F$38&amp;",",","&amp;SUBSTITUTE(Parcel!$C$10," ","")&amp;",")),"By right",IF(OR(TRIM(Parcel!$C$12)="*",ISNUMBER(SEARCH(","&amp;Use_Library!$F$38&amp;",",","&amp;SUBSTITUTE(Parcel!$C$12," ","")&amp;","))),"Rezone required","Prohibited by zoning"))))</f>
        <v/>
      </c>
      <c r="K39" s="15">
        <f>IF(OR(J39="Deed restricted",J39="Prohibited by zoning"),0,1)</f>
        <v/>
      </c>
      <c r="L39" s="15">
        <f>IF(J39="Rezone required",1,0)</f>
        <v/>
      </c>
      <c r="M39" s="15">
        <f>IF(Parcel!$C$20="None",0,IF(AND(Parcel!$C$20="Private easement",Use_Library!$BA$38="Y"),0,1))</f>
        <v/>
      </c>
      <c r="N39" s="15">
        <f>IF(AND(Use_Library!$AZ$38="Y",Parcel!$C$19&lt;Use_Library!$AY$38),0,1)</f>
        <v/>
      </c>
      <c r="O39" s="15">
        <f>IF(AND(Use_Library!$T$38="Y",Parcel!$C$39=0),0,1)</f>
        <v/>
      </c>
      <c r="P39" s="15">
        <f>IF(AND(Use_Library!$U$38="Y",Parcel!$C$38=0),0,1)</f>
        <v/>
      </c>
      <c r="Q39" s="9">
        <f>TRIM(IF(AND(Use_Library!$BB$38&gt;0,Parcel!$C$28&lt;Use_Library!$BB$38),"Traffic under "&amp;TEXT(Use_Library!$BB$38,"#,##0")&amp;" VPD. ","")&amp;IF(AND(Use_Library!$BC$38&gt;0,Parcel!$C$29&lt;Use_Library!$BC$38),"Under "&amp;TEXT(Use_Library!$BC$38,"#,##0")&amp;" households in 3 mi. ","")&amp;IF(AND(Use_Library!$BD$38&gt;0,Parcel!$C$31&gt;Use_Library!$BD$38),"Over "&amp;Use_Library!$BD$38&amp;" mi to highway. ","")&amp;IF(AND(Use_Library!$BE$38="Y",Parcel!$C$32&lt;&gt;"Y"),"Needs a corner. ","")&amp;IF(AND(Use_Library!$BF$38&gt;0,Parcel!$C$33&gt;Use_Library!$BF$38),"Over "&amp;Use_Library!$BF$38&amp;" mi to substation. ","")&amp;IF(AND(Use_Library!$BG$38&gt;0,Parcel!$C$34&gt;Use_Library!$BG$38),"Over "&amp;Use_Library!$BG$38&amp;" mi to a major employer. ",""))</f>
        <v/>
      </c>
      <c r="R39" s="15">
        <f>IF(Q39="",1,0)</f>
        <v/>
      </c>
      <c r="S39" s="15">
        <f>IF(F39&gt;=Use_Library!$L$38,1,0)</f>
        <v/>
      </c>
      <c r="T39" s="15">
        <f>K39*M39*N39*O39*P39*R39*S39</f>
        <v/>
      </c>
      <c r="U39" s="14">
        <f>IF(Use_Library!$G$38&gt;0,I39*Use_Library!$G$38,1E+9)</f>
        <v/>
      </c>
      <c r="V39" s="14">
        <f>IF(Use_Library!$H$38&gt;0,G39*43560/Use_Library!$H$38,1E+9)</f>
        <v/>
      </c>
      <c r="W39" s="14">
        <f>IF(AND(Use_Library!$K$38="Y",Parcel!$C$39=0),G39*(1-Assumptions!$C$8)/IF(Parcel!$C$38=1,Location!$C$25,Location!$C$26),1E+9)</f>
        <v/>
      </c>
      <c r="X39" s="14">
        <f>IF(Use_Library!$I$38&gt;0,Parcel!$C$14*H39/Use_Library!$I$38,1E+9)</f>
        <v/>
      </c>
      <c r="Y39" s="14">
        <f>IF(Use_Library!$J$38&gt;0,Parcel!$C$19/Use_Library!$J$38,1E+9)</f>
        <v/>
      </c>
      <c r="Z39" s="14">
        <f>IF(AND(Parcel!$C$39=0,Use_Library!$K$38="N",Use_Library!$Y$38&gt;0,Use_Library!$Z$38="Y"),G39*Location!$C$27*Parcel!$C$45/Use_Library!$Y$38,1E+9)</f>
        <v/>
      </c>
      <c r="AA39" s="14">
        <f>MIN(U39,V39,W39,X39,Y39,Z39)</f>
        <v/>
      </c>
      <c r="AB39" s="14">
        <f>IF(Use_Library!$O$38&gt;0,IF(Use_Library!$P$38&gt;=10,Parcel!$C$30,Parcel!$C$29)*Use_Library!$O$38*Use_Library!$Q$38,1E+9)</f>
        <v/>
      </c>
      <c r="AC39" s="23">
        <f>IF(OR(AA39&gt;=1E+9,AA39&lt;=0),1,MIN(1,AB39/AA39))</f>
        <v/>
      </c>
      <c r="AD39" s="14">
        <f>G39*AC39</f>
        <v/>
      </c>
      <c r="AE39" s="23">
        <f>IF(F39=0,0,AD39/F39)</f>
        <v/>
      </c>
      <c r="AF39" s="14">
        <f>Parcel!$C$37*AE39</f>
        <v/>
      </c>
      <c r="AG39" s="14">
        <f>AF39*IF(Use_Library!$AB$38="Y",Assumptions!$C$7,0)</f>
        <v/>
      </c>
      <c r="AH39" s="14">
        <f>AF39*(1-Use_Library!$N$38)</f>
        <v/>
      </c>
      <c r="AI39" s="14">
        <f>Parcel!$C$14*(1-AE39)</f>
        <v/>
      </c>
      <c r="AJ39" s="14">
        <f>MIN(AA39,AB39)</f>
        <v/>
      </c>
      <c r="AK39" s="25">
        <f>IF(T39=0,0,IF(AJ39&gt;=1E+9,AD39,IF(Use_Library!$E$38="Y",INT(AJ39+1E-9),AJ39)))</f>
        <v/>
      </c>
      <c r="AL39" s="9">
        <f>IF(M39=0,"No public road access",IF(K39=0,J39,IF(R39=0,"Location fails",IF(N39=0,"Frontage under "&amp;Use_Library!$AY$38&amp;" LF",IF(S39=0,"Too small - needs "&amp;Use_Library!$L$38&amp;" usable ac",IF(O39=0,"Needs public sewer",IF(P39=0,"Needs public water",IF(AJ39&gt;=1E+9,"Usable acres",IF(AB39&lt;=AA39,"Market demand",IF(W39=AA39,"Septic lot size",IF(Z39=AA39,"Septic capacity (gal/day)",IF(X39=AA39,"Min lot size",IF(Y39=AA39,"Road frontage",IF(V39=AA39,"Site area / parking","Density"))))))))))))))</f>
        <v/>
      </c>
      <c r="AM39" s="15">
        <f>IF(AK39&gt;0,1,0)</f>
        <v/>
      </c>
      <c r="AN39" s="15">
        <f>IF(Use_Library!$Z$38="Y",1,0)*AM39</f>
        <v/>
      </c>
      <c r="AO39" s="14">
        <f>IF(Parcel!$C$39=0,MIN(U39,V39,X39,Y39,AB39),0)</f>
        <v/>
      </c>
      <c r="AP39" s="9">
        <f>IF(AND(Parcel!$C$39=0,M39*K39*R39*N39*S39*P39=1,AO39&lt;1E+9,AO39&gt;=MAX(1,AK39)*1.25),"Unlock: sewer or package plant allows ~"&amp;TEXT(INT(AO39),"#,##0")&amp;" "&amp;Use_Library!$D$38&amp;". ","")</f>
        <v/>
      </c>
      <c r="AQ39" s="15">
        <f>AK39*Use_Library!$AC$38*AN39</f>
        <v/>
      </c>
      <c r="AR39" s="15">
        <f>AK39*Use_Library!$AD$38*AN39</f>
        <v/>
      </c>
      <c r="AS39" s="14">
        <f>AK39*Use_Library!$V$38*AN39</f>
        <v/>
      </c>
      <c r="AT39" s="15">
        <f>IF(Parcel!$C$38=1,AQ39+Parcel!$C$40,0)*AN39</f>
        <v/>
      </c>
      <c r="AU39" s="14">
        <f>AS39*Parcel!$C$38</f>
        <v/>
      </c>
      <c r="AV39" s="15">
        <f>IF(AND(Parcel!$C$38=0,Use_Library!$K$38="N",AS39&gt;=Location!$C$30),1,0)*AN39</f>
        <v/>
      </c>
      <c r="AW39" s="15">
        <f>IF(Parcel!$C$39=1,AQ39+Parcel!$C$41,0)*AN39</f>
        <v/>
      </c>
      <c r="AX39" s="14">
        <f>AS39*Parcel!$C$39</f>
        <v/>
      </c>
      <c r="AY39" s="14">
        <f>IF(Parcel!$C$39=0,AK39*Use_Library!$W$38,0)*AN39</f>
        <v/>
      </c>
      <c r="AZ39" s="15">
        <f>IF(Parcel!$C$39=0,AK39*Use_Library!$Y$38,0)*AN39</f>
        <v/>
      </c>
      <c r="BA39" s="15">
        <f>IF(AND(Use_Library!$K$38="N",AZ39&gt;Location!$C$28),1,0)</f>
        <v/>
      </c>
      <c r="BB39" s="14">
        <f>IF(AND(Parcel!$C$38=0,AV39=0),AK39*Use_Library!$X$38,0)*AN39</f>
        <v/>
      </c>
      <c r="BC39" s="14">
        <f>AH39*Parcel!$C$18*Use_Library!$AA$38*AN39</f>
        <v/>
      </c>
      <c r="BD39" s="14">
        <f>AH39*Use_Library!$AA$38*AN39</f>
        <v/>
      </c>
      <c r="BE39" s="15">
        <f>IF(Use_Library!$C$38="For-Sale",IF(Use_Library!$E$38="Y",AK39,1),1)*AM39</f>
        <v/>
      </c>
      <c r="BF39" s="15">
        <f>IF(OR(Use_Library!$F$38="RES-SF",Use_Library!$F$38="RES-ATT",Use_Library!$F$38="RES-MF",Use_Library!$F$38="MH"),1,0)</f>
        <v/>
      </c>
      <c r="BG39" s="20">
        <f>Cost_Library!$J$5*Location!$C$9*AM39</f>
        <v/>
      </c>
      <c r="BH39" s="20">
        <f>BE39*Cost_Library!$J$6*Location!$C$9</f>
        <v/>
      </c>
      <c r="BI39" s="20">
        <f>BD39*Cost_Library!$J$7*Location!$C$9</f>
        <v/>
      </c>
      <c r="BJ39" s="20">
        <f>Cost_Library!$J$8*Location!$C$9*AN39*IF(Use_Library!$AA$38&gt;=0.5,1,0)</f>
        <v/>
      </c>
      <c r="BK39" s="20">
        <f>AY39*Cost_Library!$J$9*Location!$C$9</f>
        <v/>
      </c>
      <c r="BL39" s="20">
        <f>BA39*Cost_Library!$J$10*Location!$C$9</f>
        <v/>
      </c>
      <c r="BM39" s="20">
        <f>Cost_Library!$J$11*Location!$C$9*AM39</f>
        <v/>
      </c>
      <c r="BN39" s="20">
        <f>Cost_Library!$J$12*Location!$C$9*AN39*IF(Use_Library!$AB$38="Y",1,0)</f>
        <v/>
      </c>
      <c r="BO39" s="20">
        <f>Use_Effective!$C$38*AM39</f>
        <v/>
      </c>
      <c r="BP39" s="20">
        <f>L39*Location!$C$31*AM39</f>
        <v/>
      </c>
      <c r="BQ39" s="20">
        <f>Cost_Library!$J$13*Location!$C$9*AM39</f>
        <v/>
      </c>
      <c r="BR39" s="20">
        <f>BC39*Cost_Library!$J$14*Location!$C$9</f>
        <v/>
      </c>
      <c r="BS39" s="20">
        <f>BD39*Cost_Library!$J$15*Location!$C$9*Parcel!$C$43</f>
        <v/>
      </c>
      <c r="BT39" s="20">
        <f>AQ39*Cost_Library!$J$16*Location!$C$9</f>
        <v/>
      </c>
      <c r="BU39" s="20">
        <f>AR39*Cost_Library!$J$17*Location!$C$9</f>
        <v/>
      </c>
      <c r="BV39" s="20">
        <f>AG39*Cost_Library!$J$18*Location!$C$9*AN39</f>
        <v/>
      </c>
      <c r="BW39" s="20">
        <f>BD39*Cost_Library!$J$19*Location!$C$9</f>
        <v/>
      </c>
      <c r="BX39" s="20">
        <f>IF(Use_Library!$AZ$38="Y",1,0)*Cost_Library!$J$20*Location!$C$9*AN39</f>
        <v/>
      </c>
      <c r="BY39" s="20">
        <f>AT39*Cost_Library!$J$21*Location!$C$9</f>
        <v/>
      </c>
      <c r="BZ39" s="20">
        <f>AU39*Cost_Library!$J$22*Location!$C$9</f>
        <v/>
      </c>
      <c r="CA39" s="20">
        <f>AW39*Cost_Library!$J$23*Location!$C$9</f>
        <v/>
      </c>
      <c r="CB39" s="20">
        <f>AX39*Cost_Library!$J$24*Location!$C$9</f>
        <v/>
      </c>
      <c r="CC39" s="20">
        <f>AY39*Cost_Library!$J$25*Location!$C$9*Parcel!$C$44</f>
        <v/>
      </c>
      <c r="CD39" s="20">
        <f>BB39*Cost_Library!$J$26*Location!$C$9</f>
        <v/>
      </c>
      <c r="CE39" s="20">
        <f>AV39*(Cost_Library!$J$27+AS39*Cost_Library!$J$28)*Location!$C$9</f>
        <v/>
      </c>
      <c r="CF39" s="20">
        <f>AQ39*Cost_Library!$J$29*Location!$C$9</f>
        <v/>
      </c>
      <c r="CG39" s="20">
        <f>SUM(BG39:CF39)</f>
        <v/>
      </c>
      <c r="CH39" s="20">
        <f>CG39*Assumptions!$C$9</f>
        <v/>
      </c>
      <c r="CI39" s="20">
        <f>(CG39+CH39)*Org_Profile!$C$17</f>
        <v/>
      </c>
      <c r="CJ39" s="20">
        <f>CG39+CH39+CI39</f>
        <v/>
      </c>
      <c r="CK39" s="20">
        <f>AK39*Use_Effective!$B$38*(1+Org_Profile!$C$17)</f>
        <v/>
      </c>
      <c r="CL39" s="20">
        <f>CK39*(Assumptions!$C$10+Assumptions!$C$11)</f>
        <v/>
      </c>
      <c r="CM39" s="20">
        <f>AK39*Use_Effective!$D$38</f>
        <v/>
      </c>
      <c r="CN39" s="20">
        <f>AK39*Location!$C$21*BF39*AM39</f>
        <v/>
      </c>
      <c r="CO39" s="14">
        <f>Use_Effective!$F$38+L39*Location!$C$32+BA39*Location!$C$29</f>
        <v/>
      </c>
      <c r="CP39" s="14">
        <f>IF(Use_Effective!$P$38&gt;0,IF(Use_Library!$C$38="For-Sale",AK39,AD39)/Use_Effective!$P$38,0)*AM39</f>
        <v/>
      </c>
      <c r="CQ39" s="14">
        <f>IF(AND(Use_Library!$C$38="For-Sale",Use_Effective!$O$38&gt;0),AK39/Use_Effective!$O$38,0)*AM39</f>
        <v/>
      </c>
      <c r="CR39" s="14">
        <f>IF(Use_Library!$C$38="Income",MAX(Use_Library!$AQ$38,IF(Use_Effective!$O$38&gt;0,AK39/Use_Effective!$O$38,0)),0)</f>
        <v/>
      </c>
      <c r="CS39" s="14">
        <f>CO39+CP39</f>
        <v/>
      </c>
      <c r="CT39" s="14">
        <f>CO39+CQ39+CR39</f>
        <v/>
      </c>
      <c r="CU39" s="14">
        <f>CO39+IF(Use_Library!$C$38="Income",CR39,0)</f>
        <v/>
      </c>
      <c r="CV39" s="23">
        <f>Use_Effective!$G$38+Assumptions!$C$25*MAX(0,(CS39-12)/12)</f>
        <v/>
      </c>
      <c r="CW39" s="23">
        <f>Use_Effective!$G$38+Assumptions!$C$25*MAX(0,(CT39-12)/12)</f>
        <v/>
      </c>
      <c r="CX39" s="23">
        <f>Use_Effective!$G$38+Assumptions!$C$25*MAX(0,(CU39-12)/12)</f>
        <v/>
      </c>
      <c r="CY39" s="28">
        <f>1+Location!$C$17+IF(Parcel!$C$26="Y",Location!$C$20,0)</f>
        <v/>
      </c>
      <c r="CZ39" s="28">
        <f>CY39+Location!$C$19*(CO39+CP39/2)/12</f>
        <v/>
      </c>
      <c r="DA39" s="28">
        <f>CY39+Location!$C$19*(CO39+CQ39/2)/12</f>
        <v/>
      </c>
      <c r="DB39" s="28">
        <f>IF(Use_Library!$C$38="Income",DA39,CY39+Location!$C$19*CO39/12)</f>
        <v/>
      </c>
      <c r="DC39" s="28">
        <f>1+Assumptions!$C$15*(Assumptions!$C$16*(CO39+CP39/2)/12*Assumptions!$C$18+Assumptions!$C$17)</f>
        <v/>
      </c>
      <c r="DD39" s="28">
        <f>1+Assumptions!$C$15*(Assumptions!$C$16*((CO39+CQ39/2)/12*Assumptions!$C$18+CR39/12*Assumptions!$C$19)+Assumptions!$C$17)</f>
        <v/>
      </c>
      <c r="DE39" s="28">
        <f>IF(Use_Library!$C$38="Income",DD39,1+Assumptions!$C$15*(Assumptions!$C$16*CO39/12*Assumptions!$C$18+Assumptions!$C$17))</f>
        <v/>
      </c>
      <c r="DF39" s="23">
        <f>Assumptions!$C$13+Location!$C$18</f>
        <v/>
      </c>
      <c r="DG39" s="23">
        <f>Assumptions!$C$12+Location!$C$18</f>
        <v/>
      </c>
      <c r="DH39" s="23">
        <f>Assumptions!$C$14+Location!$C$18</f>
        <v/>
      </c>
      <c r="DI39" s="20">
        <f>AI39*Location!$C$14*(1-DF39)*AM39</f>
        <v/>
      </c>
      <c r="DJ39" s="20">
        <f>IF(Use_Library!$AV$38=1,IF(Use_Library!$C$38="For-Sale",AK39*Use_Effective!$H$38+Parcel!$C$14*AE39*Use_Effective!$J$38,AD39*Use_Effective!$J$38)*(1-DF39)+DI39,0)*AM39</f>
        <v/>
      </c>
      <c r="DK39" s="20">
        <f>(CG39-BU39-CC39-CD39)*(1+Assumptions!$C$9)*(1+Org_Profile!$C$17)</f>
        <v/>
      </c>
      <c r="DL39" s="28">
        <f>CZ39*DC39</f>
        <v/>
      </c>
      <c r="DM39" s="20">
        <f>(Parcel!$C$27*CZ39+DK39)*DC39</f>
        <v/>
      </c>
      <c r="DN39" s="20">
        <f>DJ39-DM39</f>
        <v/>
      </c>
      <c r="DO39" s="38">
        <f>IF(AND(Use_Library!$AV$38=1,AM39=1),MAX(0,((1-CV39)*DJ39-DK39*DC39)/DL39),0)</f>
        <v/>
      </c>
      <c r="DP39" s="20">
        <f>CJ39+CK39+CL39+CM39+CN39</f>
        <v/>
      </c>
      <c r="DQ39" s="28">
        <f>DA39*DD39</f>
        <v/>
      </c>
      <c r="DR39" s="20">
        <f>(Parcel!$C$27*DA39+DP39)*DD39</f>
        <v/>
      </c>
      <c r="DS39" s="20">
        <f>IF(Use_Library!$C$38="Income",AK39*Use_Effective!$K$38,0)</f>
        <v/>
      </c>
      <c r="DT39" s="20">
        <f>DS39*(1+Use_Library!$AL$38)*(1-Use_Effective!$N$38)</f>
        <v/>
      </c>
      <c r="DU39" s="20">
        <f>IF(Use_Library!$C$38="Income",AK39*Use_Effective!$E$38,0)</f>
        <v/>
      </c>
      <c r="DV39" s="20">
        <f>IF(Use_Library!$C$38="Income",Location!$C$15*Location!$C$16*DR39,0)</f>
        <v/>
      </c>
      <c r="DW39" s="20">
        <f>DT39*Use_Library!$AO$38</f>
        <v/>
      </c>
      <c r="DX39" s="20">
        <f>(DU39+DV39)*Use_Library!$AP$38</f>
        <v/>
      </c>
      <c r="DY39" s="20">
        <f>DT39-DU39-DV39-DW39+DX39</f>
        <v/>
      </c>
      <c r="DZ39" s="26">
        <f>Use_Effective!$M$38</f>
        <v/>
      </c>
      <c r="EA39" s="20">
        <f>IF(AND(Use_Library!$C$38="Income",DZ39&gt;0),DY39/DZ39,0)</f>
        <v/>
      </c>
      <c r="EB39" s="39">
        <f>IF(Use_Library!$C$38="Income",-Location!$C$15*Location!$C$16*(1-Use_Library!$AP$38)*DQ39,0)</f>
        <v/>
      </c>
      <c r="EC39" s="23">
        <f>IF(DR39=0,0,DY39/DR39)</f>
        <v/>
      </c>
      <c r="ED39" s="20">
        <f>IF(Use_Library!$AW$38=1,IF(Use_Library!$C$38="Income",EA39*(1-DH39),AK39*Use_Effective!$I$38*(1-DG39))+DI39,0)*AM39</f>
        <v/>
      </c>
      <c r="EE39" s="39">
        <f>IF(AND(Use_Library!$AW$38=1,Use_Library!$C$38="Income",DZ39&gt;0),EB39/DZ39*(1-DH39),0)</f>
        <v/>
      </c>
      <c r="EF39" s="20">
        <f>ED39-DR39</f>
        <v/>
      </c>
      <c r="EG39" s="38">
        <f>IF(AND(Use_Library!$AW$38=1,AM39=1),MAX(0,Parcel!$C$27-((1-CW39)*ED39-DR39)/((1-CW39)*EE39-DQ39)),0)</f>
        <v/>
      </c>
      <c r="EH39" s="20">
        <f>IF(Use_Library!$AX$38=1,IF(Use_Library!$C$38="Income",EA39,IF(DZ39&gt;0,AD39*Use_Effective!$L$38/DZ39,0))+DI39,0)*AM39</f>
        <v/>
      </c>
      <c r="EI39" s="20">
        <f>IF(Use_Library!$C$38="Income",DP39,CJ39)</f>
        <v/>
      </c>
      <c r="EJ39" s="28">
        <f>IF(Use_Library!$C$38="Income",DQ39,DB39*DE39)</f>
        <v/>
      </c>
      <c r="EK39" s="20">
        <f>IF(Use_Library!$C$38="Income",DR39,(Parcel!$C$27*DB39+CJ39)*DE39)</f>
        <v/>
      </c>
      <c r="EL39" s="39">
        <f>IF(AND(Use_Library!$AX$38=1,Use_Library!$C$38="Income",DZ39&gt;0),EB39/DZ39,0)</f>
        <v/>
      </c>
      <c r="EM39" s="20">
        <f>EH39-EK39</f>
        <v/>
      </c>
      <c r="EN39" s="38">
        <f>IF(AND(Use_Library!$AX$38=1,AM39=1),MAX(0,Parcel!$C$27-((1-CX39)*EH39-EK39)/((1-CX39)*EL39-EJ39)),0)</f>
        <v/>
      </c>
      <c r="EO39" s="20">
        <f>IF(Use_Library!$C$38="Income",Assumptions!$C$15*(Parcel!$C$27*DA39+DP39),0)</f>
        <v/>
      </c>
      <c r="EP39" s="20">
        <f>IF(AND(Use_Library!$C$38="Income",DY39&gt;0),MIN(Assumptions!$C$20*EA39,PV(Assumptions!$C$23/12,Assumptions!$C$24*12,-DY39/Assumptions!$C$21/12),DY39/Assumptions!$C$22),0)</f>
        <v/>
      </c>
      <c r="EQ39" s="27">
        <f>IF(EP39=0,0,DY39/(-PMT(Assumptions!$C$23/12,Assumptions!$C$24*12,EP39)*12))</f>
        <v/>
      </c>
      <c r="ER39" s="20">
        <f>EP39-EO39</f>
        <v/>
      </c>
      <c r="ES39" s="19">
        <f>MAX(DO39,EG39,EN39)</f>
        <v/>
      </c>
      <c r="ET39" s="15">
        <f>IF(ES39&lt;=0,0,IF(DO39=ES39,1,IF(EG39=ES39,2,3)))</f>
        <v/>
      </c>
      <c r="EU39" s="9">
        <f>CHOOSE(ET39+1,"None works","Land / pad sale","Build &amp; sell","Build &amp; hold / lease")</f>
        <v/>
      </c>
      <c r="EV39" s="15">
        <f>CHOOSE(ET39+1,0,CS39,CT39,CU39)</f>
        <v/>
      </c>
      <c r="EW39" s="20">
        <f>ES39*(1-Assumptions!$C$26)</f>
        <v/>
      </c>
      <c r="EX39" s="20">
        <f>ES39-Parcel!$C$27</f>
        <v/>
      </c>
      <c r="EY39" s="20">
        <f>IF(Parcel!$C$14=0,0,ES39/Parcel!$C$14)</f>
        <v/>
      </c>
      <c r="EZ39" s="36">
        <f>IF(AK39=0,0,ES39/AK39)</f>
        <v/>
      </c>
      <c r="FA39" s="9">
        <f>IF(ES39&lt;=0,"Pass",IF(ES39&gt;=Parcel!$C$27*Assumptions!$C$27,"Strong",IF(ES39&gt;=Parcel!$C$27,"Works at asking",IF(ES39&gt;=Parcel!$C$27*Assumptions!$C$28,"Negotiate","Pass"))))</f>
        <v/>
      </c>
      <c r="FB39" s="9">
        <f>IF(AM39=0,"",IF(Use_Library!$BH$38="Y",IF(Use_Effective!$AF$38&gt;=3,"High","Medium"),"Low - verify location"))</f>
        <v/>
      </c>
      <c r="FC39" s="9">
        <f>IF(AND(Use_Library!$BH$38="N",AM39=1),Use_Library!$BI$38,"")</f>
        <v/>
      </c>
      <c r="FD39" s="9">
        <f>TRIM(Q39&amp;" "&amp;IF(AND(AM39=0,T39=1),"Nothing fits. ","")&amp;IF(AND(Use_Library!$AZ$38&lt;&gt;"Y",Parcel!$C$19&lt;Use_Library!$AY$38),"Frontage under "&amp;Use_Library!$AY$38&amp;" LF. ","")&amp;IF(Parcel!$C$17&gt;0.15,"Slope over 15%. ","")&amp;IF(AND(AM39=1,AI39&gt;0.5),TEXT(AI39,"0")&amp;" ac not used - resold as raw land. ","")&amp;IF(AND(AM39=1,AC39&lt;1),"Demand caps it at "&amp;TEXT(AK39,"#,##0")&amp;" "&amp;Use_Library!$D$38&amp;". ","")&amp;IF(AND(AM39=1,L39=1),"Rezone required (+"&amp;Location!$C$32&amp;" mo). ","")&amp;IF(AND(AM39=1,BA39=1),"State wastewater permit needed. ","")&amp;IF(AND(AM39=1,AV39=1),"Public water system needed. ","")&amp;AP39&amp;IF(Parcel!$C$16&gt;Assumptions!$C$29,"Floodplain over "&amp;TEXT(Assumptions!$C$29,"0%")&amp;". ","")&amp;IF(AND(AM39=1,EV39&gt;60),"Over 5 years to exit. ",""))</f>
        <v/>
      </c>
      <c r="FE39" s="20">
        <f>IF(AND(Org_Profile!$C$5="My uses",E39=0),-1E+9,ES39)+ROW()/1000000</f>
        <v/>
      </c>
    </row>
    <row r="40">
      <c r="A40" s="4">
        <f>Use_Library!$A$39</f>
        <v/>
      </c>
      <c r="B40" s="9">
        <f>Use_Library!$C$39</f>
        <v/>
      </c>
      <c r="C40" s="9">
        <f>Use_Library!$D$39</f>
        <v/>
      </c>
      <c r="D40" s="9">
        <f>Use_Library!$F$39</f>
        <v/>
      </c>
      <c r="E40" s="15">
        <f>IF(Org_Profile!$C$56="Y",1,0)</f>
        <v/>
      </c>
      <c r="F40" s="14">
        <f>MAX(0,Parcel!$C$37*(1-Use_Library!$N$39-IF(Use_Library!$AB$39="Y",Assumptions!$C$7,0)))</f>
        <v/>
      </c>
      <c r="G40" s="14">
        <f>IF(Use_Library!$M$39&gt;0,MIN(F40,Use_Library!$M$39),F40)</f>
        <v/>
      </c>
      <c r="H40" s="23">
        <f>IF(F40=0,0,G40/F40)</f>
        <v/>
      </c>
      <c r="I40" s="14">
        <f>Parcel!$C$37*H40</f>
        <v/>
      </c>
      <c r="J40" s="9">
        <f>IF(ISNUMBER(SEARCH(","&amp;Use_Library!$F$39&amp;",",","&amp;SUBSTITUTE(Parcel!$C$11," ","")&amp;",")),"Deed restricted",IF(Parcel!$C$46=0,"No zoning",IF(ISNUMBER(SEARCH(","&amp;Use_Library!$F$39&amp;",",","&amp;SUBSTITUTE(Parcel!$C$10," ","")&amp;",")),"By right",IF(OR(TRIM(Parcel!$C$12)="*",ISNUMBER(SEARCH(","&amp;Use_Library!$F$39&amp;",",","&amp;SUBSTITUTE(Parcel!$C$12," ","")&amp;","))),"Rezone required","Prohibited by zoning"))))</f>
        <v/>
      </c>
      <c r="K40" s="15">
        <f>IF(OR(J40="Deed restricted",J40="Prohibited by zoning"),0,1)</f>
        <v/>
      </c>
      <c r="L40" s="15">
        <f>IF(J40="Rezone required",1,0)</f>
        <v/>
      </c>
      <c r="M40" s="15">
        <f>IF(Parcel!$C$20="None",0,IF(AND(Parcel!$C$20="Private easement",Use_Library!$BA$39="Y"),0,1))</f>
        <v/>
      </c>
      <c r="N40" s="15">
        <f>IF(AND(Use_Library!$AZ$39="Y",Parcel!$C$19&lt;Use_Library!$AY$39),0,1)</f>
        <v/>
      </c>
      <c r="O40" s="15">
        <f>IF(AND(Use_Library!$T$39="Y",Parcel!$C$39=0),0,1)</f>
        <v/>
      </c>
      <c r="P40" s="15">
        <f>IF(AND(Use_Library!$U$39="Y",Parcel!$C$38=0),0,1)</f>
        <v/>
      </c>
      <c r="Q40" s="9">
        <f>TRIM(IF(AND(Use_Library!$BB$39&gt;0,Parcel!$C$28&lt;Use_Library!$BB$39),"Traffic under "&amp;TEXT(Use_Library!$BB$39,"#,##0")&amp;" VPD. ","")&amp;IF(AND(Use_Library!$BC$39&gt;0,Parcel!$C$29&lt;Use_Library!$BC$39),"Under "&amp;TEXT(Use_Library!$BC$39,"#,##0")&amp;" households in 3 mi. ","")&amp;IF(AND(Use_Library!$BD$39&gt;0,Parcel!$C$31&gt;Use_Library!$BD$39),"Over "&amp;Use_Library!$BD$39&amp;" mi to highway. ","")&amp;IF(AND(Use_Library!$BE$39="Y",Parcel!$C$32&lt;&gt;"Y"),"Needs a corner. ","")&amp;IF(AND(Use_Library!$BF$39&gt;0,Parcel!$C$33&gt;Use_Library!$BF$39),"Over "&amp;Use_Library!$BF$39&amp;" mi to substation. ","")&amp;IF(AND(Use_Library!$BG$39&gt;0,Parcel!$C$34&gt;Use_Library!$BG$39),"Over "&amp;Use_Library!$BG$39&amp;" mi to a major employer. ",""))</f>
        <v/>
      </c>
      <c r="R40" s="15">
        <f>IF(Q40="",1,0)</f>
        <v/>
      </c>
      <c r="S40" s="15">
        <f>IF(F40&gt;=Use_Library!$L$39,1,0)</f>
        <v/>
      </c>
      <c r="T40" s="15">
        <f>K40*M40*N40*O40*P40*R40*S40</f>
        <v/>
      </c>
      <c r="U40" s="14">
        <f>IF(Use_Library!$G$39&gt;0,I40*Use_Library!$G$39,1E+9)</f>
        <v/>
      </c>
      <c r="V40" s="14">
        <f>IF(Use_Library!$H$39&gt;0,G40*43560/Use_Library!$H$39,1E+9)</f>
        <v/>
      </c>
      <c r="W40" s="14">
        <f>IF(AND(Use_Library!$K$39="Y",Parcel!$C$39=0),G40*(1-Assumptions!$C$8)/IF(Parcel!$C$38=1,Location!$C$25,Location!$C$26),1E+9)</f>
        <v/>
      </c>
      <c r="X40" s="14">
        <f>IF(Use_Library!$I$39&gt;0,Parcel!$C$14*H40/Use_Library!$I$39,1E+9)</f>
        <v/>
      </c>
      <c r="Y40" s="14">
        <f>IF(Use_Library!$J$39&gt;0,Parcel!$C$19/Use_Library!$J$39,1E+9)</f>
        <v/>
      </c>
      <c r="Z40" s="14">
        <f>IF(AND(Parcel!$C$39=0,Use_Library!$K$39="N",Use_Library!$Y$39&gt;0,Use_Library!$Z$39="Y"),G40*Location!$C$27*Parcel!$C$45/Use_Library!$Y$39,1E+9)</f>
        <v/>
      </c>
      <c r="AA40" s="14">
        <f>MIN(U40,V40,W40,X40,Y40,Z40)</f>
        <v/>
      </c>
      <c r="AB40" s="14">
        <f>IF(Use_Library!$O$39&gt;0,IF(Use_Library!$P$39&gt;=10,Parcel!$C$30,Parcel!$C$29)*Use_Library!$O$39*Use_Library!$Q$39,1E+9)</f>
        <v/>
      </c>
      <c r="AC40" s="23">
        <f>IF(OR(AA40&gt;=1E+9,AA40&lt;=0),1,MIN(1,AB40/AA40))</f>
        <v/>
      </c>
      <c r="AD40" s="14">
        <f>G40*AC40</f>
        <v/>
      </c>
      <c r="AE40" s="23">
        <f>IF(F40=0,0,AD40/F40)</f>
        <v/>
      </c>
      <c r="AF40" s="14">
        <f>Parcel!$C$37*AE40</f>
        <v/>
      </c>
      <c r="AG40" s="14">
        <f>AF40*IF(Use_Library!$AB$39="Y",Assumptions!$C$7,0)</f>
        <v/>
      </c>
      <c r="AH40" s="14">
        <f>AF40*(1-Use_Library!$N$39)</f>
        <v/>
      </c>
      <c r="AI40" s="14">
        <f>Parcel!$C$14*(1-AE40)</f>
        <v/>
      </c>
      <c r="AJ40" s="14">
        <f>MIN(AA40,AB40)</f>
        <v/>
      </c>
      <c r="AK40" s="25">
        <f>IF(T40=0,0,IF(AJ40&gt;=1E+9,AD40,IF(Use_Library!$E$39="Y",INT(AJ40+1E-9),AJ40)))</f>
        <v/>
      </c>
      <c r="AL40" s="9">
        <f>IF(M40=0,"No public road access",IF(K40=0,J40,IF(R40=0,"Location fails",IF(N40=0,"Frontage under "&amp;Use_Library!$AY$39&amp;" LF",IF(S40=0,"Too small - needs "&amp;Use_Library!$L$39&amp;" usable ac",IF(O40=0,"Needs public sewer",IF(P40=0,"Needs public water",IF(AJ40&gt;=1E+9,"Usable acres",IF(AB40&lt;=AA40,"Market demand",IF(W40=AA40,"Septic lot size",IF(Z40=AA40,"Septic capacity (gal/day)",IF(X40=AA40,"Min lot size",IF(Y40=AA40,"Road frontage",IF(V40=AA40,"Site area / parking","Density"))))))))))))))</f>
        <v/>
      </c>
      <c r="AM40" s="15">
        <f>IF(AK40&gt;0,1,0)</f>
        <v/>
      </c>
      <c r="AN40" s="15">
        <f>IF(Use_Library!$Z$39="Y",1,0)*AM40</f>
        <v/>
      </c>
      <c r="AO40" s="14">
        <f>IF(Parcel!$C$39=0,MIN(U40,V40,X40,Y40,AB40),0)</f>
        <v/>
      </c>
      <c r="AP40" s="9">
        <f>IF(AND(Parcel!$C$39=0,M40*K40*R40*N40*S40*P40=1,AO40&lt;1E+9,AO40&gt;=MAX(1,AK40)*1.25),"Unlock: sewer or package plant allows ~"&amp;TEXT(INT(AO40),"#,##0")&amp;" "&amp;Use_Library!$D$39&amp;". ","")</f>
        <v/>
      </c>
      <c r="AQ40" s="15">
        <f>AK40*Use_Library!$AC$39*AN40</f>
        <v/>
      </c>
      <c r="AR40" s="15">
        <f>AK40*Use_Library!$AD$39*AN40</f>
        <v/>
      </c>
      <c r="AS40" s="14">
        <f>AK40*Use_Library!$V$39*AN40</f>
        <v/>
      </c>
      <c r="AT40" s="15">
        <f>IF(Parcel!$C$38=1,AQ40+Parcel!$C$40,0)*AN40</f>
        <v/>
      </c>
      <c r="AU40" s="14">
        <f>AS40*Parcel!$C$38</f>
        <v/>
      </c>
      <c r="AV40" s="15">
        <f>IF(AND(Parcel!$C$38=0,Use_Library!$K$39="N",AS40&gt;=Location!$C$30),1,0)*AN40</f>
        <v/>
      </c>
      <c r="AW40" s="15">
        <f>IF(Parcel!$C$39=1,AQ40+Parcel!$C$41,0)*AN40</f>
        <v/>
      </c>
      <c r="AX40" s="14">
        <f>AS40*Parcel!$C$39</f>
        <v/>
      </c>
      <c r="AY40" s="14">
        <f>IF(Parcel!$C$39=0,AK40*Use_Library!$W$39,0)*AN40</f>
        <v/>
      </c>
      <c r="AZ40" s="15">
        <f>IF(Parcel!$C$39=0,AK40*Use_Library!$Y$39,0)*AN40</f>
        <v/>
      </c>
      <c r="BA40" s="15">
        <f>IF(AND(Use_Library!$K$39="N",AZ40&gt;Location!$C$28),1,0)</f>
        <v/>
      </c>
      <c r="BB40" s="14">
        <f>IF(AND(Parcel!$C$38=0,AV40=0),AK40*Use_Library!$X$39,0)*AN40</f>
        <v/>
      </c>
      <c r="BC40" s="14">
        <f>AH40*Parcel!$C$18*Use_Library!$AA$39*AN40</f>
        <v/>
      </c>
      <c r="BD40" s="14">
        <f>AH40*Use_Library!$AA$39*AN40</f>
        <v/>
      </c>
      <c r="BE40" s="15">
        <f>IF(Use_Library!$C$39="For-Sale",IF(Use_Library!$E$39="Y",AK40,1),1)*AM40</f>
        <v/>
      </c>
      <c r="BF40" s="15">
        <f>IF(OR(Use_Library!$F$39="RES-SF",Use_Library!$F$39="RES-ATT",Use_Library!$F$39="RES-MF",Use_Library!$F$39="MH"),1,0)</f>
        <v/>
      </c>
      <c r="BG40" s="20">
        <f>Cost_Library!$J$5*Location!$C$9*AM40</f>
        <v/>
      </c>
      <c r="BH40" s="20">
        <f>BE40*Cost_Library!$J$6*Location!$C$9</f>
        <v/>
      </c>
      <c r="BI40" s="20">
        <f>BD40*Cost_Library!$J$7*Location!$C$9</f>
        <v/>
      </c>
      <c r="BJ40" s="20">
        <f>Cost_Library!$J$8*Location!$C$9*AN40*IF(Use_Library!$AA$39&gt;=0.5,1,0)</f>
        <v/>
      </c>
      <c r="BK40" s="20">
        <f>AY40*Cost_Library!$J$9*Location!$C$9</f>
        <v/>
      </c>
      <c r="BL40" s="20">
        <f>BA40*Cost_Library!$J$10*Location!$C$9</f>
        <v/>
      </c>
      <c r="BM40" s="20">
        <f>Cost_Library!$J$11*Location!$C$9*AM40</f>
        <v/>
      </c>
      <c r="BN40" s="20">
        <f>Cost_Library!$J$12*Location!$C$9*AN40*IF(Use_Library!$AB$39="Y",1,0)</f>
        <v/>
      </c>
      <c r="BO40" s="20">
        <f>Use_Effective!$C$39*AM40</f>
        <v/>
      </c>
      <c r="BP40" s="20">
        <f>L40*Location!$C$31*AM40</f>
        <v/>
      </c>
      <c r="BQ40" s="20">
        <f>Cost_Library!$J$13*Location!$C$9*AM40</f>
        <v/>
      </c>
      <c r="BR40" s="20">
        <f>BC40*Cost_Library!$J$14*Location!$C$9</f>
        <v/>
      </c>
      <c r="BS40" s="20">
        <f>BD40*Cost_Library!$J$15*Location!$C$9*Parcel!$C$43</f>
        <v/>
      </c>
      <c r="BT40" s="20">
        <f>AQ40*Cost_Library!$J$16*Location!$C$9</f>
        <v/>
      </c>
      <c r="BU40" s="20">
        <f>AR40*Cost_Library!$J$17*Location!$C$9</f>
        <v/>
      </c>
      <c r="BV40" s="20">
        <f>AG40*Cost_Library!$J$18*Location!$C$9*AN40</f>
        <v/>
      </c>
      <c r="BW40" s="20">
        <f>BD40*Cost_Library!$J$19*Location!$C$9</f>
        <v/>
      </c>
      <c r="BX40" s="20">
        <f>IF(Use_Library!$AZ$39="Y",1,0)*Cost_Library!$J$20*Location!$C$9*AN40</f>
        <v/>
      </c>
      <c r="BY40" s="20">
        <f>AT40*Cost_Library!$J$21*Location!$C$9</f>
        <v/>
      </c>
      <c r="BZ40" s="20">
        <f>AU40*Cost_Library!$J$22*Location!$C$9</f>
        <v/>
      </c>
      <c r="CA40" s="20">
        <f>AW40*Cost_Library!$J$23*Location!$C$9</f>
        <v/>
      </c>
      <c r="CB40" s="20">
        <f>AX40*Cost_Library!$J$24*Location!$C$9</f>
        <v/>
      </c>
      <c r="CC40" s="20">
        <f>AY40*Cost_Library!$J$25*Location!$C$9*Parcel!$C$44</f>
        <v/>
      </c>
      <c r="CD40" s="20">
        <f>BB40*Cost_Library!$J$26*Location!$C$9</f>
        <v/>
      </c>
      <c r="CE40" s="20">
        <f>AV40*(Cost_Library!$J$27+AS40*Cost_Library!$J$28)*Location!$C$9</f>
        <v/>
      </c>
      <c r="CF40" s="20">
        <f>AQ40*Cost_Library!$J$29*Location!$C$9</f>
        <v/>
      </c>
      <c r="CG40" s="20">
        <f>SUM(BG40:CF40)</f>
        <v/>
      </c>
      <c r="CH40" s="20">
        <f>CG40*Assumptions!$C$9</f>
        <v/>
      </c>
      <c r="CI40" s="20">
        <f>(CG40+CH40)*Org_Profile!$C$17</f>
        <v/>
      </c>
      <c r="CJ40" s="20">
        <f>CG40+CH40+CI40</f>
        <v/>
      </c>
      <c r="CK40" s="20">
        <f>AK40*Use_Effective!$B$39*(1+Org_Profile!$C$17)</f>
        <v/>
      </c>
      <c r="CL40" s="20">
        <f>CK40*(Assumptions!$C$10+Assumptions!$C$11)</f>
        <v/>
      </c>
      <c r="CM40" s="20">
        <f>AK40*Use_Effective!$D$39</f>
        <v/>
      </c>
      <c r="CN40" s="20">
        <f>AK40*Location!$C$21*BF40*AM40</f>
        <v/>
      </c>
      <c r="CO40" s="14">
        <f>Use_Effective!$F$39+L40*Location!$C$32+BA40*Location!$C$29</f>
        <v/>
      </c>
      <c r="CP40" s="14">
        <f>IF(Use_Effective!$P$39&gt;0,IF(Use_Library!$C$39="For-Sale",AK40,AD40)/Use_Effective!$P$39,0)*AM40</f>
        <v/>
      </c>
      <c r="CQ40" s="14">
        <f>IF(AND(Use_Library!$C$39="For-Sale",Use_Effective!$O$39&gt;0),AK40/Use_Effective!$O$39,0)*AM40</f>
        <v/>
      </c>
      <c r="CR40" s="14">
        <f>IF(Use_Library!$C$39="Income",MAX(Use_Library!$AQ$39,IF(Use_Effective!$O$39&gt;0,AK40/Use_Effective!$O$39,0)),0)</f>
        <v/>
      </c>
      <c r="CS40" s="14">
        <f>CO40+CP40</f>
        <v/>
      </c>
      <c r="CT40" s="14">
        <f>CO40+CQ40+CR40</f>
        <v/>
      </c>
      <c r="CU40" s="14">
        <f>CO40+IF(Use_Library!$C$39="Income",CR40,0)</f>
        <v/>
      </c>
      <c r="CV40" s="23">
        <f>Use_Effective!$G$39+Assumptions!$C$25*MAX(0,(CS40-12)/12)</f>
        <v/>
      </c>
      <c r="CW40" s="23">
        <f>Use_Effective!$G$39+Assumptions!$C$25*MAX(0,(CT40-12)/12)</f>
        <v/>
      </c>
      <c r="CX40" s="23">
        <f>Use_Effective!$G$39+Assumptions!$C$25*MAX(0,(CU40-12)/12)</f>
        <v/>
      </c>
      <c r="CY40" s="28">
        <f>1+Location!$C$17+IF(Parcel!$C$26="Y",Location!$C$20,0)</f>
        <v/>
      </c>
      <c r="CZ40" s="28">
        <f>CY40+Location!$C$19*(CO40+CP40/2)/12</f>
        <v/>
      </c>
      <c r="DA40" s="28">
        <f>CY40+Location!$C$19*(CO40+CQ40/2)/12</f>
        <v/>
      </c>
      <c r="DB40" s="28">
        <f>IF(Use_Library!$C$39="Income",DA40,CY40+Location!$C$19*CO40/12)</f>
        <v/>
      </c>
      <c r="DC40" s="28">
        <f>1+Assumptions!$C$15*(Assumptions!$C$16*(CO40+CP40/2)/12*Assumptions!$C$18+Assumptions!$C$17)</f>
        <v/>
      </c>
      <c r="DD40" s="28">
        <f>1+Assumptions!$C$15*(Assumptions!$C$16*((CO40+CQ40/2)/12*Assumptions!$C$18+CR40/12*Assumptions!$C$19)+Assumptions!$C$17)</f>
        <v/>
      </c>
      <c r="DE40" s="28">
        <f>IF(Use_Library!$C$39="Income",DD40,1+Assumptions!$C$15*(Assumptions!$C$16*CO40/12*Assumptions!$C$18+Assumptions!$C$17))</f>
        <v/>
      </c>
      <c r="DF40" s="23">
        <f>Assumptions!$C$13+Location!$C$18</f>
        <v/>
      </c>
      <c r="DG40" s="23">
        <f>Assumptions!$C$12+Location!$C$18</f>
        <v/>
      </c>
      <c r="DH40" s="23">
        <f>Assumptions!$C$14+Location!$C$18</f>
        <v/>
      </c>
      <c r="DI40" s="20">
        <f>AI40*Location!$C$14*(1-DF40)*AM40</f>
        <v/>
      </c>
      <c r="DJ40" s="20">
        <f>IF(Use_Library!$AV$39=1,IF(Use_Library!$C$39="For-Sale",AK40*Use_Effective!$H$39+Parcel!$C$14*AE40*Use_Effective!$J$39,AD40*Use_Effective!$J$39)*(1-DF40)+DI40,0)*AM40</f>
        <v/>
      </c>
      <c r="DK40" s="20">
        <f>(CG40-BU40-CC40-CD40)*(1+Assumptions!$C$9)*(1+Org_Profile!$C$17)</f>
        <v/>
      </c>
      <c r="DL40" s="28">
        <f>CZ40*DC40</f>
        <v/>
      </c>
      <c r="DM40" s="20">
        <f>(Parcel!$C$27*CZ40+DK40)*DC40</f>
        <v/>
      </c>
      <c r="DN40" s="20">
        <f>DJ40-DM40</f>
        <v/>
      </c>
      <c r="DO40" s="38">
        <f>IF(AND(Use_Library!$AV$39=1,AM40=1),MAX(0,((1-CV40)*DJ40-DK40*DC40)/DL40),0)</f>
        <v/>
      </c>
      <c r="DP40" s="20">
        <f>CJ40+CK40+CL40+CM40+CN40</f>
        <v/>
      </c>
      <c r="DQ40" s="28">
        <f>DA40*DD40</f>
        <v/>
      </c>
      <c r="DR40" s="20">
        <f>(Parcel!$C$27*DA40+DP40)*DD40</f>
        <v/>
      </c>
      <c r="DS40" s="20">
        <f>IF(Use_Library!$C$39="Income",AK40*Use_Effective!$K$39,0)</f>
        <v/>
      </c>
      <c r="DT40" s="20">
        <f>DS40*(1+Use_Library!$AL$39)*(1-Use_Effective!$N$39)</f>
        <v/>
      </c>
      <c r="DU40" s="20">
        <f>IF(Use_Library!$C$39="Income",AK40*Use_Effective!$E$39,0)</f>
        <v/>
      </c>
      <c r="DV40" s="20">
        <f>IF(Use_Library!$C$39="Income",Location!$C$15*Location!$C$16*DR40,0)</f>
        <v/>
      </c>
      <c r="DW40" s="20">
        <f>DT40*Use_Library!$AO$39</f>
        <v/>
      </c>
      <c r="DX40" s="20">
        <f>(DU40+DV40)*Use_Library!$AP$39</f>
        <v/>
      </c>
      <c r="DY40" s="20">
        <f>DT40-DU40-DV40-DW40+DX40</f>
        <v/>
      </c>
      <c r="DZ40" s="26">
        <f>Use_Effective!$M$39</f>
        <v/>
      </c>
      <c r="EA40" s="20">
        <f>IF(AND(Use_Library!$C$39="Income",DZ40&gt;0),DY40/DZ40,0)</f>
        <v/>
      </c>
      <c r="EB40" s="39">
        <f>IF(Use_Library!$C$39="Income",-Location!$C$15*Location!$C$16*(1-Use_Library!$AP$39)*DQ40,0)</f>
        <v/>
      </c>
      <c r="EC40" s="23">
        <f>IF(DR40=0,0,DY40/DR40)</f>
        <v/>
      </c>
      <c r="ED40" s="20">
        <f>IF(Use_Library!$AW$39=1,IF(Use_Library!$C$39="Income",EA40*(1-DH40),AK40*Use_Effective!$I$39*(1-DG40))+DI40,0)*AM40</f>
        <v/>
      </c>
      <c r="EE40" s="39">
        <f>IF(AND(Use_Library!$AW$39=1,Use_Library!$C$39="Income",DZ40&gt;0),EB40/DZ40*(1-DH40),0)</f>
        <v/>
      </c>
      <c r="EF40" s="20">
        <f>ED40-DR40</f>
        <v/>
      </c>
      <c r="EG40" s="38">
        <f>IF(AND(Use_Library!$AW$39=1,AM40=1),MAX(0,Parcel!$C$27-((1-CW40)*ED40-DR40)/((1-CW40)*EE40-DQ40)),0)</f>
        <v/>
      </c>
      <c r="EH40" s="20">
        <f>IF(Use_Library!$AX$39=1,IF(Use_Library!$C$39="Income",EA40,IF(DZ40&gt;0,AD40*Use_Effective!$L$39/DZ40,0))+DI40,0)*AM40</f>
        <v/>
      </c>
      <c r="EI40" s="20">
        <f>IF(Use_Library!$C$39="Income",DP40,CJ40)</f>
        <v/>
      </c>
      <c r="EJ40" s="28">
        <f>IF(Use_Library!$C$39="Income",DQ40,DB40*DE40)</f>
        <v/>
      </c>
      <c r="EK40" s="20">
        <f>IF(Use_Library!$C$39="Income",DR40,(Parcel!$C$27*DB40+CJ40)*DE40)</f>
        <v/>
      </c>
      <c r="EL40" s="39">
        <f>IF(AND(Use_Library!$AX$39=1,Use_Library!$C$39="Income",DZ40&gt;0),EB40/DZ40,0)</f>
        <v/>
      </c>
      <c r="EM40" s="20">
        <f>EH40-EK40</f>
        <v/>
      </c>
      <c r="EN40" s="38">
        <f>IF(AND(Use_Library!$AX$39=1,AM40=1),MAX(0,Parcel!$C$27-((1-CX40)*EH40-EK40)/((1-CX40)*EL40-EJ40)),0)</f>
        <v/>
      </c>
      <c r="EO40" s="20">
        <f>IF(Use_Library!$C$39="Income",Assumptions!$C$15*(Parcel!$C$27*DA40+DP40),0)</f>
        <v/>
      </c>
      <c r="EP40" s="20">
        <f>IF(AND(Use_Library!$C$39="Income",DY40&gt;0),MIN(Assumptions!$C$20*EA40,PV(Assumptions!$C$23/12,Assumptions!$C$24*12,-DY40/Assumptions!$C$21/12),DY40/Assumptions!$C$22),0)</f>
        <v/>
      </c>
      <c r="EQ40" s="27">
        <f>IF(EP40=0,0,DY40/(-PMT(Assumptions!$C$23/12,Assumptions!$C$24*12,EP40)*12))</f>
        <v/>
      </c>
      <c r="ER40" s="20">
        <f>EP40-EO40</f>
        <v/>
      </c>
      <c r="ES40" s="19">
        <f>MAX(DO40,EG40,EN40)</f>
        <v/>
      </c>
      <c r="ET40" s="15">
        <f>IF(ES40&lt;=0,0,IF(DO40=ES40,1,IF(EG40=ES40,2,3)))</f>
        <v/>
      </c>
      <c r="EU40" s="9">
        <f>CHOOSE(ET40+1,"None works","Land / pad sale","Build &amp; sell","Build &amp; hold / lease")</f>
        <v/>
      </c>
      <c r="EV40" s="15">
        <f>CHOOSE(ET40+1,0,CS40,CT40,CU40)</f>
        <v/>
      </c>
      <c r="EW40" s="20">
        <f>ES40*(1-Assumptions!$C$26)</f>
        <v/>
      </c>
      <c r="EX40" s="20">
        <f>ES40-Parcel!$C$27</f>
        <v/>
      </c>
      <c r="EY40" s="20">
        <f>IF(Parcel!$C$14=0,0,ES40/Parcel!$C$14)</f>
        <v/>
      </c>
      <c r="EZ40" s="36">
        <f>IF(AK40=0,0,ES40/AK40)</f>
        <v/>
      </c>
      <c r="FA40" s="9">
        <f>IF(ES40&lt;=0,"Pass",IF(ES40&gt;=Parcel!$C$27*Assumptions!$C$27,"Strong",IF(ES40&gt;=Parcel!$C$27,"Works at asking",IF(ES40&gt;=Parcel!$C$27*Assumptions!$C$28,"Negotiate","Pass"))))</f>
        <v/>
      </c>
      <c r="FB40" s="9">
        <f>IF(AM40=0,"",IF(Use_Library!$BH$39="Y",IF(Use_Effective!$AF$39&gt;=3,"High","Medium"),"Low - verify location"))</f>
        <v/>
      </c>
      <c r="FC40" s="9">
        <f>IF(AND(Use_Library!$BH$39="N",AM40=1),Use_Library!$BI$39,"")</f>
        <v/>
      </c>
      <c r="FD40" s="9">
        <f>TRIM(Q40&amp;" "&amp;IF(AND(AM40=0,T40=1),"Nothing fits. ","")&amp;IF(AND(Use_Library!$AZ$39&lt;&gt;"Y",Parcel!$C$19&lt;Use_Library!$AY$39),"Frontage under "&amp;Use_Library!$AY$39&amp;" LF. ","")&amp;IF(Parcel!$C$17&gt;0.15,"Slope over 15%. ","")&amp;IF(AND(AM40=1,AI40&gt;0.5),TEXT(AI40,"0")&amp;" ac not used - resold as raw land. ","")&amp;IF(AND(AM40=1,AC40&lt;1),"Demand caps it at "&amp;TEXT(AK40,"#,##0")&amp;" "&amp;Use_Library!$D$39&amp;". ","")&amp;IF(AND(AM40=1,L40=1),"Rezone required (+"&amp;Location!$C$32&amp;" mo). ","")&amp;IF(AND(AM40=1,BA40=1),"State wastewater permit needed. ","")&amp;IF(AND(AM40=1,AV40=1),"Public water system needed. ","")&amp;AP40&amp;IF(Parcel!$C$16&gt;Assumptions!$C$29,"Floodplain over "&amp;TEXT(Assumptions!$C$29,"0%")&amp;". ","")&amp;IF(AND(AM40=1,EV40&gt;60),"Over 5 years to exit. ",""))</f>
        <v/>
      </c>
      <c r="FE40" s="20">
        <f>IF(AND(Org_Profile!$C$5="My uses",E40=0),-1E+9,ES40)+ROW()/1000000</f>
        <v/>
      </c>
    </row>
    <row r="41">
      <c r="A41" s="4">
        <f>Use_Library!$A$40</f>
        <v/>
      </c>
      <c r="B41" s="9">
        <f>Use_Library!$C$40</f>
        <v/>
      </c>
      <c r="C41" s="9">
        <f>Use_Library!$D$40</f>
        <v/>
      </c>
      <c r="D41" s="9">
        <f>Use_Library!$F$40</f>
        <v/>
      </c>
      <c r="E41" s="15">
        <f>IF(Org_Profile!$C$57="Y",1,0)</f>
        <v/>
      </c>
      <c r="F41" s="14">
        <f>MAX(0,Parcel!$C$37*(1-Use_Library!$N$40-IF(Use_Library!$AB$40="Y",Assumptions!$C$7,0)))</f>
        <v/>
      </c>
      <c r="G41" s="14">
        <f>IF(Use_Library!$M$40&gt;0,MIN(F41,Use_Library!$M$40),F41)</f>
        <v/>
      </c>
      <c r="H41" s="23">
        <f>IF(F41=0,0,G41/F41)</f>
        <v/>
      </c>
      <c r="I41" s="14">
        <f>Parcel!$C$37*H41</f>
        <v/>
      </c>
      <c r="J41" s="9">
        <f>IF(ISNUMBER(SEARCH(","&amp;Use_Library!$F$40&amp;",",","&amp;SUBSTITUTE(Parcel!$C$11," ","")&amp;",")),"Deed restricted",IF(Parcel!$C$46=0,"No zoning",IF(ISNUMBER(SEARCH(","&amp;Use_Library!$F$40&amp;",",","&amp;SUBSTITUTE(Parcel!$C$10," ","")&amp;",")),"By right",IF(OR(TRIM(Parcel!$C$12)="*",ISNUMBER(SEARCH(","&amp;Use_Library!$F$40&amp;",",","&amp;SUBSTITUTE(Parcel!$C$12," ","")&amp;","))),"Rezone required","Prohibited by zoning"))))</f>
        <v/>
      </c>
      <c r="K41" s="15">
        <f>IF(OR(J41="Deed restricted",J41="Prohibited by zoning"),0,1)</f>
        <v/>
      </c>
      <c r="L41" s="15">
        <f>IF(J41="Rezone required",1,0)</f>
        <v/>
      </c>
      <c r="M41" s="15">
        <f>IF(Parcel!$C$20="None",0,IF(AND(Parcel!$C$20="Private easement",Use_Library!$BA$40="Y"),0,1))</f>
        <v/>
      </c>
      <c r="N41" s="15">
        <f>IF(AND(Use_Library!$AZ$40="Y",Parcel!$C$19&lt;Use_Library!$AY$40),0,1)</f>
        <v/>
      </c>
      <c r="O41" s="15">
        <f>IF(AND(Use_Library!$T$40="Y",Parcel!$C$39=0),0,1)</f>
        <v/>
      </c>
      <c r="P41" s="15">
        <f>IF(AND(Use_Library!$U$40="Y",Parcel!$C$38=0),0,1)</f>
        <v/>
      </c>
      <c r="Q41" s="9">
        <f>TRIM(IF(AND(Use_Library!$BB$40&gt;0,Parcel!$C$28&lt;Use_Library!$BB$40),"Traffic under "&amp;TEXT(Use_Library!$BB$40,"#,##0")&amp;" VPD. ","")&amp;IF(AND(Use_Library!$BC$40&gt;0,Parcel!$C$29&lt;Use_Library!$BC$40),"Under "&amp;TEXT(Use_Library!$BC$40,"#,##0")&amp;" households in 3 mi. ","")&amp;IF(AND(Use_Library!$BD$40&gt;0,Parcel!$C$31&gt;Use_Library!$BD$40),"Over "&amp;Use_Library!$BD$40&amp;" mi to highway. ","")&amp;IF(AND(Use_Library!$BE$40="Y",Parcel!$C$32&lt;&gt;"Y"),"Needs a corner. ","")&amp;IF(AND(Use_Library!$BF$40&gt;0,Parcel!$C$33&gt;Use_Library!$BF$40),"Over "&amp;Use_Library!$BF$40&amp;" mi to substation. ","")&amp;IF(AND(Use_Library!$BG$40&gt;0,Parcel!$C$34&gt;Use_Library!$BG$40),"Over "&amp;Use_Library!$BG$40&amp;" mi to a major employer. ",""))</f>
        <v/>
      </c>
      <c r="R41" s="15">
        <f>IF(Q41="",1,0)</f>
        <v/>
      </c>
      <c r="S41" s="15">
        <f>IF(F41&gt;=Use_Library!$L$40,1,0)</f>
        <v/>
      </c>
      <c r="T41" s="15">
        <f>K41*M41*N41*O41*P41*R41*S41</f>
        <v/>
      </c>
      <c r="U41" s="14">
        <f>IF(Use_Library!$G$40&gt;0,I41*Use_Library!$G$40,1E+9)</f>
        <v/>
      </c>
      <c r="V41" s="14">
        <f>IF(Use_Library!$H$40&gt;0,G41*43560/Use_Library!$H$40,1E+9)</f>
        <v/>
      </c>
      <c r="W41" s="14">
        <f>IF(AND(Use_Library!$K$40="Y",Parcel!$C$39=0),G41*(1-Assumptions!$C$8)/IF(Parcel!$C$38=1,Location!$C$25,Location!$C$26),1E+9)</f>
        <v/>
      </c>
      <c r="X41" s="14">
        <f>IF(Use_Library!$I$40&gt;0,Parcel!$C$14*H41/Use_Library!$I$40,1E+9)</f>
        <v/>
      </c>
      <c r="Y41" s="14">
        <f>IF(Use_Library!$J$40&gt;0,Parcel!$C$19/Use_Library!$J$40,1E+9)</f>
        <v/>
      </c>
      <c r="Z41" s="14">
        <f>IF(AND(Parcel!$C$39=0,Use_Library!$K$40="N",Use_Library!$Y$40&gt;0,Use_Library!$Z$40="Y"),G41*Location!$C$27*Parcel!$C$45/Use_Library!$Y$40,1E+9)</f>
        <v/>
      </c>
      <c r="AA41" s="14">
        <f>MIN(U41,V41,W41,X41,Y41,Z41)</f>
        <v/>
      </c>
      <c r="AB41" s="14">
        <f>IF(Use_Library!$O$40&gt;0,IF(Use_Library!$P$40&gt;=10,Parcel!$C$30,Parcel!$C$29)*Use_Library!$O$40*Use_Library!$Q$40,1E+9)</f>
        <v/>
      </c>
      <c r="AC41" s="23">
        <f>IF(OR(AA41&gt;=1E+9,AA41&lt;=0),1,MIN(1,AB41/AA41))</f>
        <v/>
      </c>
      <c r="AD41" s="14">
        <f>G41*AC41</f>
        <v/>
      </c>
      <c r="AE41" s="23">
        <f>IF(F41=0,0,AD41/F41)</f>
        <v/>
      </c>
      <c r="AF41" s="14">
        <f>Parcel!$C$37*AE41</f>
        <v/>
      </c>
      <c r="AG41" s="14">
        <f>AF41*IF(Use_Library!$AB$40="Y",Assumptions!$C$7,0)</f>
        <v/>
      </c>
      <c r="AH41" s="14">
        <f>AF41*(1-Use_Library!$N$40)</f>
        <v/>
      </c>
      <c r="AI41" s="14">
        <f>Parcel!$C$14*(1-AE41)</f>
        <v/>
      </c>
      <c r="AJ41" s="14">
        <f>MIN(AA41,AB41)</f>
        <v/>
      </c>
      <c r="AK41" s="25">
        <f>IF(T41=0,0,IF(AJ41&gt;=1E+9,AD41,IF(Use_Library!$E$40="Y",INT(AJ41+1E-9),AJ41)))</f>
        <v/>
      </c>
      <c r="AL41" s="9">
        <f>IF(M41=0,"No public road access",IF(K41=0,J41,IF(R41=0,"Location fails",IF(N41=0,"Frontage under "&amp;Use_Library!$AY$40&amp;" LF",IF(S41=0,"Too small - needs "&amp;Use_Library!$L$40&amp;" usable ac",IF(O41=0,"Needs public sewer",IF(P41=0,"Needs public water",IF(AJ41&gt;=1E+9,"Usable acres",IF(AB41&lt;=AA41,"Market demand",IF(W41=AA41,"Septic lot size",IF(Z41=AA41,"Septic capacity (gal/day)",IF(X41=AA41,"Min lot size",IF(Y41=AA41,"Road frontage",IF(V41=AA41,"Site area / parking","Density"))))))))))))))</f>
        <v/>
      </c>
      <c r="AM41" s="15">
        <f>IF(AK41&gt;0,1,0)</f>
        <v/>
      </c>
      <c r="AN41" s="15">
        <f>IF(Use_Library!$Z$40="Y",1,0)*AM41</f>
        <v/>
      </c>
      <c r="AO41" s="14">
        <f>IF(Parcel!$C$39=0,MIN(U41,V41,X41,Y41,AB41),0)</f>
        <v/>
      </c>
      <c r="AP41" s="9">
        <f>IF(AND(Parcel!$C$39=0,M41*K41*R41*N41*S41*P41=1,AO41&lt;1E+9,AO41&gt;=MAX(1,AK41)*1.25),"Unlock: sewer or package plant allows ~"&amp;TEXT(INT(AO41),"#,##0")&amp;" "&amp;Use_Library!$D$40&amp;". ","")</f>
        <v/>
      </c>
      <c r="AQ41" s="15">
        <f>AK41*Use_Library!$AC$40*AN41</f>
        <v/>
      </c>
      <c r="AR41" s="15">
        <f>AK41*Use_Library!$AD$40*AN41</f>
        <v/>
      </c>
      <c r="AS41" s="14">
        <f>AK41*Use_Library!$V$40*AN41</f>
        <v/>
      </c>
      <c r="AT41" s="15">
        <f>IF(Parcel!$C$38=1,AQ41+Parcel!$C$40,0)*AN41</f>
        <v/>
      </c>
      <c r="AU41" s="14">
        <f>AS41*Parcel!$C$38</f>
        <v/>
      </c>
      <c r="AV41" s="15">
        <f>IF(AND(Parcel!$C$38=0,Use_Library!$K$40="N",AS41&gt;=Location!$C$30),1,0)*AN41</f>
        <v/>
      </c>
      <c r="AW41" s="15">
        <f>IF(Parcel!$C$39=1,AQ41+Parcel!$C$41,0)*AN41</f>
        <v/>
      </c>
      <c r="AX41" s="14">
        <f>AS41*Parcel!$C$39</f>
        <v/>
      </c>
      <c r="AY41" s="14">
        <f>IF(Parcel!$C$39=0,AK41*Use_Library!$W$40,0)*AN41</f>
        <v/>
      </c>
      <c r="AZ41" s="15">
        <f>IF(Parcel!$C$39=0,AK41*Use_Library!$Y$40,0)*AN41</f>
        <v/>
      </c>
      <c r="BA41" s="15">
        <f>IF(AND(Use_Library!$K$40="N",AZ41&gt;Location!$C$28),1,0)</f>
        <v/>
      </c>
      <c r="BB41" s="14">
        <f>IF(AND(Parcel!$C$38=0,AV41=0),AK41*Use_Library!$X$40,0)*AN41</f>
        <v/>
      </c>
      <c r="BC41" s="14">
        <f>AH41*Parcel!$C$18*Use_Library!$AA$40*AN41</f>
        <v/>
      </c>
      <c r="BD41" s="14">
        <f>AH41*Use_Library!$AA$40*AN41</f>
        <v/>
      </c>
      <c r="BE41" s="15">
        <f>IF(Use_Library!$C$40="For-Sale",IF(Use_Library!$E$40="Y",AK41,1),1)*AM41</f>
        <v/>
      </c>
      <c r="BF41" s="15">
        <f>IF(OR(Use_Library!$F$40="RES-SF",Use_Library!$F$40="RES-ATT",Use_Library!$F$40="RES-MF",Use_Library!$F$40="MH"),1,0)</f>
        <v/>
      </c>
      <c r="BG41" s="20">
        <f>Cost_Library!$J$5*Location!$C$9*AM41</f>
        <v/>
      </c>
      <c r="BH41" s="20">
        <f>BE41*Cost_Library!$J$6*Location!$C$9</f>
        <v/>
      </c>
      <c r="BI41" s="20">
        <f>BD41*Cost_Library!$J$7*Location!$C$9</f>
        <v/>
      </c>
      <c r="BJ41" s="20">
        <f>Cost_Library!$J$8*Location!$C$9*AN41*IF(Use_Library!$AA$40&gt;=0.5,1,0)</f>
        <v/>
      </c>
      <c r="BK41" s="20">
        <f>AY41*Cost_Library!$J$9*Location!$C$9</f>
        <v/>
      </c>
      <c r="BL41" s="20">
        <f>BA41*Cost_Library!$J$10*Location!$C$9</f>
        <v/>
      </c>
      <c r="BM41" s="20">
        <f>Cost_Library!$J$11*Location!$C$9*AM41</f>
        <v/>
      </c>
      <c r="BN41" s="20">
        <f>Cost_Library!$J$12*Location!$C$9*AN41*IF(Use_Library!$AB$40="Y",1,0)</f>
        <v/>
      </c>
      <c r="BO41" s="20">
        <f>Use_Effective!$C$40*AM41</f>
        <v/>
      </c>
      <c r="BP41" s="20">
        <f>L41*Location!$C$31*AM41</f>
        <v/>
      </c>
      <c r="BQ41" s="20">
        <f>Cost_Library!$J$13*Location!$C$9*AM41</f>
        <v/>
      </c>
      <c r="BR41" s="20">
        <f>BC41*Cost_Library!$J$14*Location!$C$9</f>
        <v/>
      </c>
      <c r="BS41" s="20">
        <f>BD41*Cost_Library!$J$15*Location!$C$9*Parcel!$C$43</f>
        <v/>
      </c>
      <c r="BT41" s="20">
        <f>AQ41*Cost_Library!$J$16*Location!$C$9</f>
        <v/>
      </c>
      <c r="BU41" s="20">
        <f>AR41*Cost_Library!$J$17*Location!$C$9</f>
        <v/>
      </c>
      <c r="BV41" s="20">
        <f>AG41*Cost_Library!$J$18*Location!$C$9*AN41</f>
        <v/>
      </c>
      <c r="BW41" s="20">
        <f>BD41*Cost_Library!$J$19*Location!$C$9</f>
        <v/>
      </c>
      <c r="BX41" s="20">
        <f>IF(Use_Library!$AZ$40="Y",1,0)*Cost_Library!$J$20*Location!$C$9*AN41</f>
        <v/>
      </c>
      <c r="BY41" s="20">
        <f>AT41*Cost_Library!$J$21*Location!$C$9</f>
        <v/>
      </c>
      <c r="BZ41" s="20">
        <f>AU41*Cost_Library!$J$22*Location!$C$9</f>
        <v/>
      </c>
      <c r="CA41" s="20">
        <f>AW41*Cost_Library!$J$23*Location!$C$9</f>
        <v/>
      </c>
      <c r="CB41" s="20">
        <f>AX41*Cost_Library!$J$24*Location!$C$9</f>
        <v/>
      </c>
      <c r="CC41" s="20">
        <f>AY41*Cost_Library!$J$25*Location!$C$9*Parcel!$C$44</f>
        <v/>
      </c>
      <c r="CD41" s="20">
        <f>BB41*Cost_Library!$J$26*Location!$C$9</f>
        <v/>
      </c>
      <c r="CE41" s="20">
        <f>AV41*(Cost_Library!$J$27+AS41*Cost_Library!$J$28)*Location!$C$9</f>
        <v/>
      </c>
      <c r="CF41" s="20">
        <f>AQ41*Cost_Library!$J$29*Location!$C$9</f>
        <v/>
      </c>
      <c r="CG41" s="20">
        <f>SUM(BG41:CF41)</f>
        <v/>
      </c>
      <c r="CH41" s="20">
        <f>CG41*Assumptions!$C$9</f>
        <v/>
      </c>
      <c r="CI41" s="20">
        <f>(CG41+CH41)*Org_Profile!$C$17</f>
        <v/>
      </c>
      <c r="CJ41" s="20">
        <f>CG41+CH41+CI41</f>
        <v/>
      </c>
      <c r="CK41" s="20">
        <f>AK41*Use_Effective!$B$40*(1+Org_Profile!$C$17)</f>
        <v/>
      </c>
      <c r="CL41" s="20">
        <f>CK41*(Assumptions!$C$10+Assumptions!$C$11)</f>
        <v/>
      </c>
      <c r="CM41" s="20">
        <f>AK41*Use_Effective!$D$40</f>
        <v/>
      </c>
      <c r="CN41" s="20">
        <f>AK41*Location!$C$21*BF41*AM41</f>
        <v/>
      </c>
      <c r="CO41" s="14">
        <f>Use_Effective!$F$40+L41*Location!$C$32+BA41*Location!$C$29</f>
        <v/>
      </c>
      <c r="CP41" s="14">
        <f>IF(Use_Effective!$P$40&gt;0,IF(Use_Library!$C$40="For-Sale",AK41,AD41)/Use_Effective!$P$40,0)*AM41</f>
        <v/>
      </c>
      <c r="CQ41" s="14">
        <f>IF(AND(Use_Library!$C$40="For-Sale",Use_Effective!$O$40&gt;0),AK41/Use_Effective!$O$40,0)*AM41</f>
        <v/>
      </c>
      <c r="CR41" s="14">
        <f>IF(Use_Library!$C$40="Income",MAX(Use_Library!$AQ$40,IF(Use_Effective!$O$40&gt;0,AK41/Use_Effective!$O$40,0)),0)</f>
        <v/>
      </c>
      <c r="CS41" s="14">
        <f>CO41+CP41</f>
        <v/>
      </c>
      <c r="CT41" s="14">
        <f>CO41+CQ41+CR41</f>
        <v/>
      </c>
      <c r="CU41" s="14">
        <f>CO41+IF(Use_Library!$C$40="Income",CR41,0)</f>
        <v/>
      </c>
      <c r="CV41" s="23">
        <f>Use_Effective!$G$40+Assumptions!$C$25*MAX(0,(CS41-12)/12)</f>
        <v/>
      </c>
      <c r="CW41" s="23">
        <f>Use_Effective!$G$40+Assumptions!$C$25*MAX(0,(CT41-12)/12)</f>
        <v/>
      </c>
      <c r="CX41" s="23">
        <f>Use_Effective!$G$40+Assumptions!$C$25*MAX(0,(CU41-12)/12)</f>
        <v/>
      </c>
      <c r="CY41" s="28">
        <f>1+Location!$C$17+IF(Parcel!$C$26="Y",Location!$C$20,0)</f>
        <v/>
      </c>
      <c r="CZ41" s="28">
        <f>CY41+Location!$C$19*(CO41+CP41/2)/12</f>
        <v/>
      </c>
      <c r="DA41" s="28">
        <f>CY41+Location!$C$19*(CO41+CQ41/2)/12</f>
        <v/>
      </c>
      <c r="DB41" s="28">
        <f>IF(Use_Library!$C$40="Income",DA41,CY41+Location!$C$19*CO41/12)</f>
        <v/>
      </c>
      <c r="DC41" s="28">
        <f>1+Assumptions!$C$15*(Assumptions!$C$16*(CO41+CP41/2)/12*Assumptions!$C$18+Assumptions!$C$17)</f>
        <v/>
      </c>
      <c r="DD41" s="28">
        <f>1+Assumptions!$C$15*(Assumptions!$C$16*((CO41+CQ41/2)/12*Assumptions!$C$18+CR41/12*Assumptions!$C$19)+Assumptions!$C$17)</f>
        <v/>
      </c>
      <c r="DE41" s="28">
        <f>IF(Use_Library!$C$40="Income",DD41,1+Assumptions!$C$15*(Assumptions!$C$16*CO41/12*Assumptions!$C$18+Assumptions!$C$17))</f>
        <v/>
      </c>
      <c r="DF41" s="23">
        <f>Assumptions!$C$13+Location!$C$18</f>
        <v/>
      </c>
      <c r="DG41" s="23">
        <f>Assumptions!$C$12+Location!$C$18</f>
        <v/>
      </c>
      <c r="DH41" s="23">
        <f>Assumptions!$C$14+Location!$C$18</f>
        <v/>
      </c>
      <c r="DI41" s="20">
        <f>AI41*Location!$C$14*(1-DF41)*AM41</f>
        <v/>
      </c>
      <c r="DJ41" s="20">
        <f>IF(Use_Library!$AV$40=1,IF(Use_Library!$C$40="For-Sale",AK41*Use_Effective!$H$40+Parcel!$C$14*AE41*Use_Effective!$J$40,AD41*Use_Effective!$J$40)*(1-DF41)+DI41,0)*AM41</f>
        <v/>
      </c>
      <c r="DK41" s="20">
        <f>(CG41-BU41-CC41-CD41)*(1+Assumptions!$C$9)*(1+Org_Profile!$C$17)</f>
        <v/>
      </c>
      <c r="DL41" s="28">
        <f>CZ41*DC41</f>
        <v/>
      </c>
      <c r="DM41" s="20">
        <f>(Parcel!$C$27*CZ41+DK41)*DC41</f>
        <v/>
      </c>
      <c r="DN41" s="20">
        <f>DJ41-DM41</f>
        <v/>
      </c>
      <c r="DO41" s="38">
        <f>IF(AND(Use_Library!$AV$40=1,AM41=1),MAX(0,((1-CV41)*DJ41-DK41*DC41)/DL41),0)</f>
        <v/>
      </c>
      <c r="DP41" s="20">
        <f>CJ41+CK41+CL41+CM41+CN41</f>
        <v/>
      </c>
      <c r="DQ41" s="28">
        <f>DA41*DD41</f>
        <v/>
      </c>
      <c r="DR41" s="20">
        <f>(Parcel!$C$27*DA41+DP41)*DD41</f>
        <v/>
      </c>
      <c r="DS41" s="20">
        <f>IF(Use_Library!$C$40="Income",AK41*Use_Effective!$K$40,0)</f>
        <v/>
      </c>
      <c r="DT41" s="20">
        <f>DS41*(1+Use_Library!$AL$40)*(1-Use_Effective!$N$40)</f>
        <v/>
      </c>
      <c r="DU41" s="20">
        <f>IF(Use_Library!$C$40="Income",AK41*Use_Effective!$E$40,0)</f>
        <v/>
      </c>
      <c r="DV41" s="20">
        <f>IF(Use_Library!$C$40="Income",Location!$C$15*Location!$C$16*DR41,0)</f>
        <v/>
      </c>
      <c r="DW41" s="20">
        <f>DT41*Use_Library!$AO$40</f>
        <v/>
      </c>
      <c r="DX41" s="20">
        <f>(DU41+DV41)*Use_Library!$AP$40</f>
        <v/>
      </c>
      <c r="DY41" s="20">
        <f>DT41-DU41-DV41-DW41+DX41</f>
        <v/>
      </c>
      <c r="DZ41" s="26">
        <f>Use_Effective!$M$40</f>
        <v/>
      </c>
      <c r="EA41" s="20">
        <f>IF(AND(Use_Library!$C$40="Income",DZ41&gt;0),DY41/DZ41,0)</f>
        <v/>
      </c>
      <c r="EB41" s="39">
        <f>IF(Use_Library!$C$40="Income",-Location!$C$15*Location!$C$16*(1-Use_Library!$AP$40)*DQ41,0)</f>
        <v/>
      </c>
      <c r="EC41" s="23">
        <f>IF(DR41=0,0,DY41/DR41)</f>
        <v/>
      </c>
      <c r="ED41" s="20">
        <f>IF(Use_Library!$AW$40=1,IF(Use_Library!$C$40="Income",EA41*(1-DH41),AK41*Use_Effective!$I$40*(1-DG41))+DI41,0)*AM41</f>
        <v/>
      </c>
      <c r="EE41" s="39">
        <f>IF(AND(Use_Library!$AW$40=1,Use_Library!$C$40="Income",DZ41&gt;0),EB41/DZ41*(1-DH41),0)</f>
        <v/>
      </c>
      <c r="EF41" s="20">
        <f>ED41-DR41</f>
        <v/>
      </c>
      <c r="EG41" s="38">
        <f>IF(AND(Use_Library!$AW$40=1,AM41=1),MAX(0,Parcel!$C$27-((1-CW41)*ED41-DR41)/((1-CW41)*EE41-DQ41)),0)</f>
        <v/>
      </c>
      <c r="EH41" s="20">
        <f>IF(Use_Library!$AX$40=1,IF(Use_Library!$C$40="Income",EA41,IF(DZ41&gt;0,AD41*Use_Effective!$L$40/DZ41,0))+DI41,0)*AM41</f>
        <v/>
      </c>
      <c r="EI41" s="20">
        <f>IF(Use_Library!$C$40="Income",DP41,CJ41)</f>
        <v/>
      </c>
      <c r="EJ41" s="28">
        <f>IF(Use_Library!$C$40="Income",DQ41,DB41*DE41)</f>
        <v/>
      </c>
      <c r="EK41" s="20">
        <f>IF(Use_Library!$C$40="Income",DR41,(Parcel!$C$27*DB41+CJ41)*DE41)</f>
        <v/>
      </c>
      <c r="EL41" s="39">
        <f>IF(AND(Use_Library!$AX$40=1,Use_Library!$C$40="Income",DZ41&gt;0),EB41/DZ41,0)</f>
        <v/>
      </c>
      <c r="EM41" s="20">
        <f>EH41-EK41</f>
        <v/>
      </c>
      <c r="EN41" s="38">
        <f>IF(AND(Use_Library!$AX$40=1,AM41=1),MAX(0,Parcel!$C$27-((1-CX41)*EH41-EK41)/((1-CX41)*EL41-EJ41)),0)</f>
        <v/>
      </c>
      <c r="EO41" s="20">
        <f>IF(Use_Library!$C$40="Income",Assumptions!$C$15*(Parcel!$C$27*DA41+DP41),0)</f>
        <v/>
      </c>
      <c r="EP41" s="20">
        <f>IF(AND(Use_Library!$C$40="Income",DY41&gt;0),MIN(Assumptions!$C$20*EA41,PV(Assumptions!$C$23/12,Assumptions!$C$24*12,-DY41/Assumptions!$C$21/12),DY41/Assumptions!$C$22),0)</f>
        <v/>
      </c>
      <c r="EQ41" s="27">
        <f>IF(EP41=0,0,DY41/(-PMT(Assumptions!$C$23/12,Assumptions!$C$24*12,EP41)*12))</f>
        <v/>
      </c>
      <c r="ER41" s="20">
        <f>EP41-EO41</f>
        <v/>
      </c>
      <c r="ES41" s="19">
        <f>MAX(DO41,EG41,EN41)</f>
        <v/>
      </c>
      <c r="ET41" s="15">
        <f>IF(ES41&lt;=0,0,IF(DO41=ES41,1,IF(EG41=ES41,2,3)))</f>
        <v/>
      </c>
      <c r="EU41" s="9">
        <f>CHOOSE(ET41+1,"None works","Land / pad sale","Build &amp; sell","Build &amp; hold / lease")</f>
        <v/>
      </c>
      <c r="EV41" s="15">
        <f>CHOOSE(ET41+1,0,CS41,CT41,CU41)</f>
        <v/>
      </c>
      <c r="EW41" s="20">
        <f>ES41*(1-Assumptions!$C$26)</f>
        <v/>
      </c>
      <c r="EX41" s="20">
        <f>ES41-Parcel!$C$27</f>
        <v/>
      </c>
      <c r="EY41" s="20">
        <f>IF(Parcel!$C$14=0,0,ES41/Parcel!$C$14)</f>
        <v/>
      </c>
      <c r="EZ41" s="36">
        <f>IF(AK41=0,0,ES41/AK41)</f>
        <v/>
      </c>
      <c r="FA41" s="9">
        <f>IF(ES41&lt;=0,"Pass",IF(ES41&gt;=Parcel!$C$27*Assumptions!$C$27,"Strong",IF(ES41&gt;=Parcel!$C$27,"Works at asking",IF(ES41&gt;=Parcel!$C$27*Assumptions!$C$28,"Negotiate","Pass"))))</f>
        <v/>
      </c>
      <c r="FB41" s="9">
        <f>IF(AM41=0,"",IF(Use_Library!$BH$40="Y",IF(Use_Effective!$AF$40&gt;=3,"High","Medium"),"Low - verify location"))</f>
        <v/>
      </c>
      <c r="FC41" s="9">
        <f>IF(AND(Use_Library!$BH$40="N",AM41=1),Use_Library!$BI$40,"")</f>
        <v/>
      </c>
      <c r="FD41" s="9">
        <f>TRIM(Q41&amp;" "&amp;IF(AND(AM41=0,T41=1),"Nothing fits. ","")&amp;IF(AND(Use_Library!$AZ$40&lt;&gt;"Y",Parcel!$C$19&lt;Use_Library!$AY$40),"Frontage under "&amp;Use_Library!$AY$40&amp;" LF. ","")&amp;IF(Parcel!$C$17&gt;0.15,"Slope over 15%. ","")&amp;IF(AND(AM41=1,AI41&gt;0.5),TEXT(AI41,"0")&amp;" ac not used - resold as raw land. ","")&amp;IF(AND(AM41=1,AC41&lt;1),"Demand caps it at "&amp;TEXT(AK41,"#,##0")&amp;" "&amp;Use_Library!$D$40&amp;". ","")&amp;IF(AND(AM41=1,L41=1),"Rezone required (+"&amp;Location!$C$32&amp;" mo). ","")&amp;IF(AND(AM41=1,BA41=1),"State wastewater permit needed. ","")&amp;IF(AND(AM41=1,AV41=1),"Public water system needed. ","")&amp;AP41&amp;IF(Parcel!$C$16&gt;Assumptions!$C$29,"Floodplain over "&amp;TEXT(Assumptions!$C$29,"0%")&amp;". ","")&amp;IF(AND(AM41=1,EV41&gt;60),"Over 5 years to exit. ",""))</f>
        <v/>
      </c>
      <c r="FE41" s="20">
        <f>IF(AND(Org_Profile!$C$5="My uses",E41=0),-1E+9,ES41)+ROW()/1000000</f>
        <v/>
      </c>
    </row>
    <row r="42">
      <c r="A42" s="4">
        <f>Use_Library!$A$41</f>
        <v/>
      </c>
      <c r="B42" s="9">
        <f>Use_Library!$C$41</f>
        <v/>
      </c>
      <c r="C42" s="9">
        <f>Use_Library!$D$41</f>
        <v/>
      </c>
      <c r="D42" s="9">
        <f>Use_Library!$F$41</f>
        <v/>
      </c>
      <c r="E42" s="15">
        <f>IF(Org_Profile!$C$58="Y",1,0)</f>
        <v/>
      </c>
      <c r="F42" s="14">
        <f>MAX(0,Parcel!$C$37*(1-Use_Library!$N$41-IF(Use_Library!$AB$41="Y",Assumptions!$C$7,0)))</f>
        <v/>
      </c>
      <c r="G42" s="14">
        <f>IF(Use_Library!$M$41&gt;0,MIN(F42,Use_Library!$M$41),F42)</f>
        <v/>
      </c>
      <c r="H42" s="23">
        <f>IF(F42=0,0,G42/F42)</f>
        <v/>
      </c>
      <c r="I42" s="14">
        <f>Parcel!$C$37*H42</f>
        <v/>
      </c>
      <c r="J42" s="9">
        <f>IF(ISNUMBER(SEARCH(","&amp;Use_Library!$F$41&amp;",",","&amp;SUBSTITUTE(Parcel!$C$11," ","")&amp;",")),"Deed restricted",IF(Parcel!$C$46=0,"No zoning",IF(ISNUMBER(SEARCH(","&amp;Use_Library!$F$41&amp;",",","&amp;SUBSTITUTE(Parcel!$C$10," ","")&amp;",")),"By right",IF(OR(TRIM(Parcel!$C$12)="*",ISNUMBER(SEARCH(","&amp;Use_Library!$F$41&amp;",",","&amp;SUBSTITUTE(Parcel!$C$12," ","")&amp;","))),"Rezone required","Prohibited by zoning"))))</f>
        <v/>
      </c>
      <c r="K42" s="15">
        <f>IF(OR(J42="Deed restricted",J42="Prohibited by zoning"),0,1)</f>
        <v/>
      </c>
      <c r="L42" s="15">
        <f>IF(J42="Rezone required",1,0)</f>
        <v/>
      </c>
      <c r="M42" s="15">
        <f>IF(Parcel!$C$20="None",0,IF(AND(Parcel!$C$20="Private easement",Use_Library!$BA$41="Y"),0,1))</f>
        <v/>
      </c>
      <c r="N42" s="15">
        <f>IF(AND(Use_Library!$AZ$41="Y",Parcel!$C$19&lt;Use_Library!$AY$41),0,1)</f>
        <v/>
      </c>
      <c r="O42" s="15">
        <f>IF(AND(Use_Library!$T$41="Y",Parcel!$C$39=0),0,1)</f>
        <v/>
      </c>
      <c r="P42" s="15">
        <f>IF(AND(Use_Library!$U$41="Y",Parcel!$C$38=0),0,1)</f>
        <v/>
      </c>
      <c r="Q42" s="9">
        <f>TRIM(IF(AND(Use_Library!$BB$41&gt;0,Parcel!$C$28&lt;Use_Library!$BB$41),"Traffic under "&amp;TEXT(Use_Library!$BB$41,"#,##0")&amp;" VPD. ","")&amp;IF(AND(Use_Library!$BC$41&gt;0,Parcel!$C$29&lt;Use_Library!$BC$41),"Under "&amp;TEXT(Use_Library!$BC$41,"#,##0")&amp;" households in 3 mi. ","")&amp;IF(AND(Use_Library!$BD$41&gt;0,Parcel!$C$31&gt;Use_Library!$BD$41),"Over "&amp;Use_Library!$BD$41&amp;" mi to highway. ","")&amp;IF(AND(Use_Library!$BE$41="Y",Parcel!$C$32&lt;&gt;"Y"),"Needs a corner. ","")&amp;IF(AND(Use_Library!$BF$41&gt;0,Parcel!$C$33&gt;Use_Library!$BF$41),"Over "&amp;Use_Library!$BF$41&amp;" mi to substation. ","")&amp;IF(AND(Use_Library!$BG$41&gt;0,Parcel!$C$34&gt;Use_Library!$BG$41),"Over "&amp;Use_Library!$BG$41&amp;" mi to a major employer. ",""))</f>
        <v/>
      </c>
      <c r="R42" s="15">
        <f>IF(Q42="",1,0)</f>
        <v/>
      </c>
      <c r="S42" s="15">
        <f>IF(F42&gt;=Use_Library!$L$41,1,0)</f>
        <v/>
      </c>
      <c r="T42" s="15">
        <f>K42*M42*N42*O42*P42*R42*S42</f>
        <v/>
      </c>
      <c r="U42" s="14">
        <f>IF(Use_Library!$G$41&gt;0,I42*Use_Library!$G$41,1E+9)</f>
        <v/>
      </c>
      <c r="V42" s="14">
        <f>IF(Use_Library!$H$41&gt;0,G42*43560/Use_Library!$H$41,1E+9)</f>
        <v/>
      </c>
      <c r="W42" s="14">
        <f>IF(AND(Use_Library!$K$41="Y",Parcel!$C$39=0),G42*(1-Assumptions!$C$8)/IF(Parcel!$C$38=1,Location!$C$25,Location!$C$26),1E+9)</f>
        <v/>
      </c>
      <c r="X42" s="14">
        <f>IF(Use_Library!$I$41&gt;0,Parcel!$C$14*H42/Use_Library!$I$41,1E+9)</f>
        <v/>
      </c>
      <c r="Y42" s="14">
        <f>IF(Use_Library!$J$41&gt;0,Parcel!$C$19/Use_Library!$J$41,1E+9)</f>
        <v/>
      </c>
      <c r="Z42" s="14">
        <f>IF(AND(Parcel!$C$39=0,Use_Library!$K$41="N",Use_Library!$Y$41&gt;0,Use_Library!$Z$41="Y"),G42*Location!$C$27*Parcel!$C$45/Use_Library!$Y$41,1E+9)</f>
        <v/>
      </c>
      <c r="AA42" s="14">
        <f>MIN(U42,V42,W42,X42,Y42,Z42)</f>
        <v/>
      </c>
      <c r="AB42" s="14">
        <f>IF(Use_Library!$O$41&gt;0,IF(Use_Library!$P$41&gt;=10,Parcel!$C$30,Parcel!$C$29)*Use_Library!$O$41*Use_Library!$Q$41,1E+9)</f>
        <v/>
      </c>
      <c r="AC42" s="23">
        <f>IF(OR(AA42&gt;=1E+9,AA42&lt;=0),1,MIN(1,AB42/AA42))</f>
        <v/>
      </c>
      <c r="AD42" s="14">
        <f>G42*AC42</f>
        <v/>
      </c>
      <c r="AE42" s="23">
        <f>IF(F42=0,0,AD42/F42)</f>
        <v/>
      </c>
      <c r="AF42" s="14">
        <f>Parcel!$C$37*AE42</f>
        <v/>
      </c>
      <c r="AG42" s="14">
        <f>AF42*IF(Use_Library!$AB$41="Y",Assumptions!$C$7,0)</f>
        <v/>
      </c>
      <c r="AH42" s="14">
        <f>AF42*(1-Use_Library!$N$41)</f>
        <v/>
      </c>
      <c r="AI42" s="14">
        <f>Parcel!$C$14*(1-AE42)</f>
        <v/>
      </c>
      <c r="AJ42" s="14">
        <f>MIN(AA42,AB42)</f>
        <v/>
      </c>
      <c r="AK42" s="25">
        <f>IF(T42=0,0,IF(AJ42&gt;=1E+9,AD42,IF(Use_Library!$E$41="Y",INT(AJ42+1E-9),AJ42)))</f>
        <v/>
      </c>
      <c r="AL42" s="9">
        <f>IF(M42=0,"No public road access",IF(K42=0,J42,IF(R42=0,"Location fails",IF(N42=0,"Frontage under "&amp;Use_Library!$AY$41&amp;" LF",IF(S42=0,"Too small - needs "&amp;Use_Library!$L$41&amp;" usable ac",IF(O42=0,"Needs public sewer",IF(P42=0,"Needs public water",IF(AJ42&gt;=1E+9,"Usable acres",IF(AB42&lt;=AA42,"Market demand",IF(W42=AA42,"Septic lot size",IF(Z42=AA42,"Septic capacity (gal/day)",IF(X42=AA42,"Min lot size",IF(Y42=AA42,"Road frontage",IF(V42=AA42,"Site area / parking","Density"))))))))))))))</f>
        <v/>
      </c>
      <c r="AM42" s="15">
        <f>IF(AK42&gt;0,1,0)</f>
        <v/>
      </c>
      <c r="AN42" s="15">
        <f>IF(Use_Library!$Z$41="Y",1,0)*AM42</f>
        <v/>
      </c>
      <c r="AO42" s="14">
        <f>IF(Parcel!$C$39=0,MIN(U42,V42,X42,Y42,AB42),0)</f>
        <v/>
      </c>
      <c r="AP42" s="9">
        <f>IF(AND(Parcel!$C$39=0,M42*K42*R42*N42*S42*P42=1,AO42&lt;1E+9,AO42&gt;=MAX(1,AK42)*1.25),"Unlock: sewer or package plant allows ~"&amp;TEXT(INT(AO42),"#,##0")&amp;" "&amp;Use_Library!$D$41&amp;". ","")</f>
        <v/>
      </c>
      <c r="AQ42" s="15">
        <f>AK42*Use_Library!$AC$41*AN42</f>
        <v/>
      </c>
      <c r="AR42" s="15">
        <f>AK42*Use_Library!$AD$41*AN42</f>
        <v/>
      </c>
      <c r="AS42" s="14">
        <f>AK42*Use_Library!$V$41*AN42</f>
        <v/>
      </c>
      <c r="AT42" s="15">
        <f>IF(Parcel!$C$38=1,AQ42+Parcel!$C$40,0)*AN42</f>
        <v/>
      </c>
      <c r="AU42" s="14">
        <f>AS42*Parcel!$C$38</f>
        <v/>
      </c>
      <c r="AV42" s="15">
        <f>IF(AND(Parcel!$C$38=0,Use_Library!$K$41="N",AS42&gt;=Location!$C$30),1,0)*AN42</f>
        <v/>
      </c>
      <c r="AW42" s="15">
        <f>IF(Parcel!$C$39=1,AQ42+Parcel!$C$41,0)*AN42</f>
        <v/>
      </c>
      <c r="AX42" s="14">
        <f>AS42*Parcel!$C$39</f>
        <v/>
      </c>
      <c r="AY42" s="14">
        <f>IF(Parcel!$C$39=0,AK42*Use_Library!$W$41,0)*AN42</f>
        <v/>
      </c>
      <c r="AZ42" s="15">
        <f>IF(Parcel!$C$39=0,AK42*Use_Library!$Y$41,0)*AN42</f>
        <v/>
      </c>
      <c r="BA42" s="15">
        <f>IF(AND(Use_Library!$K$41="N",AZ42&gt;Location!$C$28),1,0)</f>
        <v/>
      </c>
      <c r="BB42" s="14">
        <f>IF(AND(Parcel!$C$38=0,AV42=0),AK42*Use_Library!$X$41,0)*AN42</f>
        <v/>
      </c>
      <c r="BC42" s="14">
        <f>AH42*Parcel!$C$18*Use_Library!$AA$41*AN42</f>
        <v/>
      </c>
      <c r="BD42" s="14">
        <f>AH42*Use_Library!$AA$41*AN42</f>
        <v/>
      </c>
      <c r="BE42" s="15">
        <f>IF(Use_Library!$C$41="For-Sale",IF(Use_Library!$E$41="Y",AK42,1),1)*AM42</f>
        <v/>
      </c>
      <c r="BF42" s="15">
        <f>IF(OR(Use_Library!$F$41="RES-SF",Use_Library!$F$41="RES-ATT",Use_Library!$F$41="RES-MF",Use_Library!$F$41="MH"),1,0)</f>
        <v/>
      </c>
      <c r="BG42" s="20">
        <f>Cost_Library!$J$5*Location!$C$9*AM42</f>
        <v/>
      </c>
      <c r="BH42" s="20">
        <f>BE42*Cost_Library!$J$6*Location!$C$9</f>
        <v/>
      </c>
      <c r="BI42" s="20">
        <f>BD42*Cost_Library!$J$7*Location!$C$9</f>
        <v/>
      </c>
      <c r="BJ42" s="20">
        <f>Cost_Library!$J$8*Location!$C$9*AN42*IF(Use_Library!$AA$41&gt;=0.5,1,0)</f>
        <v/>
      </c>
      <c r="BK42" s="20">
        <f>AY42*Cost_Library!$J$9*Location!$C$9</f>
        <v/>
      </c>
      <c r="BL42" s="20">
        <f>BA42*Cost_Library!$J$10*Location!$C$9</f>
        <v/>
      </c>
      <c r="BM42" s="20">
        <f>Cost_Library!$J$11*Location!$C$9*AM42</f>
        <v/>
      </c>
      <c r="BN42" s="20">
        <f>Cost_Library!$J$12*Location!$C$9*AN42*IF(Use_Library!$AB$41="Y",1,0)</f>
        <v/>
      </c>
      <c r="BO42" s="20">
        <f>Use_Effective!$C$41*AM42</f>
        <v/>
      </c>
      <c r="BP42" s="20">
        <f>L42*Location!$C$31*AM42</f>
        <v/>
      </c>
      <c r="BQ42" s="20">
        <f>Cost_Library!$J$13*Location!$C$9*AM42</f>
        <v/>
      </c>
      <c r="BR42" s="20">
        <f>BC42*Cost_Library!$J$14*Location!$C$9</f>
        <v/>
      </c>
      <c r="BS42" s="20">
        <f>BD42*Cost_Library!$J$15*Location!$C$9*Parcel!$C$43</f>
        <v/>
      </c>
      <c r="BT42" s="20">
        <f>AQ42*Cost_Library!$J$16*Location!$C$9</f>
        <v/>
      </c>
      <c r="BU42" s="20">
        <f>AR42*Cost_Library!$J$17*Location!$C$9</f>
        <v/>
      </c>
      <c r="BV42" s="20">
        <f>AG42*Cost_Library!$J$18*Location!$C$9*AN42</f>
        <v/>
      </c>
      <c r="BW42" s="20">
        <f>BD42*Cost_Library!$J$19*Location!$C$9</f>
        <v/>
      </c>
      <c r="BX42" s="20">
        <f>IF(Use_Library!$AZ$41="Y",1,0)*Cost_Library!$J$20*Location!$C$9*AN42</f>
        <v/>
      </c>
      <c r="BY42" s="20">
        <f>AT42*Cost_Library!$J$21*Location!$C$9</f>
        <v/>
      </c>
      <c r="BZ42" s="20">
        <f>AU42*Cost_Library!$J$22*Location!$C$9</f>
        <v/>
      </c>
      <c r="CA42" s="20">
        <f>AW42*Cost_Library!$J$23*Location!$C$9</f>
        <v/>
      </c>
      <c r="CB42" s="20">
        <f>AX42*Cost_Library!$J$24*Location!$C$9</f>
        <v/>
      </c>
      <c r="CC42" s="20">
        <f>AY42*Cost_Library!$J$25*Location!$C$9*Parcel!$C$44</f>
        <v/>
      </c>
      <c r="CD42" s="20">
        <f>BB42*Cost_Library!$J$26*Location!$C$9</f>
        <v/>
      </c>
      <c r="CE42" s="20">
        <f>AV42*(Cost_Library!$J$27+AS42*Cost_Library!$J$28)*Location!$C$9</f>
        <v/>
      </c>
      <c r="CF42" s="20">
        <f>AQ42*Cost_Library!$J$29*Location!$C$9</f>
        <v/>
      </c>
      <c r="CG42" s="20">
        <f>SUM(BG42:CF42)</f>
        <v/>
      </c>
      <c r="CH42" s="20">
        <f>CG42*Assumptions!$C$9</f>
        <v/>
      </c>
      <c r="CI42" s="20">
        <f>(CG42+CH42)*Org_Profile!$C$17</f>
        <v/>
      </c>
      <c r="CJ42" s="20">
        <f>CG42+CH42+CI42</f>
        <v/>
      </c>
      <c r="CK42" s="20">
        <f>AK42*Use_Effective!$B$41*(1+Org_Profile!$C$17)</f>
        <v/>
      </c>
      <c r="CL42" s="20">
        <f>CK42*(Assumptions!$C$10+Assumptions!$C$11)</f>
        <v/>
      </c>
      <c r="CM42" s="20">
        <f>AK42*Use_Effective!$D$41</f>
        <v/>
      </c>
      <c r="CN42" s="20">
        <f>AK42*Location!$C$21*BF42*AM42</f>
        <v/>
      </c>
      <c r="CO42" s="14">
        <f>Use_Effective!$F$41+L42*Location!$C$32+BA42*Location!$C$29</f>
        <v/>
      </c>
      <c r="CP42" s="14">
        <f>IF(Use_Effective!$P$41&gt;0,IF(Use_Library!$C$41="For-Sale",AK42,AD42)/Use_Effective!$P$41,0)*AM42</f>
        <v/>
      </c>
      <c r="CQ42" s="14">
        <f>IF(AND(Use_Library!$C$41="For-Sale",Use_Effective!$O$41&gt;0),AK42/Use_Effective!$O$41,0)*AM42</f>
        <v/>
      </c>
      <c r="CR42" s="14">
        <f>IF(Use_Library!$C$41="Income",MAX(Use_Library!$AQ$41,IF(Use_Effective!$O$41&gt;0,AK42/Use_Effective!$O$41,0)),0)</f>
        <v/>
      </c>
      <c r="CS42" s="14">
        <f>CO42+CP42</f>
        <v/>
      </c>
      <c r="CT42" s="14">
        <f>CO42+CQ42+CR42</f>
        <v/>
      </c>
      <c r="CU42" s="14">
        <f>CO42+IF(Use_Library!$C$41="Income",CR42,0)</f>
        <v/>
      </c>
      <c r="CV42" s="23">
        <f>Use_Effective!$G$41+Assumptions!$C$25*MAX(0,(CS42-12)/12)</f>
        <v/>
      </c>
      <c r="CW42" s="23">
        <f>Use_Effective!$G$41+Assumptions!$C$25*MAX(0,(CT42-12)/12)</f>
        <v/>
      </c>
      <c r="CX42" s="23">
        <f>Use_Effective!$G$41+Assumptions!$C$25*MAX(0,(CU42-12)/12)</f>
        <v/>
      </c>
      <c r="CY42" s="28">
        <f>1+Location!$C$17+IF(Parcel!$C$26="Y",Location!$C$20,0)</f>
        <v/>
      </c>
      <c r="CZ42" s="28">
        <f>CY42+Location!$C$19*(CO42+CP42/2)/12</f>
        <v/>
      </c>
      <c r="DA42" s="28">
        <f>CY42+Location!$C$19*(CO42+CQ42/2)/12</f>
        <v/>
      </c>
      <c r="DB42" s="28">
        <f>IF(Use_Library!$C$41="Income",DA42,CY42+Location!$C$19*CO42/12)</f>
        <v/>
      </c>
      <c r="DC42" s="28">
        <f>1+Assumptions!$C$15*(Assumptions!$C$16*(CO42+CP42/2)/12*Assumptions!$C$18+Assumptions!$C$17)</f>
        <v/>
      </c>
      <c r="DD42" s="28">
        <f>1+Assumptions!$C$15*(Assumptions!$C$16*((CO42+CQ42/2)/12*Assumptions!$C$18+CR42/12*Assumptions!$C$19)+Assumptions!$C$17)</f>
        <v/>
      </c>
      <c r="DE42" s="28">
        <f>IF(Use_Library!$C$41="Income",DD42,1+Assumptions!$C$15*(Assumptions!$C$16*CO42/12*Assumptions!$C$18+Assumptions!$C$17))</f>
        <v/>
      </c>
      <c r="DF42" s="23">
        <f>Assumptions!$C$13+Location!$C$18</f>
        <v/>
      </c>
      <c r="DG42" s="23">
        <f>Assumptions!$C$12+Location!$C$18</f>
        <v/>
      </c>
      <c r="DH42" s="23">
        <f>Assumptions!$C$14+Location!$C$18</f>
        <v/>
      </c>
      <c r="DI42" s="20">
        <f>AI42*Location!$C$14*(1-DF42)*AM42</f>
        <v/>
      </c>
      <c r="DJ42" s="20">
        <f>IF(Use_Library!$AV$41=1,IF(Use_Library!$C$41="For-Sale",AK42*Use_Effective!$H$41+Parcel!$C$14*AE42*Use_Effective!$J$41,AD42*Use_Effective!$J$41)*(1-DF42)+DI42,0)*AM42</f>
        <v/>
      </c>
      <c r="DK42" s="20">
        <f>(CG42-BU42-CC42-CD42)*(1+Assumptions!$C$9)*(1+Org_Profile!$C$17)</f>
        <v/>
      </c>
      <c r="DL42" s="28">
        <f>CZ42*DC42</f>
        <v/>
      </c>
      <c r="DM42" s="20">
        <f>(Parcel!$C$27*CZ42+DK42)*DC42</f>
        <v/>
      </c>
      <c r="DN42" s="20">
        <f>DJ42-DM42</f>
        <v/>
      </c>
      <c r="DO42" s="38">
        <f>IF(AND(Use_Library!$AV$41=1,AM42=1),MAX(0,((1-CV42)*DJ42-DK42*DC42)/DL42),0)</f>
        <v/>
      </c>
      <c r="DP42" s="20">
        <f>CJ42+CK42+CL42+CM42+CN42</f>
        <v/>
      </c>
      <c r="DQ42" s="28">
        <f>DA42*DD42</f>
        <v/>
      </c>
      <c r="DR42" s="20">
        <f>(Parcel!$C$27*DA42+DP42)*DD42</f>
        <v/>
      </c>
      <c r="DS42" s="20">
        <f>IF(Use_Library!$C$41="Income",AK42*Use_Effective!$K$41,0)</f>
        <v/>
      </c>
      <c r="DT42" s="20">
        <f>DS42*(1+Use_Library!$AL$41)*(1-Use_Effective!$N$41)</f>
        <v/>
      </c>
      <c r="DU42" s="20">
        <f>IF(Use_Library!$C$41="Income",AK42*Use_Effective!$E$41,0)</f>
        <v/>
      </c>
      <c r="DV42" s="20">
        <f>IF(Use_Library!$C$41="Income",Location!$C$15*Location!$C$16*DR42,0)</f>
        <v/>
      </c>
      <c r="DW42" s="20">
        <f>DT42*Use_Library!$AO$41</f>
        <v/>
      </c>
      <c r="DX42" s="20">
        <f>(DU42+DV42)*Use_Library!$AP$41</f>
        <v/>
      </c>
      <c r="DY42" s="20">
        <f>DT42-DU42-DV42-DW42+DX42</f>
        <v/>
      </c>
      <c r="DZ42" s="26">
        <f>Use_Effective!$M$41</f>
        <v/>
      </c>
      <c r="EA42" s="20">
        <f>IF(AND(Use_Library!$C$41="Income",DZ42&gt;0),DY42/DZ42,0)</f>
        <v/>
      </c>
      <c r="EB42" s="39">
        <f>IF(Use_Library!$C$41="Income",-Location!$C$15*Location!$C$16*(1-Use_Library!$AP$41)*DQ42,0)</f>
        <v/>
      </c>
      <c r="EC42" s="23">
        <f>IF(DR42=0,0,DY42/DR42)</f>
        <v/>
      </c>
      <c r="ED42" s="20">
        <f>IF(Use_Library!$AW$41=1,IF(Use_Library!$C$41="Income",EA42*(1-DH42),AK42*Use_Effective!$I$41*(1-DG42))+DI42,0)*AM42</f>
        <v/>
      </c>
      <c r="EE42" s="39">
        <f>IF(AND(Use_Library!$AW$41=1,Use_Library!$C$41="Income",DZ42&gt;0),EB42/DZ42*(1-DH42),0)</f>
        <v/>
      </c>
      <c r="EF42" s="20">
        <f>ED42-DR42</f>
        <v/>
      </c>
      <c r="EG42" s="38">
        <f>IF(AND(Use_Library!$AW$41=1,AM42=1),MAX(0,Parcel!$C$27-((1-CW42)*ED42-DR42)/((1-CW42)*EE42-DQ42)),0)</f>
        <v/>
      </c>
      <c r="EH42" s="20">
        <f>IF(Use_Library!$AX$41=1,IF(Use_Library!$C$41="Income",EA42,IF(DZ42&gt;0,AD42*Use_Effective!$L$41/DZ42,0))+DI42,0)*AM42</f>
        <v/>
      </c>
      <c r="EI42" s="20">
        <f>IF(Use_Library!$C$41="Income",DP42,CJ42)</f>
        <v/>
      </c>
      <c r="EJ42" s="28">
        <f>IF(Use_Library!$C$41="Income",DQ42,DB42*DE42)</f>
        <v/>
      </c>
      <c r="EK42" s="20">
        <f>IF(Use_Library!$C$41="Income",DR42,(Parcel!$C$27*DB42+CJ42)*DE42)</f>
        <v/>
      </c>
      <c r="EL42" s="39">
        <f>IF(AND(Use_Library!$AX$41=1,Use_Library!$C$41="Income",DZ42&gt;0),EB42/DZ42,0)</f>
        <v/>
      </c>
      <c r="EM42" s="20">
        <f>EH42-EK42</f>
        <v/>
      </c>
      <c r="EN42" s="38">
        <f>IF(AND(Use_Library!$AX$41=1,AM42=1),MAX(0,Parcel!$C$27-((1-CX42)*EH42-EK42)/((1-CX42)*EL42-EJ42)),0)</f>
        <v/>
      </c>
      <c r="EO42" s="20">
        <f>IF(Use_Library!$C$41="Income",Assumptions!$C$15*(Parcel!$C$27*DA42+DP42),0)</f>
        <v/>
      </c>
      <c r="EP42" s="20">
        <f>IF(AND(Use_Library!$C$41="Income",DY42&gt;0),MIN(Assumptions!$C$20*EA42,PV(Assumptions!$C$23/12,Assumptions!$C$24*12,-DY42/Assumptions!$C$21/12),DY42/Assumptions!$C$22),0)</f>
        <v/>
      </c>
      <c r="EQ42" s="27">
        <f>IF(EP42=0,0,DY42/(-PMT(Assumptions!$C$23/12,Assumptions!$C$24*12,EP42)*12))</f>
        <v/>
      </c>
      <c r="ER42" s="20">
        <f>EP42-EO42</f>
        <v/>
      </c>
      <c r="ES42" s="19">
        <f>MAX(DO42,EG42,EN42)</f>
        <v/>
      </c>
      <c r="ET42" s="15">
        <f>IF(ES42&lt;=0,0,IF(DO42=ES42,1,IF(EG42=ES42,2,3)))</f>
        <v/>
      </c>
      <c r="EU42" s="9">
        <f>CHOOSE(ET42+1,"None works","Land / pad sale","Build &amp; sell","Build &amp; hold / lease")</f>
        <v/>
      </c>
      <c r="EV42" s="15">
        <f>CHOOSE(ET42+1,0,CS42,CT42,CU42)</f>
        <v/>
      </c>
      <c r="EW42" s="20">
        <f>ES42*(1-Assumptions!$C$26)</f>
        <v/>
      </c>
      <c r="EX42" s="20">
        <f>ES42-Parcel!$C$27</f>
        <v/>
      </c>
      <c r="EY42" s="20">
        <f>IF(Parcel!$C$14=0,0,ES42/Parcel!$C$14)</f>
        <v/>
      </c>
      <c r="EZ42" s="36">
        <f>IF(AK42=0,0,ES42/AK42)</f>
        <v/>
      </c>
      <c r="FA42" s="9">
        <f>IF(ES42&lt;=0,"Pass",IF(ES42&gt;=Parcel!$C$27*Assumptions!$C$27,"Strong",IF(ES42&gt;=Parcel!$C$27,"Works at asking",IF(ES42&gt;=Parcel!$C$27*Assumptions!$C$28,"Negotiate","Pass"))))</f>
        <v/>
      </c>
      <c r="FB42" s="9">
        <f>IF(AM42=0,"",IF(Use_Library!$BH$41="Y",IF(Use_Effective!$AF$41&gt;=3,"High","Medium"),"Low - verify location"))</f>
        <v/>
      </c>
      <c r="FC42" s="9">
        <f>IF(AND(Use_Library!$BH$41="N",AM42=1),Use_Library!$BI$41,"")</f>
        <v/>
      </c>
      <c r="FD42" s="9">
        <f>TRIM(Q42&amp;" "&amp;IF(AND(AM42=0,T42=1),"Nothing fits. ","")&amp;IF(AND(Use_Library!$AZ$41&lt;&gt;"Y",Parcel!$C$19&lt;Use_Library!$AY$41),"Frontage under "&amp;Use_Library!$AY$41&amp;" LF. ","")&amp;IF(Parcel!$C$17&gt;0.15,"Slope over 15%. ","")&amp;IF(AND(AM42=1,AI42&gt;0.5),TEXT(AI42,"0")&amp;" ac not used - resold as raw land. ","")&amp;IF(AND(AM42=1,AC42&lt;1),"Demand caps it at "&amp;TEXT(AK42,"#,##0")&amp;" "&amp;Use_Library!$D$41&amp;". ","")&amp;IF(AND(AM42=1,L42=1),"Rezone required (+"&amp;Location!$C$32&amp;" mo). ","")&amp;IF(AND(AM42=1,BA42=1),"State wastewater permit needed. ","")&amp;IF(AND(AM42=1,AV42=1),"Public water system needed. ","")&amp;AP42&amp;IF(Parcel!$C$16&gt;Assumptions!$C$29,"Floodplain over "&amp;TEXT(Assumptions!$C$29,"0%")&amp;". ","")&amp;IF(AND(AM42=1,EV42&gt;60),"Over 5 years to exit. ",""))</f>
        <v/>
      </c>
      <c r="FE42" s="20">
        <f>IF(AND(Org_Profile!$C$5="My uses",E42=0),-1E+9,ES42)+ROW()/1000000</f>
        <v/>
      </c>
    </row>
    <row r="43">
      <c r="A43" s="4">
        <f>Use_Library!$A$42</f>
        <v/>
      </c>
      <c r="B43" s="9">
        <f>Use_Library!$C$42</f>
        <v/>
      </c>
      <c r="C43" s="9">
        <f>Use_Library!$D$42</f>
        <v/>
      </c>
      <c r="D43" s="9">
        <f>Use_Library!$F$42</f>
        <v/>
      </c>
      <c r="E43" s="15">
        <f>IF(Org_Profile!$C$59="Y",1,0)</f>
        <v/>
      </c>
      <c r="F43" s="14">
        <f>MAX(0,Parcel!$C$37*(1-Use_Library!$N$42-IF(Use_Library!$AB$42="Y",Assumptions!$C$7,0)))</f>
        <v/>
      </c>
      <c r="G43" s="14">
        <f>IF(Use_Library!$M$42&gt;0,MIN(F43,Use_Library!$M$42),F43)</f>
        <v/>
      </c>
      <c r="H43" s="23">
        <f>IF(F43=0,0,G43/F43)</f>
        <v/>
      </c>
      <c r="I43" s="14">
        <f>Parcel!$C$37*H43</f>
        <v/>
      </c>
      <c r="J43" s="9">
        <f>IF(ISNUMBER(SEARCH(","&amp;Use_Library!$F$42&amp;",",","&amp;SUBSTITUTE(Parcel!$C$11," ","")&amp;",")),"Deed restricted",IF(Parcel!$C$46=0,"No zoning",IF(ISNUMBER(SEARCH(","&amp;Use_Library!$F$42&amp;",",","&amp;SUBSTITUTE(Parcel!$C$10," ","")&amp;",")),"By right",IF(OR(TRIM(Parcel!$C$12)="*",ISNUMBER(SEARCH(","&amp;Use_Library!$F$42&amp;",",","&amp;SUBSTITUTE(Parcel!$C$12," ","")&amp;","))),"Rezone required","Prohibited by zoning"))))</f>
        <v/>
      </c>
      <c r="K43" s="15">
        <f>IF(OR(J43="Deed restricted",J43="Prohibited by zoning"),0,1)</f>
        <v/>
      </c>
      <c r="L43" s="15">
        <f>IF(J43="Rezone required",1,0)</f>
        <v/>
      </c>
      <c r="M43" s="15">
        <f>IF(Parcel!$C$20="None",0,IF(AND(Parcel!$C$20="Private easement",Use_Library!$BA$42="Y"),0,1))</f>
        <v/>
      </c>
      <c r="N43" s="15">
        <f>IF(AND(Use_Library!$AZ$42="Y",Parcel!$C$19&lt;Use_Library!$AY$42),0,1)</f>
        <v/>
      </c>
      <c r="O43" s="15">
        <f>IF(AND(Use_Library!$T$42="Y",Parcel!$C$39=0),0,1)</f>
        <v/>
      </c>
      <c r="P43" s="15">
        <f>IF(AND(Use_Library!$U$42="Y",Parcel!$C$38=0),0,1)</f>
        <v/>
      </c>
      <c r="Q43" s="9">
        <f>TRIM(IF(AND(Use_Library!$BB$42&gt;0,Parcel!$C$28&lt;Use_Library!$BB$42),"Traffic under "&amp;TEXT(Use_Library!$BB$42,"#,##0")&amp;" VPD. ","")&amp;IF(AND(Use_Library!$BC$42&gt;0,Parcel!$C$29&lt;Use_Library!$BC$42),"Under "&amp;TEXT(Use_Library!$BC$42,"#,##0")&amp;" households in 3 mi. ","")&amp;IF(AND(Use_Library!$BD$42&gt;0,Parcel!$C$31&gt;Use_Library!$BD$42),"Over "&amp;Use_Library!$BD$42&amp;" mi to highway. ","")&amp;IF(AND(Use_Library!$BE$42="Y",Parcel!$C$32&lt;&gt;"Y"),"Needs a corner. ","")&amp;IF(AND(Use_Library!$BF$42&gt;0,Parcel!$C$33&gt;Use_Library!$BF$42),"Over "&amp;Use_Library!$BF$42&amp;" mi to substation. ","")&amp;IF(AND(Use_Library!$BG$42&gt;0,Parcel!$C$34&gt;Use_Library!$BG$42),"Over "&amp;Use_Library!$BG$42&amp;" mi to a major employer. ",""))</f>
        <v/>
      </c>
      <c r="R43" s="15">
        <f>IF(Q43="",1,0)</f>
        <v/>
      </c>
      <c r="S43" s="15">
        <f>IF(F43&gt;=Use_Library!$L$42,1,0)</f>
        <v/>
      </c>
      <c r="T43" s="15">
        <f>K43*M43*N43*O43*P43*R43*S43</f>
        <v/>
      </c>
      <c r="U43" s="14">
        <f>IF(Use_Library!$G$42&gt;0,I43*Use_Library!$G$42,1E+9)</f>
        <v/>
      </c>
      <c r="V43" s="14">
        <f>IF(Use_Library!$H$42&gt;0,G43*43560/Use_Library!$H$42,1E+9)</f>
        <v/>
      </c>
      <c r="W43" s="14">
        <f>IF(AND(Use_Library!$K$42="Y",Parcel!$C$39=0),G43*(1-Assumptions!$C$8)/IF(Parcel!$C$38=1,Location!$C$25,Location!$C$26),1E+9)</f>
        <v/>
      </c>
      <c r="X43" s="14">
        <f>IF(Use_Library!$I$42&gt;0,Parcel!$C$14*H43/Use_Library!$I$42,1E+9)</f>
        <v/>
      </c>
      <c r="Y43" s="14">
        <f>IF(Use_Library!$J$42&gt;0,Parcel!$C$19/Use_Library!$J$42,1E+9)</f>
        <v/>
      </c>
      <c r="Z43" s="14">
        <f>IF(AND(Parcel!$C$39=0,Use_Library!$K$42="N",Use_Library!$Y$42&gt;0,Use_Library!$Z$42="Y"),G43*Location!$C$27*Parcel!$C$45/Use_Library!$Y$42,1E+9)</f>
        <v/>
      </c>
      <c r="AA43" s="14">
        <f>MIN(U43,V43,W43,X43,Y43,Z43)</f>
        <v/>
      </c>
      <c r="AB43" s="14">
        <f>IF(Use_Library!$O$42&gt;0,IF(Use_Library!$P$42&gt;=10,Parcel!$C$30,Parcel!$C$29)*Use_Library!$O$42*Use_Library!$Q$42,1E+9)</f>
        <v/>
      </c>
      <c r="AC43" s="23">
        <f>IF(OR(AA43&gt;=1E+9,AA43&lt;=0),1,MIN(1,AB43/AA43))</f>
        <v/>
      </c>
      <c r="AD43" s="14">
        <f>G43*AC43</f>
        <v/>
      </c>
      <c r="AE43" s="23">
        <f>IF(F43=0,0,AD43/F43)</f>
        <v/>
      </c>
      <c r="AF43" s="14">
        <f>Parcel!$C$37*AE43</f>
        <v/>
      </c>
      <c r="AG43" s="14">
        <f>AF43*IF(Use_Library!$AB$42="Y",Assumptions!$C$7,0)</f>
        <v/>
      </c>
      <c r="AH43" s="14">
        <f>AF43*(1-Use_Library!$N$42)</f>
        <v/>
      </c>
      <c r="AI43" s="14">
        <f>Parcel!$C$14*(1-AE43)</f>
        <v/>
      </c>
      <c r="AJ43" s="14">
        <f>MIN(AA43,AB43)</f>
        <v/>
      </c>
      <c r="AK43" s="25">
        <f>IF(T43=0,0,IF(AJ43&gt;=1E+9,AD43,IF(Use_Library!$E$42="Y",INT(AJ43+1E-9),AJ43)))</f>
        <v/>
      </c>
      <c r="AL43" s="9">
        <f>IF(M43=0,"No public road access",IF(K43=0,J43,IF(R43=0,"Location fails",IF(N43=0,"Frontage under "&amp;Use_Library!$AY$42&amp;" LF",IF(S43=0,"Too small - needs "&amp;Use_Library!$L$42&amp;" usable ac",IF(O43=0,"Needs public sewer",IF(P43=0,"Needs public water",IF(AJ43&gt;=1E+9,"Usable acres",IF(AB43&lt;=AA43,"Market demand",IF(W43=AA43,"Septic lot size",IF(Z43=AA43,"Septic capacity (gal/day)",IF(X43=AA43,"Min lot size",IF(Y43=AA43,"Road frontage",IF(V43=AA43,"Site area / parking","Density"))))))))))))))</f>
        <v/>
      </c>
      <c r="AM43" s="15">
        <f>IF(AK43&gt;0,1,0)</f>
        <v/>
      </c>
      <c r="AN43" s="15">
        <f>IF(Use_Library!$Z$42="Y",1,0)*AM43</f>
        <v/>
      </c>
      <c r="AO43" s="14">
        <f>IF(Parcel!$C$39=0,MIN(U43,V43,X43,Y43,AB43),0)</f>
        <v/>
      </c>
      <c r="AP43" s="9">
        <f>IF(AND(Parcel!$C$39=0,M43*K43*R43*N43*S43*P43=1,AO43&lt;1E+9,AO43&gt;=MAX(1,AK43)*1.25),"Unlock: sewer or package plant allows ~"&amp;TEXT(INT(AO43),"#,##0")&amp;" "&amp;Use_Library!$D$42&amp;". ","")</f>
        <v/>
      </c>
      <c r="AQ43" s="15">
        <f>AK43*Use_Library!$AC$42*AN43</f>
        <v/>
      </c>
      <c r="AR43" s="15">
        <f>AK43*Use_Library!$AD$42*AN43</f>
        <v/>
      </c>
      <c r="AS43" s="14">
        <f>AK43*Use_Library!$V$42*AN43</f>
        <v/>
      </c>
      <c r="AT43" s="15">
        <f>IF(Parcel!$C$38=1,AQ43+Parcel!$C$40,0)*AN43</f>
        <v/>
      </c>
      <c r="AU43" s="14">
        <f>AS43*Parcel!$C$38</f>
        <v/>
      </c>
      <c r="AV43" s="15">
        <f>IF(AND(Parcel!$C$38=0,Use_Library!$K$42="N",AS43&gt;=Location!$C$30),1,0)*AN43</f>
        <v/>
      </c>
      <c r="AW43" s="15">
        <f>IF(Parcel!$C$39=1,AQ43+Parcel!$C$41,0)*AN43</f>
        <v/>
      </c>
      <c r="AX43" s="14">
        <f>AS43*Parcel!$C$39</f>
        <v/>
      </c>
      <c r="AY43" s="14">
        <f>IF(Parcel!$C$39=0,AK43*Use_Library!$W$42,0)*AN43</f>
        <v/>
      </c>
      <c r="AZ43" s="15">
        <f>IF(Parcel!$C$39=0,AK43*Use_Library!$Y$42,0)*AN43</f>
        <v/>
      </c>
      <c r="BA43" s="15">
        <f>IF(AND(Use_Library!$K$42="N",AZ43&gt;Location!$C$28),1,0)</f>
        <v/>
      </c>
      <c r="BB43" s="14">
        <f>IF(AND(Parcel!$C$38=0,AV43=0),AK43*Use_Library!$X$42,0)*AN43</f>
        <v/>
      </c>
      <c r="BC43" s="14">
        <f>AH43*Parcel!$C$18*Use_Library!$AA$42*AN43</f>
        <v/>
      </c>
      <c r="BD43" s="14">
        <f>AH43*Use_Library!$AA$42*AN43</f>
        <v/>
      </c>
      <c r="BE43" s="15">
        <f>IF(Use_Library!$C$42="For-Sale",IF(Use_Library!$E$42="Y",AK43,1),1)*AM43</f>
        <v/>
      </c>
      <c r="BF43" s="15">
        <f>IF(OR(Use_Library!$F$42="RES-SF",Use_Library!$F$42="RES-ATT",Use_Library!$F$42="RES-MF",Use_Library!$F$42="MH"),1,0)</f>
        <v/>
      </c>
      <c r="BG43" s="20">
        <f>Cost_Library!$J$5*Location!$C$9*AM43</f>
        <v/>
      </c>
      <c r="BH43" s="20">
        <f>BE43*Cost_Library!$J$6*Location!$C$9</f>
        <v/>
      </c>
      <c r="BI43" s="20">
        <f>BD43*Cost_Library!$J$7*Location!$C$9</f>
        <v/>
      </c>
      <c r="BJ43" s="20">
        <f>Cost_Library!$J$8*Location!$C$9*AN43*IF(Use_Library!$AA$42&gt;=0.5,1,0)</f>
        <v/>
      </c>
      <c r="BK43" s="20">
        <f>AY43*Cost_Library!$J$9*Location!$C$9</f>
        <v/>
      </c>
      <c r="BL43" s="20">
        <f>BA43*Cost_Library!$J$10*Location!$C$9</f>
        <v/>
      </c>
      <c r="BM43" s="20">
        <f>Cost_Library!$J$11*Location!$C$9*AM43</f>
        <v/>
      </c>
      <c r="BN43" s="20">
        <f>Cost_Library!$J$12*Location!$C$9*AN43*IF(Use_Library!$AB$42="Y",1,0)</f>
        <v/>
      </c>
      <c r="BO43" s="20">
        <f>Use_Effective!$C$42*AM43</f>
        <v/>
      </c>
      <c r="BP43" s="20">
        <f>L43*Location!$C$31*AM43</f>
        <v/>
      </c>
      <c r="BQ43" s="20">
        <f>Cost_Library!$J$13*Location!$C$9*AM43</f>
        <v/>
      </c>
      <c r="BR43" s="20">
        <f>BC43*Cost_Library!$J$14*Location!$C$9</f>
        <v/>
      </c>
      <c r="BS43" s="20">
        <f>BD43*Cost_Library!$J$15*Location!$C$9*Parcel!$C$43</f>
        <v/>
      </c>
      <c r="BT43" s="20">
        <f>AQ43*Cost_Library!$J$16*Location!$C$9</f>
        <v/>
      </c>
      <c r="BU43" s="20">
        <f>AR43*Cost_Library!$J$17*Location!$C$9</f>
        <v/>
      </c>
      <c r="BV43" s="20">
        <f>AG43*Cost_Library!$J$18*Location!$C$9*AN43</f>
        <v/>
      </c>
      <c r="BW43" s="20">
        <f>BD43*Cost_Library!$J$19*Location!$C$9</f>
        <v/>
      </c>
      <c r="BX43" s="20">
        <f>IF(Use_Library!$AZ$42="Y",1,0)*Cost_Library!$J$20*Location!$C$9*AN43</f>
        <v/>
      </c>
      <c r="BY43" s="20">
        <f>AT43*Cost_Library!$J$21*Location!$C$9</f>
        <v/>
      </c>
      <c r="BZ43" s="20">
        <f>AU43*Cost_Library!$J$22*Location!$C$9</f>
        <v/>
      </c>
      <c r="CA43" s="20">
        <f>AW43*Cost_Library!$J$23*Location!$C$9</f>
        <v/>
      </c>
      <c r="CB43" s="20">
        <f>AX43*Cost_Library!$J$24*Location!$C$9</f>
        <v/>
      </c>
      <c r="CC43" s="20">
        <f>AY43*Cost_Library!$J$25*Location!$C$9*Parcel!$C$44</f>
        <v/>
      </c>
      <c r="CD43" s="20">
        <f>BB43*Cost_Library!$J$26*Location!$C$9</f>
        <v/>
      </c>
      <c r="CE43" s="20">
        <f>AV43*(Cost_Library!$J$27+AS43*Cost_Library!$J$28)*Location!$C$9</f>
        <v/>
      </c>
      <c r="CF43" s="20">
        <f>AQ43*Cost_Library!$J$29*Location!$C$9</f>
        <v/>
      </c>
      <c r="CG43" s="20">
        <f>SUM(BG43:CF43)</f>
        <v/>
      </c>
      <c r="CH43" s="20">
        <f>CG43*Assumptions!$C$9</f>
        <v/>
      </c>
      <c r="CI43" s="20">
        <f>(CG43+CH43)*Org_Profile!$C$17</f>
        <v/>
      </c>
      <c r="CJ43" s="20">
        <f>CG43+CH43+CI43</f>
        <v/>
      </c>
      <c r="CK43" s="20">
        <f>AK43*Use_Effective!$B$42*(1+Org_Profile!$C$17)</f>
        <v/>
      </c>
      <c r="CL43" s="20">
        <f>CK43*(Assumptions!$C$10+Assumptions!$C$11)</f>
        <v/>
      </c>
      <c r="CM43" s="20">
        <f>AK43*Use_Effective!$D$42</f>
        <v/>
      </c>
      <c r="CN43" s="20">
        <f>AK43*Location!$C$21*BF43*AM43</f>
        <v/>
      </c>
      <c r="CO43" s="14">
        <f>Use_Effective!$F$42+L43*Location!$C$32+BA43*Location!$C$29</f>
        <v/>
      </c>
      <c r="CP43" s="14">
        <f>IF(Use_Effective!$P$42&gt;0,IF(Use_Library!$C$42="For-Sale",AK43,AD43)/Use_Effective!$P$42,0)*AM43</f>
        <v/>
      </c>
      <c r="CQ43" s="14">
        <f>IF(AND(Use_Library!$C$42="For-Sale",Use_Effective!$O$42&gt;0),AK43/Use_Effective!$O$42,0)*AM43</f>
        <v/>
      </c>
      <c r="CR43" s="14">
        <f>IF(Use_Library!$C$42="Income",MAX(Use_Library!$AQ$42,IF(Use_Effective!$O$42&gt;0,AK43/Use_Effective!$O$42,0)),0)</f>
        <v/>
      </c>
      <c r="CS43" s="14">
        <f>CO43+CP43</f>
        <v/>
      </c>
      <c r="CT43" s="14">
        <f>CO43+CQ43+CR43</f>
        <v/>
      </c>
      <c r="CU43" s="14">
        <f>CO43+IF(Use_Library!$C$42="Income",CR43,0)</f>
        <v/>
      </c>
      <c r="CV43" s="23">
        <f>Use_Effective!$G$42+Assumptions!$C$25*MAX(0,(CS43-12)/12)</f>
        <v/>
      </c>
      <c r="CW43" s="23">
        <f>Use_Effective!$G$42+Assumptions!$C$25*MAX(0,(CT43-12)/12)</f>
        <v/>
      </c>
      <c r="CX43" s="23">
        <f>Use_Effective!$G$42+Assumptions!$C$25*MAX(0,(CU43-12)/12)</f>
        <v/>
      </c>
      <c r="CY43" s="28">
        <f>1+Location!$C$17+IF(Parcel!$C$26="Y",Location!$C$20,0)</f>
        <v/>
      </c>
      <c r="CZ43" s="28">
        <f>CY43+Location!$C$19*(CO43+CP43/2)/12</f>
        <v/>
      </c>
      <c r="DA43" s="28">
        <f>CY43+Location!$C$19*(CO43+CQ43/2)/12</f>
        <v/>
      </c>
      <c r="DB43" s="28">
        <f>IF(Use_Library!$C$42="Income",DA43,CY43+Location!$C$19*CO43/12)</f>
        <v/>
      </c>
      <c r="DC43" s="28">
        <f>1+Assumptions!$C$15*(Assumptions!$C$16*(CO43+CP43/2)/12*Assumptions!$C$18+Assumptions!$C$17)</f>
        <v/>
      </c>
      <c r="DD43" s="28">
        <f>1+Assumptions!$C$15*(Assumptions!$C$16*((CO43+CQ43/2)/12*Assumptions!$C$18+CR43/12*Assumptions!$C$19)+Assumptions!$C$17)</f>
        <v/>
      </c>
      <c r="DE43" s="28">
        <f>IF(Use_Library!$C$42="Income",DD43,1+Assumptions!$C$15*(Assumptions!$C$16*CO43/12*Assumptions!$C$18+Assumptions!$C$17))</f>
        <v/>
      </c>
      <c r="DF43" s="23">
        <f>Assumptions!$C$13+Location!$C$18</f>
        <v/>
      </c>
      <c r="DG43" s="23">
        <f>Assumptions!$C$12+Location!$C$18</f>
        <v/>
      </c>
      <c r="DH43" s="23">
        <f>Assumptions!$C$14+Location!$C$18</f>
        <v/>
      </c>
      <c r="DI43" s="20">
        <f>AI43*Location!$C$14*(1-DF43)*AM43</f>
        <v/>
      </c>
      <c r="DJ43" s="20">
        <f>IF(Use_Library!$AV$42=1,IF(Use_Library!$C$42="For-Sale",AK43*Use_Effective!$H$42+Parcel!$C$14*AE43*Use_Effective!$J$42,AD43*Use_Effective!$J$42)*(1-DF43)+DI43,0)*AM43</f>
        <v/>
      </c>
      <c r="DK43" s="20">
        <f>(CG43-BU43-CC43-CD43)*(1+Assumptions!$C$9)*(1+Org_Profile!$C$17)</f>
        <v/>
      </c>
      <c r="DL43" s="28">
        <f>CZ43*DC43</f>
        <v/>
      </c>
      <c r="DM43" s="20">
        <f>(Parcel!$C$27*CZ43+DK43)*DC43</f>
        <v/>
      </c>
      <c r="DN43" s="20">
        <f>DJ43-DM43</f>
        <v/>
      </c>
      <c r="DO43" s="38">
        <f>IF(AND(Use_Library!$AV$42=1,AM43=1),MAX(0,((1-CV43)*DJ43-DK43*DC43)/DL43),0)</f>
        <v/>
      </c>
      <c r="DP43" s="20">
        <f>CJ43+CK43+CL43+CM43+CN43</f>
        <v/>
      </c>
      <c r="DQ43" s="28">
        <f>DA43*DD43</f>
        <v/>
      </c>
      <c r="DR43" s="20">
        <f>(Parcel!$C$27*DA43+DP43)*DD43</f>
        <v/>
      </c>
      <c r="DS43" s="20">
        <f>IF(Use_Library!$C$42="Income",AK43*Use_Effective!$K$42,0)</f>
        <v/>
      </c>
      <c r="DT43" s="20">
        <f>DS43*(1+Use_Library!$AL$42)*(1-Use_Effective!$N$42)</f>
        <v/>
      </c>
      <c r="DU43" s="20">
        <f>IF(Use_Library!$C$42="Income",AK43*Use_Effective!$E$42,0)</f>
        <v/>
      </c>
      <c r="DV43" s="20">
        <f>IF(Use_Library!$C$42="Income",Location!$C$15*Location!$C$16*DR43,0)</f>
        <v/>
      </c>
      <c r="DW43" s="20">
        <f>DT43*Use_Library!$AO$42</f>
        <v/>
      </c>
      <c r="DX43" s="20">
        <f>(DU43+DV43)*Use_Library!$AP$42</f>
        <v/>
      </c>
      <c r="DY43" s="20">
        <f>DT43-DU43-DV43-DW43+DX43</f>
        <v/>
      </c>
      <c r="DZ43" s="26">
        <f>Use_Effective!$M$42</f>
        <v/>
      </c>
      <c r="EA43" s="20">
        <f>IF(AND(Use_Library!$C$42="Income",DZ43&gt;0),DY43/DZ43,0)</f>
        <v/>
      </c>
      <c r="EB43" s="39">
        <f>IF(Use_Library!$C$42="Income",-Location!$C$15*Location!$C$16*(1-Use_Library!$AP$42)*DQ43,0)</f>
        <v/>
      </c>
      <c r="EC43" s="23">
        <f>IF(DR43=0,0,DY43/DR43)</f>
        <v/>
      </c>
      <c r="ED43" s="20">
        <f>IF(Use_Library!$AW$42=1,IF(Use_Library!$C$42="Income",EA43*(1-DH43),AK43*Use_Effective!$I$42*(1-DG43))+DI43,0)*AM43</f>
        <v/>
      </c>
      <c r="EE43" s="39">
        <f>IF(AND(Use_Library!$AW$42=1,Use_Library!$C$42="Income",DZ43&gt;0),EB43/DZ43*(1-DH43),0)</f>
        <v/>
      </c>
      <c r="EF43" s="20">
        <f>ED43-DR43</f>
        <v/>
      </c>
      <c r="EG43" s="38">
        <f>IF(AND(Use_Library!$AW$42=1,AM43=1),MAX(0,Parcel!$C$27-((1-CW43)*ED43-DR43)/((1-CW43)*EE43-DQ43)),0)</f>
        <v/>
      </c>
      <c r="EH43" s="20">
        <f>IF(Use_Library!$AX$42=1,IF(Use_Library!$C$42="Income",EA43,IF(DZ43&gt;0,AD43*Use_Effective!$L$42/DZ43,0))+DI43,0)*AM43</f>
        <v/>
      </c>
      <c r="EI43" s="20">
        <f>IF(Use_Library!$C$42="Income",DP43,CJ43)</f>
        <v/>
      </c>
      <c r="EJ43" s="28">
        <f>IF(Use_Library!$C$42="Income",DQ43,DB43*DE43)</f>
        <v/>
      </c>
      <c r="EK43" s="20">
        <f>IF(Use_Library!$C$42="Income",DR43,(Parcel!$C$27*DB43+CJ43)*DE43)</f>
        <v/>
      </c>
      <c r="EL43" s="39">
        <f>IF(AND(Use_Library!$AX$42=1,Use_Library!$C$42="Income",DZ43&gt;0),EB43/DZ43,0)</f>
        <v/>
      </c>
      <c r="EM43" s="20">
        <f>EH43-EK43</f>
        <v/>
      </c>
      <c r="EN43" s="38">
        <f>IF(AND(Use_Library!$AX$42=1,AM43=1),MAX(0,Parcel!$C$27-((1-CX43)*EH43-EK43)/((1-CX43)*EL43-EJ43)),0)</f>
        <v/>
      </c>
      <c r="EO43" s="20">
        <f>IF(Use_Library!$C$42="Income",Assumptions!$C$15*(Parcel!$C$27*DA43+DP43),0)</f>
        <v/>
      </c>
      <c r="EP43" s="20">
        <f>IF(AND(Use_Library!$C$42="Income",DY43&gt;0),MIN(Assumptions!$C$20*EA43,PV(Assumptions!$C$23/12,Assumptions!$C$24*12,-DY43/Assumptions!$C$21/12),DY43/Assumptions!$C$22),0)</f>
        <v/>
      </c>
      <c r="EQ43" s="27">
        <f>IF(EP43=0,0,DY43/(-PMT(Assumptions!$C$23/12,Assumptions!$C$24*12,EP43)*12))</f>
        <v/>
      </c>
      <c r="ER43" s="20">
        <f>EP43-EO43</f>
        <v/>
      </c>
      <c r="ES43" s="19">
        <f>MAX(DO43,EG43,EN43)</f>
        <v/>
      </c>
      <c r="ET43" s="15">
        <f>IF(ES43&lt;=0,0,IF(DO43=ES43,1,IF(EG43=ES43,2,3)))</f>
        <v/>
      </c>
      <c r="EU43" s="9">
        <f>CHOOSE(ET43+1,"None works","Land / pad sale","Build &amp; sell","Build &amp; hold / lease")</f>
        <v/>
      </c>
      <c r="EV43" s="15">
        <f>CHOOSE(ET43+1,0,CS43,CT43,CU43)</f>
        <v/>
      </c>
      <c r="EW43" s="20">
        <f>ES43*(1-Assumptions!$C$26)</f>
        <v/>
      </c>
      <c r="EX43" s="20">
        <f>ES43-Parcel!$C$27</f>
        <v/>
      </c>
      <c r="EY43" s="20">
        <f>IF(Parcel!$C$14=0,0,ES43/Parcel!$C$14)</f>
        <v/>
      </c>
      <c r="EZ43" s="36">
        <f>IF(AK43=0,0,ES43/AK43)</f>
        <v/>
      </c>
      <c r="FA43" s="9">
        <f>IF(ES43&lt;=0,"Pass",IF(ES43&gt;=Parcel!$C$27*Assumptions!$C$27,"Strong",IF(ES43&gt;=Parcel!$C$27,"Works at asking",IF(ES43&gt;=Parcel!$C$27*Assumptions!$C$28,"Negotiate","Pass"))))</f>
        <v/>
      </c>
      <c r="FB43" s="9">
        <f>IF(AM43=0,"",IF(Use_Library!$BH$42="Y",IF(Use_Effective!$AF$42&gt;=3,"High","Medium"),"Low - verify location"))</f>
        <v/>
      </c>
      <c r="FC43" s="9">
        <f>IF(AND(Use_Library!$BH$42="N",AM43=1),Use_Library!$BI$42,"")</f>
        <v/>
      </c>
      <c r="FD43" s="9">
        <f>TRIM(Q43&amp;" "&amp;IF(AND(AM43=0,T43=1),"Nothing fits. ","")&amp;IF(AND(Use_Library!$AZ$42&lt;&gt;"Y",Parcel!$C$19&lt;Use_Library!$AY$42),"Frontage under "&amp;Use_Library!$AY$42&amp;" LF. ","")&amp;IF(Parcel!$C$17&gt;0.15,"Slope over 15%. ","")&amp;IF(AND(AM43=1,AI43&gt;0.5),TEXT(AI43,"0")&amp;" ac not used - resold as raw land. ","")&amp;IF(AND(AM43=1,AC43&lt;1),"Demand caps it at "&amp;TEXT(AK43,"#,##0")&amp;" "&amp;Use_Library!$D$42&amp;". ","")&amp;IF(AND(AM43=1,L43=1),"Rezone required (+"&amp;Location!$C$32&amp;" mo). ","")&amp;IF(AND(AM43=1,BA43=1),"State wastewater permit needed. ","")&amp;IF(AND(AM43=1,AV43=1),"Public water system needed. ","")&amp;AP43&amp;IF(Parcel!$C$16&gt;Assumptions!$C$29,"Floodplain over "&amp;TEXT(Assumptions!$C$29,"0%")&amp;". ","")&amp;IF(AND(AM43=1,EV43&gt;60),"Over 5 years to exit. ",""))</f>
        <v/>
      </c>
      <c r="FE43" s="20">
        <f>IF(AND(Org_Profile!$C$5="My uses",E43=0),-1E+9,ES43)+ROW()/1000000</f>
        <v/>
      </c>
    </row>
    <row r="44">
      <c r="A44" s="4">
        <f>Use_Library!$A$43</f>
        <v/>
      </c>
      <c r="B44" s="9">
        <f>Use_Library!$C$43</f>
        <v/>
      </c>
      <c r="C44" s="9">
        <f>Use_Library!$D$43</f>
        <v/>
      </c>
      <c r="D44" s="9">
        <f>Use_Library!$F$43</f>
        <v/>
      </c>
      <c r="E44" s="15">
        <f>IF(Org_Profile!$C$60="Y",1,0)</f>
        <v/>
      </c>
      <c r="F44" s="14">
        <f>MAX(0,Parcel!$C$37*(1-Use_Library!$N$43-IF(Use_Library!$AB$43="Y",Assumptions!$C$7,0)))</f>
        <v/>
      </c>
      <c r="G44" s="14">
        <f>IF(Use_Library!$M$43&gt;0,MIN(F44,Use_Library!$M$43),F44)</f>
        <v/>
      </c>
      <c r="H44" s="23">
        <f>IF(F44=0,0,G44/F44)</f>
        <v/>
      </c>
      <c r="I44" s="14">
        <f>Parcel!$C$37*H44</f>
        <v/>
      </c>
      <c r="J44" s="9">
        <f>IF(ISNUMBER(SEARCH(","&amp;Use_Library!$F$43&amp;",",","&amp;SUBSTITUTE(Parcel!$C$11," ","")&amp;",")),"Deed restricted",IF(Parcel!$C$46=0,"No zoning",IF(ISNUMBER(SEARCH(","&amp;Use_Library!$F$43&amp;",",","&amp;SUBSTITUTE(Parcel!$C$10," ","")&amp;",")),"By right",IF(OR(TRIM(Parcel!$C$12)="*",ISNUMBER(SEARCH(","&amp;Use_Library!$F$43&amp;",",","&amp;SUBSTITUTE(Parcel!$C$12," ","")&amp;","))),"Rezone required","Prohibited by zoning"))))</f>
        <v/>
      </c>
      <c r="K44" s="15">
        <f>IF(OR(J44="Deed restricted",J44="Prohibited by zoning"),0,1)</f>
        <v/>
      </c>
      <c r="L44" s="15">
        <f>IF(J44="Rezone required",1,0)</f>
        <v/>
      </c>
      <c r="M44" s="15">
        <f>IF(Parcel!$C$20="None",0,IF(AND(Parcel!$C$20="Private easement",Use_Library!$BA$43="Y"),0,1))</f>
        <v/>
      </c>
      <c r="N44" s="15">
        <f>IF(AND(Use_Library!$AZ$43="Y",Parcel!$C$19&lt;Use_Library!$AY$43),0,1)</f>
        <v/>
      </c>
      <c r="O44" s="15">
        <f>IF(AND(Use_Library!$T$43="Y",Parcel!$C$39=0),0,1)</f>
        <v/>
      </c>
      <c r="P44" s="15">
        <f>IF(AND(Use_Library!$U$43="Y",Parcel!$C$38=0),0,1)</f>
        <v/>
      </c>
      <c r="Q44" s="9">
        <f>TRIM(IF(AND(Use_Library!$BB$43&gt;0,Parcel!$C$28&lt;Use_Library!$BB$43),"Traffic under "&amp;TEXT(Use_Library!$BB$43,"#,##0")&amp;" VPD. ","")&amp;IF(AND(Use_Library!$BC$43&gt;0,Parcel!$C$29&lt;Use_Library!$BC$43),"Under "&amp;TEXT(Use_Library!$BC$43,"#,##0")&amp;" households in 3 mi. ","")&amp;IF(AND(Use_Library!$BD$43&gt;0,Parcel!$C$31&gt;Use_Library!$BD$43),"Over "&amp;Use_Library!$BD$43&amp;" mi to highway. ","")&amp;IF(AND(Use_Library!$BE$43="Y",Parcel!$C$32&lt;&gt;"Y"),"Needs a corner. ","")&amp;IF(AND(Use_Library!$BF$43&gt;0,Parcel!$C$33&gt;Use_Library!$BF$43),"Over "&amp;Use_Library!$BF$43&amp;" mi to substation. ","")&amp;IF(AND(Use_Library!$BG$43&gt;0,Parcel!$C$34&gt;Use_Library!$BG$43),"Over "&amp;Use_Library!$BG$43&amp;" mi to a major employer. ",""))</f>
        <v/>
      </c>
      <c r="R44" s="15">
        <f>IF(Q44="",1,0)</f>
        <v/>
      </c>
      <c r="S44" s="15">
        <f>IF(F44&gt;=Use_Library!$L$43,1,0)</f>
        <v/>
      </c>
      <c r="T44" s="15">
        <f>K44*M44*N44*O44*P44*R44*S44</f>
        <v/>
      </c>
      <c r="U44" s="14">
        <f>IF(Use_Library!$G$43&gt;0,I44*Use_Library!$G$43,1E+9)</f>
        <v/>
      </c>
      <c r="V44" s="14">
        <f>IF(Use_Library!$H$43&gt;0,G44*43560/Use_Library!$H$43,1E+9)</f>
        <v/>
      </c>
      <c r="W44" s="14">
        <f>IF(AND(Use_Library!$K$43="Y",Parcel!$C$39=0),G44*(1-Assumptions!$C$8)/IF(Parcel!$C$38=1,Location!$C$25,Location!$C$26),1E+9)</f>
        <v/>
      </c>
      <c r="X44" s="14">
        <f>IF(Use_Library!$I$43&gt;0,Parcel!$C$14*H44/Use_Library!$I$43,1E+9)</f>
        <v/>
      </c>
      <c r="Y44" s="14">
        <f>IF(Use_Library!$J$43&gt;0,Parcel!$C$19/Use_Library!$J$43,1E+9)</f>
        <v/>
      </c>
      <c r="Z44" s="14">
        <f>IF(AND(Parcel!$C$39=0,Use_Library!$K$43="N",Use_Library!$Y$43&gt;0,Use_Library!$Z$43="Y"),G44*Location!$C$27*Parcel!$C$45/Use_Library!$Y$43,1E+9)</f>
        <v/>
      </c>
      <c r="AA44" s="14">
        <f>MIN(U44,V44,W44,X44,Y44,Z44)</f>
        <v/>
      </c>
      <c r="AB44" s="14">
        <f>IF(Use_Library!$O$43&gt;0,IF(Use_Library!$P$43&gt;=10,Parcel!$C$30,Parcel!$C$29)*Use_Library!$O$43*Use_Library!$Q$43,1E+9)</f>
        <v/>
      </c>
      <c r="AC44" s="23">
        <f>IF(OR(AA44&gt;=1E+9,AA44&lt;=0),1,MIN(1,AB44/AA44))</f>
        <v/>
      </c>
      <c r="AD44" s="14">
        <f>G44*AC44</f>
        <v/>
      </c>
      <c r="AE44" s="23">
        <f>IF(F44=0,0,AD44/F44)</f>
        <v/>
      </c>
      <c r="AF44" s="14">
        <f>Parcel!$C$37*AE44</f>
        <v/>
      </c>
      <c r="AG44" s="14">
        <f>AF44*IF(Use_Library!$AB$43="Y",Assumptions!$C$7,0)</f>
        <v/>
      </c>
      <c r="AH44" s="14">
        <f>AF44*(1-Use_Library!$N$43)</f>
        <v/>
      </c>
      <c r="AI44" s="14">
        <f>Parcel!$C$14*(1-AE44)</f>
        <v/>
      </c>
      <c r="AJ44" s="14">
        <f>MIN(AA44,AB44)</f>
        <v/>
      </c>
      <c r="AK44" s="25">
        <f>IF(T44=0,0,IF(AJ44&gt;=1E+9,AD44,IF(Use_Library!$E$43="Y",INT(AJ44+1E-9),AJ44)))</f>
        <v/>
      </c>
      <c r="AL44" s="9">
        <f>IF(M44=0,"No public road access",IF(K44=0,J44,IF(R44=0,"Location fails",IF(N44=0,"Frontage under "&amp;Use_Library!$AY$43&amp;" LF",IF(S44=0,"Too small - needs "&amp;Use_Library!$L$43&amp;" usable ac",IF(O44=0,"Needs public sewer",IF(P44=0,"Needs public water",IF(AJ44&gt;=1E+9,"Usable acres",IF(AB44&lt;=AA44,"Market demand",IF(W44=AA44,"Septic lot size",IF(Z44=AA44,"Septic capacity (gal/day)",IF(X44=AA44,"Min lot size",IF(Y44=AA44,"Road frontage",IF(V44=AA44,"Site area / parking","Density"))))))))))))))</f>
        <v/>
      </c>
      <c r="AM44" s="15">
        <f>IF(AK44&gt;0,1,0)</f>
        <v/>
      </c>
      <c r="AN44" s="15">
        <f>IF(Use_Library!$Z$43="Y",1,0)*AM44</f>
        <v/>
      </c>
      <c r="AO44" s="14">
        <f>IF(Parcel!$C$39=0,MIN(U44,V44,X44,Y44,AB44),0)</f>
        <v/>
      </c>
      <c r="AP44" s="9">
        <f>IF(AND(Parcel!$C$39=0,M44*K44*R44*N44*S44*P44=1,AO44&lt;1E+9,AO44&gt;=MAX(1,AK44)*1.25),"Unlock: sewer or package plant allows ~"&amp;TEXT(INT(AO44),"#,##0")&amp;" "&amp;Use_Library!$D$43&amp;". ","")</f>
        <v/>
      </c>
      <c r="AQ44" s="15">
        <f>AK44*Use_Library!$AC$43*AN44</f>
        <v/>
      </c>
      <c r="AR44" s="15">
        <f>AK44*Use_Library!$AD$43*AN44</f>
        <v/>
      </c>
      <c r="AS44" s="14">
        <f>AK44*Use_Library!$V$43*AN44</f>
        <v/>
      </c>
      <c r="AT44" s="15">
        <f>IF(Parcel!$C$38=1,AQ44+Parcel!$C$40,0)*AN44</f>
        <v/>
      </c>
      <c r="AU44" s="14">
        <f>AS44*Parcel!$C$38</f>
        <v/>
      </c>
      <c r="AV44" s="15">
        <f>IF(AND(Parcel!$C$38=0,Use_Library!$K$43="N",AS44&gt;=Location!$C$30),1,0)*AN44</f>
        <v/>
      </c>
      <c r="AW44" s="15">
        <f>IF(Parcel!$C$39=1,AQ44+Parcel!$C$41,0)*AN44</f>
        <v/>
      </c>
      <c r="AX44" s="14">
        <f>AS44*Parcel!$C$39</f>
        <v/>
      </c>
      <c r="AY44" s="14">
        <f>IF(Parcel!$C$39=0,AK44*Use_Library!$W$43,0)*AN44</f>
        <v/>
      </c>
      <c r="AZ44" s="15">
        <f>IF(Parcel!$C$39=0,AK44*Use_Library!$Y$43,0)*AN44</f>
        <v/>
      </c>
      <c r="BA44" s="15">
        <f>IF(AND(Use_Library!$K$43="N",AZ44&gt;Location!$C$28),1,0)</f>
        <v/>
      </c>
      <c r="BB44" s="14">
        <f>IF(AND(Parcel!$C$38=0,AV44=0),AK44*Use_Library!$X$43,0)*AN44</f>
        <v/>
      </c>
      <c r="BC44" s="14">
        <f>AH44*Parcel!$C$18*Use_Library!$AA$43*AN44</f>
        <v/>
      </c>
      <c r="BD44" s="14">
        <f>AH44*Use_Library!$AA$43*AN44</f>
        <v/>
      </c>
      <c r="BE44" s="15">
        <f>IF(Use_Library!$C$43="For-Sale",IF(Use_Library!$E$43="Y",AK44,1),1)*AM44</f>
        <v/>
      </c>
      <c r="BF44" s="15">
        <f>IF(OR(Use_Library!$F$43="RES-SF",Use_Library!$F$43="RES-ATT",Use_Library!$F$43="RES-MF",Use_Library!$F$43="MH"),1,0)</f>
        <v/>
      </c>
      <c r="BG44" s="20">
        <f>Cost_Library!$J$5*Location!$C$9*AM44</f>
        <v/>
      </c>
      <c r="BH44" s="20">
        <f>BE44*Cost_Library!$J$6*Location!$C$9</f>
        <v/>
      </c>
      <c r="BI44" s="20">
        <f>BD44*Cost_Library!$J$7*Location!$C$9</f>
        <v/>
      </c>
      <c r="BJ44" s="20">
        <f>Cost_Library!$J$8*Location!$C$9*AN44*IF(Use_Library!$AA$43&gt;=0.5,1,0)</f>
        <v/>
      </c>
      <c r="BK44" s="20">
        <f>AY44*Cost_Library!$J$9*Location!$C$9</f>
        <v/>
      </c>
      <c r="BL44" s="20">
        <f>BA44*Cost_Library!$J$10*Location!$C$9</f>
        <v/>
      </c>
      <c r="BM44" s="20">
        <f>Cost_Library!$J$11*Location!$C$9*AM44</f>
        <v/>
      </c>
      <c r="BN44" s="20">
        <f>Cost_Library!$J$12*Location!$C$9*AN44*IF(Use_Library!$AB$43="Y",1,0)</f>
        <v/>
      </c>
      <c r="BO44" s="20">
        <f>Use_Effective!$C$43*AM44</f>
        <v/>
      </c>
      <c r="BP44" s="20">
        <f>L44*Location!$C$31*AM44</f>
        <v/>
      </c>
      <c r="BQ44" s="20">
        <f>Cost_Library!$J$13*Location!$C$9*AM44</f>
        <v/>
      </c>
      <c r="BR44" s="20">
        <f>BC44*Cost_Library!$J$14*Location!$C$9</f>
        <v/>
      </c>
      <c r="BS44" s="20">
        <f>BD44*Cost_Library!$J$15*Location!$C$9*Parcel!$C$43</f>
        <v/>
      </c>
      <c r="BT44" s="20">
        <f>AQ44*Cost_Library!$J$16*Location!$C$9</f>
        <v/>
      </c>
      <c r="BU44" s="20">
        <f>AR44*Cost_Library!$J$17*Location!$C$9</f>
        <v/>
      </c>
      <c r="BV44" s="20">
        <f>AG44*Cost_Library!$J$18*Location!$C$9*AN44</f>
        <v/>
      </c>
      <c r="BW44" s="20">
        <f>BD44*Cost_Library!$J$19*Location!$C$9</f>
        <v/>
      </c>
      <c r="BX44" s="20">
        <f>IF(Use_Library!$AZ$43="Y",1,0)*Cost_Library!$J$20*Location!$C$9*AN44</f>
        <v/>
      </c>
      <c r="BY44" s="20">
        <f>AT44*Cost_Library!$J$21*Location!$C$9</f>
        <v/>
      </c>
      <c r="BZ44" s="20">
        <f>AU44*Cost_Library!$J$22*Location!$C$9</f>
        <v/>
      </c>
      <c r="CA44" s="20">
        <f>AW44*Cost_Library!$J$23*Location!$C$9</f>
        <v/>
      </c>
      <c r="CB44" s="20">
        <f>AX44*Cost_Library!$J$24*Location!$C$9</f>
        <v/>
      </c>
      <c r="CC44" s="20">
        <f>AY44*Cost_Library!$J$25*Location!$C$9*Parcel!$C$44</f>
        <v/>
      </c>
      <c r="CD44" s="20">
        <f>BB44*Cost_Library!$J$26*Location!$C$9</f>
        <v/>
      </c>
      <c r="CE44" s="20">
        <f>AV44*(Cost_Library!$J$27+AS44*Cost_Library!$J$28)*Location!$C$9</f>
        <v/>
      </c>
      <c r="CF44" s="20">
        <f>AQ44*Cost_Library!$J$29*Location!$C$9</f>
        <v/>
      </c>
      <c r="CG44" s="20">
        <f>SUM(BG44:CF44)</f>
        <v/>
      </c>
      <c r="CH44" s="20">
        <f>CG44*Assumptions!$C$9</f>
        <v/>
      </c>
      <c r="CI44" s="20">
        <f>(CG44+CH44)*Org_Profile!$C$17</f>
        <v/>
      </c>
      <c r="CJ44" s="20">
        <f>CG44+CH44+CI44</f>
        <v/>
      </c>
      <c r="CK44" s="20">
        <f>AK44*Use_Effective!$B$43*(1+Org_Profile!$C$17)</f>
        <v/>
      </c>
      <c r="CL44" s="20">
        <f>CK44*(Assumptions!$C$10+Assumptions!$C$11)</f>
        <v/>
      </c>
      <c r="CM44" s="20">
        <f>AK44*Use_Effective!$D$43</f>
        <v/>
      </c>
      <c r="CN44" s="20">
        <f>AK44*Location!$C$21*BF44*AM44</f>
        <v/>
      </c>
      <c r="CO44" s="14">
        <f>Use_Effective!$F$43+L44*Location!$C$32+BA44*Location!$C$29</f>
        <v/>
      </c>
      <c r="CP44" s="14">
        <f>IF(Use_Effective!$P$43&gt;0,IF(Use_Library!$C$43="For-Sale",AK44,AD44)/Use_Effective!$P$43,0)*AM44</f>
        <v/>
      </c>
      <c r="CQ44" s="14">
        <f>IF(AND(Use_Library!$C$43="For-Sale",Use_Effective!$O$43&gt;0),AK44/Use_Effective!$O$43,0)*AM44</f>
        <v/>
      </c>
      <c r="CR44" s="14">
        <f>IF(Use_Library!$C$43="Income",MAX(Use_Library!$AQ$43,IF(Use_Effective!$O$43&gt;0,AK44/Use_Effective!$O$43,0)),0)</f>
        <v/>
      </c>
      <c r="CS44" s="14">
        <f>CO44+CP44</f>
        <v/>
      </c>
      <c r="CT44" s="14">
        <f>CO44+CQ44+CR44</f>
        <v/>
      </c>
      <c r="CU44" s="14">
        <f>CO44+IF(Use_Library!$C$43="Income",CR44,0)</f>
        <v/>
      </c>
      <c r="CV44" s="23">
        <f>Use_Effective!$G$43+Assumptions!$C$25*MAX(0,(CS44-12)/12)</f>
        <v/>
      </c>
      <c r="CW44" s="23">
        <f>Use_Effective!$G$43+Assumptions!$C$25*MAX(0,(CT44-12)/12)</f>
        <v/>
      </c>
      <c r="CX44" s="23">
        <f>Use_Effective!$G$43+Assumptions!$C$25*MAX(0,(CU44-12)/12)</f>
        <v/>
      </c>
      <c r="CY44" s="28">
        <f>1+Location!$C$17+IF(Parcel!$C$26="Y",Location!$C$20,0)</f>
        <v/>
      </c>
      <c r="CZ44" s="28">
        <f>CY44+Location!$C$19*(CO44+CP44/2)/12</f>
        <v/>
      </c>
      <c r="DA44" s="28">
        <f>CY44+Location!$C$19*(CO44+CQ44/2)/12</f>
        <v/>
      </c>
      <c r="DB44" s="28">
        <f>IF(Use_Library!$C$43="Income",DA44,CY44+Location!$C$19*CO44/12)</f>
        <v/>
      </c>
      <c r="DC44" s="28">
        <f>1+Assumptions!$C$15*(Assumptions!$C$16*(CO44+CP44/2)/12*Assumptions!$C$18+Assumptions!$C$17)</f>
        <v/>
      </c>
      <c r="DD44" s="28">
        <f>1+Assumptions!$C$15*(Assumptions!$C$16*((CO44+CQ44/2)/12*Assumptions!$C$18+CR44/12*Assumptions!$C$19)+Assumptions!$C$17)</f>
        <v/>
      </c>
      <c r="DE44" s="28">
        <f>IF(Use_Library!$C$43="Income",DD44,1+Assumptions!$C$15*(Assumptions!$C$16*CO44/12*Assumptions!$C$18+Assumptions!$C$17))</f>
        <v/>
      </c>
      <c r="DF44" s="23">
        <f>Assumptions!$C$13+Location!$C$18</f>
        <v/>
      </c>
      <c r="DG44" s="23">
        <f>Assumptions!$C$12+Location!$C$18</f>
        <v/>
      </c>
      <c r="DH44" s="23">
        <f>Assumptions!$C$14+Location!$C$18</f>
        <v/>
      </c>
      <c r="DI44" s="20">
        <f>AI44*Location!$C$14*(1-DF44)*AM44</f>
        <v/>
      </c>
      <c r="DJ44" s="20">
        <f>IF(Use_Library!$AV$43=1,IF(Use_Library!$C$43="For-Sale",AK44*Use_Effective!$H$43+Parcel!$C$14*AE44*Use_Effective!$J$43,AD44*Use_Effective!$J$43)*(1-DF44)+DI44,0)*AM44</f>
        <v/>
      </c>
      <c r="DK44" s="20">
        <f>(CG44-BU44-CC44-CD44)*(1+Assumptions!$C$9)*(1+Org_Profile!$C$17)</f>
        <v/>
      </c>
      <c r="DL44" s="28">
        <f>CZ44*DC44</f>
        <v/>
      </c>
      <c r="DM44" s="20">
        <f>(Parcel!$C$27*CZ44+DK44)*DC44</f>
        <v/>
      </c>
      <c r="DN44" s="20">
        <f>DJ44-DM44</f>
        <v/>
      </c>
      <c r="DO44" s="38">
        <f>IF(AND(Use_Library!$AV$43=1,AM44=1),MAX(0,((1-CV44)*DJ44-DK44*DC44)/DL44),0)</f>
        <v/>
      </c>
      <c r="DP44" s="20">
        <f>CJ44+CK44+CL44+CM44+CN44</f>
        <v/>
      </c>
      <c r="DQ44" s="28">
        <f>DA44*DD44</f>
        <v/>
      </c>
      <c r="DR44" s="20">
        <f>(Parcel!$C$27*DA44+DP44)*DD44</f>
        <v/>
      </c>
      <c r="DS44" s="20">
        <f>IF(Use_Library!$C$43="Income",AK44*Use_Effective!$K$43,0)</f>
        <v/>
      </c>
      <c r="DT44" s="20">
        <f>DS44*(1+Use_Library!$AL$43)*(1-Use_Effective!$N$43)</f>
        <v/>
      </c>
      <c r="DU44" s="20">
        <f>IF(Use_Library!$C$43="Income",AK44*Use_Effective!$E$43,0)</f>
        <v/>
      </c>
      <c r="DV44" s="20">
        <f>IF(Use_Library!$C$43="Income",Location!$C$15*Location!$C$16*DR44,0)</f>
        <v/>
      </c>
      <c r="DW44" s="20">
        <f>DT44*Use_Library!$AO$43</f>
        <v/>
      </c>
      <c r="DX44" s="20">
        <f>(DU44+DV44)*Use_Library!$AP$43</f>
        <v/>
      </c>
      <c r="DY44" s="20">
        <f>DT44-DU44-DV44-DW44+DX44</f>
        <v/>
      </c>
      <c r="DZ44" s="26">
        <f>Use_Effective!$M$43</f>
        <v/>
      </c>
      <c r="EA44" s="20">
        <f>IF(AND(Use_Library!$C$43="Income",DZ44&gt;0),DY44/DZ44,0)</f>
        <v/>
      </c>
      <c r="EB44" s="39">
        <f>IF(Use_Library!$C$43="Income",-Location!$C$15*Location!$C$16*(1-Use_Library!$AP$43)*DQ44,0)</f>
        <v/>
      </c>
      <c r="EC44" s="23">
        <f>IF(DR44=0,0,DY44/DR44)</f>
        <v/>
      </c>
      <c r="ED44" s="20">
        <f>IF(Use_Library!$AW$43=1,IF(Use_Library!$C$43="Income",EA44*(1-DH44),AK44*Use_Effective!$I$43*(1-DG44))+DI44,0)*AM44</f>
        <v/>
      </c>
      <c r="EE44" s="39">
        <f>IF(AND(Use_Library!$AW$43=1,Use_Library!$C$43="Income",DZ44&gt;0),EB44/DZ44*(1-DH44),0)</f>
        <v/>
      </c>
      <c r="EF44" s="20">
        <f>ED44-DR44</f>
        <v/>
      </c>
      <c r="EG44" s="38">
        <f>IF(AND(Use_Library!$AW$43=1,AM44=1),MAX(0,Parcel!$C$27-((1-CW44)*ED44-DR44)/((1-CW44)*EE44-DQ44)),0)</f>
        <v/>
      </c>
      <c r="EH44" s="20">
        <f>IF(Use_Library!$AX$43=1,IF(Use_Library!$C$43="Income",EA44,IF(DZ44&gt;0,AD44*Use_Effective!$L$43/DZ44,0))+DI44,0)*AM44</f>
        <v/>
      </c>
      <c r="EI44" s="20">
        <f>IF(Use_Library!$C$43="Income",DP44,CJ44)</f>
        <v/>
      </c>
      <c r="EJ44" s="28">
        <f>IF(Use_Library!$C$43="Income",DQ44,DB44*DE44)</f>
        <v/>
      </c>
      <c r="EK44" s="20">
        <f>IF(Use_Library!$C$43="Income",DR44,(Parcel!$C$27*DB44+CJ44)*DE44)</f>
        <v/>
      </c>
      <c r="EL44" s="39">
        <f>IF(AND(Use_Library!$AX$43=1,Use_Library!$C$43="Income",DZ44&gt;0),EB44/DZ44,0)</f>
        <v/>
      </c>
      <c r="EM44" s="20">
        <f>EH44-EK44</f>
        <v/>
      </c>
      <c r="EN44" s="38">
        <f>IF(AND(Use_Library!$AX$43=1,AM44=1),MAX(0,Parcel!$C$27-((1-CX44)*EH44-EK44)/((1-CX44)*EL44-EJ44)),0)</f>
        <v/>
      </c>
      <c r="EO44" s="20">
        <f>IF(Use_Library!$C$43="Income",Assumptions!$C$15*(Parcel!$C$27*DA44+DP44),0)</f>
        <v/>
      </c>
      <c r="EP44" s="20">
        <f>IF(AND(Use_Library!$C$43="Income",DY44&gt;0),MIN(Assumptions!$C$20*EA44,PV(Assumptions!$C$23/12,Assumptions!$C$24*12,-DY44/Assumptions!$C$21/12),DY44/Assumptions!$C$22),0)</f>
        <v/>
      </c>
      <c r="EQ44" s="27">
        <f>IF(EP44=0,0,DY44/(-PMT(Assumptions!$C$23/12,Assumptions!$C$24*12,EP44)*12))</f>
        <v/>
      </c>
      <c r="ER44" s="20">
        <f>EP44-EO44</f>
        <v/>
      </c>
      <c r="ES44" s="19">
        <f>MAX(DO44,EG44,EN44)</f>
        <v/>
      </c>
      <c r="ET44" s="15">
        <f>IF(ES44&lt;=0,0,IF(DO44=ES44,1,IF(EG44=ES44,2,3)))</f>
        <v/>
      </c>
      <c r="EU44" s="9">
        <f>CHOOSE(ET44+1,"None works","Land / pad sale","Build &amp; sell","Build &amp; hold / lease")</f>
        <v/>
      </c>
      <c r="EV44" s="15">
        <f>CHOOSE(ET44+1,0,CS44,CT44,CU44)</f>
        <v/>
      </c>
      <c r="EW44" s="20">
        <f>ES44*(1-Assumptions!$C$26)</f>
        <v/>
      </c>
      <c r="EX44" s="20">
        <f>ES44-Parcel!$C$27</f>
        <v/>
      </c>
      <c r="EY44" s="20">
        <f>IF(Parcel!$C$14=0,0,ES44/Parcel!$C$14)</f>
        <v/>
      </c>
      <c r="EZ44" s="36">
        <f>IF(AK44=0,0,ES44/AK44)</f>
        <v/>
      </c>
      <c r="FA44" s="9">
        <f>IF(ES44&lt;=0,"Pass",IF(ES44&gt;=Parcel!$C$27*Assumptions!$C$27,"Strong",IF(ES44&gt;=Parcel!$C$27,"Works at asking",IF(ES44&gt;=Parcel!$C$27*Assumptions!$C$28,"Negotiate","Pass"))))</f>
        <v/>
      </c>
      <c r="FB44" s="9">
        <f>IF(AM44=0,"",IF(Use_Library!$BH$43="Y",IF(Use_Effective!$AF$43&gt;=3,"High","Medium"),"Low - verify location"))</f>
        <v/>
      </c>
      <c r="FC44" s="9">
        <f>IF(AND(Use_Library!$BH$43="N",AM44=1),Use_Library!$BI$43,"")</f>
        <v/>
      </c>
      <c r="FD44" s="9">
        <f>TRIM(Q44&amp;" "&amp;IF(AND(AM44=0,T44=1),"Nothing fits. ","")&amp;IF(AND(Use_Library!$AZ$43&lt;&gt;"Y",Parcel!$C$19&lt;Use_Library!$AY$43),"Frontage under "&amp;Use_Library!$AY$43&amp;" LF. ","")&amp;IF(Parcel!$C$17&gt;0.15,"Slope over 15%. ","")&amp;IF(AND(AM44=1,AI44&gt;0.5),TEXT(AI44,"0")&amp;" ac not used - resold as raw land. ","")&amp;IF(AND(AM44=1,AC44&lt;1),"Demand caps it at "&amp;TEXT(AK44,"#,##0")&amp;" "&amp;Use_Library!$D$43&amp;". ","")&amp;IF(AND(AM44=1,L44=1),"Rezone required (+"&amp;Location!$C$32&amp;" mo). ","")&amp;IF(AND(AM44=1,BA44=1),"State wastewater permit needed. ","")&amp;IF(AND(AM44=1,AV44=1),"Public water system needed. ","")&amp;AP44&amp;IF(Parcel!$C$16&gt;Assumptions!$C$29,"Floodplain over "&amp;TEXT(Assumptions!$C$29,"0%")&amp;". ","")&amp;IF(AND(AM44=1,EV44&gt;60),"Over 5 years to exit. ",""))</f>
        <v/>
      </c>
      <c r="FE44" s="20">
        <f>IF(AND(Org_Profile!$C$5="My uses",E44=0),-1E+9,ES44)+ROW()/1000000</f>
        <v/>
      </c>
    </row>
    <row r="45">
      <c r="A45" s="4">
        <f>Use_Library!$A$44</f>
        <v/>
      </c>
      <c r="B45" s="9">
        <f>Use_Library!$C$44</f>
        <v/>
      </c>
      <c r="C45" s="9">
        <f>Use_Library!$D$44</f>
        <v/>
      </c>
      <c r="D45" s="9">
        <f>Use_Library!$F$44</f>
        <v/>
      </c>
      <c r="E45" s="15">
        <f>IF(Org_Profile!$C$61="Y",1,0)</f>
        <v/>
      </c>
      <c r="F45" s="14">
        <f>MAX(0,Parcel!$C$37*(1-Use_Library!$N$44-IF(Use_Library!$AB$44="Y",Assumptions!$C$7,0)))</f>
        <v/>
      </c>
      <c r="G45" s="14">
        <f>IF(Use_Library!$M$44&gt;0,MIN(F45,Use_Library!$M$44),F45)</f>
        <v/>
      </c>
      <c r="H45" s="23">
        <f>IF(F45=0,0,G45/F45)</f>
        <v/>
      </c>
      <c r="I45" s="14">
        <f>Parcel!$C$37*H45</f>
        <v/>
      </c>
      <c r="J45" s="9">
        <f>IF(ISNUMBER(SEARCH(","&amp;Use_Library!$F$44&amp;",",","&amp;SUBSTITUTE(Parcel!$C$11," ","")&amp;",")),"Deed restricted",IF(Parcel!$C$46=0,"No zoning",IF(ISNUMBER(SEARCH(","&amp;Use_Library!$F$44&amp;",",","&amp;SUBSTITUTE(Parcel!$C$10," ","")&amp;",")),"By right",IF(OR(TRIM(Parcel!$C$12)="*",ISNUMBER(SEARCH(","&amp;Use_Library!$F$44&amp;",",","&amp;SUBSTITUTE(Parcel!$C$12," ","")&amp;","))),"Rezone required","Prohibited by zoning"))))</f>
        <v/>
      </c>
      <c r="K45" s="15">
        <f>IF(OR(J45="Deed restricted",J45="Prohibited by zoning"),0,1)</f>
        <v/>
      </c>
      <c r="L45" s="15">
        <f>IF(J45="Rezone required",1,0)</f>
        <v/>
      </c>
      <c r="M45" s="15">
        <f>IF(Parcel!$C$20="None",0,IF(AND(Parcel!$C$20="Private easement",Use_Library!$BA$44="Y"),0,1))</f>
        <v/>
      </c>
      <c r="N45" s="15">
        <f>IF(AND(Use_Library!$AZ$44="Y",Parcel!$C$19&lt;Use_Library!$AY$44),0,1)</f>
        <v/>
      </c>
      <c r="O45" s="15">
        <f>IF(AND(Use_Library!$T$44="Y",Parcel!$C$39=0),0,1)</f>
        <v/>
      </c>
      <c r="P45" s="15">
        <f>IF(AND(Use_Library!$U$44="Y",Parcel!$C$38=0),0,1)</f>
        <v/>
      </c>
      <c r="Q45" s="9">
        <f>TRIM(IF(AND(Use_Library!$BB$44&gt;0,Parcel!$C$28&lt;Use_Library!$BB$44),"Traffic under "&amp;TEXT(Use_Library!$BB$44,"#,##0")&amp;" VPD. ","")&amp;IF(AND(Use_Library!$BC$44&gt;0,Parcel!$C$29&lt;Use_Library!$BC$44),"Under "&amp;TEXT(Use_Library!$BC$44,"#,##0")&amp;" households in 3 mi. ","")&amp;IF(AND(Use_Library!$BD$44&gt;0,Parcel!$C$31&gt;Use_Library!$BD$44),"Over "&amp;Use_Library!$BD$44&amp;" mi to highway. ","")&amp;IF(AND(Use_Library!$BE$44="Y",Parcel!$C$32&lt;&gt;"Y"),"Needs a corner. ","")&amp;IF(AND(Use_Library!$BF$44&gt;0,Parcel!$C$33&gt;Use_Library!$BF$44),"Over "&amp;Use_Library!$BF$44&amp;" mi to substation. ","")&amp;IF(AND(Use_Library!$BG$44&gt;0,Parcel!$C$34&gt;Use_Library!$BG$44),"Over "&amp;Use_Library!$BG$44&amp;" mi to a major employer. ",""))</f>
        <v/>
      </c>
      <c r="R45" s="15">
        <f>IF(Q45="",1,0)</f>
        <v/>
      </c>
      <c r="S45" s="15">
        <f>IF(F45&gt;=Use_Library!$L$44,1,0)</f>
        <v/>
      </c>
      <c r="T45" s="15">
        <f>K45*M45*N45*O45*P45*R45*S45</f>
        <v/>
      </c>
      <c r="U45" s="14">
        <f>IF(Use_Library!$G$44&gt;0,I45*Use_Library!$G$44,1E+9)</f>
        <v/>
      </c>
      <c r="V45" s="14">
        <f>IF(Use_Library!$H$44&gt;0,G45*43560/Use_Library!$H$44,1E+9)</f>
        <v/>
      </c>
      <c r="W45" s="14">
        <f>IF(AND(Use_Library!$K$44="Y",Parcel!$C$39=0),G45*(1-Assumptions!$C$8)/IF(Parcel!$C$38=1,Location!$C$25,Location!$C$26),1E+9)</f>
        <v/>
      </c>
      <c r="X45" s="14">
        <f>IF(Use_Library!$I$44&gt;0,Parcel!$C$14*H45/Use_Library!$I$44,1E+9)</f>
        <v/>
      </c>
      <c r="Y45" s="14">
        <f>IF(Use_Library!$J$44&gt;0,Parcel!$C$19/Use_Library!$J$44,1E+9)</f>
        <v/>
      </c>
      <c r="Z45" s="14">
        <f>IF(AND(Parcel!$C$39=0,Use_Library!$K$44="N",Use_Library!$Y$44&gt;0,Use_Library!$Z$44="Y"),G45*Location!$C$27*Parcel!$C$45/Use_Library!$Y$44,1E+9)</f>
        <v/>
      </c>
      <c r="AA45" s="14">
        <f>MIN(U45,V45,W45,X45,Y45,Z45)</f>
        <v/>
      </c>
      <c r="AB45" s="14">
        <f>IF(Use_Library!$O$44&gt;0,IF(Use_Library!$P$44&gt;=10,Parcel!$C$30,Parcel!$C$29)*Use_Library!$O$44*Use_Library!$Q$44,1E+9)</f>
        <v/>
      </c>
      <c r="AC45" s="23">
        <f>IF(OR(AA45&gt;=1E+9,AA45&lt;=0),1,MIN(1,AB45/AA45))</f>
        <v/>
      </c>
      <c r="AD45" s="14">
        <f>G45*AC45</f>
        <v/>
      </c>
      <c r="AE45" s="23">
        <f>IF(F45=0,0,AD45/F45)</f>
        <v/>
      </c>
      <c r="AF45" s="14">
        <f>Parcel!$C$37*AE45</f>
        <v/>
      </c>
      <c r="AG45" s="14">
        <f>AF45*IF(Use_Library!$AB$44="Y",Assumptions!$C$7,0)</f>
        <v/>
      </c>
      <c r="AH45" s="14">
        <f>AF45*(1-Use_Library!$N$44)</f>
        <v/>
      </c>
      <c r="AI45" s="14">
        <f>Parcel!$C$14*(1-AE45)</f>
        <v/>
      </c>
      <c r="AJ45" s="14">
        <f>MIN(AA45,AB45)</f>
        <v/>
      </c>
      <c r="AK45" s="25">
        <f>IF(T45=0,0,IF(AJ45&gt;=1E+9,AD45,IF(Use_Library!$E$44="Y",INT(AJ45+1E-9),AJ45)))</f>
        <v/>
      </c>
      <c r="AL45" s="9">
        <f>IF(M45=0,"No public road access",IF(K45=0,J45,IF(R45=0,"Location fails",IF(N45=0,"Frontage under "&amp;Use_Library!$AY$44&amp;" LF",IF(S45=0,"Too small - needs "&amp;Use_Library!$L$44&amp;" usable ac",IF(O45=0,"Needs public sewer",IF(P45=0,"Needs public water",IF(AJ45&gt;=1E+9,"Usable acres",IF(AB45&lt;=AA45,"Market demand",IF(W45=AA45,"Septic lot size",IF(Z45=AA45,"Septic capacity (gal/day)",IF(X45=AA45,"Min lot size",IF(Y45=AA45,"Road frontage",IF(V45=AA45,"Site area / parking","Density"))))))))))))))</f>
        <v/>
      </c>
      <c r="AM45" s="15">
        <f>IF(AK45&gt;0,1,0)</f>
        <v/>
      </c>
      <c r="AN45" s="15">
        <f>IF(Use_Library!$Z$44="Y",1,0)*AM45</f>
        <v/>
      </c>
      <c r="AO45" s="14">
        <f>IF(Parcel!$C$39=0,MIN(U45,V45,X45,Y45,AB45),0)</f>
        <v/>
      </c>
      <c r="AP45" s="9">
        <f>IF(AND(Parcel!$C$39=0,M45*K45*R45*N45*S45*P45=1,AO45&lt;1E+9,AO45&gt;=MAX(1,AK45)*1.25),"Unlock: sewer or package plant allows ~"&amp;TEXT(INT(AO45),"#,##0")&amp;" "&amp;Use_Library!$D$44&amp;". ","")</f>
        <v/>
      </c>
      <c r="AQ45" s="15">
        <f>AK45*Use_Library!$AC$44*AN45</f>
        <v/>
      </c>
      <c r="AR45" s="15">
        <f>AK45*Use_Library!$AD$44*AN45</f>
        <v/>
      </c>
      <c r="AS45" s="14">
        <f>AK45*Use_Library!$V$44*AN45</f>
        <v/>
      </c>
      <c r="AT45" s="15">
        <f>IF(Parcel!$C$38=1,AQ45+Parcel!$C$40,0)*AN45</f>
        <v/>
      </c>
      <c r="AU45" s="14">
        <f>AS45*Parcel!$C$38</f>
        <v/>
      </c>
      <c r="AV45" s="15">
        <f>IF(AND(Parcel!$C$38=0,Use_Library!$K$44="N",AS45&gt;=Location!$C$30),1,0)*AN45</f>
        <v/>
      </c>
      <c r="AW45" s="15">
        <f>IF(Parcel!$C$39=1,AQ45+Parcel!$C$41,0)*AN45</f>
        <v/>
      </c>
      <c r="AX45" s="14">
        <f>AS45*Parcel!$C$39</f>
        <v/>
      </c>
      <c r="AY45" s="14">
        <f>IF(Parcel!$C$39=0,AK45*Use_Library!$W$44,0)*AN45</f>
        <v/>
      </c>
      <c r="AZ45" s="15">
        <f>IF(Parcel!$C$39=0,AK45*Use_Library!$Y$44,0)*AN45</f>
        <v/>
      </c>
      <c r="BA45" s="15">
        <f>IF(AND(Use_Library!$K$44="N",AZ45&gt;Location!$C$28),1,0)</f>
        <v/>
      </c>
      <c r="BB45" s="14">
        <f>IF(AND(Parcel!$C$38=0,AV45=0),AK45*Use_Library!$X$44,0)*AN45</f>
        <v/>
      </c>
      <c r="BC45" s="14">
        <f>AH45*Parcel!$C$18*Use_Library!$AA$44*AN45</f>
        <v/>
      </c>
      <c r="BD45" s="14">
        <f>AH45*Use_Library!$AA$44*AN45</f>
        <v/>
      </c>
      <c r="BE45" s="15">
        <f>IF(Use_Library!$C$44="For-Sale",IF(Use_Library!$E$44="Y",AK45,1),1)*AM45</f>
        <v/>
      </c>
      <c r="BF45" s="15">
        <f>IF(OR(Use_Library!$F$44="RES-SF",Use_Library!$F$44="RES-ATT",Use_Library!$F$44="RES-MF",Use_Library!$F$44="MH"),1,0)</f>
        <v/>
      </c>
      <c r="BG45" s="20">
        <f>Cost_Library!$J$5*Location!$C$9*AM45</f>
        <v/>
      </c>
      <c r="BH45" s="20">
        <f>BE45*Cost_Library!$J$6*Location!$C$9</f>
        <v/>
      </c>
      <c r="BI45" s="20">
        <f>BD45*Cost_Library!$J$7*Location!$C$9</f>
        <v/>
      </c>
      <c r="BJ45" s="20">
        <f>Cost_Library!$J$8*Location!$C$9*AN45*IF(Use_Library!$AA$44&gt;=0.5,1,0)</f>
        <v/>
      </c>
      <c r="BK45" s="20">
        <f>AY45*Cost_Library!$J$9*Location!$C$9</f>
        <v/>
      </c>
      <c r="BL45" s="20">
        <f>BA45*Cost_Library!$J$10*Location!$C$9</f>
        <v/>
      </c>
      <c r="BM45" s="20">
        <f>Cost_Library!$J$11*Location!$C$9*AM45</f>
        <v/>
      </c>
      <c r="BN45" s="20">
        <f>Cost_Library!$J$12*Location!$C$9*AN45*IF(Use_Library!$AB$44="Y",1,0)</f>
        <v/>
      </c>
      <c r="BO45" s="20">
        <f>Use_Effective!$C$44*AM45</f>
        <v/>
      </c>
      <c r="BP45" s="20">
        <f>L45*Location!$C$31*AM45</f>
        <v/>
      </c>
      <c r="BQ45" s="20">
        <f>Cost_Library!$J$13*Location!$C$9*AM45</f>
        <v/>
      </c>
      <c r="BR45" s="20">
        <f>BC45*Cost_Library!$J$14*Location!$C$9</f>
        <v/>
      </c>
      <c r="BS45" s="20">
        <f>BD45*Cost_Library!$J$15*Location!$C$9*Parcel!$C$43</f>
        <v/>
      </c>
      <c r="BT45" s="20">
        <f>AQ45*Cost_Library!$J$16*Location!$C$9</f>
        <v/>
      </c>
      <c r="BU45" s="20">
        <f>AR45*Cost_Library!$J$17*Location!$C$9</f>
        <v/>
      </c>
      <c r="BV45" s="20">
        <f>AG45*Cost_Library!$J$18*Location!$C$9*AN45</f>
        <v/>
      </c>
      <c r="BW45" s="20">
        <f>BD45*Cost_Library!$J$19*Location!$C$9</f>
        <v/>
      </c>
      <c r="BX45" s="20">
        <f>IF(Use_Library!$AZ$44="Y",1,0)*Cost_Library!$J$20*Location!$C$9*AN45</f>
        <v/>
      </c>
      <c r="BY45" s="20">
        <f>AT45*Cost_Library!$J$21*Location!$C$9</f>
        <v/>
      </c>
      <c r="BZ45" s="20">
        <f>AU45*Cost_Library!$J$22*Location!$C$9</f>
        <v/>
      </c>
      <c r="CA45" s="20">
        <f>AW45*Cost_Library!$J$23*Location!$C$9</f>
        <v/>
      </c>
      <c r="CB45" s="20">
        <f>AX45*Cost_Library!$J$24*Location!$C$9</f>
        <v/>
      </c>
      <c r="CC45" s="20">
        <f>AY45*Cost_Library!$J$25*Location!$C$9*Parcel!$C$44</f>
        <v/>
      </c>
      <c r="CD45" s="20">
        <f>BB45*Cost_Library!$J$26*Location!$C$9</f>
        <v/>
      </c>
      <c r="CE45" s="20">
        <f>AV45*(Cost_Library!$J$27+AS45*Cost_Library!$J$28)*Location!$C$9</f>
        <v/>
      </c>
      <c r="CF45" s="20">
        <f>AQ45*Cost_Library!$J$29*Location!$C$9</f>
        <v/>
      </c>
      <c r="CG45" s="20">
        <f>SUM(BG45:CF45)</f>
        <v/>
      </c>
      <c r="CH45" s="20">
        <f>CG45*Assumptions!$C$9</f>
        <v/>
      </c>
      <c r="CI45" s="20">
        <f>(CG45+CH45)*Org_Profile!$C$17</f>
        <v/>
      </c>
      <c r="CJ45" s="20">
        <f>CG45+CH45+CI45</f>
        <v/>
      </c>
      <c r="CK45" s="20">
        <f>AK45*Use_Effective!$B$44*(1+Org_Profile!$C$17)</f>
        <v/>
      </c>
      <c r="CL45" s="20">
        <f>CK45*(Assumptions!$C$10+Assumptions!$C$11)</f>
        <v/>
      </c>
      <c r="CM45" s="20">
        <f>AK45*Use_Effective!$D$44</f>
        <v/>
      </c>
      <c r="CN45" s="20">
        <f>AK45*Location!$C$21*BF45*AM45</f>
        <v/>
      </c>
      <c r="CO45" s="14">
        <f>Use_Effective!$F$44+L45*Location!$C$32+BA45*Location!$C$29</f>
        <v/>
      </c>
      <c r="CP45" s="14">
        <f>IF(Use_Effective!$P$44&gt;0,IF(Use_Library!$C$44="For-Sale",AK45,AD45)/Use_Effective!$P$44,0)*AM45</f>
        <v/>
      </c>
      <c r="CQ45" s="14">
        <f>IF(AND(Use_Library!$C$44="For-Sale",Use_Effective!$O$44&gt;0),AK45/Use_Effective!$O$44,0)*AM45</f>
        <v/>
      </c>
      <c r="CR45" s="14">
        <f>IF(Use_Library!$C$44="Income",MAX(Use_Library!$AQ$44,IF(Use_Effective!$O$44&gt;0,AK45/Use_Effective!$O$44,0)),0)</f>
        <v/>
      </c>
      <c r="CS45" s="14">
        <f>CO45+CP45</f>
        <v/>
      </c>
      <c r="CT45" s="14">
        <f>CO45+CQ45+CR45</f>
        <v/>
      </c>
      <c r="CU45" s="14">
        <f>CO45+IF(Use_Library!$C$44="Income",CR45,0)</f>
        <v/>
      </c>
      <c r="CV45" s="23">
        <f>Use_Effective!$G$44+Assumptions!$C$25*MAX(0,(CS45-12)/12)</f>
        <v/>
      </c>
      <c r="CW45" s="23">
        <f>Use_Effective!$G$44+Assumptions!$C$25*MAX(0,(CT45-12)/12)</f>
        <v/>
      </c>
      <c r="CX45" s="23">
        <f>Use_Effective!$G$44+Assumptions!$C$25*MAX(0,(CU45-12)/12)</f>
        <v/>
      </c>
      <c r="CY45" s="28">
        <f>1+Location!$C$17+IF(Parcel!$C$26="Y",Location!$C$20,0)</f>
        <v/>
      </c>
      <c r="CZ45" s="28">
        <f>CY45+Location!$C$19*(CO45+CP45/2)/12</f>
        <v/>
      </c>
      <c r="DA45" s="28">
        <f>CY45+Location!$C$19*(CO45+CQ45/2)/12</f>
        <v/>
      </c>
      <c r="DB45" s="28">
        <f>IF(Use_Library!$C$44="Income",DA45,CY45+Location!$C$19*CO45/12)</f>
        <v/>
      </c>
      <c r="DC45" s="28">
        <f>1+Assumptions!$C$15*(Assumptions!$C$16*(CO45+CP45/2)/12*Assumptions!$C$18+Assumptions!$C$17)</f>
        <v/>
      </c>
      <c r="DD45" s="28">
        <f>1+Assumptions!$C$15*(Assumptions!$C$16*((CO45+CQ45/2)/12*Assumptions!$C$18+CR45/12*Assumptions!$C$19)+Assumptions!$C$17)</f>
        <v/>
      </c>
      <c r="DE45" s="28">
        <f>IF(Use_Library!$C$44="Income",DD45,1+Assumptions!$C$15*(Assumptions!$C$16*CO45/12*Assumptions!$C$18+Assumptions!$C$17))</f>
        <v/>
      </c>
      <c r="DF45" s="23">
        <f>Assumptions!$C$13+Location!$C$18</f>
        <v/>
      </c>
      <c r="DG45" s="23">
        <f>Assumptions!$C$12+Location!$C$18</f>
        <v/>
      </c>
      <c r="DH45" s="23">
        <f>Assumptions!$C$14+Location!$C$18</f>
        <v/>
      </c>
      <c r="DI45" s="20">
        <f>AI45*Location!$C$14*(1-DF45)*AM45</f>
        <v/>
      </c>
      <c r="DJ45" s="20">
        <f>IF(Use_Library!$AV$44=1,IF(Use_Library!$C$44="For-Sale",AK45*Use_Effective!$H$44+Parcel!$C$14*AE45*Use_Effective!$J$44,AD45*Use_Effective!$J$44)*(1-DF45)+DI45,0)*AM45</f>
        <v/>
      </c>
      <c r="DK45" s="20">
        <f>(CG45-BU45-CC45-CD45)*(1+Assumptions!$C$9)*(1+Org_Profile!$C$17)</f>
        <v/>
      </c>
      <c r="DL45" s="28">
        <f>CZ45*DC45</f>
        <v/>
      </c>
      <c r="DM45" s="20">
        <f>(Parcel!$C$27*CZ45+DK45)*DC45</f>
        <v/>
      </c>
      <c r="DN45" s="20">
        <f>DJ45-DM45</f>
        <v/>
      </c>
      <c r="DO45" s="38">
        <f>IF(AND(Use_Library!$AV$44=1,AM45=1),MAX(0,((1-CV45)*DJ45-DK45*DC45)/DL45),0)</f>
        <v/>
      </c>
      <c r="DP45" s="20">
        <f>CJ45+CK45+CL45+CM45+CN45</f>
        <v/>
      </c>
      <c r="DQ45" s="28">
        <f>DA45*DD45</f>
        <v/>
      </c>
      <c r="DR45" s="20">
        <f>(Parcel!$C$27*DA45+DP45)*DD45</f>
        <v/>
      </c>
      <c r="DS45" s="20">
        <f>IF(Use_Library!$C$44="Income",AK45*Use_Effective!$K$44,0)</f>
        <v/>
      </c>
      <c r="DT45" s="20">
        <f>DS45*(1+Use_Library!$AL$44)*(1-Use_Effective!$N$44)</f>
        <v/>
      </c>
      <c r="DU45" s="20">
        <f>IF(Use_Library!$C$44="Income",AK45*Use_Effective!$E$44,0)</f>
        <v/>
      </c>
      <c r="DV45" s="20">
        <f>IF(Use_Library!$C$44="Income",Location!$C$15*Location!$C$16*DR45,0)</f>
        <v/>
      </c>
      <c r="DW45" s="20">
        <f>DT45*Use_Library!$AO$44</f>
        <v/>
      </c>
      <c r="DX45" s="20">
        <f>(DU45+DV45)*Use_Library!$AP$44</f>
        <v/>
      </c>
      <c r="DY45" s="20">
        <f>DT45-DU45-DV45-DW45+DX45</f>
        <v/>
      </c>
      <c r="DZ45" s="26">
        <f>Use_Effective!$M$44</f>
        <v/>
      </c>
      <c r="EA45" s="20">
        <f>IF(AND(Use_Library!$C$44="Income",DZ45&gt;0),DY45/DZ45,0)</f>
        <v/>
      </c>
      <c r="EB45" s="39">
        <f>IF(Use_Library!$C$44="Income",-Location!$C$15*Location!$C$16*(1-Use_Library!$AP$44)*DQ45,0)</f>
        <v/>
      </c>
      <c r="EC45" s="23">
        <f>IF(DR45=0,0,DY45/DR45)</f>
        <v/>
      </c>
      <c r="ED45" s="20">
        <f>IF(Use_Library!$AW$44=1,IF(Use_Library!$C$44="Income",EA45*(1-DH45),AK45*Use_Effective!$I$44*(1-DG45))+DI45,0)*AM45</f>
        <v/>
      </c>
      <c r="EE45" s="39">
        <f>IF(AND(Use_Library!$AW$44=1,Use_Library!$C$44="Income",DZ45&gt;0),EB45/DZ45*(1-DH45),0)</f>
        <v/>
      </c>
      <c r="EF45" s="20">
        <f>ED45-DR45</f>
        <v/>
      </c>
      <c r="EG45" s="38">
        <f>IF(AND(Use_Library!$AW$44=1,AM45=1),MAX(0,Parcel!$C$27-((1-CW45)*ED45-DR45)/((1-CW45)*EE45-DQ45)),0)</f>
        <v/>
      </c>
      <c r="EH45" s="20">
        <f>IF(Use_Library!$AX$44=1,IF(Use_Library!$C$44="Income",EA45,IF(DZ45&gt;0,AD45*Use_Effective!$L$44/DZ45,0))+DI45,0)*AM45</f>
        <v/>
      </c>
      <c r="EI45" s="20">
        <f>IF(Use_Library!$C$44="Income",DP45,CJ45)</f>
        <v/>
      </c>
      <c r="EJ45" s="28">
        <f>IF(Use_Library!$C$44="Income",DQ45,DB45*DE45)</f>
        <v/>
      </c>
      <c r="EK45" s="20">
        <f>IF(Use_Library!$C$44="Income",DR45,(Parcel!$C$27*DB45+CJ45)*DE45)</f>
        <v/>
      </c>
      <c r="EL45" s="39">
        <f>IF(AND(Use_Library!$AX$44=1,Use_Library!$C$44="Income",DZ45&gt;0),EB45/DZ45,0)</f>
        <v/>
      </c>
      <c r="EM45" s="20">
        <f>EH45-EK45</f>
        <v/>
      </c>
      <c r="EN45" s="38">
        <f>IF(AND(Use_Library!$AX$44=1,AM45=1),MAX(0,Parcel!$C$27-((1-CX45)*EH45-EK45)/((1-CX45)*EL45-EJ45)),0)</f>
        <v/>
      </c>
      <c r="EO45" s="20">
        <f>IF(Use_Library!$C$44="Income",Assumptions!$C$15*(Parcel!$C$27*DA45+DP45),0)</f>
        <v/>
      </c>
      <c r="EP45" s="20">
        <f>IF(AND(Use_Library!$C$44="Income",DY45&gt;0),MIN(Assumptions!$C$20*EA45,PV(Assumptions!$C$23/12,Assumptions!$C$24*12,-DY45/Assumptions!$C$21/12),DY45/Assumptions!$C$22),0)</f>
        <v/>
      </c>
      <c r="EQ45" s="27">
        <f>IF(EP45=0,0,DY45/(-PMT(Assumptions!$C$23/12,Assumptions!$C$24*12,EP45)*12))</f>
        <v/>
      </c>
      <c r="ER45" s="20">
        <f>EP45-EO45</f>
        <v/>
      </c>
      <c r="ES45" s="19">
        <f>MAX(DO45,EG45,EN45)</f>
        <v/>
      </c>
      <c r="ET45" s="15">
        <f>IF(ES45&lt;=0,0,IF(DO45=ES45,1,IF(EG45=ES45,2,3)))</f>
        <v/>
      </c>
      <c r="EU45" s="9">
        <f>CHOOSE(ET45+1,"None works","Land / pad sale","Build &amp; sell","Build &amp; hold / lease")</f>
        <v/>
      </c>
      <c r="EV45" s="15">
        <f>CHOOSE(ET45+1,0,CS45,CT45,CU45)</f>
        <v/>
      </c>
      <c r="EW45" s="20">
        <f>ES45*(1-Assumptions!$C$26)</f>
        <v/>
      </c>
      <c r="EX45" s="20">
        <f>ES45-Parcel!$C$27</f>
        <v/>
      </c>
      <c r="EY45" s="20">
        <f>IF(Parcel!$C$14=0,0,ES45/Parcel!$C$14)</f>
        <v/>
      </c>
      <c r="EZ45" s="36">
        <f>IF(AK45=0,0,ES45/AK45)</f>
        <v/>
      </c>
      <c r="FA45" s="9">
        <f>IF(ES45&lt;=0,"Pass",IF(ES45&gt;=Parcel!$C$27*Assumptions!$C$27,"Strong",IF(ES45&gt;=Parcel!$C$27,"Works at asking",IF(ES45&gt;=Parcel!$C$27*Assumptions!$C$28,"Negotiate","Pass"))))</f>
        <v/>
      </c>
      <c r="FB45" s="9">
        <f>IF(AM45=0,"",IF(Use_Library!$BH$44="Y",IF(Use_Effective!$AF$44&gt;=3,"High","Medium"),"Low - verify location"))</f>
        <v/>
      </c>
      <c r="FC45" s="9">
        <f>IF(AND(Use_Library!$BH$44="N",AM45=1),Use_Library!$BI$44,"")</f>
        <v/>
      </c>
      <c r="FD45" s="9">
        <f>TRIM(Q45&amp;" "&amp;IF(AND(AM45=0,T45=1),"Nothing fits. ","")&amp;IF(AND(Use_Library!$AZ$44&lt;&gt;"Y",Parcel!$C$19&lt;Use_Library!$AY$44),"Frontage under "&amp;Use_Library!$AY$44&amp;" LF. ","")&amp;IF(Parcel!$C$17&gt;0.15,"Slope over 15%. ","")&amp;IF(AND(AM45=1,AI45&gt;0.5),TEXT(AI45,"0")&amp;" ac not used - resold as raw land. ","")&amp;IF(AND(AM45=1,AC45&lt;1),"Demand caps it at "&amp;TEXT(AK45,"#,##0")&amp;" "&amp;Use_Library!$D$44&amp;". ","")&amp;IF(AND(AM45=1,L45=1),"Rezone required (+"&amp;Location!$C$32&amp;" mo). ","")&amp;IF(AND(AM45=1,BA45=1),"State wastewater permit needed. ","")&amp;IF(AND(AM45=1,AV45=1),"Public water system needed. ","")&amp;AP45&amp;IF(Parcel!$C$16&gt;Assumptions!$C$29,"Floodplain over "&amp;TEXT(Assumptions!$C$29,"0%")&amp;". ","")&amp;IF(AND(AM45=1,EV45&gt;60),"Over 5 years to exit. ",""))</f>
        <v/>
      </c>
      <c r="FE45" s="20">
        <f>IF(AND(Org_Profile!$C$5="My uses",E45=0),-1E+9,ES45)+ROW()/1000000</f>
        <v/>
      </c>
    </row>
    <row r="46">
      <c r="A46" s="4">
        <f>Use_Library!$A$45</f>
        <v/>
      </c>
      <c r="B46" s="9">
        <f>Use_Library!$C$45</f>
        <v/>
      </c>
      <c r="C46" s="9">
        <f>Use_Library!$D$45</f>
        <v/>
      </c>
      <c r="D46" s="9">
        <f>Use_Library!$F$45</f>
        <v/>
      </c>
      <c r="E46" s="15">
        <f>IF(Org_Profile!$C$62="Y",1,0)</f>
        <v/>
      </c>
      <c r="F46" s="14">
        <f>MAX(0,Parcel!$C$37*(1-Use_Library!$N$45-IF(Use_Library!$AB$45="Y",Assumptions!$C$7,0)))</f>
        <v/>
      </c>
      <c r="G46" s="14">
        <f>IF(Use_Library!$M$45&gt;0,MIN(F46,Use_Library!$M$45),F46)</f>
        <v/>
      </c>
      <c r="H46" s="23">
        <f>IF(F46=0,0,G46/F46)</f>
        <v/>
      </c>
      <c r="I46" s="14">
        <f>Parcel!$C$37*H46</f>
        <v/>
      </c>
      <c r="J46" s="9">
        <f>IF(ISNUMBER(SEARCH(","&amp;Use_Library!$F$45&amp;",",","&amp;SUBSTITUTE(Parcel!$C$11," ","")&amp;",")),"Deed restricted",IF(Parcel!$C$46=0,"No zoning",IF(ISNUMBER(SEARCH(","&amp;Use_Library!$F$45&amp;",",","&amp;SUBSTITUTE(Parcel!$C$10," ","")&amp;",")),"By right",IF(OR(TRIM(Parcel!$C$12)="*",ISNUMBER(SEARCH(","&amp;Use_Library!$F$45&amp;",",","&amp;SUBSTITUTE(Parcel!$C$12," ","")&amp;","))),"Rezone required","Prohibited by zoning"))))</f>
        <v/>
      </c>
      <c r="K46" s="15">
        <f>IF(OR(J46="Deed restricted",J46="Prohibited by zoning"),0,1)</f>
        <v/>
      </c>
      <c r="L46" s="15">
        <f>IF(J46="Rezone required",1,0)</f>
        <v/>
      </c>
      <c r="M46" s="15">
        <f>IF(Parcel!$C$20="None",0,IF(AND(Parcel!$C$20="Private easement",Use_Library!$BA$45="Y"),0,1))</f>
        <v/>
      </c>
      <c r="N46" s="15">
        <f>IF(AND(Use_Library!$AZ$45="Y",Parcel!$C$19&lt;Use_Library!$AY$45),0,1)</f>
        <v/>
      </c>
      <c r="O46" s="15">
        <f>IF(AND(Use_Library!$T$45="Y",Parcel!$C$39=0),0,1)</f>
        <v/>
      </c>
      <c r="P46" s="15">
        <f>IF(AND(Use_Library!$U$45="Y",Parcel!$C$38=0),0,1)</f>
        <v/>
      </c>
      <c r="Q46" s="9">
        <f>TRIM(IF(AND(Use_Library!$BB$45&gt;0,Parcel!$C$28&lt;Use_Library!$BB$45),"Traffic under "&amp;TEXT(Use_Library!$BB$45,"#,##0")&amp;" VPD. ","")&amp;IF(AND(Use_Library!$BC$45&gt;0,Parcel!$C$29&lt;Use_Library!$BC$45),"Under "&amp;TEXT(Use_Library!$BC$45,"#,##0")&amp;" households in 3 mi. ","")&amp;IF(AND(Use_Library!$BD$45&gt;0,Parcel!$C$31&gt;Use_Library!$BD$45),"Over "&amp;Use_Library!$BD$45&amp;" mi to highway. ","")&amp;IF(AND(Use_Library!$BE$45="Y",Parcel!$C$32&lt;&gt;"Y"),"Needs a corner. ","")&amp;IF(AND(Use_Library!$BF$45&gt;0,Parcel!$C$33&gt;Use_Library!$BF$45),"Over "&amp;Use_Library!$BF$45&amp;" mi to substation. ","")&amp;IF(AND(Use_Library!$BG$45&gt;0,Parcel!$C$34&gt;Use_Library!$BG$45),"Over "&amp;Use_Library!$BG$45&amp;" mi to a major employer. ",""))</f>
        <v/>
      </c>
      <c r="R46" s="15">
        <f>IF(Q46="",1,0)</f>
        <v/>
      </c>
      <c r="S46" s="15">
        <f>IF(F46&gt;=Use_Library!$L$45,1,0)</f>
        <v/>
      </c>
      <c r="T46" s="15">
        <f>K46*M46*N46*O46*P46*R46*S46</f>
        <v/>
      </c>
      <c r="U46" s="14">
        <f>IF(Use_Library!$G$45&gt;0,I46*Use_Library!$G$45,1E+9)</f>
        <v/>
      </c>
      <c r="V46" s="14">
        <f>IF(Use_Library!$H$45&gt;0,G46*43560/Use_Library!$H$45,1E+9)</f>
        <v/>
      </c>
      <c r="W46" s="14">
        <f>IF(AND(Use_Library!$K$45="Y",Parcel!$C$39=0),G46*(1-Assumptions!$C$8)/IF(Parcel!$C$38=1,Location!$C$25,Location!$C$26),1E+9)</f>
        <v/>
      </c>
      <c r="X46" s="14">
        <f>IF(Use_Library!$I$45&gt;0,Parcel!$C$14*H46/Use_Library!$I$45,1E+9)</f>
        <v/>
      </c>
      <c r="Y46" s="14">
        <f>IF(Use_Library!$J$45&gt;0,Parcel!$C$19/Use_Library!$J$45,1E+9)</f>
        <v/>
      </c>
      <c r="Z46" s="14">
        <f>IF(AND(Parcel!$C$39=0,Use_Library!$K$45="N",Use_Library!$Y$45&gt;0,Use_Library!$Z$45="Y"),G46*Location!$C$27*Parcel!$C$45/Use_Library!$Y$45,1E+9)</f>
        <v/>
      </c>
      <c r="AA46" s="14">
        <f>MIN(U46,V46,W46,X46,Y46,Z46)</f>
        <v/>
      </c>
      <c r="AB46" s="14">
        <f>IF(Use_Library!$O$45&gt;0,IF(Use_Library!$P$45&gt;=10,Parcel!$C$30,Parcel!$C$29)*Use_Library!$O$45*Use_Library!$Q$45,1E+9)</f>
        <v/>
      </c>
      <c r="AC46" s="23">
        <f>IF(OR(AA46&gt;=1E+9,AA46&lt;=0),1,MIN(1,AB46/AA46))</f>
        <v/>
      </c>
      <c r="AD46" s="14">
        <f>G46*AC46</f>
        <v/>
      </c>
      <c r="AE46" s="23">
        <f>IF(F46=0,0,AD46/F46)</f>
        <v/>
      </c>
      <c r="AF46" s="14">
        <f>Parcel!$C$37*AE46</f>
        <v/>
      </c>
      <c r="AG46" s="14">
        <f>AF46*IF(Use_Library!$AB$45="Y",Assumptions!$C$7,0)</f>
        <v/>
      </c>
      <c r="AH46" s="14">
        <f>AF46*(1-Use_Library!$N$45)</f>
        <v/>
      </c>
      <c r="AI46" s="14">
        <f>Parcel!$C$14*(1-AE46)</f>
        <v/>
      </c>
      <c r="AJ46" s="14">
        <f>MIN(AA46,AB46)</f>
        <v/>
      </c>
      <c r="AK46" s="25">
        <f>IF(T46=0,0,IF(AJ46&gt;=1E+9,AD46,IF(Use_Library!$E$45="Y",INT(AJ46+1E-9),AJ46)))</f>
        <v/>
      </c>
      <c r="AL46" s="9">
        <f>IF(M46=0,"No public road access",IF(K46=0,J46,IF(R46=0,"Location fails",IF(N46=0,"Frontage under "&amp;Use_Library!$AY$45&amp;" LF",IF(S46=0,"Too small - needs "&amp;Use_Library!$L$45&amp;" usable ac",IF(O46=0,"Needs public sewer",IF(P46=0,"Needs public water",IF(AJ46&gt;=1E+9,"Usable acres",IF(AB46&lt;=AA46,"Market demand",IF(W46=AA46,"Septic lot size",IF(Z46=AA46,"Septic capacity (gal/day)",IF(X46=AA46,"Min lot size",IF(Y46=AA46,"Road frontage",IF(V46=AA46,"Site area / parking","Density"))))))))))))))</f>
        <v/>
      </c>
      <c r="AM46" s="15">
        <f>IF(AK46&gt;0,1,0)</f>
        <v/>
      </c>
      <c r="AN46" s="15">
        <f>IF(Use_Library!$Z$45="Y",1,0)*AM46</f>
        <v/>
      </c>
      <c r="AO46" s="14">
        <f>IF(Parcel!$C$39=0,MIN(U46,V46,X46,Y46,AB46),0)</f>
        <v/>
      </c>
      <c r="AP46" s="9">
        <f>IF(AND(Parcel!$C$39=0,M46*K46*R46*N46*S46*P46=1,AO46&lt;1E+9,AO46&gt;=MAX(1,AK46)*1.25),"Unlock: sewer or package plant allows ~"&amp;TEXT(INT(AO46),"#,##0")&amp;" "&amp;Use_Library!$D$45&amp;". ","")</f>
        <v/>
      </c>
      <c r="AQ46" s="15">
        <f>AK46*Use_Library!$AC$45*AN46</f>
        <v/>
      </c>
      <c r="AR46" s="15">
        <f>AK46*Use_Library!$AD$45*AN46</f>
        <v/>
      </c>
      <c r="AS46" s="14">
        <f>AK46*Use_Library!$V$45*AN46</f>
        <v/>
      </c>
      <c r="AT46" s="15">
        <f>IF(Parcel!$C$38=1,AQ46+Parcel!$C$40,0)*AN46</f>
        <v/>
      </c>
      <c r="AU46" s="14">
        <f>AS46*Parcel!$C$38</f>
        <v/>
      </c>
      <c r="AV46" s="15">
        <f>IF(AND(Parcel!$C$38=0,Use_Library!$K$45="N",AS46&gt;=Location!$C$30),1,0)*AN46</f>
        <v/>
      </c>
      <c r="AW46" s="15">
        <f>IF(Parcel!$C$39=1,AQ46+Parcel!$C$41,0)*AN46</f>
        <v/>
      </c>
      <c r="AX46" s="14">
        <f>AS46*Parcel!$C$39</f>
        <v/>
      </c>
      <c r="AY46" s="14">
        <f>IF(Parcel!$C$39=0,AK46*Use_Library!$W$45,0)*AN46</f>
        <v/>
      </c>
      <c r="AZ46" s="15">
        <f>IF(Parcel!$C$39=0,AK46*Use_Library!$Y$45,0)*AN46</f>
        <v/>
      </c>
      <c r="BA46" s="15">
        <f>IF(AND(Use_Library!$K$45="N",AZ46&gt;Location!$C$28),1,0)</f>
        <v/>
      </c>
      <c r="BB46" s="14">
        <f>IF(AND(Parcel!$C$38=0,AV46=0),AK46*Use_Library!$X$45,0)*AN46</f>
        <v/>
      </c>
      <c r="BC46" s="14">
        <f>AH46*Parcel!$C$18*Use_Library!$AA$45*AN46</f>
        <v/>
      </c>
      <c r="BD46" s="14">
        <f>AH46*Use_Library!$AA$45*AN46</f>
        <v/>
      </c>
      <c r="BE46" s="15">
        <f>IF(Use_Library!$C$45="For-Sale",IF(Use_Library!$E$45="Y",AK46,1),1)*AM46</f>
        <v/>
      </c>
      <c r="BF46" s="15">
        <f>IF(OR(Use_Library!$F$45="RES-SF",Use_Library!$F$45="RES-ATT",Use_Library!$F$45="RES-MF",Use_Library!$F$45="MH"),1,0)</f>
        <v/>
      </c>
      <c r="BG46" s="20">
        <f>Cost_Library!$J$5*Location!$C$9*AM46</f>
        <v/>
      </c>
      <c r="BH46" s="20">
        <f>BE46*Cost_Library!$J$6*Location!$C$9</f>
        <v/>
      </c>
      <c r="BI46" s="20">
        <f>BD46*Cost_Library!$J$7*Location!$C$9</f>
        <v/>
      </c>
      <c r="BJ46" s="20">
        <f>Cost_Library!$J$8*Location!$C$9*AN46*IF(Use_Library!$AA$45&gt;=0.5,1,0)</f>
        <v/>
      </c>
      <c r="BK46" s="20">
        <f>AY46*Cost_Library!$J$9*Location!$C$9</f>
        <v/>
      </c>
      <c r="BL46" s="20">
        <f>BA46*Cost_Library!$J$10*Location!$C$9</f>
        <v/>
      </c>
      <c r="BM46" s="20">
        <f>Cost_Library!$J$11*Location!$C$9*AM46</f>
        <v/>
      </c>
      <c r="BN46" s="20">
        <f>Cost_Library!$J$12*Location!$C$9*AN46*IF(Use_Library!$AB$45="Y",1,0)</f>
        <v/>
      </c>
      <c r="BO46" s="20">
        <f>Use_Effective!$C$45*AM46</f>
        <v/>
      </c>
      <c r="BP46" s="20">
        <f>L46*Location!$C$31*AM46</f>
        <v/>
      </c>
      <c r="BQ46" s="20">
        <f>Cost_Library!$J$13*Location!$C$9*AM46</f>
        <v/>
      </c>
      <c r="BR46" s="20">
        <f>BC46*Cost_Library!$J$14*Location!$C$9</f>
        <v/>
      </c>
      <c r="BS46" s="20">
        <f>BD46*Cost_Library!$J$15*Location!$C$9*Parcel!$C$43</f>
        <v/>
      </c>
      <c r="BT46" s="20">
        <f>AQ46*Cost_Library!$J$16*Location!$C$9</f>
        <v/>
      </c>
      <c r="BU46" s="20">
        <f>AR46*Cost_Library!$J$17*Location!$C$9</f>
        <v/>
      </c>
      <c r="BV46" s="20">
        <f>AG46*Cost_Library!$J$18*Location!$C$9*AN46</f>
        <v/>
      </c>
      <c r="BW46" s="20">
        <f>BD46*Cost_Library!$J$19*Location!$C$9</f>
        <v/>
      </c>
      <c r="BX46" s="20">
        <f>IF(Use_Library!$AZ$45="Y",1,0)*Cost_Library!$J$20*Location!$C$9*AN46</f>
        <v/>
      </c>
      <c r="BY46" s="20">
        <f>AT46*Cost_Library!$J$21*Location!$C$9</f>
        <v/>
      </c>
      <c r="BZ46" s="20">
        <f>AU46*Cost_Library!$J$22*Location!$C$9</f>
        <v/>
      </c>
      <c r="CA46" s="20">
        <f>AW46*Cost_Library!$J$23*Location!$C$9</f>
        <v/>
      </c>
      <c r="CB46" s="20">
        <f>AX46*Cost_Library!$J$24*Location!$C$9</f>
        <v/>
      </c>
      <c r="CC46" s="20">
        <f>AY46*Cost_Library!$J$25*Location!$C$9*Parcel!$C$44</f>
        <v/>
      </c>
      <c r="CD46" s="20">
        <f>BB46*Cost_Library!$J$26*Location!$C$9</f>
        <v/>
      </c>
      <c r="CE46" s="20">
        <f>AV46*(Cost_Library!$J$27+AS46*Cost_Library!$J$28)*Location!$C$9</f>
        <v/>
      </c>
      <c r="CF46" s="20">
        <f>AQ46*Cost_Library!$J$29*Location!$C$9</f>
        <v/>
      </c>
      <c r="CG46" s="20">
        <f>SUM(BG46:CF46)</f>
        <v/>
      </c>
      <c r="CH46" s="20">
        <f>CG46*Assumptions!$C$9</f>
        <v/>
      </c>
      <c r="CI46" s="20">
        <f>(CG46+CH46)*Org_Profile!$C$17</f>
        <v/>
      </c>
      <c r="CJ46" s="20">
        <f>CG46+CH46+CI46</f>
        <v/>
      </c>
      <c r="CK46" s="20">
        <f>AK46*Use_Effective!$B$45*(1+Org_Profile!$C$17)</f>
        <v/>
      </c>
      <c r="CL46" s="20">
        <f>CK46*(Assumptions!$C$10+Assumptions!$C$11)</f>
        <v/>
      </c>
      <c r="CM46" s="20">
        <f>AK46*Use_Effective!$D$45</f>
        <v/>
      </c>
      <c r="CN46" s="20">
        <f>AK46*Location!$C$21*BF46*AM46</f>
        <v/>
      </c>
      <c r="CO46" s="14">
        <f>Use_Effective!$F$45+L46*Location!$C$32+BA46*Location!$C$29</f>
        <v/>
      </c>
      <c r="CP46" s="14">
        <f>IF(Use_Effective!$P$45&gt;0,IF(Use_Library!$C$45="For-Sale",AK46,AD46)/Use_Effective!$P$45,0)*AM46</f>
        <v/>
      </c>
      <c r="CQ46" s="14">
        <f>IF(AND(Use_Library!$C$45="For-Sale",Use_Effective!$O$45&gt;0),AK46/Use_Effective!$O$45,0)*AM46</f>
        <v/>
      </c>
      <c r="CR46" s="14">
        <f>IF(Use_Library!$C$45="Income",MAX(Use_Library!$AQ$45,IF(Use_Effective!$O$45&gt;0,AK46/Use_Effective!$O$45,0)),0)</f>
        <v/>
      </c>
      <c r="CS46" s="14">
        <f>CO46+CP46</f>
        <v/>
      </c>
      <c r="CT46" s="14">
        <f>CO46+CQ46+CR46</f>
        <v/>
      </c>
      <c r="CU46" s="14">
        <f>CO46+IF(Use_Library!$C$45="Income",CR46,0)</f>
        <v/>
      </c>
      <c r="CV46" s="23">
        <f>Use_Effective!$G$45+Assumptions!$C$25*MAX(0,(CS46-12)/12)</f>
        <v/>
      </c>
      <c r="CW46" s="23">
        <f>Use_Effective!$G$45+Assumptions!$C$25*MAX(0,(CT46-12)/12)</f>
        <v/>
      </c>
      <c r="CX46" s="23">
        <f>Use_Effective!$G$45+Assumptions!$C$25*MAX(0,(CU46-12)/12)</f>
        <v/>
      </c>
      <c r="CY46" s="28">
        <f>1+Location!$C$17+IF(Parcel!$C$26="Y",Location!$C$20,0)</f>
        <v/>
      </c>
      <c r="CZ46" s="28">
        <f>CY46+Location!$C$19*(CO46+CP46/2)/12</f>
        <v/>
      </c>
      <c r="DA46" s="28">
        <f>CY46+Location!$C$19*(CO46+CQ46/2)/12</f>
        <v/>
      </c>
      <c r="DB46" s="28">
        <f>IF(Use_Library!$C$45="Income",DA46,CY46+Location!$C$19*CO46/12)</f>
        <v/>
      </c>
      <c r="DC46" s="28">
        <f>1+Assumptions!$C$15*(Assumptions!$C$16*(CO46+CP46/2)/12*Assumptions!$C$18+Assumptions!$C$17)</f>
        <v/>
      </c>
      <c r="DD46" s="28">
        <f>1+Assumptions!$C$15*(Assumptions!$C$16*((CO46+CQ46/2)/12*Assumptions!$C$18+CR46/12*Assumptions!$C$19)+Assumptions!$C$17)</f>
        <v/>
      </c>
      <c r="DE46" s="28">
        <f>IF(Use_Library!$C$45="Income",DD46,1+Assumptions!$C$15*(Assumptions!$C$16*CO46/12*Assumptions!$C$18+Assumptions!$C$17))</f>
        <v/>
      </c>
      <c r="DF46" s="23">
        <f>Assumptions!$C$13+Location!$C$18</f>
        <v/>
      </c>
      <c r="DG46" s="23">
        <f>Assumptions!$C$12+Location!$C$18</f>
        <v/>
      </c>
      <c r="DH46" s="23">
        <f>Assumptions!$C$14+Location!$C$18</f>
        <v/>
      </c>
      <c r="DI46" s="20">
        <f>AI46*Location!$C$14*(1-DF46)*AM46</f>
        <v/>
      </c>
      <c r="DJ46" s="20">
        <f>IF(Use_Library!$AV$45=1,IF(Use_Library!$C$45="For-Sale",AK46*Use_Effective!$H$45+Parcel!$C$14*AE46*Use_Effective!$J$45,AD46*Use_Effective!$J$45)*(1-DF46)+DI46,0)*AM46</f>
        <v/>
      </c>
      <c r="DK46" s="20">
        <f>(CG46-BU46-CC46-CD46)*(1+Assumptions!$C$9)*(1+Org_Profile!$C$17)</f>
        <v/>
      </c>
      <c r="DL46" s="28">
        <f>CZ46*DC46</f>
        <v/>
      </c>
      <c r="DM46" s="20">
        <f>(Parcel!$C$27*CZ46+DK46)*DC46</f>
        <v/>
      </c>
      <c r="DN46" s="20">
        <f>DJ46-DM46</f>
        <v/>
      </c>
      <c r="DO46" s="38">
        <f>IF(AND(Use_Library!$AV$45=1,AM46=1),MAX(0,((1-CV46)*DJ46-DK46*DC46)/DL46),0)</f>
        <v/>
      </c>
      <c r="DP46" s="20">
        <f>CJ46+CK46+CL46+CM46+CN46</f>
        <v/>
      </c>
      <c r="DQ46" s="28">
        <f>DA46*DD46</f>
        <v/>
      </c>
      <c r="DR46" s="20">
        <f>(Parcel!$C$27*DA46+DP46)*DD46</f>
        <v/>
      </c>
      <c r="DS46" s="20">
        <f>IF(Use_Library!$C$45="Income",AK46*Use_Effective!$K$45,0)</f>
        <v/>
      </c>
      <c r="DT46" s="20">
        <f>DS46*(1+Use_Library!$AL$45)*(1-Use_Effective!$N$45)</f>
        <v/>
      </c>
      <c r="DU46" s="20">
        <f>IF(Use_Library!$C$45="Income",AK46*Use_Effective!$E$45,0)</f>
        <v/>
      </c>
      <c r="DV46" s="20">
        <f>IF(Use_Library!$C$45="Income",Location!$C$15*Location!$C$16*DR46,0)</f>
        <v/>
      </c>
      <c r="DW46" s="20">
        <f>DT46*Use_Library!$AO$45</f>
        <v/>
      </c>
      <c r="DX46" s="20">
        <f>(DU46+DV46)*Use_Library!$AP$45</f>
        <v/>
      </c>
      <c r="DY46" s="20">
        <f>DT46-DU46-DV46-DW46+DX46</f>
        <v/>
      </c>
      <c r="DZ46" s="26">
        <f>Use_Effective!$M$45</f>
        <v/>
      </c>
      <c r="EA46" s="20">
        <f>IF(AND(Use_Library!$C$45="Income",DZ46&gt;0),DY46/DZ46,0)</f>
        <v/>
      </c>
      <c r="EB46" s="39">
        <f>IF(Use_Library!$C$45="Income",-Location!$C$15*Location!$C$16*(1-Use_Library!$AP$45)*DQ46,0)</f>
        <v/>
      </c>
      <c r="EC46" s="23">
        <f>IF(DR46=0,0,DY46/DR46)</f>
        <v/>
      </c>
      <c r="ED46" s="20">
        <f>IF(Use_Library!$AW$45=1,IF(Use_Library!$C$45="Income",EA46*(1-DH46),AK46*Use_Effective!$I$45*(1-DG46))+DI46,0)*AM46</f>
        <v/>
      </c>
      <c r="EE46" s="39">
        <f>IF(AND(Use_Library!$AW$45=1,Use_Library!$C$45="Income",DZ46&gt;0),EB46/DZ46*(1-DH46),0)</f>
        <v/>
      </c>
      <c r="EF46" s="20">
        <f>ED46-DR46</f>
        <v/>
      </c>
      <c r="EG46" s="38">
        <f>IF(AND(Use_Library!$AW$45=1,AM46=1),MAX(0,Parcel!$C$27-((1-CW46)*ED46-DR46)/((1-CW46)*EE46-DQ46)),0)</f>
        <v/>
      </c>
      <c r="EH46" s="20">
        <f>IF(Use_Library!$AX$45=1,IF(Use_Library!$C$45="Income",EA46,IF(DZ46&gt;0,AD46*Use_Effective!$L$45/DZ46,0))+DI46,0)*AM46</f>
        <v/>
      </c>
      <c r="EI46" s="20">
        <f>IF(Use_Library!$C$45="Income",DP46,CJ46)</f>
        <v/>
      </c>
      <c r="EJ46" s="28">
        <f>IF(Use_Library!$C$45="Income",DQ46,DB46*DE46)</f>
        <v/>
      </c>
      <c r="EK46" s="20">
        <f>IF(Use_Library!$C$45="Income",DR46,(Parcel!$C$27*DB46+CJ46)*DE46)</f>
        <v/>
      </c>
      <c r="EL46" s="39">
        <f>IF(AND(Use_Library!$AX$45=1,Use_Library!$C$45="Income",DZ46&gt;0),EB46/DZ46,0)</f>
        <v/>
      </c>
      <c r="EM46" s="20">
        <f>EH46-EK46</f>
        <v/>
      </c>
      <c r="EN46" s="38">
        <f>IF(AND(Use_Library!$AX$45=1,AM46=1),MAX(0,Parcel!$C$27-((1-CX46)*EH46-EK46)/((1-CX46)*EL46-EJ46)),0)</f>
        <v/>
      </c>
      <c r="EO46" s="20">
        <f>IF(Use_Library!$C$45="Income",Assumptions!$C$15*(Parcel!$C$27*DA46+DP46),0)</f>
        <v/>
      </c>
      <c r="EP46" s="20">
        <f>IF(AND(Use_Library!$C$45="Income",DY46&gt;0),MIN(Assumptions!$C$20*EA46,PV(Assumptions!$C$23/12,Assumptions!$C$24*12,-DY46/Assumptions!$C$21/12),DY46/Assumptions!$C$22),0)</f>
        <v/>
      </c>
      <c r="EQ46" s="27">
        <f>IF(EP46=0,0,DY46/(-PMT(Assumptions!$C$23/12,Assumptions!$C$24*12,EP46)*12))</f>
        <v/>
      </c>
      <c r="ER46" s="20">
        <f>EP46-EO46</f>
        <v/>
      </c>
      <c r="ES46" s="19">
        <f>MAX(DO46,EG46,EN46)</f>
        <v/>
      </c>
      <c r="ET46" s="15">
        <f>IF(ES46&lt;=0,0,IF(DO46=ES46,1,IF(EG46=ES46,2,3)))</f>
        <v/>
      </c>
      <c r="EU46" s="9">
        <f>CHOOSE(ET46+1,"None works","Land / pad sale","Build &amp; sell","Build &amp; hold / lease")</f>
        <v/>
      </c>
      <c r="EV46" s="15">
        <f>CHOOSE(ET46+1,0,CS46,CT46,CU46)</f>
        <v/>
      </c>
      <c r="EW46" s="20">
        <f>ES46*(1-Assumptions!$C$26)</f>
        <v/>
      </c>
      <c r="EX46" s="20">
        <f>ES46-Parcel!$C$27</f>
        <v/>
      </c>
      <c r="EY46" s="20">
        <f>IF(Parcel!$C$14=0,0,ES46/Parcel!$C$14)</f>
        <v/>
      </c>
      <c r="EZ46" s="36">
        <f>IF(AK46=0,0,ES46/AK46)</f>
        <v/>
      </c>
      <c r="FA46" s="9">
        <f>IF(ES46&lt;=0,"Pass",IF(ES46&gt;=Parcel!$C$27*Assumptions!$C$27,"Strong",IF(ES46&gt;=Parcel!$C$27,"Works at asking",IF(ES46&gt;=Parcel!$C$27*Assumptions!$C$28,"Negotiate","Pass"))))</f>
        <v/>
      </c>
      <c r="FB46" s="9">
        <f>IF(AM46=0,"",IF(Use_Library!$BH$45="Y",IF(Use_Effective!$AF$45&gt;=3,"High","Medium"),"Low - verify location"))</f>
        <v/>
      </c>
      <c r="FC46" s="9">
        <f>IF(AND(Use_Library!$BH$45="N",AM46=1),Use_Library!$BI$45,"")</f>
        <v/>
      </c>
      <c r="FD46" s="9">
        <f>TRIM(Q46&amp;" "&amp;IF(AND(AM46=0,T46=1),"Nothing fits. ","")&amp;IF(AND(Use_Library!$AZ$45&lt;&gt;"Y",Parcel!$C$19&lt;Use_Library!$AY$45),"Frontage under "&amp;Use_Library!$AY$45&amp;" LF. ","")&amp;IF(Parcel!$C$17&gt;0.15,"Slope over 15%. ","")&amp;IF(AND(AM46=1,AI46&gt;0.5),TEXT(AI46,"0")&amp;" ac not used - resold as raw land. ","")&amp;IF(AND(AM46=1,AC46&lt;1),"Demand caps it at "&amp;TEXT(AK46,"#,##0")&amp;" "&amp;Use_Library!$D$45&amp;". ","")&amp;IF(AND(AM46=1,L46=1),"Rezone required (+"&amp;Location!$C$32&amp;" mo). ","")&amp;IF(AND(AM46=1,BA46=1),"State wastewater permit needed. ","")&amp;IF(AND(AM46=1,AV46=1),"Public water system needed. ","")&amp;AP46&amp;IF(Parcel!$C$16&gt;Assumptions!$C$29,"Floodplain over "&amp;TEXT(Assumptions!$C$29,"0%")&amp;". ","")&amp;IF(AND(AM46=1,EV46&gt;60),"Over 5 years to exit. ",""))</f>
        <v/>
      </c>
      <c r="FE46" s="20">
        <f>IF(AND(Org_Profile!$C$5="My uses",E46=0),-1E+9,ES46)+ROW()/1000000</f>
        <v/>
      </c>
    </row>
    <row r="47">
      <c r="A47" s="4">
        <f>Use_Library!$A$46</f>
        <v/>
      </c>
      <c r="B47" s="9">
        <f>Use_Library!$C$46</f>
        <v/>
      </c>
      <c r="C47" s="9">
        <f>Use_Library!$D$46</f>
        <v/>
      </c>
      <c r="D47" s="9">
        <f>Use_Library!$F$46</f>
        <v/>
      </c>
      <c r="E47" s="15">
        <f>IF(Org_Profile!$C$63="Y",1,0)</f>
        <v/>
      </c>
      <c r="F47" s="14">
        <f>MAX(0,Parcel!$C$37*(1-Use_Library!$N$46-IF(Use_Library!$AB$46="Y",Assumptions!$C$7,0)))</f>
        <v/>
      </c>
      <c r="G47" s="14">
        <f>IF(Use_Library!$M$46&gt;0,MIN(F47,Use_Library!$M$46),F47)</f>
        <v/>
      </c>
      <c r="H47" s="23">
        <f>IF(F47=0,0,G47/F47)</f>
        <v/>
      </c>
      <c r="I47" s="14">
        <f>Parcel!$C$37*H47</f>
        <v/>
      </c>
      <c r="J47" s="9">
        <f>IF(ISNUMBER(SEARCH(","&amp;Use_Library!$F$46&amp;",",","&amp;SUBSTITUTE(Parcel!$C$11," ","")&amp;",")),"Deed restricted",IF(Parcel!$C$46=0,"No zoning",IF(ISNUMBER(SEARCH(","&amp;Use_Library!$F$46&amp;",",","&amp;SUBSTITUTE(Parcel!$C$10," ","")&amp;",")),"By right",IF(OR(TRIM(Parcel!$C$12)="*",ISNUMBER(SEARCH(","&amp;Use_Library!$F$46&amp;",",","&amp;SUBSTITUTE(Parcel!$C$12," ","")&amp;","))),"Rezone required","Prohibited by zoning"))))</f>
        <v/>
      </c>
      <c r="K47" s="15">
        <f>IF(OR(J47="Deed restricted",J47="Prohibited by zoning"),0,1)</f>
        <v/>
      </c>
      <c r="L47" s="15">
        <f>IF(J47="Rezone required",1,0)</f>
        <v/>
      </c>
      <c r="M47" s="15">
        <f>IF(Parcel!$C$20="None",0,IF(AND(Parcel!$C$20="Private easement",Use_Library!$BA$46="Y"),0,1))</f>
        <v/>
      </c>
      <c r="N47" s="15">
        <f>IF(AND(Use_Library!$AZ$46="Y",Parcel!$C$19&lt;Use_Library!$AY$46),0,1)</f>
        <v/>
      </c>
      <c r="O47" s="15">
        <f>IF(AND(Use_Library!$T$46="Y",Parcel!$C$39=0),0,1)</f>
        <v/>
      </c>
      <c r="P47" s="15">
        <f>IF(AND(Use_Library!$U$46="Y",Parcel!$C$38=0),0,1)</f>
        <v/>
      </c>
      <c r="Q47" s="9">
        <f>TRIM(IF(AND(Use_Library!$BB$46&gt;0,Parcel!$C$28&lt;Use_Library!$BB$46),"Traffic under "&amp;TEXT(Use_Library!$BB$46,"#,##0")&amp;" VPD. ","")&amp;IF(AND(Use_Library!$BC$46&gt;0,Parcel!$C$29&lt;Use_Library!$BC$46),"Under "&amp;TEXT(Use_Library!$BC$46,"#,##0")&amp;" households in 3 mi. ","")&amp;IF(AND(Use_Library!$BD$46&gt;0,Parcel!$C$31&gt;Use_Library!$BD$46),"Over "&amp;Use_Library!$BD$46&amp;" mi to highway. ","")&amp;IF(AND(Use_Library!$BE$46="Y",Parcel!$C$32&lt;&gt;"Y"),"Needs a corner. ","")&amp;IF(AND(Use_Library!$BF$46&gt;0,Parcel!$C$33&gt;Use_Library!$BF$46),"Over "&amp;Use_Library!$BF$46&amp;" mi to substation. ","")&amp;IF(AND(Use_Library!$BG$46&gt;0,Parcel!$C$34&gt;Use_Library!$BG$46),"Over "&amp;Use_Library!$BG$46&amp;" mi to a major employer. ",""))</f>
        <v/>
      </c>
      <c r="R47" s="15">
        <f>IF(Q47="",1,0)</f>
        <v/>
      </c>
      <c r="S47" s="15">
        <f>IF(F47&gt;=Use_Library!$L$46,1,0)</f>
        <v/>
      </c>
      <c r="T47" s="15">
        <f>K47*M47*N47*O47*P47*R47*S47</f>
        <v/>
      </c>
      <c r="U47" s="14">
        <f>IF(Use_Library!$G$46&gt;0,I47*Use_Library!$G$46,1E+9)</f>
        <v/>
      </c>
      <c r="V47" s="14">
        <f>IF(Use_Library!$H$46&gt;0,G47*43560/Use_Library!$H$46,1E+9)</f>
        <v/>
      </c>
      <c r="W47" s="14">
        <f>IF(AND(Use_Library!$K$46="Y",Parcel!$C$39=0),G47*(1-Assumptions!$C$8)/IF(Parcel!$C$38=1,Location!$C$25,Location!$C$26),1E+9)</f>
        <v/>
      </c>
      <c r="X47" s="14">
        <f>IF(Use_Library!$I$46&gt;0,Parcel!$C$14*H47/Use_Library!$I$46,1E+9)</f>
        <v/>
      </c>
      <c r="Y47" s="14">
        <f>IF(Use_Library!$J$46&gt;0,Parcel!$C$19/Use_Library!$J$46,1E+9)</f>
        <v/>
      </c>
      <c r="Z47" s="14">
        <f>IF(AND(Parcel!$C$39=0,Use_Library!$K$46="N",Use_Library!$Y$46&gt;0,Use_Library!$Z$46="Y"),G47*Location!$C$27*Parcel!$C$45/Use_Library!$Y$46,1E+9)</f>
        <v/>
      </c>
      <c r="AA47" s="14">
        <f>MIN(U47,V47,W47,X47,Y47,Z47)</f>
        <v/>
      </c>
      <c r="AB47" s="14">
        <f>IF(Use_Library!$O$46&gt;0,IF(Use_Library!$P$46&gt;=10,Parcel!$C$30,Parcel!$C$29)*Use_Library!$O$46*Use_Library!$Q$46,1E+9)</f>
        <v/>
      </c>
      <c r="AC47" s="23">
        <f>IF(OR(AA47&gt;=1E+9,AA47&lt;=0),1,MIN(1,AB47/AA47))</f>
        <v/>
      </c>
      <c r="AD47" s="14">
        <f>G47*AC47</f>
        <v/>
      </c>
      <c r="AE47" s="23">
        <f>IF(F47=0,0,AD47/F47)</f>
        <v/>
      </c>
      <c r="AF47" s="14">
        <f>Parcel!$C$37*AE47</f>
        <v/>
      </c>
      <c r="AG47" s="14">
        <f>AF47*IF(Use_Library!$AB$46="Y",Assumptions!$C$7,0)</f>
        <v/>
      </c>
      <c r="AH47" s="14">
        <f>AF47*(1-Use_Library!$N$46)</f>
        <v/>
      </c>
      <c r="AI47" s="14">
        <f>Parcel!$C$14*(1-AE47)</f>
        <v/>
      </c>
      <c r="AJ47" s="14">
        <f>MIN(AA47,AB47)</f>
        <v/>
      </c>
      <c r="AK47" s="25">
        <f>IF(T47=0,0,IF(AJ47&gt;=1E+9,AD47,IF(Use_Library!$E$46="Y",INT(AJ47+1E-9),AJ47)))</f>
        <v/>
      </c>
      <c r="AL47" s="9">
        <f>IF(M47=0,"No public road access",IF(K47=0,J47,IF(R47=0,"Location fails",IF(N47=0,"Frontage under "&amp;Use_Library!$AY$46&amp;" LF",IF(S47=0,"Too small - needs "&amp;Use_Library!$L$46&amp;" usable ac",IF(O47=0,"Needs public sewer",IF(P47=0,"Needs public water",IF(AJ47&gt;=1E+9,"Usable acres",IF(AB47&lt;=AA47,"Market demand",IF(W47=AA47,"Septic lot size",IF(Z47=AA47,"Septic capacity (gal/day)",IF(X47=AA47,"Min lot size",IF(Y47=AA47,"Road frontage",IF(V47=AA47,"Site area / parking","Density"))))))))))))))</f>
        <v/>
      </c>
      <c r="AM47" s="15">
        <f>IF(AK47&gt;0,1,0)</f>
        <v/>
      </c>
      <c r="AN47" s="15">
        <f>IF(Use_Library!$Z$46="Y",1,0)*AM47</f>
        <v/>
      </c>
      <c r="AO47" s="14">
        <f>IF(Parcel!$C$39=0,MIN(U47,V47,X47,Y47,AB47),0)</f>
        <v/>
      </c>
      <c r="AP47" s="9">
        <f>IF(AND(Parcel!$C$39=0,M47*K47*R47*N47*S47*P47=1,AO47&lt;1E+9,AO47&gt;=MAX(1,AK47)*1.25),"Unlock: sewer or package plant allows ~"&amp;TEXT(INT(AO47),"#,##0")&amp;" "&amp;Use_Library!$D$46&amp;". ","")</f>
        <v/>
      </c>
      <c r="AQ47" s="15">
        <f>AK47*Use_Library!$AC$46*AN47</f>
        <v/>
      </c>
      <c r="AR47" s="15">
        <f>AK47*Use_Library!$AD$46*AN47</f>
        <v/>
      </c>
      <c r="AS47" s="14">
        <f>AK47*Use_Library!$V$46*AN47</f>
        <v/>
      </c>
      <c r="AT47" s="15">
        <f>IF(Parcel!$C$38=1,AQ47+Parcel!$C$40,0)*AN47</f>
        <v/>
      </c>
      <c r="AU47" s="14">
        <f>AS47*Parcel!$C$38</f>
        <v/>
      </c>
      <c r="AV47" s="15">
        <f>IF(AND(Parcel!$C$38=0,Use_Library!$K$46="N",AS47&gt;=Location!$C$30),1,0)*AN47</f>
        <v/>
      </c>
      <c r="AW47" s="15">
        <f>IF(Parcel!$C$39=1,AQ47+Parcel!$C$41,0)*AN47</f>
        <v/>
      </c>
      <c r="AX47" s="14">
        <f>AS47*Parcel!$C$39</f>
        <v/>
      </c>
      <c r="AY47" s="14">
        <f>IF(Parcel!$C$39=0,AK47*Use_Library!$W$46,0)*AN47</f>
        <v/>
      </c>
      <c r="AZ47" s="15">
        <f>IF(Parcel!$C$39=0,AK47*Use_Library!$Y$46,0)*AN47</f>
        <v/>
      </c>
      <c r="BA47" s="15">
        <f>IF(AND(Use_Library!$K$46="N",AZ47&gt;Location!$C$28),1,0)</f>
        <v/>
      </c>
      <c r="BB47" s="14">
        <f>IF(AND(Parcel!$C$38=0,AV47=0),AK47*Use_Library!$X$46,0)*AN47</f>
        <v/>
      </c>
      <c r="BC47" s="14">
        <f>AH47*Parcel!$C$18*Use_Library!$AA$46*AN47</f>
        <v/>
      </c>
      <c r="BD47" s="14">
        <f>AH47*Use_Library!$AA$46*AN47</f>
        <v/>
      </c>
      <c r="BE47" s="15">
        <f>IF(Use_Library!$C$46="For-Sale",IF(Use_Library!$E$46="Y",AK47,1),1)*AM47</f>
        <v/>
      </c>
      <c r="BF47" s="15">
        <f>IF(OR(Use_Library!$F$46="RES-SF",Use_Library!$F$46="RES-ATT",Use_Library!$F$46="RES-MF",Use_Library!$F$46="MH"),1,0)</f>
        <v/>
      </c>
      <c r="BG47" s="20">
        <f>Cost_Library!$J$5*Location!$C$9*AM47</f>
        <v/>
      </c>
      <c r="BH47" s="20">
        <f>BE47*Cost_Library!$J$6*Location!$C$9</f>
        <v/>
      </c>
      <c r="BI47" s="20">
        <f>BD47*Cost_Library!$J$7*Location!$C$9</f>
        <v/>
      </c>
      <c r="BJ47" s="20">
        <f>Cost_Library!$J$8*Location!$C$9*AN47*IF(Use_Library!$AA$46&gt;=0.5,1,0)</f>
        <v/>
      </c>
      <c r="BK47" s="20">
        <f>AY47*Cost_Library!$J$9*Location!$C$9</f>
        <v/>
      </c>
      <c r="BL47" s="20">
        <f>BA47*Cost_Library!$J$10*Location!$C$9</f>
        <v/>
      </c>
      <c r="BM47" s="20">
        <f>Cost_Library!$J$11*Location!$C$9*AM47</f>
        <v/>
      </c>
      <c r="BN47" s="20">
        <f>Cost_Library!$J$12*Location!$C$9*AN47*IF(Use_Library!$AB$46="Y",1,0)</f>
        <v/>
      </c>
      <c r="BO47" s="20">
        <f>Use_Effective!$C$46*AM47</f>
        <v/>
      </c>
      <c r="BP47" s="20">
        <f>L47*Location!$C$31*AM47</f>
        <v/>
      </c>
      <c r="BQ47" s="20">
        <f>Cost_Library!$J$13*Location!$C$9*AM47</f>
        <v/>
      </c>
      <c r="BR47" s="20">
        <f>BC47*Cost_Library!$J$14*Location!$C$9</f>
        <v/>
      </c>
      <c r="BS47" s="20">
        <f>BD47*Cost_Library!$J$15*Location!$C$9*Parcel!$C$43</f>
        <v/>
      </c>
      <c r="BT47" s="20">
        <f>AQ47*Cost_Library!$J$16*Location!$C$9</f>
        <v/>
      </c>
      <c r="BU47" s="20">
        <f>AR47*Cost_Library!$J$17*Location!$C$9</f>
        <v/>
      </c>
      <c r="BV47" s="20">
        <f>AG47*Cost_Library!$J$18*Location!$C$9*AN47</f>
        <v/>
      </c>
      <c r="BW47" s="20">
        <f>BD47*Cost_Library!$J$19*Location!$C$9</f>
        <v/>
      </c>
      <c r="BX47" s="20">
        <f>IF(Use_Library!$AZ$46="Y",1,0)*Cost_Library!$J$20*Location!$C$9*AN47</f>
        <v/>
      </c>
      <c r="BY47" s="20">
        <f>AT47*Cost_Library!$J$21*Location!$C$9</f>
        <v/>
      </c>
      <c r="BZ47" s="20">
        <f>AU47*Cost_Library!$J$22*Location!$C$9</f>
        <v/>
      </c>
      <c r="CA47" s="20">
        <f>AW47*Cost_Library!$J$23*Location!$C$9</f>
        <v/>
      </c>
      <c r="CB47" s="20">
        <f>AX47*Cost_Library!$J$24*Location!$C$9</f>
        <v/>
      </c>
      <c r="CC47" s="20">
        <f>AY47*Cost_Library!$J$25*Location!$C$9*Parcel!$C$44</f>
        <v/>
      </c>
      <c r="CD47" s="20">
        <f>BB47*Cost_Library!$J$26*Location!$C$9</f>
        <v/>
      </c>
      <c r="CE47" s="20">
        <f>AV47*(Cost_Library!$J$27+AS47*Cost_Library!$J$28)*Location!$C$9</f>
        <v/>
      </c>
      <c r="CF47" s="20">
        <f>AQ47*Cost_Library!$J$29*Location!$C$9</f>
        <v/>
      </c>
      <c r="CG47" s="20">
        <f>SUM(BG47:CF47)</f>
        <v/>
      </c>
      <c r="CH47" s="20">
        <f>CG47*Assumptions!$C$9</f>
        <v/>
      </c>
      <c r="CI47" s="20">
        <f>(CG47+CH47)*Org_Profile!$C$17</f>
        <v/>
      </c>
      <c r="CJ47" s="20">
        <f>CG47+CH47+CI47</f>
        <v/>
      </c>
      <c r="CK47" s="20">
        <f>AK47*Use_Effective!$B$46*(1+Org_Profile!$C$17)</f>
        <v/>
      </c>
      <c r="CL47" s="20">
        <f>CK47*(Assumptions!$C$10+Assumptions!$C$11)</f>
        <v/>
      </c>
      <c r="CM47" s="20">
        <f>AK47*Use_Effective!$D$46</f>
        <v/>
      </c>
      <c r="CN47" s="20">
        <f>AK47*Location!$C$21*BF47*AM47</f>
        <v/>
      </c>
      <c r="CO47" s="14">
        <f>Use_Effective!$F$46+L47*Location!$C$32+BA47*Location!$C$29</f>
        <v/>
      </c>
      <c r="CP47" s="14">
        <f>IF(Use_Effective!$P$46&gt;0,IF(Use_Library!$C$46="For-Sale",AK47,AD47)/Use_Effective!$P$46,0)*AM47</f>
        <v/>
      </c>
      <c r="CQ47" s="14">
        <f>IF(AND(Use_Library!$C$46="For-Sale",Use_Effective!$O$46&gt;0),AK47/Use_Effective!$O$46,0)*AM47</f>
        <v/>
      </c>
      <c r="CR47" s="14">
        <f>IF(Use_Library!$C$46="Income",MAX(Use_Library!$AQ$46,IF(Use_Effective!$O$46&gt;0,AK47/Use_Effective!$O$46,0)),0)</f>
        <v/>
      </c>
      <c r="CS47" s="14">
        <f>CO47+CP47</f>
        <v/>
      </c>
      <c r="CT47" s="14">
        <f>CO47+CQ47+CR47</f>
        <v/>
      </c>
      <c r="CU47" s="14">
        <f>CO47+IF(Use_Library!$C$46="Income",CR47,0)</f>
        <v/>
      </c>
      <c r="CV47" s="23">
        <f>Use_Effective!$G$46+Assumptions!$C$25*MAX(0,(CS47-12)/12)</f>
        <v/>
      </c>
      <c r="CW47" s="23">
        <f>Use_Effective!$G$46+Assumptions!$C$25*MAX(0,(CT47-12)/12)</f>
        <v/>
      </c>
      <c r="CX47" s="23">
        <f>Use_Effective!$G$46+Assumptions!$C$25*MAX(0,(CU47-12)/12)</f>
        <v/>
      </c>
      <c r="CY47" s="28">
        <f>1+Location!$C$17+IF(Parcel!$C$26="Y",Location!$C$20,0)</f>
        <v/>
      </c>
      <c r="CZ47" s="28">
        <f>CY47+Location!$C$19*(CO47+CP47/2)/12</f>
        <v/>
      </c>
      <c r="DA47" s="28">
        <f>CY47+Location!$C$19*(CO47+CQ47/2)/12</f>
        <v/>
      </c>
      <c r="DB47" s="28">
        <f>IF(Use_Library!$C$46="Income",DA47,CY47+Location!$C$19*CO47/12)</f>
        <v/>
      </c>
      <c r="DC47" s="28">
        <f>1+Assumptions!$C$15*(Assumptions!$C$16*(CO47+CP47/2)/12*Assumptions!$C$18+Assumptions!$C$17)</f>
        <v/>
      </c>
      <c r="DD47" s="28">
        <f>1+Assumptions!$C$15*(Assumptions!$C$16*((CO47+CQ47/2)/12*Assumptions!$C$18+CR47/12*Assumptions!$C$19)+Assumptions!$C$17)</f>
        <v/>
      </c>
      <c r="DE47" s="28">
        <f>IF(Use_Library!$C$46="Income",DD47,1+Assumptions!$C$15*(Assumptions!$C$16*CO47/12*Assumptions!$C$18+Assumptions!$C$17))</f>
        <v/>
      </c>
      <c r="DF47" s="23">
        <f>Assumptions!$C$13+Location!$C$18</f>
        <v/>
      </c>
      <c r="DG47" s="23">
        <f>Assumptions!$C$12+Location!$C$18</f>
        <v/>
      </c>
      <c r="DH47" s="23">
        <f>Assumptions!$C$14+Location!$C$18</f>
        <v/>
      </c>
      <c r="DI47" s="20">
        <f>AI47*Location!$C$14*(1-DF47)*AM47</f>
        <v/>
      </c>
      <c r="DJ47" s="20">
        <f>IF(Use_Library!$AV$46=1,IF(Use_Library!$C$46="For-Sale",AK47*Use_Effective!$H$46+Parcel!$C$14*AE47*Use_Effective!$J$46,AD47*Use_Effective!$J$46)*(1-DF47)+DI47,0)*AM47</f>
        <v/>
      </c>
      <c r="DK47" s="20">
        <f>(CG47-BU47-CC47-CD47)*(1+Assumptions!$C$9)*(1+Org_Profile!$C$17)</f>
        <v/>
      </c>
      <c r="DL47" s="28">
        <f>CZ47*DC47</f>
        <v/>
      </c>
      <c r="DM47" s="20">
        <f>(Parcel!$C$27*CZ47+DK47)*DC47</f>
        <v/>
      </c>
      <c r="DN47" s="20">
        <f>DJ47-DM47</f>
        <v/>
      </c>
      <c r="DO47" s="38">
        <f>IF(AND(Use_Library!$AV$46=1,AM47=1),MAX(0,((1-CV47)*DJ47-DK47*DC47)/DL47),0)</f>
        <v/>
      </c>
      <c r="DP47" s="20">
        <f>CJ47+CK47+CL47+CM47+CN47</f>
        <v/>
      </c>
      <c r="DQ47" s="28">
        <f>DA47*DD47</f>
        <v/>
      </c>
      <c r="DR47" s="20">
        <f>(Parcel!$C$27*DA47+DP47)*DD47</f>
        <v/>
      </c>
      <c r="DS47" s="20">
        <f>IF(Use_Library!$C$46="Income",AK47*Use_Effective!$K$46,0)</f>
        <v/>
      </c>
      <c r="DT47" s="20">
        <f>DS47*(1+Use_Library!$AL$46)*(1-Use_Effective!$N$46)</f>
        <v/>
      </c>
      <c r="DU47" s="20">
        <f>IF(Use_Library!$C$46="Income",AK47*Use_Effective!$E$46,0)</f>
        <v/>
      </c>
      <c r="DV47" s="20">
        <f>IF(Use_Library!$C$46="Income",Location!$C$15*Location!$C$16*DR47,0)</f>
        <v/>
      </c>
      <c r="DW47" s="20">
        <f>DT47*Use_Library!$AO$46</f>
        <v/>
      </c>
      <c r="DX47" s="20">
        <f>(DU47+DV47)*Use_Library!$AP$46</f>
        <v/>
      </c>
      <c r="DY47" s="20">
        <f>DT47-DU47-DV47-DW47+DX47</f>
        <v/>
      </c>
      <c r="DZ47" s="26">
        <f>Use_Effective!$M$46</f>
        <v/>
      </c>
      <c r="EA47" s="20">
        <f>IF(AND(Use_Library!$C$46="Income",DZ47&gt;0),DY47/DZ47,0)</f>
        <v/>
      </c>
      <c r="EB47" s="39">
        <f>IF(Use_Library!$C$46="Income",-Location!$C$15*Location!$C$16*(1-Use_Library!$AP$46)*DQ47,0)</f>
        <v/>
      </c>
      <c r="EC47" s="23">
        <f>IF(DR47=0,0,DY47/DR47)</f>
        <v/>
      </c>
      <c r="ED47" s="20">
        <f>IF(Use_Library!$AW$46=1,IF(Use_Library!$C$46="Income",EA47*(1-DH47),AK47*Use_Effective!$I$46*(1-DG47))+DI47,0)*AM47</f>
        <v/>
      </c>
      <c r="EE47" s="39">
        <f>IF(AND(Use_Library!$AW$46=1,Use_Library!$C$46="Income",DZ47&gt;0),EB47/DZ47*(1-DH47),0)</f>
        <v/>
      </c>
      <c r="EF47" s="20">
        <f>ED47-DR47</f>
        <v/>
      </c>
      <c r="EG47" s="38">
        <f>IF(AND(Use_Library!$AW$46=1,AM47=1),MAX(0,Parcel!$C$27-((1-CW47)*ED47-DR47)/((1-CW47)*EE47-DQ47)),0)</f>
        <v/>
      </c>
      <c r="EH47" s="20">
        <f>IF(Use_Library!$AX$46=1,IF(Use_Library!$C$46="Income",EA47,IF(DZ47&gt;0,AD47*Use_Effective!$L$46/DZ47,0))+DI47,0)*AM47</f>
        <v/>
      </c>
      <c r="EI47" s="20">
        <f>IF(Use_Library!$C$46="Income",DP47,CJ47)</f>
        <v/>
      </c>
      <c r="EJ47" s="28">
        <f>IF(Use_Library!$C$46="Income",DQ47,DB47*DE47)</f>
        <v/>
      </c>
      <c r="EK47" s="20">
        <f>IF(Use_Library!$C$46="Income",DR47,(Parcel!$C$27*DB47+CJ47)*DE47)</f>
        <v/>
      </c>
      <c r="EL47" s="39">
        <f>IF(AND(Use_Library!$AX$46=1,Use_Library!$C$46="Income",DZ47&gt;0),EB47/DZ47,0)</f>
        <v/>
      </c>
      <c r="EM47" s="20">
        <f>EH47-EK47</f>
        <v/>
      </c>
      <c r="EN47" s="38">
        <f>IF(AND(Use_Library!$AX$46=1,AM47=1),MAX(0,Parcel!$C$27-((1-CX47)*EH47-EK47)/((1-CX47)*EL47-EJ47)),0)</f>
        <v/>
      </c>
      <c r="EO47" s="20">
        <f>IF(Use_Library!$C$46="Income",Assumptions!$C$15*(Parcel!$C$27*DA47+DP47),0)</f>
        <v/>
      </c>
      <c r="EP47" s="20">
        <f>IF(AND(Use_Library!$C$46="Income",DY47&gt;0),MIN(Assumptions!$C$20*EA47,PV(Assumptions!$C$23/12,Assumptions!$C$24*12,-DY47/Assumptions!$C$21/12),DY47/Assumptions!$C$22),0)</f>
        <v/>
      </c>
      <c r="EQ47" s="27">
        <f>IF(EP47=0,0,DY47/(-PMT(Assumptions!$C$23/12,Assumptions!$C$24*12,EP47)*12))</f>
        <v/>
      </c>
      <c r="ER47" s="20">
        <f>EP47-EO47</f>
        <v/>
      </c>
      <c r="ES47" s="19">
        <f>MAX(DO47,EG47,EN47)</f>
        <v/>
      </c>
      <c r="ET47" s="15">
        <f>IF(ES47&lt;=0,0,IF(DO47=ES47,1,IF(EG47=ES47,2,3)))</f>
        <v/>
      </c>
      <c r="EU47" s="9">
        <f>CHOOSE(ET47+1,"None works","Land / pad sale","Build &amp; sell","Build &amp; hold / lease")</f>
        <v/>
      </c>
      <c r="EV47" s="15">
        <f>CHOOSE(ET47+1,0,CS47,CT47,CU47)</f>
        <v/>
      </c>
      <c r="EW47" s="20">
        <f>ES47*(1-Assumptions!$C$26)</f>
        <v/>
      </c>
      <c r="EX47" s="20">
        <f>ES47-Parcel!$C$27</f>
        <v/>
      </c>
      <c r="EY47" s="20">
        <f>IF(Parcel!$C$14=0,0,ES47/Parcel!$C$14)</f>
        <v/>
      </c>
      <c r="EZ47" s="36">
        <f>IF(AK47=0,0,ES47/AK47)</f>
        <v/>
      </c>
      <c r="FA47" s="9">
        <f>IF(ES47&lt;=0,"Pass",IF(ES47&gt;=Parcel!$C$27*Assumptions!$C$27,"Strong",IF(ES47&gt;=Parcel!$C$27,"Works at asking",IF(ES47&gt;=Parcel!$C$27*Assumptions!$C$28,"Negotiate","Pass"))))</f>
        <v/>
      </c>
      <c r="FB47" s="9">
        <f>IF(AM47=0,"",IF(Use_Library!$BH$46="Y",IF(Use_Effective!$AF$46&gt;=3,"High","Medium"),"Low - verify location"))</f>
        <v/>
      </c>
      <c r="FC47" s="9">
        <f>IF(AND(Use_Library!$BH$46="N",AM47=1),Use_Library!$BI$46,"")</f>
        <v/>
      </c>
      <c r="FD47" s="9">
        <f>TRIM(Q47&amp;" "&amp;IF(AND(AM47=0,T47=1),"Nothing fits. ","")&amp;IF(AND(Use_Library!$AZ$46&lt;&gt;"Y",Parcel!$C$19&lt;Use_Library!$AY$46),"Frontage under "&amp;Use_Library!$AY$46&amp;" LF. ","")&amp;IF(Parcel!$C$17&gt;0.15,"Slope over 15%. ","")&amp;IF(AND(AM47=1,AI47&gt;0.5),TEXT(AI47,"0")&amp;" ac not used - resold as raw land. ","")&amp;IF(AND(AM47=1,AC47&lt;1),"Demand caps it at "&amp;TEXT(AK47,"#,##0")&amp;" "&amp;Use_Library!$D$46&amp;". ","")&amp;IF(AND(AM47=1,L47=1),"Rezone required (+"&amp;Location!$C$32&amp;" mo). ","")&amp;IF(AND(AM47=1,BA47=1),"State wastewater permit needed. ","")&amp;IF(AND(AM47=1,AV47=1),"Public water system needed. ","")&amp;AP47&amp;IF(Parcel!$C$16&gt;Assumptions!$C$29,"Floodplain over "&amp;TEXT(Assumptions!$C$29,"0%")&amp;". ","")&amp;IF(AND(AM47=1,EV47&gt;60),"Over 5 years to exit. ",""))</f>
        <v/>
      </c>
      <c r="FE47" s="20">
        <f>IF(AND(Org_Profile!$C$5="My uses",E47=0),-1E+9,ES47)+ROW()/1000000</f>
        <v/>
      </c>
    </row>
    <row r="48">
      <c r="A48" s="4">
        <f>Use_Library!$A$47</f>
        <v/>
      </c>
      <c r="B48" s="9">
        <f>Use_Library!$C$47</f>
        <v/>
      </c>
      <c r="C48" s="9">
        <f>Use_Library!$D$47</f>
        <v/>
      </c>
      <c r="D48" s="9">
        <f>Use_Library!$F$47</f>
        <v/>
      </c>
      <c r="E48" s="15">
        <f>IF(Org_Profile!$C$64="Y",1,0)</f>
        <v/>
      </c>
      <c r="F48" s="14">
        <f>MAX(0,Parcel!$C$37*(1-Use_Library!$N$47-IF(Use_Library!$AB$47="Y",Assumptions!$C$7,0)))</f>
        <v/>
      </c>
      <c r="G48" s="14">
        <f>IF(Use_Library!$M$47&gt;0,MIN(F48,Use_Library!$M$47),F48)</f>
        <v/>
      </c>
      <c r="H48" s="23">
        <f>IF(F48=0,0,G48/F48)</f>
        <v/>
      </c>
      <c r="I48" s="14">
        <f>Parcel!$C$37*H48</f>
        <v/>
      </c>
      <c r="J48" s="9">
        <f>IF(ISNUMBER(SEARCH(","&amp;Use_Library!$F$47&amp;",",","&amp;SUBSTITUTE(Parcel!$C$11," ","")&amp;",")),"Deed restricted",IF(Parcel!$C$46=0,"No zoning",IF(ISNUMBER(SEARCH(","&amp;Use_Library!$F$47&amp;",",","&amp;SUBSTITUTE(Parcel!$C$10," ","")&amp;",")),"By right",IF(OR(TRIM(Parcel!$C$12)="*",ISNUMBER(SEARCH(","&amp;Use_Library!$F$47&amp;",",","&amp;SUBSTITUTE(Parcel!$C$12," ","")&amp;","))),"Rezone required","Prohibited by zoning"))))</f>
        <v/>
      </c>
      <c r="K48" s="15">
        <f>IF(OR(J48="Deed restricted",J48="Prohibited by zoning"),0,1)</f>
        <v/>
      </c>
      <c r="L48" s="15">
        <f>IF(J48="Rezone required",1,0)</f>
        <v/>
      </c>
      <c r="M48" s="15">
        <f>IF(Parcel!$C$20="None",0,IF(AND(Parcel!$C$20="Private easement",Use_Library!$BA$47="Y"),0,1))</f>
        <v/>
      </c>
      <c r="N48" s="15">
        <f>IF(AND(Use_Library!$AZ$47="Y",Parcel!$C$19&lt;Use_Library!$AY$47),0,1)</f>
        <v/>
      </c>
      <c r="O48" s="15">
        <f>IF(AND(Use_Library!$T$47="Y",Parcel!$C$39=0),0,1)</f>
        <v/>
      </c>
      <c r="P48" s="15">
        <f>IF(AND(Use_Library!$U$47="Y",Parcel!$C$38=0),0,1)</f>
        <v/>
      </c>
      <c r="Q48" s="9">
        <f>TRIM(IF(AND(Use_Library!$BB$47&gt;0,Parcel!$C$28&lt;Use_Library!$BB$47),"Traffic under "&amp;TEXT(Use_Library!$BB$47,"#,##0")&amp;" VPD. ","")&amp;IF(AND(Use_Library!$BC$47&gt;0,Parcel!$C$29&lt;Use_Library!$BC$47),"Under "&amp;TEXT(Use_Library!$BC$47,"#,##0")&amp;" households in 3 mi. ","")&amp;IF(AND(Use_Library!$BD$47&gt;0,Parcel!$C$31&gt;Use_Library!$BD$47),"Over "&amp;Use_Library!$BD$47&amp;" mi to highway. ","")&amp;IF(AND(Use_Library!$BE$47="Y",Parcel!$C$32&lt;&gt;"Y"),"Needs a corner. ","")&amp;IF(AND(Use_Library!$BF$47&gt;0,Parcel!$C$33&gt;Use_Library!$BF$47),"Over "&amp;Use_Library!$BF$47&amp;" mi to substation. ","")&amp;IF(AND(Use_Library!$BG$47&gt;0,Parcel!$C$34&gt;Use_Library!$BG$47),"Over "&amp;Use_Library!$BG$47&amp;" mi to a major employer. ",""))</f>
        <v/>
      </c>
      <c r="R48" s="15">
        <f>IF(Q48="",1,0)</f>
        <v/>
      </c>
      <c r="S48" s="15">
        <f>IF(F48&gt;=Use_Library!$L$47,1,0)</f>
        <v/>
      </c>
      <c r="T48" s="15">
        <f>K48*M48*N48*O48*P48*R48*S48</f>
        <v/>
      </c>
      <c r="U48" s="14">
        <f>IF(Use_Library!$G$47&gt;0,I48*Use_Library!$G$47,1E+9)</f>
        <v/>
      </c>
      <c r="V48" s="14">
        <f>IF(Use_Library!$H$47&gt;0,G48*43560/Use_Library!$H$47,1E+9)</f>
        <v/>
      </c>
      <c r="W48" s="14">
        <f>IF(AND(Use_Library!$K$47="Y",Parcel!$C$39=0),G48*(1-Assumptions!$C$8)/IF(Parcel!$C$38=1,Location!$C$25,Location!$C$26),1E+9)</f>
        <v/>
      </c>
      <c r="X48" s="14">
        <f>IF(Use_Library!$I$47&gt;0,Parcel!$C$14*H48/Use_Library!$I$47,1E+9)</f>
        <v/>
      </c>
      <c r="Y48" s="14">
        <f>IF(Use_Library!$J$47&gt;0,Parcel!$C$19/Use_Library!$J$47,1E+9)</f>
        <v/>
      </c>
      <c r="Z48" s="14">
        <f>IF(AND(Parcel!$C$39=0,Use_Library!$K$47="N",Use_Library!$Y$47&gt;0,Use_Library!$Z$47="Y"),G48*Location!$C$27*Parcel!$C$45/Use_Library!$Y$47,1E+9)</f>
        <v/>
      </c>
      <c r="AA48" s="14">
        <f>MIN(U48,V48,W48,X48,Y48,Z48)</f>
        <v/>
      </c>
      <c r="AB48" s="14">
        <f>IF(Use_Library!$O$47&gt;0,IF(Use_Library!$P$47&gt;=10,Parcel!$C$30,Parcel!$C$29)*Use_Library!$O$47*Use_Library!$Q$47,1E+9)</f>
        <v/>
      </c>
      <c r="AC48" s="23">
        <f>IF(OR(AA48&gt;=1E+9,AA48&lt;=0),1,MIN(1,AB48/AA48))</f>
        <v/>
      </c>
      <c r="AD48" s="14">
        <f>G48*AC48</f>
        <v/>
      </c>
      <c r="AE48" s="23">
        <f>IF(F48=0,0,AD48/F48)</f>
        <v/>
      </c>
      <c r="AF48" s="14">
        <f>Parcel!$C$37*AE48</f>
        <v/>
      </c>
      <c r="AG48" s="14">
        <f>AF48*IF(Use_Library!$AB$47="Y",Assumptions!$C$7,0)</f>
        <v/>
      </c>
      <c r="AH48" s="14">
        <f>AF48*(1-Use_Library!$N$47)</f>
        <v/>
      </c>
      <c r="AI48" s="14">
        <f>Parcel!$C$14*(1-AE48)</f>
        <v/>
      </c>
      <c r="AJ48" s="14">
        <f>MIN(AA48,AB48)</f>
        <v/>
      </c>
      <c r="AK48" s="25">
        <f>IF(T48=0,0,IF(AJ48&gt;=1E+9,AD48,IF(Use_Library!$E$47="Y",INT(AJ48+1E-9),AJ48)))</f>
        <v/>
      </c>
      <c r="AL48" s="9">
        <f>IF(M48=0,"No public road access",IF(K48=0,J48,IF(R48=0,"Location fails",IF(N48=0,"Frontage under "&amp;Use_Library!$AY$47&amp;" LF",IF(S48=0,"Too small - needs "&amp;Use_Library!$L$47&amp;" usable ac",IF(O48=0,"Needs public sewer",IF(P48=0,"Needs public water",IF(AJ48&gt;=1E+9,"Usable acres",IF(AB48&lt;=AA48,"Market demand",IF(W48=AA48,"Septic lot size",IF(Z48=AA48,"Septic capacity (gal/day)",IF(X48=AA48,"Min lot size",IF(Y48=AA48,"Road frontage",IF(V48=AA48,"Site area / parking","Density"))))))))))))))</f>
        <v/>
      </c>
      <c r="AM48" s="15">
        <f>IF(AK48&gt;0,1,0)</f>
        <v/>
      </c>
      <c r="AN48" s="15">
        <f>IF(Use_Library!$Z$47="Y",1,0)*AM48</f>
        <v/>
      </c>
      <c r="AO48" s="14">
        <f>IF(Parcel!$C$39=0,MIN(U48,V48,X48,Y48,AB48),0)</f>
        <v/>
      </c>
      <c r="AP48" s="9">
        <f>IF(AND(Parcel!$C$39=0,M48*K48*R48*N48*S48*P48=1,AO48&lt;1E+9,AO48&gt;=MAX(1,AK48)*1.25),"Unlock: sewer or package plant allows ~"&amp;TEXT(INT(AO48),"#,##0")&amp;" "&amp;Use_Library!$D$47&amp;". ","")</f>
        <v/>
      </c>
      <c r="AQ48" s="15">
        <f>AK48*Use_Library!$AC$47*AN48</f>
        <v/>
      </c>
      <c r="AR48" s="15">
        <f>AK48*Use_Library!$AD$47*AN48</f>
        <v/>
      </c>
      <c r="AS48" s="14">
        <f>AK48*Use_Library!$V$47*AN48</f>
        <v/>
      </c>
      <c r="AT48" s="15">
        <f>IF(Parcel!$C$38=1,AQ48+Parcel!$C$40,0)*AN48</f>
        <v/>
      </c>
      <c r="AU48" s="14">
        <f>AS48*Parcel!$C$38</f>
        <v/>
      </c>
      <c r="AV48" s="15">
        <f>IF(AND(Parcel!$C$38=0,Use_Library!$K$47="N",AS48&gt;=Location!$C$30),1,0)*AN48</f>
        <v/>
      </c>
      <c r="AW48" s="15">
        <f>IF(Parcel!$C$39=1,AQ48+Parcel!$C$41,0)*AN48</f>
        <v/>
      </c>
      <c r="AX48" s="14">
        <f>AS48*Parcel!$C$39</f>
        <v/>
      </c>
      <c r="AY48" s="14">
        <f>IF(Parcel!$C$39=0,AK48*Use_Library!$W$47,0)*AN48</f>
        <v/>
      </c>
      <c r="AZ48" s="15">
        <f>IF(Parcel!$C$39=0,AK48*Use_Library!$Y$47,0)*AN48</f>
        <v/>
      </c>
      <c r="BA48" s="15">
        <f>IF(AND(Use_Library!$K$47="N",AZ48&gt;Location!$C$28),1,0)</f>
        <v/>
      </c>
      <c r="BB48" s="14">
        <f>IF(AND(Parcel!$C$38=0,AV48=0),AK48*Use_Library!$X$47,0)*AN48</f>
        <v/>
      </c>
      <c r="BC48" s="14">
        <f>AH48*Parcel!$C$18*Use_Library!$AA$47*AN48</f>
        <v/>
      </c>
      <c r="BD48" s="14">
        <f>AH48*Use_Library!$AA$47*AN48</f>
        <v/>
      </c>
      <c r="BE48" s="15">
        <f>IF(Use_Library!$C$47="For-Sale",IF(Use_Library!$E$47="Y",AK48,1),1)*AM48</f>
        <v/>
      </c>
      <c r="BF48" s="15">
        <f>IF(OR(Use_Library!$F$47="RES-SF",Use_Library!$F$47="RES-ATT",Use_Library!$F$47="RES-MF",Use_Library!$F$47="MH"),1,0)</f>
        <v/>
      </c>
      <c r="BG48" s="20">
        <f>Cost_Library!$J$5*Location!$C$9*AM48</f>
        <v/>
      </c>
      <c r="BH48" s="20">
        <f>BE48*Cost_Library!$J$6*Location!$C$9</f>
        <v/>
      </c>
      <c r="BI48" s="20">
        <f>BD48*Cost_Library!$J$7*Location!$C$9</f>
        <v/>
      </c>
      <c r="BJ48" s="20">
        <f>Cost_Library!$J$8*Location!$C$9*AN48*IF(Use_Library!$AA$47&gt;=0.5,1,0)</f>
        <v/>
      </c>
      <c r="BK48" s="20">
        <f>AY48*Cost_Library!$J$9*Location!$C$9</f>
        <v/>
      </c>
      <c r="BL48" s="20">
        <f>BA48*Cost_Library!$J$10*Location!$C$9</f>
        <v/>
      </c>
      <c r="BM48" s="20">
        <f>Cost_Library!$J$11*Location!$C$9*AM48</f>
        <v/>
      </c>
      <c r="BN48" s="20">
        <f>Cost_Library!$J$12*Location!$C$9*AN48*IF(Use_Library!$AB$47="Y",1,0)</f>
        <v/>
      </c>
      <c r="BO48" s="20">
        <f>Use_Effective!$C$47*AM48</f>
        <v/>
      </c>
      <c r="BP48" s="20">
        <f>L48*Location!$C$31*AM48</f>
        <v/>
      </c>
      <c r="BQ48" s="20">
        <f>Cost_Library!$J$13*Location!$C$9*AM48</f>
        <v/>
      </c>
      <c r="BR48" s="20">
        <f>BC48*Cost_Library!$J$14*Location!$C$9</f>
        <v/>
      </c>
      <c r="BS48" s="20">
        <f>BD48*Cost_Library!$J$15*Location!$C$9*Parcel!$C$43</f>
        <v/>
      </c>
      <c r="BT48" s="20">
        <f>AQ48*Cost_Library!$J$16*Location!$C$9</f>
        <v/>
      </c>
      <c r="BU48" s="20">
        <f>AR48*Cost_Library!$J$17*Location!$C$9</f>
        <v/>
      </c>
      <c r="BV48" s="20">
        <f>AG48*Cost_Library!$J$18*Location!$C$9*AN48</f>
        <v/>
      </c>
      <c r="BW48" s="20">
        <f>BD48*Cost_Library!$J$19*Location!$C$9</f>
        <v/>
      </c>
      <c r="BX48" s="20">
        <f>IF(Use_Library!$AZ$47="Y",1,0)*Cost_Library!$J$20*Location!$C$9*AN48</f>
        <v/>
      </c>
      <c r="BY48" s="20">
        <f>AT48*Cost_Library!$J$21*Location!$C$9</f>
        <v/>
      </c>
      <c r="BZ48" s="20">
        <f>AU48*Cost_Library!$J$22*Location!$C$9</f>
        <v/>
      </c>
      <c r="CA48" s="20">
        <f>AW48*Cost_Library!$J$23*Location!$C$9</f>
        <v/>
      </c>
      <c r="CB48" s="20">
        <f>AX48*Cost_Library!$J$24*Location!$C$9</f>
        <v/>
      </c>
      <c r="CC48" s="20">
        <f>AY48*Cost_Library!$J$25*Location!$C$9*Parcel!$C$44</f>
        <v/>
      </c>
      <c r="CD48" s="20">
        <f>BB48*Cost_Library!$J$26*Location!$C$9</f>
        <v/>
      </c>
      <c r="CE48" s="20">
        <f>AV48*(Cost_Library!$J$27+AS48*Cost_Library!$J$28)*Location!$C$9</f>
        <v/>
      </c>
      <c r="CF48" s="20">
        <f>AQ48*Cost_Library!$J$29*Location!$C$9</f>
        <v/>
      </c>
      <c r="CG48" s="20">
        <f>SUM(BG48:CF48)</f>
        <v/>
      </c>
      <c r="CH48" s="20">
        <f>CG48*Assumptions!$C$9</f>
        <v/>
      </c>
      <c r="CI48" s="20">
        <f>(CG48+CH48)*Org_Profile!$C$17</f>
        <v/>
      </c>
      <c r="CJ48" s="20">
        <f>CG48+CH48+CI48</f>
        <v/>
      </c>
      <c r="CK48" s="20">
        <f>AK48*Use_Effective!$B$47*(1+Org_Profile!$C$17)</f>
        <v/>
      </c>
      <c r="CL48" s="20">
        <f>CK48*(Assumptions!$C$10+Assumptions!$C$11)</f>
        <v/>
      </c>
      <c r="CM48" s="20">
        <f>AK48*Use_Effective!$D$47</f>
        <v/>
      </c>
      <c r="CN48" s="20">
        <f>AK48*Location!$C$21*BF48*AM48</f>
        <v/>
      </c>
      <c r="CO48" s="14">
        <f>Use_Effective!$F$47+L48*Location!$C$32+BA48*Location!$C$29</f>
        <v/>
      </c>
      <c r="CP48" s="14">
        <f>IF(Use_Effective!$P$47&gt;0,IF(Use_Library!$C$47="For-Sale",AK48,AD48)/Use_Effective!$P$47,0)*AM48</f>
        <v/>
      </c>
      <c r="CQ48" s="14">
        <f>IF(AND(Use_Library!$C$47="For-Sale",Use_Effective!$O$47&gt;0),AK48/Use_Effective!$O$47,0)*AM48</f>
        <v/>
      </c>
      <c r="CR48" s="14">
        <f>IF(Use_Library!$C$47="Income",MAX(Use_Library!$AQ$47,IF(Use_Effective!$O$47&gt;0,AK48/Use_Effective!$O$47,0)),0)</f>
        <v/>
      </c>
      <c r="CS48" s="14">
        <f>CO48+CP48</f>
        <v/>
      </c>
      <c r="CT48" s="14">
        <f>CO48+CQ48+CR48</f>
        <v/>
      </c>
      <c r="CU48" s="14">
        <f>CO48+IF(Use_Library!$C$47="Income",CR48,0)</f>
        <v/>
      </c>
      <c r="CV48" s="23">
        <f>Use_Effective!$G$47+Assumptions!$C$25*MAX(0,(CS48-12)/12)</f>
        <v/>
      </c>
      <c r="CW48" s="23">
        <f>Use_Effective!$G$47+Assumptions!$C$25*MAX(0,(CT48-12)/12)</f>
        <v/>
      </c>
      <c r="CX48" s="23">
        <f>Use_Effective!$G$47+Assumptions!$C$25*MAX(0,(CU48-12)/12)</f>
        <v/>
      </c>
      <c r="CY48" s="28">
        <f>1+Location!$C$17+IF(Parcel!$C$26="Y",Location!$C$20,0)</f>
        <v/>
      </c>
      <c r="CZ48" s="28">
        <f>CY48+Location!$C$19*(CO48+CP48/2)/12</f>
        <v/>
      </c>
      <c r="DA48" s="28">
        <f>CY48+Location!$C$19*(CO48+CQ48/2)/12</f>
        <v/>
      </c>
      <c r="DB48" s="28">
        <f>IF(Use_Library!$C$47="Income",DA48,CY48+Location!$C$19*CO48/12)</f>
        <v/>
      </c>
      <c r="DC48" s="28">
        <f>1+Assumptions!$C$15*(Assumptions!$C$16*(CO48+CP48/2)/12*Assumptions!$C$18+Assumptions!$C$17)</f>
        <v/>
      </c>
      <c r="DD48" s="28">
        <f>1+Assumptions!$C$15*(Assumptions!$C$16*((CO48+CQ48/2)/12*Assumptions!$C$18+CR48/12*Assumptions!$C$19)+Assumptions!$C$17)</f>
        <v/>
      </c>
      <c r="DE48" s="28">
        <f>IF(Use_Library!$C$47="Income",DD48,1+Assumptions!$C$15*(Assumptions!$C$16*CO48/12*Assumptions!$C$18+Assumptions!$C$17))</f>
        <v/>
      </c>
      <c r="DF48" s="23">
        <f>Assumptions!$C$13+Location!$C$18</f>
        <v/>
      </c>
      <c r="DG48" s="23">
        <f>Assumptions!$C$12+Location!$C$18</f>
        <v/>
      </c>
      <c r="DH48" s="23">
        <f>Assumptions!$C$14+Location!$C$18</f>
        <v/>
      </c>
      <c r="DI48" s="20">
        <f>AI48*Location!$C$14*(1-DF48)*AM48</f>
        <v/>
      </c>
      <c r="DJ48" s="20">
        <f>IF(Use_Library!$AV$47=1,IF(Use_Library!$C$47="For-Sale",AK48*Use_Effective!$H$47+Parcel!$C$14*AE48*Use_Effective!$J$47,AD48*Use_Effective!$J$47)*(1-DF48)+DI48,0)*AM48</f>
        <v/>
      </c>
      <c r="DK48" s="20">
        <f>(CG48-BU48-CC48-CD48)*(1+Assumptions!$C$9)*(1+Org_Profile!$C$17)</f>
        <v/>
      </c>
      <c r="DL48" s="28">
        <f>CZ48*DC48</f>
        <v/>
      </c>
      <c r="DM48" s="20">
        <f>(Parcel!$C$27*CZ48+DK48)*DC48</f>
        <v/>
      </c>
      <c r="DN48" s="20">
        <f>DJ48-DM48</f>
        <v/>
      </c>
      <c r="DO48" s="38">
        <f>IF(AND(Use_Library!$AV$47=1,AM48=1),MAX(0,((1-CV48)*DJ48-DK48*DC48)/DL48),0)</f>
        <v/>
      </c>
      <c r="DP48" s="20">
        <f>CJ48+CK48+CL48+CM48+CN48</f>
        <v/>
      </c>
      <c r="DQ48" s="28">
        <f>DA48*DD48</f>
        <v/>
      </c>
      <c r="DR48" s="20">
        <f>(Parcel!$C$27*DA48+DP48)*DD48</f>
        <v/>
      </c>
      <c r="DS48" s="20">
        <f>IF(Use_Library!$C$47="Income",AK48*Use_Effective!$K$47,0)</f>
        <v/>
      </c>
      <c r="DT48" s="20">
        <f>DS48*(1+Use_Library!$AL$47)*(1-Use_Effective!$N$47)</f>
        <v/>
      </c>
      <c r="DU48" s="20">
        <f>IF(Use_Library!$C$47="Income",AK48*Use_Effective!$E$47,0)</f>
        <v/>
      </c>
      <c r="DV48" s="20">
        <f>IF(Use_Library!$C$47="Income",Location!$C$15*Location!$C$16*DR48,0)</f>
        <v/>
      </c>
      <c r="DW48" s="20">
        <f>DT48*Use_Library!$AO$47</f>
        <v/>
      </c>
      <c r="DX48" s="20">
        <f>(DU48+DV48)*Use_Library!$AP$47</f>
        <v/>
      </c>
      <c r="DY48" s="20">
        <f>DT48-DU48-DV48-DW48+DX48</f>
        <v/>
      </c>
      <c r="DZ48" s="26">
        <f>Use_Effective!$M$47</f>
        <v/>
      </c>
      <c r="EA48" s="20">
        <f>IF(AND(Use_Library!$C$47="Income",DZ48&gt;0),DY48/DZ48,0)</f>
        <v/>
      </c>
      <c r="EB48" s="39">
        <f>IF(Use_Library!$C$47="Income",-Location!$C$15*Location!$C$16*(1-Use_Library!$AP$47)*DQ48,0)</f>
        <v/>
      </c>
      <c r="EC48" s="23">
        <f>IF(DR48=0,0,DY48/DR48)</f>
        <v/>
      </c>
      <c r="ED48" s="20">
        <f>IF(Use_Library!$AW$47=1,IF(Use_Library!$C$47="Income",EA48*(1-DH48),AK48*Use_Effective!$I$47*(1-DG48))+DI48,0)*AM48</f>
        <v/>
      </c>
      <c r="EE48" s="39">
        <f>IF(AND(Use_Library!$AW$47=1,Use_Library!$C$47="Income",DZ48&gt;0),EB48/DZ48*(1-DH48),0)</f>
        <v/>
      </c>
      <c r="EF48" s="20">
        <f>ED48-DR48</f>
        <v/>
      </c>
      <c r="EG48" s="38">
        <f>IF(AND(Use_Library!$AW$47=1,AM48=1),MAX(0,Parcel!$C$27-((1-CW48)*ED48-DR48)/((1-CW48)*EE48-DQ48)),0)</f>
        <v/>
      </c>
      <c r="EH48" s="20">
        <f>IF(Use_Library!$AX$47=1,IF(Use_Library!$C$47="Income",EA48,IF(DZ48&gt;0,AD48*Use_Effective!$L$47/DZ48,0))+DI48,0)*AM48</f>
        <v/>
      </c>
      <c r="EI48" s="20">
        <f>IF(Use_Library!$C$47="Income",DP48,CJ48)</f>
        <v/>
      </c>
      <c r="EJ48" s="28">
        <f>IF(Use_Library!$C$47="Income",DQ48,DB48*DE48)</f>
        <v/>
      </c>
      <c r="EK48" s="20">
        <f>IF(Use_Library!$C$47="Income",DR48,(Parcel!$C$27*DB48+CJ48)*DE48)</f>
        <v/>
      </c>
      <c r="EL48" s="39">
        <f>IF(AND(Use_Library!$AX$47=1,Use_Library!$C$47="Income",DZ48&gt;0),EB48/DZ48,0)</f>
        <v/>
      </c>
      <c r="EM48" s="20">
        <f>EH48-EK48</f>
        <v/>
      </c>
      <c r="EN48" s="38">
        <f>IF(AND(Use_Library!$AX$47=1,AM48=1),MAX(0,Parcel!$C$27-((1-CX48)*EH48-EK48)/((1-CX48)*EL48-EJ48)),0)</f>
        <v/>
      </c>
      <c r="EO48" s="20">
        <f>IF(Use_Library!$C$47="Income",Assumptions!$C$15*(Parcel!$C$27*DA48+DP48),0)</f>
        <v/>
      </c>
      <c r="EP48" s="20">
        <f>IF(AND(Use_Library!$C$47="Income",DY48&gt;0),MIN(Assumptions!$C$20*EA48,PV(Assumptions!$C$23/12,Assumptions!$C$24*12,-DY48/Assumptions!$C$21/12),DY48/Assumptions!$C$22),0)</f>
        <v/>
      </c>
      <c r="EQ48" s="27">
        <f>IF(EP48=0,0,DY48/(-PMT(Assumptions!$C$23/12,Assumptions!$C$24*12,EP48)*12))</f>
        <v/>
      </c>
      <c r="ER48" s="20">
        <f>EP48-EO48</f>
        <v/>
      </c>
      <c r="ES48" s="19">
        <f>MAX(DO48,EG48,EN48)</f>
        <v/>
      </c>
      <c r="ET48" s="15">
        <f>IF(ES48&lt;=0,0,IF(DO48=ES48,1,IF(EG48=ES48,2,3)))</f>
        <v/>
      </c>
      <c r="EU48" s="9">
        <f>CHOOSE(ET48+1,"None works","Land / pad sale","Build &amp; sell","Build &amp; hold / lease")</f>
        <v/>
      </c>
      <c r="EV48" s="15">
        <f>CHOOSE(ET48+1,0,CS48,CT48,CU48)</f>
        <v/>
      </c>
      <c r="EW48" s="20">
        <f>ES48*(1-Assumptions!$C$26)</f>
        <v/>
      </c>
      <c r="EX48" s="20">
        <f>ES48-Parcel!$C$27</f>
        <v/>
      </c>
      <c r="EY48" s="20">
        <f>IF(Parcel!$C$14=0,0,ES48/Parcel!$C$14)</f>
        <v/>
      </c>
      <c r="EZ48" s="36">
        <f>IF(AK48=0,0,ES48/AK48)</f>
        <v/>
      </c>
      <c r="FA48" s="9">
        <f>IF(ES48&lt;=0,"Pass",IF(ES48&gt;=Parcel!$C$27*Assumptions!$C$27,"Strong",IF(ES48&gt;=Parcel!$C$27,"Works at asking",IF(ES48&gt;=Parcel!$C$27*Assumptions!$C$28,"Negotiate","Pass"))))</f>
        <v/>
      </c>
      <c r="FB48" s="9">
        <f>IF(AM48=0,"",IF(Use_Library!$BH$47="Y",IF(Use_Effective!$AF$47&gt;=3,"High","Medium"),"Low - verify location"))</f>
        <v/>
      </c>
      <c r="FC48" s="9">
        <f>IF(AND(Use_Library!$BH$47="N",AM48=1),Use_Library!$BI$47,"")</f>
        <v/>
      </c>
      <c r="FD48" s="9">
        <f>TRIM(Q48&amp;" "&amp;IF(AND(AM48=0,T48=1),"Nothing fits. ","")&amp;IF(AND(Use_Library!$AZ$47&lt;&gt;"Y",Parcel!$C$19&lt;Use_Library!$AY$47),"Frontage under "&amp;Use_Library!$AY$47&amp;" LF. ","")&amp;IF(Parcel!$C$17&gt;0.15,"Slope over 15%. ","")&amp;IF(AND(AM48=1,AI48&gt;0.5),TEXT(AI48,"0")&amp;" ac not used - resold as raw land. ","")&amp;IF(AND(AM48=1,AC48&lt;1),"Demand caps it at "&amp;TEXT(AK48,"#,##0")&amp;" "&amp;Use_Library!$D$47&amp;". ","")&amp;IF(AND(AM48=1,L48=1),"Rezone required (+"&amp;Location!$C$32&amp;" mo). ","")&amp;IF(AND(AM48=1,BA48=1),"State wastewater permit needed. ","")&amp;IF(AND(AM48=1,AV48=1),"Public water system needed. ","")&amp;AP48&amp;IF(Parcel!$C$16&gt;Assumptions!$C$29,"Floodplain over "&amp;TEXT(Assumptions!$C$29,"0%")&amp;". ","")&amp;IF(AND(AM48=1,EV48&gt;60),"Over 5 years to exit. ",""))</f>
        <v/>
      </c>
      <c r="FE48" s="20">
        <f>IF(AND(Org_Profile!$C$5="My uses",E48=0),-1E+9,ES48)+ROW()/1000000</f>
        <v/>
      </c>
    </row>
    <row r="49">
      <c r="A49" s="4">
        <f>Use_Library!$A$48</f>
        <v/>
      </c>
      <c r="B49" s="9">
        <f>Use_Library!$C$48</f>
        <v/>
      </c>
      <c r="C49" s="9">
        <f>Use_Library!$D$48</f>
        <v/>
      </c>
      <c r="D49" s="9">
        <f>Use_Library!$F$48</f>
        <v/>
      </c>
      <c r="E49" s="15">
        <f>IF(Org_Profile!$C$65="Y",1,0)</f>
        <v/>
      </c>
      <c r="F49" s="14">
        <f>MAX(0,Parcel!$C$37*(1-Use_Library!$N$48-IF(Use_Library!$AB$48="Y",Assumptions!$C$7,0)))</f>
        <v/>
      </c>
      <c r="G49" s="14">
        <f>IF(Use_Library!$M$48&gt;0,MIN(F49,Use_Library!$M$48),F49)</f>
        <v/>
      </c>
      <c r="H49" s="23">
        <f>IF(F49=0,0,G49/F49)</f>
        <v/>
      </c>
      <c r="I49" s="14">
        <f>Parcel!$C$37*H49</f>
        <v/>
      </c>
      <c r="J49" s="9">
        <f>IF(ISNUMBER(SEARCH(","&amp;Use_Library!$F$48&amp;",",","&amp;SUBSTITUTE(Parcel!$C$11," ","")&amp;",")),"Deed restricted",IF(Parcel!$C$46=0,"No zoning",IF(ISNUMBER(SEARCH(","&amp;Use_Library!$F$48&amp;",",","&amp;SUBSTITUTE(Parcel!$C$10," ","")&amp;",")),"By right",IF(OR(TRIM(Parcel!$C$12)="*",ISNUMBER(SEARCH(","&amp;Use_Library!$F$48&amp;",",","&amp;SUBSTITUTE(Parcel!$C$12," ","")&amp;","))),"Rezone required","Prohibited by zoning"))))</f>
        <v/>
      </c>
      <c r="K49" s="15">
        <f>IF(OR(J49="Deed restricted",J49="Prohibited by zoning"),0,1)</f>
        <v/>
      </c>
      <c r="L49" s="15">
        <f>IF(J49="Rezone required",1,0)</f>
        <v/>
      </c>
      <c r="M49" s="15">
        <f>IF(Parcel!$C$20="None",0,IF(AND(Parcel!$C$20="Private easement",Use_Library!$BA$48="Y"),0,1))</f>
        <v/>
      </c>
      <c r="N49" s="15">
        <f>IF(AND(Use_Library!$AZ$48="Y",Parcel!$C$19&lt;Use_Library!$AY$48),0,1)</f>
        <v/>
      </c>
      <c r="O49" s="15">
        <f>IF(AND(Use_Library!$T$48="Y",Parcel!$C$39=0),0,1)</f>
        <v/>
      </c>
      <c r="P49" s="15">
        <f>IF(AND(Use_Library!$U$48="Y",Parcel!$C$38=0),0,1)</f>
        <v/>
      </c>
      <c r="Q49" s="9">
        <f>TRIM(IF(AND(Use_Library!$BB$48&gt;0,Parcel!$C$28&lt;Use_Library!$BB$48),"Traffic under "&amp;TEXT(Use_Library!$BB$48,"#,##0")&amp;" VPD. ","")&amp;IF(AND(Use_Library!$BC$48&gt;0,Parcel!$C$29&lt;Use_Library!$BC$48),"Under "&amp;TEXT(Use_Library!$BC$48,"#,##0")&amp;" households in 3 mi. ","")&amp;IF(AND(Use_Library!$BD$48&gt;0,Parcel!$C$31&gt;Use_Library!$BD$48),"Over "&amp;Use_Library!$BD$48&amp;" mi to highway. ","")&amp;IF(AND(Use_Library!$BE$48="Y",Parcel!$C$32&lt;&gt;"Y"),"Needs a corner. ","")&amp;IF(AND(Use_Library!$BF$48&gt;0,Parcel!$C$33&gt;Use_Library!$BF$48),"Over "&amp;Use_Library!$BF$48&amp;" mi to substation. ","")&amp;IF(AND(Use_Library!$BG$48&gt;0,Parcel!$C$34&gt;Use_Library!$BG$48),"Over "&amp;Use_Library!$BG$48&amp;" mi to a major employer. ",""))</f>
        <v/>
      </c>
      <c r="R49" s="15">
        <f>IF(Q49="",1,0)</f>
        <v/>
      </c>
      <c r="S49" s="15">
        <f>IF(F49&gt;=Use_Library!$L$48,1,0)</f>
        <v/>
      </c>
      <c r="T49" s="15">
        <f>K49*M49*N49*O49*P49*R49*S49</f>
        <v/>
      </c>
      <c r="U49" s="14">
        <f>IF(Use_Library!$G$48&gt;0,I49*Use_Library!$G$48,1E+9)</f>
        <v/>
      </c>
      <c r="V49" s="14">
        <f>IF(Use_Library!$H$48&gt;0,G49*43560/Use_Library!$H$48,1E+9)</f>
        <v/>
      </c>
      <c r="W49" s="14">
        <f>IF(AND(Use_Library!$K$48="Y",Parcel!$C$39=0),G49*(1-Assumptions!$C$8)/IF(Parcel!$C$38=1,Location!$C$25,Location!$C$26),1E+9)</f>
        <v/>
      </c>
      <c r="X49" s="14">
        <f>IF(Use_Library!$I$48&gt;0,Parcel!$C$14*H49/Use_Library!$I$48,1E+9)</f>
        <v/>
      </c>
      <c r="Y49" s="14">
        <f>IF(Use_Library!$J$48&gt;0,Parcel!$C$19/Use_Library!$J$48,1E+9)</f>
        <v/>
      </c>
      <c r="Z49" s="14">
        <f>IF(AND(Parcel!$C$39=0,Use_Library!$K$48="N",Use_Library!$Y$48&gt;0,Use_Library!$Z$48="Y"),G49*Location!$C$27*Parcel!$C$45/Use_Library!$Y$48,1E+9)</f>
        <v/>
      </c>
      <c r="AA49" s="14">
        <f>MIN(U49,V49,W49,X49,Y49,Z49)</f>
        <v/>
      </c>
      <c r="AB49" s="14">
        <f>IF(Use_Library!$O$48&gt;0,IF(Use_Library!$P$48&gt;=10,Parcel!$C$30,Parcel!$C$29)*Use_Library!$O$48*Use_Library!$Q$48,1E+9)</f>
        <v/>
      </c>
      <c r="AC49" s="23">
        <f>IF(OR(AA49&gt;=1E+9,AA49&lt;=0),1,MIN(1,AB49/AA49))</f>
        <v/>
      </c>
      <c r="AD49" s="14">
        <f>G49*AC49</f>
        <v/>
      </c>
      <c r="AE49" s="23">
        <f>IF(F49=0,0,AD49/F49)</f>
        <v/>
      </c>
      <c r="AF49" s="14">
        <f>Parcel!$C$37*AE49</f>
        <v/>
      </c>
      <c r="AG49" s="14">
        <f>AF49*IF(Use_Library!$AB$48="Y",Assumptions!$C$7,0)</f>
        <v/>
      </c>
      <c r="AH49" s="14">
        <f>AF49*(1-Use_Library!$N$48)</f>
        <v/>
      </c>
      <c r="AI49" s="14">
        <f>Parcel!$C$14*(1-AE49)</f>
        <v/>
      </c>
      <c r="AJ49" s="14">
        <f>MIN(AA49,AB49)</f>
        <v/>
      </c>
      <c r="AK49" s="25">
        <f>IF(T49=0,0,IF(AJ49&gt;=1E+9,AD49,IF(Use_Library!$E$48="Y",INT(AJ49+1E-9),AJ49)))</f>
        <v/>
      </c>
      <c r="AL49" s="9">
        <f>IF(M49=0,"No public road access",IF(K49=0,J49,IF(R49=0,"Location fails",IF(N49=0,"Frontage under "&amp;Use_Library!$AY$48&amp;" LF",IF(S49=0,"Too small - needs "&amp;Use_Library!$L$48&amp;" usable ac",IF(O49=0,"Needs public sewer",IF(P49=0,"Needs public water",IF(AJ49&gt;=1E+9,"Usable acres",IF(AB49&lt;=AA49,"Market demand",IF(W49=AA49,"Septic lot size",IF(Z49=AA49,"Septic capacity (gal/day)",IF(X49=AA49,"Min lot size",IF(Y49=AA49,"Road frontage",IF(V49=AA49,"Site area / parking","Density"))))))))))))))</f>
        <v/>
      </c>
      <c r="AM49" s="15">
        <f>IF(AK49&gt;0,1,0)</f>
        <v/>
      </c>
      <c r="AN49" s="15">
        <f>IF(Use_Library!$Z$48="Y",1,0)*AM49</f>
        <v/>
      </c>
      <c r="AO49" s="14">
        <f>IF(Parcel!$C$39=0,MIN(U49,V49,X49,Y49,AB49),0)</f>
        <v/>
      </c>
      <c r="AP49" s="9">
        <f>IF(AND(Parcel!$C$39=0,M49*K49*R49*N49*S49*P49=1,AO49&lt;1E+9,AO49&gt;=MAX(1,AK49)*1.25),"Unlock: sewer or package plant allows ~"&amp;TEXT(INT(AO49),"#,##0")&amp;" "&amp;Use_Library!$D$48&amp;". ","")</f>
        <v/>
      </c>
      <c r="AQ49" s="15">
        <f>AK49*Use_Library!$AC$48*AN49</f>
        <v/>
      </c>
      <c r="AR49" s="15">
        <f>AK49*Use_Library!$AD$48*AN49</f>
        <v/>
      </c>
      <c r="AS49" s="14">
        <f>AK49*Use_Library!$V$48*AN49</f>
        <v/>
      </c>
      <c r="AT49" s="15">
        <f>IF(Parcel!$C$38=1,AQ49+Parcel!$C$40,0)*AN49</f>
        <v/>
      </c>
      <c r="AU49" s="14">
        <f>AS49*Parcel!$C$38</f>
        <v/>
      </c>
      <c r="AV49" s="15">
        <f>IF(AND(Parcel!$C$38=0,Use_Library!$K$48="N",AS49&gt;=Location!$C$30),1,0)*AN49</f>
        <v/>
      </c>
      <c r="AW49" s="15">
        <f>IF(Parcel!$C$39=1,AQ49+Parcel!$C$41,0)*AN49</f>
        <v/>
      </c>
      <c r="AX49" s="14">
        <f>AS49*Parcel!$C$39</f>
        <v/>
      </c>
      <c r="AY49" s="14">
        <f>IF(Parcel!$C$39=0,AK49*Use_Library!$W$48,0)*AN49</f>
        <v/>
      </c>
      <c r="AZ49" s="15">
        <f>IF(Parcel!$C$39=0,AK49*Use_Library!$Y$48,0)*AN49</f>
        <v/>
      </c>
      <c r="BA49" s="15">
        <f>IF(AND(Use_Library!$K$48="N",AZ49&gt;Location!$C$28),1,0)</f>
        <v/>
      </c>
      <c r="BB49" s="14">
        <f>IF(AND(Parcel!$C$38=0,AV49=0),AK49*Use_Library!$X$48,0)*AN49</f>
        <v/>
      </c>
      <c r="BC49" s="14">
        <f>AH49*Parcel!$C$18*Use_Library!$AA$48*AN49</f>
        <v/>
      </c>
      <c r="BD49" s="14">
        <f>AH49*Use_Library!$AA$48*AN49</f>
        <v/>
      </c>
      <c r="BE49" s="15">
        <f>IF(Use_Library!$C$48="For-Sale",IF(Use_Library!$E$48="Y",AK49,1),1)*AM49</f>
        <v/>
      </c>
      <c r="BF49" s="15">
        <f>IF(OR(Use_Library!$F$48="RES-SF",Use_Library!$F$48="RES-ATT",Use_Library!$F$48="RES-MF",Use_Library!$F$48="MH"),1,0)</f>
        <v/>
      </c>
      <c r="BG49" s="20">
        <f>Cost_Library!$J$5*Location!$C$9*AM49</f>
        <v/>
      </c>
      <c r="BH49" s="20">
        <f>BE49*Cost_Library!$J$6*Location!$C$9</f>
        <v/>
      </c>
      <c r="BI49" s="20">
        <f>BD49*Cost_Library!$J$7*Location!$C$9</f>
        <v/>
      </c>
      <c r="BJ49" s="20">
        <f>Cost_Library!$J$8*Location!$C$9*AN49*IF(Use_Library!$AA$48&gt;=0.5,1,0)</f>
        <v/>
      </c>
      <c r="BK49" s="20">
        <f>AY49*Cost_Library!$J$9*Location!$C$9</f>
        <v/>
      </c>
      <c r="BL49" s="20">
        <f>BA49*Cost_Library!$J$10*Location!$C$9</f>
        <v/>
      </c>
      <c r="BM49" s="20">
        <f>Cost_Library!$J$11*Location!$C$9*AM49</f>
        <v/>
      </c>
      <c r="BN49" s="20">
        <f>Cost_Library!$J$12*Location!$C$9*AN49*IF(Use_Library!$AB$48="Y",1,0)</f>
        <v/>
      </c>
      <c r="BO49" s="20">
        <f>Use_Effective!$C$48*AM49</f>
        <v/>
      </c>
      <c r="BP49" s="20">
        <f>L49*Location!$C$31*AM49</f>
        <v/>
      </c>
      <c r="BQ49" s="20">
        <f>Cost_Library!$J$13*Location!$C$9*AM49</f>
        <v/>
      </c>
      <c r="BR49" s="20">
        <f>BC49*Cost_Library!$J$14*Location!$C$9</f>
        <v/>
      </c>
      <c r="BS49" s="20">
        <f>BD49*Cost_Library!$J$15*Location!$C$9*Parcel!$C$43</f>
        <v/>
      </c>
      <c r="BT49" s="20">
        <f>AQ49*Cost_Library!$J$16*Location!$C$9</f>
        <v/>
      </c>
      <c r="BU49" s="20">
        <f>AR49*Cost_Library!$J$17*Location!$C$9</f>
        <v/>
      </c>
      <c r="BV49" s="20">
        <f>AG49*Cost_Library!$J$18*Location!$C$9*AN49</f>
        <v/>
      </c>
      <c r="BW49" s="20">
        <f>BD49*Cost_Library!$J$19*Location!$C$9</f>
        <v/>
      </c>
      <c r="BX49" s="20">
        <f>IF(Use_Library!$AZ$48="Y",1,0)*Cost_Library!$J$20*Location!$C$9*AN49</f>
        <v/>
      </c>
      <c r="BY49" s="20">
        <f>AT49*Cost_Library!$J$21*Location!$C$9</f>
        <v/>
      </c>
      <c r="BZ49" s="20">
        <f>AU49*Cost_Library!$J$22*Location!$C$9</f>
        <v/>
      </c>
      <c r="CA49" s="20">
        <f>AW49*Cost_Library!$J$23*Location!$C$9</f>
        <v/>
      </c>
      <c r="CB49" s="20">
        <f>AX49*Cost_Library!$J$24*Location!$C$9</f>
        <v/>
      </c>
      <c r="CC49" s="20">
        <f>AY49*Cost_Library!$J$25*Location!$C$9*Parcel!$C$44</f>
        <v/>
      </c>
      <c r="CD49" s="20">
        <f>BB49*Cost_Library!$J$26*Location!$C$9</f>
        <v/>
      </c>
      <c r="CE49" s="20">
        <f>AV49*(Cost_Library!$J$27+AS49*Cost_Library!$J$28)*Location!$C$9</f>
        <v/>
      </c>
      <c r="CF49" s="20">
        <f>AQ49*Cost_Library!$J$29*Location!$C$9</f>
        <v/>
      </c>
      <c r="CG49" s="20">
        <f>SUM(BG49:CF49)</f>
        <v/>
      </c>
      <c r="CH49" s="20">
        <f>CG49*Assumptions!$C$9</f>
        <v/>
      </c>
      <c r="CI49" s="20">
        <f>(CG49+CH49)*Org_Profile!$C$17</f>
        <v/>
      </c>
      <c r="CJ49" s="20">
        <f>CG49+CH49+CI49</f>
        <v/>
      </c>
      <c r="CK49" s="20">
        <f>AK49*Use_Effective!$B$48*(1+Org_Profile!$C$17)</f>
        <v/>
      </c>
      <c r="CL49" s="20">
        <f>CK49*(Assumptions!$C$10+Assumptions!$C$11)</f>
        <v/>
      </c>
      <c r="CM49" s="20">
        <f>AK49*Use_Effective!$D$48</f>
        <v/>
      </c>
      <c r="CN49" s="20">
        <f>AK49*Location!$C$21*BF49*AM49</f>
        <v/>
      </c>
      <c r="CO49" s="14">
        <f>Use_Effective!$F$48+L49*Location!$C$32+BA49*Location!$C$29</f>
        <v/>
      </c>
      <c r="CP49" s="14">
        <f>IF(Use_Effective!$P$48&gt;0,IF(Use_Library!$C$48="For-Sale",AK49,AD49)/Use_Effective!$P$48,0)*AM49</f>
        <v/>
      </c>
      <c r="CQ49" s="14">
        <f>IF(AND(Use_Library!$C$48="For-Sale",Use_Effective!$O$48&gt;0),AK49/Use_Effective!$O$48,0)*AM49</f>
        <v/>
      </c>
      <c r="CR49" s="14">
        <f>IF(Use_Library!$C$48="Income",MAX(Use_Library!$AQ$48,IF(Use_Effective!$O$48&gt;0,AK49/Use_Effective!$O$48,0)),0)</f>
        <v/>
      </c>
      <c r="CS49" s="14">
        <f>CO49+CP49</f>
        <v/>
      </c>
      <c r="CT49" s="14">
        <f>CO49+CQ49+CR49</f>
        <v/>
      </c>
      <c r="CU49" s="14">
        <f>CO49+IF(Use_Library!$C$48="Income",CR49,0)</f>
        <v/>
      </c>
      <c r="CV49" s="23">
        <f>Use_Effective!$G$48+Assumptions!$C$25*MAX(0,(CS49-12)/12)</f>
        <v/>
      </c>
      <c r="CW49" s="23">
        <f>Use_Effective!$G$48+Assumptions!$C$25*MAX(0,(CT49-12)/12)</f>
        <v/>
      </c>
      <c r="CX49" s="23">
        <f>Use_Effective!$G$48+Assumptions!$C$25*MAX(0,(CU49-12)/12)</f>
        <v/>
      </c>
      <c r="CY49" s="28">
        <f>1+Location!$C$17+IF(Parcel!$C$26="Y",Location!$C$20,0)</f>
        <v/>
      </c>
      <c r="CZ49" s="28">
        <f>CY49+Location!$C$19*(CO49+CP49/2)/12</f>
        <v/>
      </c>
      <c r="DA49" s="28">
        <f>CY49+Location!$C$19*(CO49+CQ49/2)/12</f>
        <v/>
      </c>
      <c r="DB49" s="28">
        <f>IF(Use_Library!$C$48="Income",DA49,CY49+Location!$C$19*CO49/12)</f>
        <v/>
      </c>
      <c r="DC49" s="28">
        <f>1+Assumptions!$C$15*(Assumptions!$C$16*(CO49+CP49/2)/12*Assumptions!$C$18+Assumptions!$C$17)</f>
        <v/>
      </c>
      <c r="DD49" s="28">
        <f>1+Assumptions!$C$15*(Assumptions!$C$16*((CO49+CQ49/2)/12*Assumptions!$C$18+CR49/12*Assumptions!$C$19)+Assumptions!$C$17)</f>
        <v/>
      </c>
      <c r="DE49" s="28">
        <f>IF(Use_Library!$C$48="Income",DD49,1+Assumptions!$C$15*(Assumptions!$C$16*CO49/12*Assumptions!$C$18+Assumptions!$C$17))</f>
        <v/>
      </c>
      <c r="DF49" s="23">
        <f>Assumptions!$C$13+Location!$C$18</f>
        <v/>
      </c>
      <c r="DG49" s="23">
        <f>Assumptions!$C$12+Location!$C$18</f>
        <v/>
      </c>
      <c r="DH49" s="23">
        <f>Assumptions!$C$14+Location!$C$18</f>
        <v/>
      </c>
      <c r="DI49" s="20">
        <f>AI49*Location!$C$14*(1-DF49)*AM49</f>
        <v/>
      </c>
      <c r="DJ49" s="20">
        <f>IF(Use_Library!$AV$48=1,IF(Use_Library!$C$48="For-Sale",AK49*Use_Effective!$H$48+Parcel!$C$14*AE49*Use_Effective!$J$48,AD49*Use_Effective!$J$48)*(1-DF49)+DI49,0)*AM49</f>
        <v/>
      </c>
      <c r="DK49" s="20">
        <f>(CG49-BU49-CC49-CD49)*(1+Assumptions!$C$9)*(1+Org_Profile!$C$17)</f>
        <v/>
      </c>
      <c r="DL49" s="28">
        <f>CZ49*DC49</f>
        <v/>
      </c>
      <c r="DM49" s="20">
        <f>(Parcel!$C$27*CZ49+DK49)*DC49</f>
        <v/>
      </c>
      <c r="DN49" s="20">
        <f>DJ49-DM49</f>
        <v/>
      </c>
      <c r="DO49" s="38">
        <f>IF(AND(Use_Library!$AV$48=1,AM49=1),MAX(0,((1-CV49)*DJ49-DK49*DC49)/DL49),0)</f>
        <v/>
      </c>
      <c r="DP49" s="20">
        <f>CJ49+CK49+CL49+CM49+CN49</f>
        <v/>
      </c>
      <c r="DQ49" s="28">
        <f>DA49*DD49</f>
        <v/>
      </c>
      <c r="DR49" s="20">
        <f>(Parcel!$C$27*DA49+DP49)*DD49</f>
        <v/>
      </c>
      <c r="DS49" s="20">
        <f>IF(Use_Library!$C$48="Income",AK49*Use_Effective!$K$48,0)</f>
        <v/>
      </c>
      <c r="DT49" s="20">
        <f>DS49*(1+Use_Library!$AL$48)*(1-Use_Effective!$N$48)</f>
        <v/>
      </c>
      <c r="DU49" s="20">
        <f>IF(Use_Library!$C$48="Income",AK49*Use_Effective!$E$48,0)</f>
        <v/>
      </c>
      <c r="DV49" s="20">
        <f>IF(Use_Library!$C$48="Income",Location!$C$15*Location!$C$16*DR49,0)</f>
        <v/>
      </c>
      <c r="DW49" s="20">
        <f>DT49*Use_Library!$AO$48</f>
        <v/>
      </c>
      <c r="DX49" s="20">
        <f>(DU49+DV49)*Use_Library!$AP$48</f>
        <v/>
      </c>
      <c r="DY49" s="20">
        <f>DT49-DU49-DV49-DW49+DX49</f>
        <v/>
      </c>
      <c r="DZ49" s="26">
        <f>Use_Effective!$M$48</f>
        <v/>
      </c>
      <c r="EA49" s="20">
        <f>IF(AND(Use_Library!$C$48="Income",DZ49&gt;0),DY49/DZ49,0)</f>
        <v/>
      </c>
      <c r="EB49" s="39">
        <f>IF(Use_Library!$C$48="Income",-Location!$C$15*Location!$C$16*(1-Use_Library!$AP$48)*DQ49,0)</f>
        <v/>
      </c>
      <c r="EC49" s="23">
        <f>IF(DR49=0,0,DY49/DR49)</f>
        <v/>
      </c>
      <c r="ED49" s="20">
        <f>IF(Use_Library!$AW$48=1,IF(Use_Library!$C$48="Income",EA49*(1-DH49),AK49*Use_Effective!$I$48*(1-DG49))+DI49,0)*AM49</f>
        <v/>
      </c>
      <c r="EE49" s="39">
        <f>IF(AND(Use_Library!$AW$48=1,Use_Library!$C$48="Income",DZ49&gt;0),EB49/DZ49*(1-DH49),0)</f>
        <v/>
      </c>
      <c r="EF49" s="20">
        <f>ED49-DR49</f>
        <v/>
      </c>
      <c r="EG49" s="38">
        <f>IF(AND(Use_Library!$AW$48=1,AM49=1),MAX(0,Parcel!$C$27-((1-CW49)*ED49-DR49)/((1-CW49)*EE49-DQ49)),0)</f>
        <v/>
      </c>
      <c r="EH49" s="20">
        <f>IF(Use_Library!$AX$48=1,IF(Use_Library!$C$48="Income",EA49,IF(DZ49&gt;0,AD49*Use_Effective!$L$48/DZ49,0))+DI49,0)*AM49</f>
        <v/>
      </c>
      <c r="EI49" s="20">
        <f>IF(Use_Library!$C$48="Income",DP49,CJ49)</f>
        <v/>
      </c>
      <c r="EJ49" s="28">
        <f>IF(Use_Library!$C$48="Income",DQ49,DB49*DE49)</f>
        <v/>
      </c>
      <c r="EK49" s="20">
        <f>IF(Use_Library!$C$48="Income",DR49,(Parcel!$C$27*DB49+CJ49)*DE49)</f>
        <v/>
      </c>
      <c r="EL49" s="39">
        <f>IF(AND(Use_Library!$AX$48=1,Use_Library!$C$48="Income",DZ49&gt;0),EB49/DZ49,0)</f>
        <v/>
      </c>
      <c r="EM49" s="20">
        <f>EH49-EK49</f>
        <v/>
      </c>
      <c r="EN49" s="38">
        <f>IF(AND(Use_Library!$AX$48=1,AM49=1),MAX(0,Parcel!$C$27-((1-CX49)*EH49-EK49)/((1-CX49)*EL49-EJ49)),0)</f>
        <v/>
      </c>
      <c r="EO49" s="20">
        <f>IF(Use_Library!$C$48="Income",Assumptions!$C$15*(Parcel!$C$27*DA49+DP49),0)</f>
        <v/>
      </c>
      <c r="EP49" s="20">
        <f>IF(AND(Use_Library!$C$48="Income",DY49&gt;0),MIN(Assumptions!$C$20*EA49,PV(Assumptions!$C$23/12,Assumptions!$C$24*12,-DY49/Assumptions!$C$21/12),DY49/Assumptions!$C$22),0)</f>
        <v/>
      </c>
      <c r="EQ49" s="27">
        <f>IF(EP49=0,0,DY49/(-PMT(Assumptions!$C$23/12,Assumptions!$C$24*12,EP49)*12))</f>
        <v/>
      </c>
      <c r="ER49" s="20">
        <f>EP49-EO49</f>
        <v/>
      </c>
      <c r="ES49" s="19">
        <f>MAX(DO49,EG49,EN49)</f>
        <v/>
      </c>
      <c r="ET49" s="15">
        <f>IF(ES49&lt;=0,0,IF(DO49=ES49,1,IF(EG49=ES49,2,3)))</f>
        <v/>
      </c>
      <c r="EU49" s="9">
        <f>CHOOSE(ET49+1,"None works","Land / pad sale","Build &amp; sell","Build &amp; hold / lease")</f>
        <v/>
      </c>
      <c r="EV49" s="15">
        <f>CHOOSE(ET49+1,0,CS49,CT49,CU49)</f>
        <v/>
      </c>
      <c r="EW49" s="20">
        <f>ES49*(1-Assumptions!$C$26)</f>
        <v/>
      </c>
      <c r="EX49" s="20">
        <f>ES49-Parcel!$C$27</f>
        <v/>
      </c>
      <c r="EY49" s="20">
        <f>IF(Parcel!$C$14=0,0,ES49/Parcel!$C$14)</f>
        <v/>
      </c>
      <c r="EZ49" s="36">
        <f>IF(AK49=0,0,ES49/AK49)</f>
        <v/>
      </c>
      <c r="FA49" s="9">
        <f>IF(ES49&lt;=0,"Pass",IF(ES49&gt;=Parcel!$C$27*Assumptions!$C$27,"Strong",IF(ES49&gt;=Parcel!$C$27,"Works at asking",IF(ES49&gt;=Parcel!$C$27*Assumptions!$C$28,"Negotiate","Pass"))))</f>
        <v/>
      </c>
      <c r="FB49" s="9">
        <f>IF(AM49=0,"",IF(Use_Library!$BH$48="Y",IF(Use_Effective!$AF$48&gt;=3,"High","Medium"),"Low - verify location"))</f>
        <v/>
      </c>
      <c r="FC49" s="9">
        <f>IF(AND(Use_Library!$BH$48="N",AM49=1),Use_Library!$BI$48,"")</f>
        <v/>
      </c>
      <c r="FD49" s="9">
        <f>TRIM(Q49&amp;" "&amp;IF(AND(AM49=0,T49=1),"Nothing fits. ","")&amp;IF(AND(Use_Library!$AZ$48&lt;&gt;"Y",Parcel!$C$19&lt;Use_Library!$AY$48),"Frontage under "&amp;Use_Library!$AY$48&amp;" LF. ","")&amp;IF(Parcel!$C$17&gt;0.15,"Slope over 15%. ","")&amp;IF(AND(AM49=1,AI49&gt;0.5),TEXT(AI49,"0")&amp;" ac not used - resold as raw land. ","")&amp;IF(AND(AM49=1,AC49&lt;1),"Demand caps it at "&amp;TEXT(AK49,"#,##0")&amp;" "&amp;Use_Library!$D$48&amp;". ","")&amp;IF(AND(AM49=1,L49=1),"Rezone required (+"&amp;Location!$C$32&amp;" mo). ","")&amp;IF(AND(AM49=1,BA49=1),"State wastewater permit needed. ","")&amp;IF(AND(AM49=1,AV49=1),"Public water system needed. ","")&amp;AP49&amp;IF(Parcel!$C$16&gt;Assumptions!$C$29,"Floodplain over "&amp;TEXT(Assumptions!$C$29,"0%")&amp;". ","")&amp;IF(AND(AM49=1,EV49&gt;60),"Over 5 years to exit. ",""))</f>
        <v/>
      </c>
      <c r="FE49" s="20">
        <f>IF(AND(Org_Profile!$C$5="My uses",E49=0),-1E+9,ES49)+ROW()/1000000</f>
        <v/>
      </c>
    </row>
    <row r="50">
      <c r="A50" s="4">
        <f>Use_Library!$A$49</f>
        <v/>
      </c>
      <c r="B50" s="9">
        <f>Use_Library!$C$49</f>
        <v/>
      </c>
      <c r="C50" s="9">
        <f>Use_Library!$D$49</f>
        <v/>
      </c>
      <c r="D50" s="9">
        <f>Use_Library!$F$49</f>
        <v/>
      </c>
      <c r="E50" s="15">
        <f>IF(Org_Profile!$C$66="Y",1,0)</f>
        <v/>
      </c>
      <c r="F50" s="14">
        <f>MAX(0,Parcel!$C$37*(1-Use_Library!$N$49-IF(Use_Library!$AB$49="Y",Assumptions!$C$7,0)))</f>
        <v/>
      </c>
      <c r="G50" s="14">
        <f>IF(Use_Library!$M$49&gt;0,MIN(F50,Use_Library!$M$49),F50)</f>
        <v/>
      </c>
      <c r="H50" s="23">
        <f>IF(F50=0,0,G50/F50)</f>
        <v/>
      </c>
      <c r="I50" s="14">
        <f>Parcel!$C$37*H50</f>
        <v/>
      </c>
      <c r="J50" s="9">
        <f>IF(ISNUMBER(SEARCH(","&amp;Use_Library!$F$49&amp;",",","&amp;SUBSTITUTE(Parcel!$C$11," ","")&amp;",")),"Deed restricted",IF(Parcel!$C$46=0,"No zoning",IF(ISNUMBER(SEARCH(","&amp;Use_Library!$F$49&amp;",",","&amp;SUBSTITUTE(Parcel!$C$10," ","")&amp;",")),"By right",IF(OR(TRIM(Parcel!$C$12)="*",ISNUMBER(SEARCH(","&amp;Use_Library!$F$49&amp;",",","&amp;SUBSTITUTE(Parcel!$C$12," ","")&amp;","))),"Rezone required","Prohibited by zoning"))))</f>
        <v/>
      </c>
      <c r="K50" s="15">
        <f>IF(OR(J50="Deed restricted",J50="Prohibited by zoning"),0,1)</f>
        <v/>
      </c>
      <c r="L50" s="15">
        <f>IF(J50="Rezone required",1,0)</f>
        <v/>
      </c>
      <c r="M50" s="15">
        <f>IF(Parcel!$C$20="None",0,IF(AND(Parcel!$C$20="Private easement",Use_Library!$BA$49="Y"),0,1))</f>
        <v/>
      </c>
      <c r="N50" s="15">
        <f>IF(AND(Use_Library!$AZ$49="Y",Parcel!$C$19&lt;Use_Library!$AY$49),0,1)</f>
        <v/>
      </c>
      <c r="O50" s="15">
        <f>IF(AND(Use_Library!$T$49="Y",Parcel!$C$39=0),0,1)</f>
        <v/>
      </c>
      <c r="P50" s="15">
        <f>IF(AND(Use_Library!$U$49="Y",Parcel!$C$38=0),0,1)</f>
        <v/>
      </c>
      <c r="Q50" s="9">
        <f>TRIM(IF(AND(Use_Library!$BB$49&gt;0,Parcel!$C$28&lt;Use_Library!$BB$49),"Traffic under "&amp;TEXT(Use_Library!$BB$49,"#,##0")&amp;" VPD. ","")&amp;IF(AND(Use_Library!$BC$49&gt;0,Parcel!$C$29&lt;Use_Library!$BC$49),"Under "&amp;TEXT(Use_Library!$BC$49,"#,##0")&amp;" households in 3 mi. ","")&amp;IF(AND(Use_Library!$BD$49&gt;0,Parcel!$C$31&gt;Use_Library!$BD$49),"Over "&amp;Use_Library!$BD$49&amp;" mi to highway. ","")&amp;IF(AND(Use_Library!$BE$49="Y",Parcel!$C$32&lt;&gt;"Y"),"Needs a corner. ","")&amp;IF(AND(Use_Library!$BF$49&gt;0,Parcel!$C$33&gt;Use_Library!$BF$49),"Over "&amp;Use_Library!$BF$49&amp;" mi to substation. ","")&amp;IF(AND(Use_Library!$BG$49&gt;0,Parcel!$C$34&gt;Use_Library!$BG$49),"Over "&amp;Use_Library!$BG$49&amp;" mi to a major employer. ",""))</f>
        <v/>
      </c>
      <c r="R50" s="15">
        <f>IF(Q50="",1,0)</f>
        <v/>
      </c>
      <c r="S50" s="15">
        <f>IF(F50&gt;=Use_Library!$L$49,1,0)</f>
        <v/>
      </c>
      <c r="T50" s="15">
        <f>K50*M50*N50*O50*P50*R50*S50</f>
        <v/>
      </c>
      <c r="U50" s="14">
        <f>IF(Use_Library!$G$49&gt;0,I50*Use_Library!$G$49,1E+9)</f>
        <v/>
      </c>
      <c r="V50" s="14">
        <f>IF(Use_Library!$H$49&gt;0,G50*43560/Use_Library!$H$49,1E+9)</f>
        <v/>
      </c>
      <c r="W50" s="14">
        <f>IF(AND(Use_Library!$K$49="Y",Parcel!$C$39=0),G50*(1-Assumptions!$C$8)/IF(Parcel!$C$38=1,Location!$C$25,Location!$C$26),1E+9)</f>
        <v/>
      </c>
      <c r="X50" s="14">
        <f>IF(Use_Library!$I$49&gt;0,Parcel!$C$14*H50/Use_Library!$I$49,1E+9)</f>
        <v/>
      </c>
      <c r="Y50" s="14">
        <f>IF(Use_Library!$J$49&gt;0,Parcel!$C$19/Use_Library!$J$49,1E+9)</f>
        <v/>
      </c>
      <c r="Z50" s="14">
        <f>IF(AND(Parcel!$C$39=0,Use_Library!$K$49="N",Use_Library!$Y$49&gt;0,Use_Library!$Z$49="Y"),G50*Location!$C$27*Parcel!$C$45/Use_Library!$Y$49,1E+9)</f>
        <v/>
      </c>
      <c r="AA50" s="14">
        <f>MIN(U50,V50,W50,X50,Y50,Z50)</f>
        <v/>
      </c>
      <c r="AB50" s="14">
        <f>IF(Use_Library!$O$49&gt;0,IF(Use_Library!$P$49&gt;=10,Parcel!$C$30,Parcel!$C$29)*Use_Library!$O$49*Use_Library!$Q$49,1E+9)</f>
        <v/>
      </c>
      <c r="AC50" s="23">
        <f>IF(OR(AA50&gt;=1E+9,AA50&lt;=0),1,MIN(1,AB50/AA50))</f>
        <v/>
      </c>
      <c r="AD50" s="14">
        <f>G50*AC50</f>
        <v/>
      </c>
      <c r="AE50" s="23">
        <f>IF(F50=0,0,AD50/F50)</f>
        <v/>
      </c>
      <c r="AF50" s="14">
        <f>Parcel!$C$37*AE50</f>
        <v/>
      </c>
      <c r="AG50" s="14">
        <f>AF50*IF(Use_Library!$AB$49="Y",Assumptions!$C$7,0)</f>
        <v/>
      </c>
      <c r="AH50" s="14">
        <f>AF50*(1-Use_Library!$N$49)</f>
        <v/>
      </c>
      <c r="AI50" s="14">
        <f>Parcel!$C$14*(1-AE50)</f>
        <v/>
      </c>
      <c r="AJ50" s="14">
        <f>MIN(AA50,AB50)</f>
        <v/>
      </c>
      <c r="AK50" s="25">
        <f>IF(T50=0,0,IF(AJ50&gt;=1E+9,AD50,IF(Use_Library!$E$49="Y",INT(AJ50+1E-9),AJ50)))</f>
        <v/>
      </c>
      <c r="AL50" s="9">
        <f>IF(M50=0,"No public road access",IF(K50=0,J50,IF(R50=0,"Location fails",IF(N50=0,"Frontage under "&amp;Use_Library!$AY$49&amp;" LF",IF(S50=0,"Too small - needs "&amp;Use_Library!$L$49&amp;" usable ac",IF(O50=0,"Needs public sewer",IF(P50=0,"Needs public water",IF(AJ50&gt;=1E+9,"Usable acres",IF(AB50&lt;=AA50,"Market demand",IF(W50=AA50,"Septic lot size",IF(Z50=AA50,"Septic capacity (gal/day)",IF(X50=AA50,"Min lot size",IF(Y50=AA50,"Road frontage",IF(V50=AA50,"Site area / parking","Density"))))))))))))))</f>
        <v/>
      </c>
      <c r="AM50" s="15">
        <f>IF(AK50&gt;0,1,0)</f>
        <v/>
      </c>
      <c r="AN50" s="15">
        <f>IF(Use_Library!$Z$49="Y",1,0)*AM50</f>
        <v/>
      </c>
      <c r="AO50" s="14">
        <f>IF(Parcel!$C$39=0,MIN(U50,V50,X50,Y50,AB50),0)</f>
        <v/>
      </c>
      <c r="AP50" s="9">
        <f>IF(AND(Parcel!$C$39=0,M50*K50*R50*N50*S50*P50=1,AO50&lt;1E+9,AO50&gt;=MAX(1,AK50)*1.25),"Unlock: sewer or package plant allows ~"&amp;TEXT(INT(AO50),"#,##0")&amp;" "&amp;Use_Library!$D$49&amp;". ","")</f>
        <v/>
      </c>
      <c r="AQ50" s="15">
        <f>AK50*Use_Library!$AC$49*AN50</f>
        <v/>
      </c>
      <c r="AR50" s="15">
        <f>AK50*Use_Library!$AD$49*AN50</f>
        <v/>
      </c>
      <c r="AS50" s="14">
        <f>AK50*Use_Library!$V$49*AN50</f>
        <v/>
      </c>
      <c r="AT50" s="15">
        <f>IF(Parcel!$C$38=1,AQ50+Parcel!$C$40,0)*AN50</f>
        <v/>
      </c>
      <c r="AU50" s="14">
        <f>AS50*Parcel!$C$38</f>
        <v/>
      </c>
      <c r="AV50" s="15">
        <f>IF(AND(Parcel!$C$38=0,Use_Library!$K$49="N",AS50&gt;=Location!$C$30),1,0)*AN50</f>
        <v/>
      </c>
      <c r="AW50" s="15">
        <f>IF(Parcel!$C$39=1,AQ50+Parcel!$C$41,0)*AN50</f>
        <v/>
      </c>
      <c r="AX50" s="14">
        <f>AS50*Parcel!$C$39</f>
        <v/>
      </c>
      <c r="AY50" s="14">
        <f>IF(Parcel!$C$39=0,AK50*Use_Library!$W$49,0)*AN50</f>
        <v/>
      </c>
      <c r="AZ50" s="15">
        <f>IF(Parcel!$C$39=0,AK50*Use_Library!$Y$49,0)*AN50</f>
        <v/>
      </c>
      <c r="BA50" s="15">
        <f>IF(AND(Use_Library!$K$49="N",AZ50&gt;Location!$C$28),1,0)</f>
        <v/>
      </c>
      <c r="BB50" s="14">
        <f>IF(AND(Parcel!$C$38=0,AV50=0),AK50*Use_Library!$X$49,0)*AN50</f>
        <v/>
      </c>
      <c r="BC50" s="14">
        <f>AH50*Parcel!$C$18*Use_Library!$AA$49*AN50</f>
        <v/>
      </c>
      <c r="BD50" s="14">
        <f>AH50*Use_Library!$AA$49*AN50</f>
        <v/>
      </c>
      <c r="BE50" s="15">
        <f>IF(Use_Library!$C$49="For-Sale",IF(Use_Library!$E$49="Y",AK50,1),1)*AM50</f>
        <v/>
      </c>
      <c r="BF50" s="15">
        <f>IF(OR(Use_Library!$F$49="RES-SF",Use_Library!$F$49="RES-ATT",Use_Library!$F$49="RES-MF",Use_Library!$F$49="MH"),1,0)</f>
        <v/>
      </c>
      <c r="BG50" s="20">
        <f>Cost_Library!$J$5*Location!$C$9*AM50</f>
        <v/>
      </c>
      <c r="BH50" s="20">
        <f>BE50*Cost_Library!$J$6*Location!$C$9</f>
        <v/>
      </c>
      <c r="BI50" s="20">
        <f>BD50*Cost_Library!$J$7*Location!$C$9</f>
        <v/>
      </c>
      <c r="BJ50" s="20">
        <f>Cost_Library!$J$8*Location!$C$9*AN50*IF(Use_Library!$AA$49&gt;=0.5,1,0)</f>
        <v/>
      </c>
      <c r="BK50" s="20">
        <f>AY50*Cost_Library!$J$9*Location!$C$9</f>
        <v/>
      </c>
      <c r="BL50" s="20">
        <f>BA50*Cost_Library!$J$10*Location!$C$9</f>
        <v/>
      </c>
      <c r="BM50" s="20">
        <f>Cost_Library!$J$11*Location!$C$9*AM50</f>
        <v/>
      </c>
      <c r="BN50" s="20">
        <f>Cost_Library!$J$12*Location!$C$9*AN50*IF(Use_Library!$AB$49="Y",1,0)</f>
        <v/>
      </c>
      <c r="BO50" s="20">
        <f>Use_Effective!$C$49*AM50</f>
        <v/>
      </c>
      <c r="BP50" s="20">
        <f>L50*Location!$C$31*AM50</f>
        <v/>
      </c>
      <c r="BQ50" s="20">
        <f>Cost_Library!$J$13*Location!$C$9*AM50</f>
        <v/>
      </c>
      <c r="BR50" s="20">
        <f>BC50*Cost_Library!$J$14*Location!$C$9</f>
        <v/>
      </c>
      <c r="BS50" s="20">
        <f>BD50*Cost_Library!$J$15*Location!$C$9*Parcel!$C$43</f>
        <v/>
      </c>
      <c r="BT50" s="20">
        <f>AQ50*Cost_Library!$J$16*Location!$C$9</f>
        <v/>
      </c>
      <c r="BU50" s="20">
        <f>AR50*Cost_Library!$J$17*Location!$C$9</f>
        <v/>
      </c>
      <c r="BV50" s="20">
        <f>AG50*Cost_Library!$J$18*Location!$C$9*AN50</f>
        <v/>
      </c>
      <c r="BW50" s="20">
        <f>BD50*Cost_Library!$J$19*Location!$C$9</f>
        <v/>
      </c>
      <c r="BX50" s="20">
        <f>IF(Use_Library!$AZ$49="Y",1,0)*Cost_Library!$J$20*Location!$C$9*AN50</f>
        <v/>
      </c>
      <c r="BY50" s="20">
        <f>AT50*Cost_Library!$J$21*Location!$C$9</f>
        <v/>
      </c>
      <c r="BZ50" s="20">
        <f>AU50*Cost_Library!$J$22*Location!$C$9</f>
        <v/>
      </c>
      <c r="CA50" s="20">
        <f>AW50*Cost_Library!$J$23*Location!$C$9</f>
        <v/>
      </c>
      <c r="CB50" s="20">
        <f>AX50*Cost_Library!$J$24*Location!$C$9</f>
        <v/>
      </c>
      <c r="CC50" s="20">
        <f>AY50*Cost_Library!$J$25*Location!$C$9*Parcel!$C$44</f>
        <v/>
      </c>
      <c r="CD50" s="20">
        <f>BB50*Cost_Library!$J$26*Location!$C$9</f>
        <v/>
      </c>
      <c r="CE50" s="20">
        <f>AV50*(Cost_Library!$J$27+AS50*Cost_Library!$J$28)*Location!$C$9</f>
        <v/>
      </c>
      <c r="CF50" s="20">
        <f>AQ50*Cost_Library!$J$29*Location!$C$9</f>
        <v/>
      </c>
      <c r="CG50" s="20">
        <f>SUM(BG50:CF50)</f>
        <v/>
      </c>
      <c r="CH50" s="20">
        <f>CG50*Assumptions!$C$9</f>
        <v/>
      </c>
      <c r="CI50" s="20">
        <f>(CG50+CH50)*Org_Profile!$C$17</f>
        <v/>
      </c>
      <c r="CJ50" s="20">
        <f>CG50+CH50+CI50</f>
        <v/>
      </c>
      <c r="CK50" s="20">
        <f>AK50*Use_Effective!$B$49*(1+Org_Profile!$C$17)</f>
        <v/>
      </c>
      <c r="CL50" s="20">
        <f>CK50*(Assumptions!$C$10+Assumptions!$C$11)</f>
        <v/>
      </c>
      <c r="CM50" s="20">
        <f>AK50*Use_Effective!$D$49</f>
        <v/>
      </c>
      <c r="CN50" s="20">
        <f>AK50*Location!$C$21*BF50*AM50</f>
        <v/>
      </c>
      <c r="CO50" s="14">
        <f>Use_Effective!$F$49+L50*Location!$C$32+BA50*Location!$C$29</f>
        <v/>
      </c>
      <c r="CP50" s="14">
        <f>IF(Use_Effective!$P$49&gt;0,IF(Use_Library!$C$49="For-Sale",AK50,AD50)/Use_Effective!$P$49,0)*AM50</f>
        <v/>
      </c>
      <c r="CQ50" s="14">
        <f>IF(AND(Use_Library!$C$49="For-Sale",Use_Effective!$O$49&gt;0),AK50/Use_Effective!$O$49,0)*AM50</f>
        <v/>
      </c>
      <c r="CR50" s="14">
        <f>IF(Use_Library!$C$49="Income",MAX(Use_Library!$AQ$49,IF(Use_Effective!$O$49&gt;0,AK50/Use_Effective!$O$49,0)),0)</f>
        <v/>
      </c>
      <c r="CS50" s="14">
        <f>CO50+CP50</f>
        <v/>
      </c>
      <c r="CT50" s="14">
        <f>CO50+CQ50+CR50</f>
        <v/>
      </c>
      <c r="CU50" s="14">
        <f>CO50+IF(Use_Library!$C$49="Income",CR50,0)</f>
        <v/>
      </c>
      <c r="CV50" s="23">
        <f>Use_Effective!$G$49+Assumptions!$C$25*MAX(0,(CS50-12)/12)</f>
        <v/>
      </c>
      <c r="CW50" s="23">
        <f>Use_Effective!$G$49+Assumptions!$C$25*MAX(0,(CT50-12)/12)</f>
        <v/>
      </c>
      <c r="CX50" s="23">
        <f>Use_Effective!$G$49+Assumptions!$C$25*MAX(0,(CU50-12)/12)</f>
        <v/>
      </c>
      <c r="CY50" s="28">
        <f>1+Location!$C$17+IF(Parcel!$C$26="Y",Location!$C$20,0)</f>
        <v/>
      </c>
      <c r="CZ50" s="28">
        <f>CY50+Location!$C$19*(CO50+CP50/2)/12</f>
        <v/>
      </c>
      <c r="DA50" s="28">
        <f>CY50+Location!$C$19*(CO50+CQ50/2)/12</f>
        <v/>
      </c>
      <c r="DB50" s="28">
        <f>IF(Use_Library!$C$49="Income",DA50,CY50+Location!$C$19*CO50/12)</f>
        <v/>
      </c>
      <c r="DC50" s="28">
        <f>1+Assumptions!$C$15*(Assumptions!$C$16*(CO50+CP50/2)/12*Assumptions!$C$18+Assumptions!$C$17)</f>
        <v/>
      </c>
      <c r="DD50" s="28">
        <f>1+Assumptions!$C$15*(Assumptions!$C$16*((CO50+CQ50/2)/12*Assumptions!$C$18+CR50/12*Assumptions!$C$19)+Assumptions!$C$17)</f>
        <v/>
      </c>
      <c r="DE50" s="28">
        <f>IF(Use_Library!$C$49="Income",DD50,1+Assumptions!$C$15*(Assumptions!$C$16*CO50/12*Assumptions!$C$18+Assumptions!$C$17))</f>
        <v/>
      </c>
      <c r="DF50" s="23">
        <f>Assumptions!$C$13+Location!$C$18</f>
        <v/>
      </c>
      <c r="DG50" s="23">
        <f>Assumptions!$C$12+Location!$C$18</f>
        <v/>
      </c>
      <c r="DH50" s="23">
        <f>Assumptions!$C$14+Location!$C$18</f>
        <v/>
      </c>
      <c r="DI50" s="20">
        <f>AI50*Location!$C$14*(1-DF50)*AM50</f>
        <v/>
      </c>
      <c r="DJ50" s="20">
        <f>IF(Use_Library!$AV$49=1,IF(Use_Library!$C$49="For-Sale",AK50*Use_Effective!$H$49+Parcel!$C$14*AE50*Use_Effective!$J$49,AD50*Use_Effective!$J$49)*(1-DF50)+DI50,0)*AM50</f>
        <v/>
      </c>
      <c r="DK50" s="20">
        <f>(CG50-BU50-CC50-CD50)*(1+Assumptions!$C$9)*(1+Org_Profile!$C$17)</f>
        <v/>
      </c>
      <c r="DL50" s="28">
        <f>CZ50*DC50</f>
        <v/>
      </c>
      <c r="DM50" s="20">
        <f>(Parcel!$C$27*CZ50+DK50)*DC50</f>
        <v/>
      </c>
      <c r="DN50" s="20">
        <f>DJ50-DM50</f>
        <v/>
      </c>
      <c r="DO50" s="38">
        <f>IF(AND(Use_Library!$AV$49=1,AM50=1),MAX(0,((1-CV50)*DJ50-DK50*DC50)/DL50),0)</f>
        <v/>
      </c>
      <c r="DP50" s="20">
        <f>CJ50+CK50+CL50+CM50+CN50</f>
        <v/>
      </c>
      <c r="DQ50" s="28">
        <f>DA50*DD50</f>
        <v/>
      </c>
      <c r="DR50" s="20">
        <f>(Parcel!$C$27*DA50+DP50)*DD50</f>
        <v/>
      </c>
      <c r="DS50" s="20">
        <f>IF(Use_Library!$C$49="Income",AK50*Use_Effective!$K$49,0)</f>
        <v/>
      </c>
      <c r="DT50" s="20">
        <f>DS50*(1+Use_Library!$AL$49)*(1-Use_Effective!$N$49)</f>
        <v/>
      </c>
      <c r="DU50" s="20">
        <f>IF(Use_Library!$C$49="Income",AK50*Use_Effective!$E$49,0)</f>
        <v/>
      </c>
      <c r="DV50" s="20">
        <f>IF(Use_Library!$C$49="Income",Location!$C$15*Location!$C$16*DR50,0)</f>
        <v/>
      </c>
      <c r="DW50" s="20">
        <f>DT50*Use_Library!$AO$49</f>
        <v/>
      </c>
      <c r="DX50" s="20">
        <f>(DU50+DV50)*Use_Library!$AP$49</f>
        <v/>
      </c>
      <c r="DY50" s="20">
        <f>DT50-DU50-DV50-DW50+DX50</f>
        <v/>
      </c>
      <c r="DZ50" s="26">
        <f>Use_Effective!$M$49</f>
        <v/>
      </c>
      <c r="EA50" s="20">
        <f>IF(AND(Use_Library!$C$49="Income",DZ50&gt;0),DY50/DZ50,0)</f>
        <v/>
      </c>
      <c r="EB50" s="39">
        <f>IF(Use_Library!$C$49="Income",-Location!$C$15*Location!$C$16*(1-Use_Library!$AP$49)*DQ50,0)</f>
        <v/>
      </c>
      <c r="EC50" s="23">
        <f>IF(DR50=0,0,DY50/DR50)</f>
        <v/>
      </c>
      <c r="ED50" s="20">
        <f>IF(Use_Library!$AW$49=1,IF(Use_Library!$C$49="Income",EA50*(1-DH50),AK50*Use_Effective!$I$49*(1-DG50))+DI50,0)*AM50</f>
        <v/>
      </c>
      <c r="EE50" s="39">
        <f>IF(AND(Use_Library!$AW$49=1,Use_Library!$C$49="Income",DZ50&gt;0),EB50/DZ50*(1-DH50),0)</f>
        <v/>
      </c>
      <c r="EF50" s="20">
        <f>ED50-DR50</f>
        <v/>
      </c>
      <c r="EG50" s="38">
        <f>IF(AND(Use_Library!$AW$49=1,AM50=1),MAX(0,Parcel!$C$27-((1-CW50)*ED50-DR50)/((1-CW50)*EE50-DQ50)),0)</f>
        <v/>
      </c>
      <c r="EH50" s="20">
        <f>IF(Use_Library!$AX$49=1,IF(Use_Library!$C$49="Income",EA50,IF(DZ50&gt;0,AD50*Use_Effective!$L$49/DZ50,0))+DI50,0)*AM50</f>
        <v/>
      </c>
      <c r="EI50" s="20">
        <f>IF(Use_Library!$C$49="Income",DP50,CJ50)</f>
        <v/>
      </c>
      <c r="EJ50" s="28">
        <f>IF(Use_Library!$C$49="Income",DQ50,DB50*DE50)</f>
        <v/>
      </c>
      <c r="EK50" s="20">
        <f>IF(Use_Library!$C$49="Income",DR50,(Parcel!$C$27*DB50+CJ50)*DE50)</f>
        <v/>
      </c>
      <c r="EL50" s="39">
        <f>IF(AND(Use_Library!$AX$49=1,Use_Library!$C$49="Income",DZ50&gt;0),EB50/DZ50,0)</f>
        <v/>
      </c>
      <c r="EM50" s="20">
        <f>EH50-EK50</f>
        <v/>
      </c>
      <c r="EN50" s="38">
        <f>IF(AND(Use_Library!$AX$49=1,AM50=1),MAX(0,Parcel!$C$27-((1-CX50)*EH50-EK50)/((1-CX50)*EL50-EJ50)),0)</f>
        <v/>
      </c>
      <c r="EO50" s="20">
        <f>IF(Use_Library!$C$49="Income",Assumptions!$C$15*(Parcel!$C$27*DA50+DP50),0)</f>
        <v/>
      </c>
      <c r="EP50" s="20">
        <f>IF(AND(Use_Library!$C$49="Income",DY50&gt;0),MIN(Assumptions!$C$20*EA50,PV(Assumptions!$C$23/12,Assumptions!$C$24*12,-DY50/Assumptions!$C$21/12),DY50/Assumptions!$C$22),0)</f>
        <v/>
      </c>
      <c r="EQ50" s="27">
        <f>IF(EP50=0,0,DY50/(-PMT(Assumptions!$C$23/12,Assumptions!$C$24*12,EP50)*12))</f>
        <v/>
      </c>
      <c r="ER50" s="20">
        <f>EP50-EO50</f>
        <v/>
      </c>
      <c r="ES50" s="19">
        <f>MAX(DO50,EG50,EN50)</f>
        <v/>
      </c>
      <c r="ET50" s="15">
        <f>IF(ES50&lt;=0,0,IF(DO50=ES50,1,IF(EG50=ES50,2,3)))</f>
        <v/>
      </c>
      <c r="EU50" s="9">
        <f>CHOOSE(ET50+1,"None works","Land / pad sale","Build &amp; sell","Build &amp; hold / lease")</f>
        <v/>
      </c>
      <c r="EV50" s="15">
        <f>CHOOSE(ET50+1,0,CS50,CT50,CU50)</f>
        <v/>
      </c>
      <c r="EW50" s="20">
        <f>ES50*(1-Assumptions!$C$26)</f>
        <v/>
      </c>
      <c r="EX50" s="20">
        <f>ES50-Parcel!$C$27</f>
        <v/>
      </c>
      <c r="EY50" s="20">
        <f>IF(Parcel!$C$14=0,0,ES50/Parcel!$C$14)</f>
        <v/>
      </c>
      <c r="EZ50" s="36">
        <f>IF(AK50=0,0,ES50/AK50)</f>
        <v/>
      </c>
      <c r="FA50" s="9">
        <f>IF(ES50&lt;=0,"Pass",IF(ES50&gt;=Parcel!$C$27*Assumptions!$C$27,"Strong",IF(ES50&gt;=Parcel!$C$27,"Works at asking",IF(ES50&gt;=Parcel!$C$27*Assumptions!$C$28,"Negotiate","Pass"))))</f>
        <v/>
      </c>
      <c r="FB50" s="9">
        <f>IF(AM50=0,"",IF(Use_Library!$BH$49="Y",IF(Use_Effective!$AF$49&gt;=3,"High","Medium"),"Low - verify location"))</f>
        <v/>
      </c>
      <c r="FC50" s="9">
        <f>IF(AND(Use_Library!$BH$49="N",AM50=1),Use_Library!$BI$49,"")</f>
        <v/>
      </c>
      <c r="FD50" s="9">
        <f>TRIM(Q50&amp;" "&amp;IF(AND(AM50=0,T50=1),"Nothing fits. ","")&amp;IF(AND(Use_Library!$AZ$49&lt;&gt;"Y",Parcel!$C$19&lt;Use_Library!$AY$49),"Frontage under "&amp;Use_Library!$AY$49&amp;" LF. ","")&amp;IF(Parcel!$C$17&gt;0.15,"Slope over 15%. ","")&amp;IF(AND(AM50=1,AI50&gt;0.5),TEXT(AI50,"0")&amp;" ac not used - resold as raw land. ","")&amp;IF(AND(AM50=1,AC50&lt;1),"Demand caps it at "&amp;TEXT(AK50,"#,##0")&amp;" "&amp;Use_Library!$D$49&amp;". ","")&amp;IF(AND(AM50=1,L50=1),"Rezone required (+"&amp;Location!$C$32&amp;" mo). ","")&amp;IF(AND(AM50=1,BA50=1),"State wastewater permit needed. ","")&amp;IF(AND(AM50=1,AV50=1),"Public water system needed. ","")&amp;AP50&amp;IF(Parcel!$C$16&gt;Assumptions!$C$29,"Floodplain over "&amp;TEXT(Assumptions!$C$29,"0%")&amp;". ","")&amp;IF(AND(AM50=1,EV50&gt;60),"Over 5 years to exit. ",""))</f>
        <v/>
      </c>
      <c r="FE50" s="20">
        <f>IF(AND(Org_Profile!$C$5="My uses",E50=0),-1E+9,ES50)+ROW()/1000000</f>
        <v/>
      </c>
    </row>
    <row r="51">
      <c r="A51" s="4">
        <f>Use_Library!$A$50</f>
        <v/>
      </c>
      <c r="B51" s="9">
        <f>Use_Library!$C$50</f>
        <v/>
      </c>
      <c r="C51" s="9">
        <f>Use_Library!$D$50</f>
        <v/>
      </c>
      <c r="D51" s="9">
        <f>Use_Library!$F$50</f>
        <v/>
      </c>
      <c r="E51" s="15">
        <f>IF(Org_Profile!$C$67="Y",1,0)</f>
        <v/>
      </c>
      <c r="F51" s="14">
        <f>MAX(0,Parcel!$C$37*(1-Use_Library!$N$50-IF(Use_Library!$AB$50="Y",Assumptions!$C$7,0)))</f>
        <v/>
      </c>
      <c r="G51" s="14">
        <f>IF(Use_Library!$M$50&gt;0,MIN(F51,Use_Library!$M$50),F51)</f>
        <v/>
      </c>
      <c r="H51" s="23">
        <f>IF(F51=0,0,G51/F51)</f>
        <v/>
      </c>
      <c r="I51" s="14">
        <f>Parcel!$C$37*H51</f>
        <v/>
      </c>
      <c r="J51" s="9">
        <f>IF(ISNUMBER(SEARCH(","&amp;Use_Library!$F$50&amp;",",","&amp;SUBSTITUTE(Parcel!$C$11," ","")&amp;",")),"Deed restricted",IF(Parcel!$C$46=0,"No zoning",IF(ISNUMBER(SEARCH(","&amp;Use_Library!$F$50&amp;",",","&amp;SUBSTITUTE(Parcel!$C$10," ","")&amp;",")),"By right",IF(OR(TRIM(Parcel!$C$12)="*",ISNUMBER(SEARCH(","&amp;Use_Library!$F$50&amp;",",","&amp;SUBSTITUTE(Parcel!$C$12," ","")&amp;","))),"Rezone required","Prohibited by zoning"))))</f>
        <v/>
      </c>
      <c r="K51" s="15">
        <f>IF(OR(J51="Deed restricted",J51="Prohibited by zoning"),0,1)</f>
        <v/>
      </c>
      <c r="L51" s="15">
        <f>IF(J51="Rezone required",1,0)</f>
        <v/>
      </c>
      <c r="M51" s="15">
        <f>IF(Parcel!$C$20="None",0,IF(AND(Parcel!$C$20="Private easement",Use_Library!$BA$50="Y"),0,1))</f>
        <v/>
      </c>
      <c r="N51" s="15">
        <f>IF(AND(Use_Library!$AZ$50="Y",Parcel!$C$19&lt;Use_Library!$AY$50),0,1)</f>
        <v/>
      </c>
      <c r="O51" s="15">
        <f>IF(AND(Use_Library!$T$50="Y",Parcel!$C$39=0),0,1)</f>
        <v/>
      </c>
      <c r="P51" s="15">
        <f>IF(AND(Use_Library!$U$50="Y",Parcel!$C$38=0),0,1)</f>
        <v/>
      </c>
      <c r="Q51" s="9">
        <f>TRIM(IF(AND(Use_Library!$BB$50&gt;0,Parcel!$C$28&lt;Use_Library!$BB$50),"Traffic under "&amp;TEXT(Use_Library!$BB$50,"#,##0")&amp;" VPD. ","")&amp;IF(AND(Use_Library!$BC$50&gt;0,Parcel!$C$29&lt;Use_Library!$BC$50),"Under "&amp;TEXT(Use_Library!$BC$50,"#,##0")&amp;" households in 3 mi. ","")&amp;IF(AND(Use_Library!$BD$50&gt;0,Parcel!$C$31&gt;Use_Library!$BD$50),"Over "&amp;Use_Library!$BD$50&amp;" mi to highway. ","")&amp;IF(AND(Use_Library!$BE$50="Y",Parcel!$C$32&lt;&gt;"Y"),"Needs a corner. ","")&amp;IF(AND(Use_Library!$BF$50&gt;0,Parcel!$C$33&gt;Use_Library!$BF$50),"Over "&amp;Use_Library!$BF$50&amp;" mi to substation. ","")&amp;IF(AND(Use_Library!$BG$50&gt;0,Parcel!$C$34&gt;Use_Library!$BG$50),"Over "&amp;Use_Library!$BG$50&amp;" mi to a major employer. ",""))</f>
        <v/>
      </c>
      <c r="R51" s="15">
        <f>IF(Q51="",1,0)</f>
        <v/>
      </c>
      <c r="S51" s="15">
        <f>IF(F51&gt;=Use_Library!$L$50,1,0)</f>
        <v/>
      </c>
      <c r="T51" s="15">
        <f>K51*M51*N51*O51*P51*R51*S51</f>
        <v/>
      </c>
      <c r="U51" s="14">
        <f>IF(Use_Library!$G$50&gt;0,I51*Use_Library!$G$50,1E+9)</f>
        <v/>
      </c>
      <c r="V51" s="14">
        <f>IF(Use_Library!$H$50&gt;0,G51*43560/Use_Library!$H$50,1E+9)</f>
        <v/>
      </c>
      <c r="W51" s="14">
        <f>IF(AND(Use_Library!$K$50="Y",Parcel!$C$39=0),G51*(1-Assumptions!$C$8)/IF(Parcel!$C$38=1,Location!$C$25,Location!$C$26),1E+9)</f>
        <v/>
      </c>
      <c r="X51" s="14">
        <f>IF(Use_Library!$I$50&gt;0,Parcel!$C$14*H51/Use_Library!$I$50,1E+9)</f>
        <v/>
      </c>
      <c r="Y51" s="14">
        <f>IF(Use_Library!$J$50&gt;0,Parcel!$C$19/Use_Library!$J$50,1E+9)</f>
        <v/>
      </c>
      <c r="Z51" s="14">
        <f>IF(AND(Parcel!$C$39=0,Use_Library!$K$50="N",Use_Library!$Y$50&gt;0,Use_Library!$Z$50="Y"),G51*Location!$C$27*Parcel!$C$45/Use_Library!$Y$50,1E+9)</f>
        <v/>
      </c>
      <c r="AA51" s="14">
        <f>MIN(U51,V51,W51,X51,Y51,Z51)</f>
        <v/>
      </c>
      <c r="AB51" s="14">
        <f>IF(Use_Library!$O$50&gt;0,IF(Use_Library!$P$50&gt;=10,Parcel!$C$30,Parcel!$C$29)*Use_Library!$O$50*Use_Library!$Q$50,1E+9)</f>
        <v/>
      </c>
      <c r="AC51" s="23">
        <f>IF(OR(AA51&gt;=1E+9,AA51&lt;=0),1,MIN(1,AB51/AA51))</f>
        <v/>
      </c>
      <c r="AD51" s="14">
        <f>G51*AC51</f>
        <v/>
      </c>
      <c r="AE51" s="23">
        <f>IF(F51=0,0,AD51/F51)</f>
        <v/>
      </c>
      <c r="AF51" s="14">
        <f>Parcel!$C$37*AE51</f>
        <v/>
      </c>
      <c r="AG51" s="14">
        <f>AF51*IF(Use_Library!$AB$50="Y",Assumptions!$C$7,0)</f>
        <v/>
      </c>
      <c r="AH51" s="14">
        <f>AF51*(1-Use_Library!$N$50)</f>
        <v/>
      </c>
      <c r="AI51" s="14">
        <f>Parcel!$C$14*(1-AE51)</f>
        <v/>
      </c>
      <c r="AJ51" s="14">
        <f>MIN(AA51,AB51)</f>
        <v/>
      </c>
      <c r="AK51" s="25">
        <f>IF(T51=0,0,IF(AJ51&gt;=1E+9,AD51,IF(Use_Library!$E$50="Y",INT(AJ51+1E-9),AJ51)))</f>
        <v/>
      </c>
      <c r="AL51" s="9">
        <f>IF(M51=0,"No public road access",IF(K51=0,J51,IF(R51=0,"Location fails",IF(N51=0,"Frontage under "&amp;Use_Library!$AY$50&amp;" LF",IF(S51=0,"Too small - needs "&amp;Use_Library!$L$50&amp;" usable ac",IF(O51=0,"Needs public sewer",IF(P51=0,"Needs public water",IF(AJ51&gt;=1E+9,"Usable acres",IF(AB51&lt;=AA51,"Market demand",IF(W51=AA51,"Septic lot size",IF(Z51=AA51,"Septic capacity (gal/day)",IF(X51=AA51,"Min lot size",IF(Y51=AA51,"Road frontage",IF(V51=AA51,"Site area / parking","Density"))))))))))))))</f>
        <v/>
      </c>
      <c r="AM51" s="15">
        <f>IF(AK51&gt;0,1,0)</f>
        <v/>
      </c>
      <c r="AN51" s="15">
        <f>IF(Use_Library!$Z$50="Y",1,0)*AM51</f>
        <v/>
      </c>
      <c r="AO51" s="14">
        <f>IF(Parcel!$C$39=0,MIN(U51,V51,X51,Y51,AB51),0)</f>
        <v/>
      </c>
      <c r="AP51" s="9">
        <f>IF(AND(Parcel!$C$39=0,M51*K51*R51*N51*S51*P51=1,AO51&lt;1E+9,AO51&gt;=MAX(1,AK51)*1.25),"Unlock: sewer or package plant allows ~"&amp;TEXT(INT(AO51),"#,##0")&amp;" "&amp;Use_Library!$D$50&amp;". ","")</f>
        <v/>
      </c>
      <c r="AQ51" s="15">
        <f>AK51*Use_Library!$AC$50*AN51</f>
        <v/>
      </c>
      <c r="AR51" s="15">
        <f>AK51*Use_Library!$AD$50*AN51</f>
        <v/>
      </c>
      <c r="AS51" s="14">
        <f>AK51*Use_Library!$V$50*AN51</f>
        <v/>
      </c>
      <c r="AT51" s="15">
        <f>IF(Parcel!$C$38=1,AQ51+Parcel!$C$40,0)*AN51</f>
        <v/>
      </c>
      <c r="AU51" s="14">
        <f>AS51*Parcel!$C$38</f>
        <v/>
      </c>
      <c r="AV51" s="15">
        <f>IF(AND(Parcel!$C$38=0,Use_Library!$K$50="N",AS51&gt;=Location!$C$30),1,0)*AN51</f>
        <v/>
      </c>
      <c r="AW51" s="15">
        <f>IF(Parcel!$C$39=1,AQ51+Parcel!$C$41,0)*AN51</f>
        <v/>
      </c>
      <c r="AX51" s="14">
        <f>AS51*Parcel!$C$39</f>
        <v/>
      </c>
      <c r="AY51" s="14">
        <f>IF(Parcel!$C$39=0,AK51*Use_Library!$W$50,0)*AN51</f>
        <v/>
      </c>
      <c r="AZ51" s="15">
        <f>IF(Parcel!$C$39=0,AK51*Use_Library!$Y$50,0)*AN51</f>
        <v/>
      </c>
      <c r="BA51" s="15">
        <f>IF(AND(Use_Library!$K$50="N",AZ51&gt;Location!$C$28),1,0)</f>
        <v/>
      </c>
      <c r="BB51" s="14">
        <f>IF(AND(Parcel!$C$38=0,AV51=0),AK51*Use_Library!$X$50,0)*AN51</f>
        <v/>
      </c>
      <c r="BC51" s="14">
        <f>AH51*Parcel!$C$18*Use_Library!$AA$50*AN51</f>
        <v/>
      </c>
      <c r="BD51" s="14">
        <f>AH51*Use_Library!$AA$50*AN51</f>
        <v/>
      </c>
      <c r="BE51" s="15">
        <f>IF(Use_Library!$C$50="For-Sale",IF(Use_Library!$E$50="Y",AK51,1),1)*AM51</f>
        <v/>
      </c>
      <c r="BF51" s="15">
        <f>IF(OR(Use_Library!$F$50="RES-SF",Use_Library!$F$50="RES-ATT",Use_Library!$F$50="RES-MF",Use_Library!$F$50="MH"),1,0)</f>
        <v/>
      </c>
      <c r="BG51" s="20">
        <f>Cost_Library!$J$5*Location!$C$9*AM51</f>
        <v/>
      </c>
      <c r="BH51" s="20">
        <f>BE51*Cost_Library!$J$6*Location!$C$9</f>
        <v/>
      </c>
      <c r="BI51" s="20">
        <f>BD51*Cost_Library!$J$7*Location!$C$9</f>
        <v/>
      </c>
      <c r="BJ51" s="20">
        <f>Cost_Library!$J$8*Location!$C$9*AN51*IF(Use_Library!$AA$50&gt;=0.5,1,0)</f>
        <v/>
      </c>
      <c r="BK51" s="20">
        <f>AY51*Cost_Library!$J$9*Location!$C$9</f>
        <v/>
      </c>
      <c r="BL51" s="20">
        <f>BA51*Cost_Library!$J$10*Location!$C$9</f>
        <v/>
      </c>
      <c r="BM51" s="20">
        <f>Cost_Library!$J$11*Location!$C$9*AM51</f>
        <v/>
      </c>
      <c r="BN51" s="20">
        <f>Cost_Library!$J$12*Location!$C$9*AN51*IF(Use_Library!$AB$50="Y",1,0)</f>
        <v/>
      </c>
      <c r="BO51" s="20">
        <f>Use_Effective!$C$50*AM51</f>
        <v/>
      </c>
      <c r="BP51" s="20">
        <f>L51*Location!$C$31*AM51</f>
        <v/>
      </c>
      <c r="BQ51" s="20">
        <f>Cost_Library!$J$13*Location!$C$9*AM51</f>
        <v/>
      </c>
      <c r="BR51" s="20">
        <f>BC51*Cost_Library!$J$14*Location!$C$9</f>
        <v/>
      </c>
      <c r="BS51" s="20">
        <f>BD51*Cost_Library!$J$15*Location!$C$9*Parcel!$C$43</f>
        <v/>
      </c>
      <c r="BT51" s="20">
        <f>AQ51*Cost_Library!$J$16*Location!$C$9</f>
        <v/>
      </c>
      <c r="BU51" s="20">
        <f>AR51*Cost_Library!$J$17*Location!$C$9</f>
        <v/>
      </c>
      <c r="BV51" s="20">
        <f>AG51*Cost_Library!$J$18*Location!$C$9*AN51</f>
        <v/>
      </c>
      <c r="BW51" s="20">
        <f>BD51*Cost_Library!$J$19*Location!$C$9</f>
        <v/>
      </c>
      <c r="BX51" s="20">
        <f>IF(Use_Library!$AZ$50="Y",1,0)*Cost_Library!$J$20*Location!$C$9*AN51</f>
        <v/>
      </c>
      <c r="BY51" s="20">
        <f>AT51*Cost_Library!$J$21*Location!$C$9</f>
        <v/>
      </c>
      <c r="BZ51" s="20">
        <f>AU51*Cost_Library!$J$22*Location!$C$9</f>
        <v/>
      </c>
      <c r="CA51" s="20">
        <f>AW51*Cost_Library!$J$23*Location!$C$9</f>
        <v/>
      </c>
      <c r="CB51" s="20">
        <f>AX51*Cost_Library!$J$24*Location!$C$9</f>
        <v/>
      </c>
      <c r="CC51" s="20">
        <f>AY51*Cost_Library!$J$25*Location!$C$9*Parcel!$C$44</f>
        <v/>
      </c>
      <c r="CD51" s="20">
        <f>BB51*Cost_Library!$J$26*Location!$C$9</f>
        <v/>
      </c>
      <c r="CE51" s="20">
        <f>AV51*(Cost_Library!$J$27+AS51*Cost_Library!$J$28)*Location!$C$9</f>
        <v/>
      </c>
      <c r="CF51" s="20">
        <f>AQ51*Cost_Library!$J$29*Location!$C$9</f>
        <v/>
      </c>
      <c r="CG51" s="20">
        <f>SUM(BG51:CF51)</f>
        <v/>
      </c>
      <c r="CH51" s="20">
        <f>CG51*Assumptions!$C$9</f>
        <v/>
      </c>
      <c r="CI51" s="20">
        <f>(CG51+CH51)*Org_Profile!$C$17</f>
        <v/>
      </c>
      <c r="CJ51" s="20">
        <f>CG51+CH51+CI51</f>
        <v/>
      </c>
      <c r="CK51" s="20">
        <f>AK51*Use_Effective!$B$50*(1+Org_Profile!$C$17)</f>
        <v/>
      </c>
      <c r="CL51" s="20">
        <f>CK51*(Assumptions!$C$10+Assumptions!$C$11)</f>
        <v/>
      </c>
      <c r="CM51" s="20">
        <f>AK51*Use_Effective!$D$50</f>
        <v/>
      </c>
      <c r="CN51" s="20">
        <f>AK51*Location!$C$21*BF51*AM51</f>
        <v/>
      </c>
      <c r="CO51" s="14">
        <f>Use_Effective!$F$50+L51*Location!$C$32+BA51*Location!$C$29</f>
        <v/>
      </c>
      <c r="CP51" s="14">
        <f>IF(Use_Effective!$P$50&gt;0,IF(Use_Library!$C$50="For-Sale",AK51,AD51)/Use_Effective!$P$50,0)*AM51</f>
        <v/>
      </c>
      <c r="CQ51" s="14">
        <f>IF(AND(Use_Library!$C$50="For-Sale",Use_Effective!$O$50&gt;0),AK51/Use_Effective!$O$50,0)*AM51</f>
        <v/>
      </c>
      <c r="CR51" s="14">
        <f>IF(Use_Library!$C$50="Income",MAX(Use_Library!$AQ$50,IF(Use_Effective!$O$50&gt;0,AK51/Use_Effective!$O$50,0)),0)</f>
        <v/>
      </c>
      <c r="CS51" s="14">
        <f>CO51+CP51</f>
        <v/>
      </c>
      <c r="CT51" s="14">
        <f>CO51+CQ51+CR51</f>
        <v/>
      </c>
      <c r="CU51" s="14">
        <f>CO51+IF(Use_Library!$C$50="Income",CR51,0)</f>
        <v/>
      </c>
      <c r="CV51" s="23">
        <f>Use_Effective!$G$50+Assumptions!$C$25*MAX(0,(CS51-12)/12)</f>
        <v/>
      </c>
      <c r="CW51" s="23">
        <f>Use_Effective!$G$50+Assumptions!$C$25*MAX(0,(CT51-12)/12)</f>
        <v/>
      </c>
      <c r="CX51" s="23">
        <f>Use_Effective!$G$50+Assumptions!$C$25*MAX(0,(CU51-12)/12)</f>
        <v/>
      </c>
      <c r="CY51" s="28">
        <f>1+Location!$C$17+IF(Parcel!$C$26="Y",Location!$C$20,0)</f>
        <v/>
      </c>
      <c r="CZ51" s="28">
        <f>CY51+Location!$C$19*(CO51+CP51/2)/12</f>
        <v/>
      </c>
      <c r="DA51" s="28">
        <f>CY51+Location!$C$19*(CO51+CQ51/2)/12</f>
        <v/>
      </c>
      <c r="DB51" s="28">
        <f>IF(Use_Library!$C$50="Income",DA51,CY51+Location!$C$19*CO51/12)</f>
        <v/>
      </c>
      <c r="DC51" s="28">
        <f>1+Assumptions!$C$15*(Assumptions!$C$16*(CO51+CP51/2)/12*Assumptions!$C$18+Assumptions!$C$17)</f>
        <v/>
      </c>
      <c r="DD51" s="28">
        <f>1+Assumptions!$C$15*(Assumptions!$C$16*((CO51+CQ51/2)/12*Assumptions!$C$18+CR51/12*Assumptions!$C$19)+Assumptions!$C$17)</f>
        <v/>
      </c>
      <c r="DE51" s="28">
        <f>IF(Use_Library!$C$50="Income",DD51,1+Assumptions!$C$15*(Assumptions!$C$16*CO51/12*Assumptions!$C$18+Assumptions!$C$17))</f>
        <v/>
      </c>
      <c r="DF51" s="23">
        <f>Assumptions!$C$13+Location!$C$18</f>
        <v/>
      </c>
      <c r="DG51" s="23">
        <f>Assumptions!$C$12+Location!$C$18</f>
        <v/>
      </c>
      <c r="DH51" s="23">
        <f>Assumptions!$C$14+Location!$C$18</f>
        <v/>
      </c>
      <c r="DI51" s="20">
        <f>AI51*Location!$C$14*(1-DF51)*AM51</f>
        <v/>
      </c>
      <c r="DJ51" s="20">
        <f>IF(Use_Library!$AV$50=1,IF(Use_Library!$C$50="For-Sale",AK51*Use_Effective!$H$50+Parcel!$C$14*AE51*Use_Effective!$J$50,AD51*Use_Effective!$J$50)*(1-DF51)+DI51,0)*AM51</f>
        <v/>
      </c>
      <c r="DK51" s="20">
        <f>(CG51-BU51-CC51-CD51)*(1+Assumptions!$C$9)*(1+Org_Profile!$C$17)</f>
        <v/>
      </c>
      <c r="DL51" s="28">
        <f>CZ51*DC51</f>
        <v/>
      </c>
      <c r="DM51" s="20">
        <f>(Parcel!$C$27*CZ51+DK51)*DC51</f>
        <v/>
      </c>
      <c r="DN51" s="20">
        <f>DJ51-DM51</f>
        <v/>
      </c>
      <c r="DO51" s="38">
        <f>IF(AND(Use_Library!$AV$50=1,AM51=1),MAX(0,((1-CV51)*DJ51-DK51*DC51)/DL51),0)</f>
        <v/>
      </c>
      <c r="DP51" s="20">
        <f>CJ51+CK51+CL51+CM51+CN51</f>
        <v/>
      </c>
      <c r="DQ51" s="28">
        <f>DA51*DD51</f>
        <v/>
      </c>
      <c r="DR51" s="20">
        <f>(Parcel!$C$27*DA51+DP51)*DD51</f>
        <v/>
      </c>
      <c r="DS51" s="20">
        <f>IF(Use_Library!$C$50="Income",AK51*Use_Effective!$K$50,0)</f>
        <v/>
      </c>
      <c r="DT51" s="20">
        <f>DS51*(1+Use_Library!$AL$50)*(1-Use_Effective!$N$50)</f>
        <v/>
      </c>
      <c r="DU51" s="20">
        <f>IF(Use_Library!$C$50="Income",AK51*Use_Effective!$E$50,0)</f>
        <v/>
      </c>
      <c r="DV51" s="20">
        <f>IF(Use_Library!$C$50="Income",Location!$C$15*Location!$C$16*DR51,0)</f>
        <v/>
      </c>
      <c r="DW51" s="20">
        <f>DT51*Use_Library!$AO$50</f>
        <v/>
      </c>
      <c r="DX51" s="20">
        <f>(DU51+DV51)*Use_Library!$AP$50</f>
        <v/>
      </c>
      <c r="DY51" s="20">
        <f>DT51-DU51-DV51-DW51+DX51</f>
        <v/>
      </c>
      <c r="DZ51" s="26">
        <f>Use_Effective!$M$50</f>
        <v/>
      </c>
      <c r="EA51" s="20">
        <f>IF(AND(Use_Library!$C$50="Income",DZ51&gt;0),DY51/DZ51,0)</f>
        <v/>
      </c>
      <c r="EB51" s="39">
        <f>IF(Use_Library!$C$50="Income",-Location!$C$15*Location!$C$16*(1-Use_Library!$AP$50)*DQ51,0)</f>
        <v/>
      </c>
      <c r="EC51" s="23">
        <f>IF(DR51=0,0,DY51/DR51)</f>
        <v/>
      </c>
      <c r="ED51" s="20">
        <f>IF(Use_Library!$AW$50=1,IF(Use_Library!$C$50="Income",EA51*(1-DH51),AK51*Use_Effective!$I$50*(1-DG51))+DI51,0)*AM51</f>
        <v/>
      </c>
      <c r="EE51" s="39">
        <f>IF(AND(Use_Library!$AW$50=1,Use_Library!$C$50="Income",DZ51&gt;0),EB51/DZ51*(1-DH51),0)</f>
        <v/>
      </c>
      <c r="EF51" s="20">
        <f>ED51-DR51</f>
        <v/>
      </c>
      <c r="EG51" s="38">
        <f>IF(AND(Use_Library!$AW$50=1,AM51=1),MAX(0,Parcel!$C$27-((1-CW51)*ED51-DR51)/((1-CW51)*EE51-DQ51)),0)</f>
        <v/>
      </c>
      <c r="EH51" s="20">
        <f>IF(Use_Library!$AX$50=1,IF(Use_Library!$C$50="Income",EA51,IF(DZ51&gt;0,AD51*Use_Effective!$L$50/DZ51,0))+DI51,0)*AM51</f>
        <v/>
      </c>
      <c r="EI51" s="20">
        <f>IF(Use_Library!$C$50="Income",DP51,CJ51)</f>
        <v/>
      </c>
      <c r="EJ51" s="28">
        <f>IF(Use_Library!$C$50="Income",DQ51,DB51*DE51)</f>
        <v/>
      </c>
      <c r="EK51" s="20">
        <f>IF(Use_Library!$C$50="Income",DR51,(Parcel!$C$27*DB51+CJ51)*DE51)</f>
        <v/>
      </c>
      <c r="EL51" s="39">
        <f>IF(AND(Use_Library!$AX$50=1,Use_Library!$C$50="Income",DZ51&gt;0),EB51/DZ51,0)</f>
        <v/>
      </c>
      <c r="EM51" s="20">
        <f>EH51-EK51</f>
        <v/>
      </c>
      <c r="EN51" s="38">
        <f>IF(AND(Use_Library!$AX$50=1,AM51=1),MAX(0,Parcel!$C$27-((1-CX51)*EH51-EK51)/((1-CX51)*EL51-EJ51)),0)</f>
        <v/>
      </c>
      <c r="EO51" s="20">
        <f>IF(Use_Library!$C$50="Income",Assumptions!$C$15*(Parcel!$C$27*DA51+DP51),0)</f>
        <v/>
      </c>
      <c r="EP51" s="20">
        <f>IF(AND(Use_Library!$C$50="Income",DY51&gt;0),MIN(Assumptions!$C$20*EA51,PV(Assumptions!$C$23/12,Assumptions!$C$24*12,-DY51/Assumptions!$C$21/12),DY51/Assumptions!$C$22),0)</f>
        <v/>
      </c>
      <c r="EQ51" s="27">
        <f>IF(EP51=0,0,DY51/(-PMT(Assumptions!$C$23/12,Assumptions!$C$24*12,EP51)*12))</f>
        <v/>
      </c>
      <c r="ER51" s="20">
        <f>EP51-EO51</f>
        <v/>
      </c>
      <c r="ES51" s="19">
        <f>MAX(DO51,EG51,EN51)</f>
        <v/>
      </c>
      <c r="ET51" s="15">
        <f>IF(ES51&lt;=0,0,IF(DO51=ES51,1,IF(EG51=ES51,2,3)))</f>
        <v/>
      </c>
      <c r="EU51" s="9">
        <f>CHOOSE(ET51+1,"None works","Land / pad sale","Build &amp; sell","Build &amp; hold / lease")</f>
        <v/>
      </c>
      <c r="EV51" s="15">
        <f>CHOOSE(ET51+1,0,CS51,CT51,CU51)</f>
        <v/>
      </c>
      <c r="EW51" s="20">
        <f>ES51*(1-Assumptions!$C$26)</f>
        <v/>
      </c>
      <c r="EX51" s="20">
        <f>ES51-Parcel!$C$27</f>
        <v/>
      </c>
      <c r="EY51" s="20">
        <f>IF(Parcel!$C$14=0,0,ES51/Parcel!$C$14)</f>
        <v/>
      </c>
      <c r="EZ51" s="36">
        <f>IF(AK51=0,0,ES51/AK51)</f>
        <v/>
      </c>
      <c r="FA51" s="9">
        <f>IF(ES51&lt;=0,"Pass",IF(ES51&gt;=Parcel!$C$27*Assumptions!$C$27,"Strong",IF(ES51&gt;=Parcel!$C$27,"Works at asking",IF(ES51&gt;=Parcel!$C$27*Assumptions!$C$28,"Negotiate","Pass"))))</f>
        <v/>
      </c>
      <c r="FB51" s="9">
        <f>IF(AM51=0,"",IF(Use_Library!$BH$50="Y",IF(Use_Effective!$AF$50&gt;=3,"High","Medium"),"Low - verify location"))</f>
        <v/>
      </c>
      <c r="FC51" s="9">
        <f>IF(AND(Use_Library!$BH$50="N",AM51=1),Use_Library!$BI$50,"")</f>
        <v/>
      </c>
      <c r="FD51" s="9">
        <f>TRIM(Q51&amp;" "&amp;IF(AND(AM51=0,T51=1),"Nothing fits. ","")&amp;IF(AND(Use_Library!$AZ$50&lt;&gt;"Y",Parcel!$C$19&lt;Use_Library!$AY$50),"Frontage under "&amp;Use_Library!$AY$50&amp;" LF. ","")&amp;IF(Parcel!$C$17&gt;0.15,"Slope over 15%. ","")&amp;IF(AND(AM51=1,AI51&gt;0.5),TEXT(AI51,"0")&amp;" ac not used - resold as raw land. ","")&amp;IF(AND(AM51=1,AC51&lt;1),"Demand caps it at "&amp;TEXT(AK51,"#,##0")&amp;" "&amp;Use_Library!$D$50&amp;". ","")&amp;IF(AND(AM51=1,L51=1),"Rezone required (+"&amp;Location!$C$32&amp;" mo). ","")&amp;IF(AND(AM51=1,BA51=1),"State wastewater permit needed. ","")&amp;IF(AND(AM51=1,AV51=1),"Public water system needed. ","")&amp;AP51&amp;IF(Parcel!$C$16&gt;Assumptions!$C$29,"Floodplain over "&amp;TEXT(Assumptions!$C$29,"0%")&amp;". ","")&amp;IF(AND(AM51=1,EV51&gt;60),"Over 5 years to exit. ",""))</f>
        <v/>
      </c>
      <c r="FE51" s="20">
        <f>IF(AND(Org_Profile!$C$5="My uses",E51=0),-1E+9,ES51)+ROW()/1000000</f>
        <v/>
      </c>
    </row>
    <row r="52">
      <c r="A52" s="4">
        <f>Use_Library!$A$51</f>
        <v/>
      </c>
      <c r="B52" s="9">
        <f>Use_Library!$C$51</f>
        <v/>
      </c>
      <c r="C52" s="9">
        <f>Use_Library!$D$51</f>
        <v/>
      </c>
      <c r="D52" s="9">
        <f>Use_Library!$F$51</f>
        <v/>
      </c>
      <c r="E52" s="15">
        <f>IF(Org_Profile!$C$68="Y",1,0)</f>
        <v/>
      </c>
      <c r="F52" s="14">
        <f>MAX(0,Parcel!$C$37*(1-Use_Library!$N$51-IF(Use_Library!$AB$51="Y",Assumptions!$C$7,0)))</f>
        <v/>
      </c>
      <c r="G52" s="14">
        <f>IF(Use_Library!$M$51&gt;0,MIN(F52,Use_Library!$M$51),F52)</f>
        <v/>
      </c>
      <c r="H52" s="23">
        <f>IF(F52=0,0,G52/F52)</f>
        <v/>
      </c>
      <c r="I52" s="14">
        <f>Parcel!$C$37*H52</f>
        <v/>
      </c>
      <c r="J52" s="9">
        <f>IF(ISNUMBER(SEARCH(","&amp;Use_Library!$F$51&amp;",",","&amp;SUBSTITUTE(Parcel!$C$11," ","")&amp;",")),"Deed restricted",IF(Parcel!$C$46=0,"No zoning",IF(ISNUMBER(SEARCH(","&amp;Use_Library!$F$51&amp;",",","&amp;SUBSTITUTE(Parcel!$C$10," ","")&amp;",")),"By right",IF(OR(TRIM(Parcel!$C$12)="*",ISNUMBER(SEARCH(","&amp;Use_Library!$F$51&amp;",",","&amp;SUBSTITUTE(Parcel!$C$12," ","")&amp;","))),"Rezone required","Prohibited by zoning"))))</f>
        <v/>
      </c>
      <c r="K52" s="15">
        <f>IF(OR(J52="Deed restricted",J52="Prohibited by zoning"),0,1)</f>
        <v/>
      </c>
      <c r="L52" s="15">
        <f>IF(J52="Rezone required",1,0)</f>
        <v/>
      </c>
      <c r="M52" s="15">
        <f>IF(Parcel!$C$20="None",0,IF(AND(Parcel!$C$20="Private easement",Use_Library!$BA$51="Y"),0,1))</f>
        <v/>
      </c>
      <c r="N52" s="15">
        <f>IF(AND(Use_Library!$AZ$51="Y",Parcel!$C$19&lt;Use_Library!$AY$51),0,1)</f>
        <v/>
      </c>
      <c r="O52" s="15">
        <f>IF(AND(Use_Library!$T$51="Y",Parcel!$C$39=0),0,1)</f>
        <v/>
      </c>
      <c r="P52" s="15">
        <f>IF(AND(Use_Library!$U$51="Y",Parcel!$C$38=0),0,1)</f>
        <v/>
      </c>
      <c r="Q52" s="9">
        <f>TRIM(IF(AND(Use_Library!$BB$51&gt;0,Parcel!$C$28&lt;Use_Library!$BB$51),"Traffic under "&amp;TEXT(Use_Library!$BB$51,"#,##0")&amp;" VPD. ","")&amp;IF(AND(Use_Library!$BC$51&gt;0,Parcel!$C$29&lt;Use_Library!$BC$51),"Under "&amp;TEXT(Use_Library!$BC$51,"#,##0")&amp;" households in 3 mi. ","")&amp;IF(AND(Use_Library!$BD$51&gt;0,Parcel!$C$31&gt;Use_Library!$BD$51),"Over "&amp;Use_Library!$BD$51&amp;" mi to highway. ","")&amp;IF(AND(Use_Library!$BE$51="Y",Parcel!$C$32&lt;&gt;"Y"),"Needs a corner. ","")&amp;IF(AND(Use_Library!$BF$51&gt;0,Parcel!$C$33&gt;Use_Library!$BF$51),"Over "&amp;Use_Library!$BF$51&amp;" mi to substation. ","")&amp;IF(AND(Use_Library!$BG$51&gt;0,Parcel!$C$34&gt;Use_Library!$BG$51),"Over "&amp;Use_Library!$BG$51&amp;" mi to a major employer. ",""))</f>
        <v/>
      </c>
      <c r="R52" s="15">
        <f>IF(Q52="",1,0)</f>
        <v/>
      </c>
      <c r="S52" s="15">
        <f>IF(F52&gt;=Use_Library!$L$51,1,0)</f>
        <v/>
      </c>
      <c r="T52" s="15">
        <f>K52*M52*N52*O52*P52*R52*S52</f>
        <v/>
      </c>
      <c r="U52" s="14">
        <f>IF(Use_Library!$G$51&gt;0,I52*Use_Library!$G$51,1E+9)</f>
        <v/>
      </c>
      <c r="V52" s="14">
        <f>IF(Use_Library!$H$51&gt;0,G52*43560/Use_Library!$H$51,1E+9)</f>
        <v/>
      </c>
      <c r="W52" s="14">
        <f>IF(AND(Use_Library!$K$51="Y",Parcel!$C$39=0),G52*(1-Assumptions!$C$8)/IF(Parcel!$C$38=1,Location!$C$25,Location!$C$26),1E+9)</f>
        <v/>
      </c>
      <c r="X52" s="14">
        <f>IF(Use_Library!$I$51&gt;0,Parcel!$C$14*H52/Use_Library!$I$51,1E+9)</f>
        <v/>
      </c>
      <c r="Y52" s="14">
        <f>IF(Use_Library!$J$51&gt;0,Parcel!$C$19/Use_Library!$J$51,1E+9)</f>
        <v/>
      </c>
      <c r="Z52" s="14">
        <f>IF(AND(Parcel!$C$39=0,Use_Library!$K$51="N",Use_Library!$Y$51&gt;0,Use_Library!$Z$51="Y"),G52*Location!$C$27*Parcel!$C$45/Use_Library!$Y$51,1E+9)</f>
        <v/>
      </c>
      <c r="AA52" s="14">
        <f>MIN(U52,V52,W52,X52,Y52,Z52)</f>
        <v/>
      </c>
      <c r="AB52" s="14">
        <f>IF(Use_Library!$O$51&gt;0,IF(Use_Library!$P$51&gt;=10,Parcel!$C$30,Parcel!$C$29)*Use_Library!$O$51*Use_Library!$Q$51,1E+9)</f>
        <v/>
      </c>
      <c r="AC52" s="23">
        <f>IF(OR(AA52&gt;=1E+9,AA52&lt;=0),1,MIN(1,AB52/AA52))</f>
        <v/>
      </c>
      <c r="AD52" s="14">
        <f>G52*AC52</f>
        <v/>
      </c>
      <c r="AE52" s="23">
        <f>IF(F52=0,0,AD52/F52)</f>
        <v/>
      </c>
      <c r="AF52" s="14">
        <f>Parcel!$C$37*AE52</f>
        <v/>
      </c>
      <c r="AG52" s="14">
        <f>AF52*IF(Use_Library!$AB$51="Y",Assumptions!$C$7,0)</f>
        <v/>
      </c>
      <c r="AH52" s="14">
        <f>AF52*(1-Use_Library!$N$51)</f>
        <v/>
      </c>
      <c r="AI52" s="14">
        <f>Parcel!$C$14*(1-AE52)</f>
        <v/>
      </c>
      <c r="AJ52" s="14">
        <f>MIN(AA52,AB52)</f>
        <v/>
      </c>
      <c r="AK52" s="25">
        <f>IF(T52=0,0,IF(AJ52&gt;=1E+9,AD52,IF(Use_Library!$E$51="Y",INT(AJ52+1E-9),AJ52)))</f>
        <v/>
      </c>
      <c r="AL52" s="9">
        <f>IF(M52=0,"No public road access",IF(K52=0,J52,IF(R52=0,"Location fails",IF(N52=0,"Frontage under "&amp;Use_Library!$AY$51&amp;" LF",IF(S52=0,"Too small - needs "&amp;Use_Library!$L$51&amp;" usable ac",IF(O52=0,"Needs public sewer",IF(P52=0,"Needs public water",IF(AJ52&gt;=1E+9,"Usable acres",IF(AB52&lt;=AA52,"Market demand",IF(W52=AA52,"Septic lot size",IF(Z52=AA52,"Septic capacity (gal/day)",IF(X52=AA52,"Min lot size",IF(Y52=AA52,"Road frontage",IF(V52=AA52,"Site area / parking","Density"))))))))))))))</f>
        <v/>
      </c>
      <c r="AM52" s="15">
        <f>IF(AK52&gt;0,1,0)</f>
        <v/>
      </c>
      <c r="AN52" s="15">
        <f>IF(Use_Library!$Z$51="Y",1,0)*AM52</f>
        <v/>
      </c>
      <c r="AO52" s="14">
        <f>IF(Parcel!$C$39=0,MIN(U52,V52,X52,Y52,AB52),0)</f>
        <v/>
      </c>
      <c r="AP52" s="9">
        <f>IF(AND(Parcel!$C$39=0,M52*K52*R52*N52*S52*P52=1,AO52&lt;1E+9,AO52&gt;=MAX(1,AK52)*1.25),"Unlock: sewer or package plant allows ~"&amp;TEXT(INT(AO52),"#,##0")&amp;" "&amp;Use_Library!$D$51&amp;". ","")</f>
        <v/>
      </c>
      <c r="AQ52" s="15">
        <f>AK52*Use_Library!$AC$51*AN52</f>
        <v/>
      </c>
      <c r="AR52" s="15">
        <f>AK52*Use_Library!$AD$51*AN52</f>
        <v/>
      </c>
      <c r="AS52" s="14">
        <f>AK52*Use_Library!$V$51*AN52</f>
        <v/>
      </c>
      <c r="AT52" s="15">
        <f>IF(Parcel!$C$38=1,AQ52+Parcel!$C$40,0)*AN52</f>
        <v/>
      </c>
      <c r="AU52" s="14">
        <f>AS52*Parcel!$C$38</f>
        <v/>
      </c>
      <c r="AV52" s="15">
        <f>IF(AND(Parcel!$C$38=0,Use_Library!$K$51="N",AS52&gt;=Location!$C$30),1,0)*AN52</f>
        <v/>
      </c>
      <c r="AW52" s="15">
        <f>IF(Parcel!$C$39=1,AQ52+Parcel!$C$41,0)*AN52</f>
        <v/>
      </c>
      <c r="AX52" s="14">
        <f>AS52*Parcel!$C$39</f>
        <v/>
      </c>
      <c r="AY52" s="14">
        <f>IF(Parcel!$C$39=0,AK52*Use_Library!$W$51,0)*AN52</f>
        <v/>
      </c>
      <c r="AZ52" s="15">
        <f>IF(Parcel!$C$39=0,AK52*Use_Library!$Y$51,0)*AN52</f>
        <v/>
      </c>
      <c r="BA52" s="15">
        <f>IF(AND(Use_Library!$K$51="N",AZ52&gt;Location!$C$28),1,0)</f>
        <v/>
      </c>
      <c r="BB52" s="14">
        <f>IF(AND(Parcel!$C$38=0,AV52=0),AK52*Use_Library!$X$51,0)*AN52</f>
        <v/>
      </c>
      <c r="BC52" s="14">
        <f>AH52*Parcel!$C$18*Use_Library!$AA$51*AN52</f>
        <v/>
      </c>
      <c r="BD52" s="14">
        <f>AH52*Use_Library!$AA$51*AN52</f>
        <v/>
      </c>
      <c r="BE52" s="15">
        <f>IF(Use_Library!$C$51="For-Sale",IF(Use_Library!$E$51="Y",AK52,1),1)*AM52</f>
        <v/>
      </c>
      <c r="BF52" s="15">
        <f>IF(OR(Use_Library!$F$51="RES-SF",Use_Library!$F$51="RES-ATT",Use_Library!$F$51="RES-MF",Use_Library!$F$51="MH"),1,0)</f>
        <v/>
      </c>
      <c r="BG52" s="20">
        <f>Cost_Library!$J$5*Location!$C$9*AM52</f>
        <v/>
      </c>
      <c r="BH52" s="20">
        <f>BE52*Cost_Library!$J$6*Location!$C$9</f>
        <v/>
      </c>
      <c r="BI52" s="20">
        <f>BD52*Cost_Library!$J$7*Location!$C$9</f>
        <v/>
      </c>
      <c r="BJ52" s="20">
        <f>Cost_Library!$J$8*Location!$C$9*AN52*IF(Use_Library!$AA$51&gt;=0.5,1,0)</f>
        <v/>
      </c>
      <c r="BK52" s="20">
        <f>AY52*Cost_Library!$J$9*Location!$C$9</f>
        <v/>
      </c>
      <c r="BL52" s="20">
        <f>BA52*Cost_Library!$J$10*Location!$C$9</f>
        <v/>
      </c>
      <c r="BM52" s="20">
        <f>Cost_Library!$J$11*Location!$C$9*AM52</f>
        <v/>
      </c>
      <c r="BN52" s="20">
        <f>Cost_Library!$J$12*Location!$C$9*AN52*IF(Use_Library!$AB$51="Y",1,0)</f>
        <v/>
      </c>
      <c r="BO52" s="20">
        <f>Use_Effective!$C$51*AM52</f>
        <v/>
      </c>
      <c r="BP52" s="20">
        <f>L52*Location!$C$31*AM52</f>
        <v/>
      </c>
      <c r="BQ52" s="20">
        <f>Cost_Library!$J$13*Location!$C$9*AM52</f>
        <v/>
      </c>
      <c r="BR52" s="20">
        <f>BC52*Cost_Library!$J$14*Location!$C$9</f>
        <v/>
      </c>
      <c r="BS52" s="20">
        <f>BD52*Cost_Library!$J$15*Location!$C$9*Parcel!$C$43</f>
        <v/>
      </c>
      <c r="BT52" s="20">
        <f>AQ52*Cost_Library!$J$16*Location!$C$9</f>
        <v/>
      </c>
      <c r="BU52" s="20">
        <f>AR52*Cost_Library!$J$17*Location!$C$9</f>
        <v/>
      </c>
      <c r="BV52" s="20">
        <f>AG52*Cost_Library!$J$18*Location!$C$9*AN52</f>
        <v/>
      </c>
      <c r="BW52" s="20">
        <f>BD52*Cost_Library!$J$19*Location!$C$9</f>
        <v/>
      </c>
      <c r="BX52" s="20">
        <f>IF(Use_Library!$AZ$51="Y",1,0)*Cost_Library!$J$20*Location!$C$9*AN52</f>
        <v/>
      </c>
      <c r="BY52" s="20">
        <f>AT52*Cost_Library!$J$21*Location!$C$9</f>
        <v/>
      </c>
      <c r="BZ52" s="20">
        <f>AU52*Cost_Library!$J$22*Location!$C$9</f>
        <v/>
      </c>
      <c r="CA52" s="20">
        <f>AW52*Cost_Library!$J$23*Location!$C$9</f>
        <v/>
      </c>
      <c r="CB52" s="20">
        <f>AX52*Cost_Library!$J$24*Location!$C$9</f>
        <v/>
      </c>
      <c r="CC52" s="20">
        <f>AY52*Cost_Library!$J$25*Location!$C$9*Parcel!$C$44</f>
        <v/>
      </c>
      <c r="CD52" s="20">
        <f>BB52*Cost_Library!$J$26*Location!$C$9</f>
        <v/>
      </c>
      <c r="CE52" s="20">
        <f>AV52*(Cost_Library!$J$27+AS52*Cost_Library!$J$28)*Location!$C$9</f>
        <v/>
      </c>
      <c r="CF52" s="20">
        <f>AQ52*Cost_Library!$J$29*Location!$C$9</f>
        <v/>
      </c>
      <c r="CG52" s="20">
        <f>SUM(BG52:CF52)</f>
        <v/>
      </c>
      <c r="CH52" s="20">
        <f>CG52*Assumptions!$C$9</f>
        <v/>
      </c>
      <c r="CI52" s="20">
        <f>(CG52+CH52)*Org_Profile!$C$17</f>
        <v/>
      </c>
      <c r="CJ52" s="20">
        <f>CG52+CH52+CI52</f>
        <v/>
      </c>
      <c r="CK52" s="20">
        <f>AK52*Use_Effective!$B$51*(1+Org_Profile!$C$17)</f>
        <v/>
      </c>
      <c r="CL52" s="20">
        <f>CK52*(Assumptions!$C$10+Assumptions!$C$11)</f>
        <v/>
      </c>
      <c r="CM52" s="20">
        <f>AK52*Use_Effective!$D$51</f>
        <v/>
      </c>
      <c r="CN52" s="20">
        <f>AK52*Location!$C$21*BF52*AM52</f>
        <v/>
      </c>
      <c r="CO52" s="14">
        <f>Use_Effective!$F$51+L52*Location!$C$32+BA52*Location!$C$29</f>
        <v/>
      </c>
      <c r="CP52" s="14">
        <f>IF(Use_Effective!$P$51&gt;0,IF(Use_Library!$C$51="For-Sale",AK52,AD52)/Use_Effective!$P$51,0)*AM52</f>
        <v/>
      </c>
      <c r="CQ52" s="14">
        <f>IF(AND(Use_Library!$C$51="For-Sale",Use_Effective!$O$51&gt;0),AK52/Use_Effective!$O$51,0)*AM52</f>
        <v/>
      </c>
      <c r="CR52" s="14">
        <f>IF(Use_Library!$C$51="Income",MAX(Use_Library!$AQ$51,IF(Use_Effective!$O$51&gt;0,AK52/Use_Effective!$O$51,0)),0)</f>
        <v/>
      </c>
      <c r="CS52" s="14">
        <f>CO52+CP52</f>
        <v/>
      </c>
      <c r="CT52" s="14">
        <f>CO52+CQ52+CR52</f>
        <v/>
      </c>
      <c r="CU52" s="14">
        <f>CO52+IF(Use_Library!$C$51="Income",CR52,0)</f>
        <v/>
      </c>
      <c r="CV52" s="23">
        <f>Use_Effective!$G$51+Assumptions!$C$25*MAX(0,(CS52-12)/12)</f>
        <v/>
      </c>
      <c r="CW52" s="23">
        <f>Use_Effective!$G$51+Assumptions!$C$25*MAX(0,(CT52-12)/12)</f>
        <v/>
      </c>
      <c r="CX52" s="23">
        <f>Use_Effective!$G$51+Assumptions!$C$25*MAX(0,(CU52-12)/12)</f>
        <v/>
      </c>
      <c r="CY52" s="28">
        <f>1+Location!$C$17+IF(Parcel!$C$26="Y",Location!$C$20,0)</f>
        <v/>
      </c>
      <c r="CZ52" s="28">
        <f>CY52+Location!$C$19*(CO52+CP52/2)/12</f>
        <v/>
      </c>
      <c r="DA52" s="28">
        <f>CY52+Location!$C$19*(CO52+CQ52/2)/12</f>
        <v/>
      </c>
      <c r="DB52" s="28">
        <f>IF(Use_Library!$C$51="Income",DA52,CY52+Location!$C$19*CO52/12)</f>
        <v/>
      </c>
      <c r="DC52" s="28">
        <f>1+Assumptions!$C$15*(Assumptions!$C$16*(CO52+CP52/2)/12*Assumptions!$C$18+Assumptions!$C$17)</f>
        <v/>
      </c>
      <c r="DD52" s="28">
        <f>1+Assumptions!$C$15*(Assumptions!$C$16*((CO52+CQ52/2)/12*Assumptions!$C$18+CR52/12*Assumptions!$C$19)+Assumptions!$C$17)</f>
        <v/>
      </c>
      <c r="DE52" s="28">
        <f>IF(Use_Library!$C$51="Income",DD52,1+Assumptions!$C$15*(Assumptions!$C$16*CO52/12*Assumptions!$C$18+Assumptions!$C$17))</f>
        <v/>
      </c>
      <c r="DF52" s="23">
        <f>Assumptions!$C$13+Location!$C$18</f>
        <v/>
      </c>
      <c r="DG52" s="23">
        <f>Assumptions!$C$12+Location!$C$18</f>
        <v/>
      </c>
      <c r="DH52" s="23">
        <f>Assumptions!$C$14+Location!$C$18</f>
        <v/>
      </c>
      <c r="DI52" s="20">
        <f>AI52*Location!$C$14*(1-DF52)*AM52</f>
        <v/>
      </c>
      <c r="DJ52" s="20">
        <f>IF(Use_Library!$AV$51=1,IF(Use_Library!$C$51="For-Sale",AK52*Use_Effective!$H$51+Parcel!$C$14*AE52*Use_Effective!$J$51,AD52*Use_Effective!$J$51)*(1-DF52)+DI52,0)*AM52</f>
        <v/>
      </c>
      <c r="DK52" s="20">
        <f>(CG52-BU52-CC52-CD52)*(1+Assumptions!$C$9)*(1+Org_Profile!$C$17)</f>
        <v/>
      </c>
      <c r="DL52" s="28">
        <f>CZ52*DC52</f>
        <v/>
      </c>
      <c r="DM52" s="20">
        <f>(Parcel!$C$27*CZ52+DK52)*DC52</f>
        <v/>
      </c>
      <c r="DN52" s="20">
        <f>DJ52-DM52</f>
        <v/>
      </c>
      <c r="DO52" s="38">
        <f>IF(AND(Use_Library!$AV$51=1,AM52=1),MAX(0,((1-CV52)*DJ52-DK52*DC52)/DL52),0)</f>
        <v/>
      </c>
      <c r="DP52" s="20">
        <f>CJ52+CK52+CL52+CM52+CN52</f>
        <v/>
      </c>
      <c r="DQ52" s="28">
        <f>DA52*DD52</f>
        <v/>
      </c>
      <c r="DR52" s="20">
        <f>(Parcel!$C$27*DA52+DP52)*DD52</f>
        <v/>
      </c>
      <c r="DS52" s="20">
        <f>IF(Use_Library!$C$51="Income",AK52*Use_Effective!$K$51,0)</f>
        <v/>
      </c>
      <c r="DT52" s="20">
        <f>DS52*(1+Use_Library!$AL$51)*(1-Use_Effective!$N$51)</f>
        <v/>
      </c>
      <c r="DU52" s="20">
        <f>IF(Use_Library!$C$51="Income",AK52*Use_Effective!$E$51,0)</f>
        <v/>
      </c>
      <c r="DV52" s="20">
        <f>IF(Use_Library!$C$51="Income",Location!$C$15*Location!$C$16*DR52,0)</f>
        <v/>
      </c>
      <c r="DW52" s="20">
        <f>DT52*Use_Library!$AO$51</f>
        <v/>
      </c>
      <c r="DX52" s="20">
        <f>(DU52+DV52)*Use_Library!$AP$51</f>
        <v/>
      </c>
      <c r="DY52" s="20">
        <f>DT52-DU52-DV52-DW52+DX52</f>
        <v/>
      </c>
      <c r="DZ52" s="26">
        <f>Use_Effective!$M$51</f>
        <v/>
      </c>
      <c r="EA52" s="20">
        <f>IF(AND(Use_Library!$C$51="Income",DZ52&gt;0),DY52/DZ52,0)</f>
        <v/>
      </c>
      <c r="EB52" s="39">
        <f>IF(Use_Library!$C$51="Income",-Location!$C$15*Location!$C$16*(1-Use_Library!$AP$51)*DQ52,0)</f>
        <v/>
      </c>
      <c r="EC52" s="23">
        <f>IF(DR52=0,0,DY52/DR52)</f>
        <v/>
      </c>
      <c r="ED52" s="20">
        <f>IF(Use_Library!$AW$51=1,IF(Use_Library!$C$51="Income",EA52*(1-DH52),AK52*Use_Effective!$I$51*(1-DG52))+DI52,0)*AM52</f>
        <v/>
      </c>
      <c r="EE52" s="39">
        <f>IF(AND(Use_Library!$AW$51=1,Use_Library!$C$51="Income",DZ52&gt;0),EB52/DZ52*(1-DH52),0)</f>
        <v/>
      </c>
      <c r="EF52" s="20">
        <f>ED52-DR52</f>
        <v/>
      </c>
      <c r="EG52" s="38">
        <f>IF(AND(Use_Library!$AW$51=1,AM52=1),MAX(0,Parcel!$C$27-((1-CW52)*ED52-DR52)/((1-CW52)*EE52-DQ52)),0)</f>
        <v/>
      </c>
      <c r="EH52" s="20">
        <f>IF(Use_Library!$AX$51=1,IF(Use_Library!$C$51="Income",EA52,IF(DZ52&gt;0,AD52*Use_Effective!$L$51/DZ52,0))+DI52,0)*AM52</f>
        <v/>
      </c>
      <c r="EI52" s="20">
        <f>IF(Use_Library!$C$51="Income",DP52,CJ52)</f>
        <v/>
      </c>
      <c r="EJ52" s="28">
        <f>IF(Use_Library!$C$51="Income",DQ52,DB52*DE52)</f>
        <v/>
      </c>
      <c r="EK52" s="20">
        <f>IF(Use_Library!$C$51="Income",DR52,(Parcel!$C$27*DB52+CJ52)*DE52)</f>
        <v/>
      </c>
      <c r="EL52" s="39">
        <f>IF(AND(Use_Library!$AX$51=1,Use_Library!$C$51="Income",DZ52&gt;0),EB52/DZ52,0)</f>
        <v/>
      </c>
      <c r="EM52" s="20">
        <f>EH52-EK52</f>
        <v/>
      </c>
      <c r="EN52" s="38">
        <f>IF(AND(Use_Library!$AX$51=1,AM52=1),MAX(0,Parcel!$C$27-((1-CX52)*EH52-EK52)/((1-CX52)*EL52-EJ52)),0)</f>
        <v/>
      </c>
      <c r="EO52" s="20">
        <f>IF(Use_Library!$C$51="Income",Assumptions!$C$15*(Parcel!$C$27*DA52+DP52),0)</f>
        <v/>
      </c>
      <c r="EP52" s="20">
        <f>IF(AND(Use_Library!$C$51="Income",DY52&gt;0),MIN(Assumptions!$C$20*EA52,PV(Assumptions!$C$23/12,Assumptions!$C$24*12,-DY52/Assumptions!$C$21/12),DY52/Assumptions!$C$22),0)</f>
        <v/>
      </c>
      <c r="EQ52" s="27">
        <f>IF(EP52=0,0,DY52/(-PMT(Assumptions!$C$23/12,Assumptions!$C$24*12,EP52)*12))</f>
        <v/>
      </c>
      <c r="ER52" s="20">
        <f>EP52-EO52</f>
        <v/>
      </c>
      <c r="ES52" s="19">
        <f>MAX(DO52,EG52,EN52)</f>
        <v/>
      </c>
      <c r="ET52" s="15">
        <f>IF(ES52&lt;=0,0,IF(DO52=ES52,1,IF(EG52=ES52,2,3)))</f>
        <v/>
      </c>
      <c r="EU52" s="9">
        <f>CHOOSE(ET52+1,"None works","Land / pad sale","Build &amp; sell","Build &amp; hold / lease")</f>
        <v/>
      </c>
      <c r="EV52" s="15">
        <f>CHOOSE(ET52+1,0,CS52,CT52,CU52)</f>
        <v/>
      </c>
      <c r="EW52" s="20">
        <f>ES52*(1-Assumptions!$C$26)</f>
        <v/>
      </c>
      <c r="EX52" s="20">
        <f>ES52-Parcel!$C$27</f>
        <v/>
      </c>
      <c r="EY52" s="20">
        <f>IF(Parcel!$C$14=0,0,ES52/Parcel!$C$14)</f>
        <v/>
      </c>
      <c r="EZ52" s="36">
        <f>IF(AK52=0,0,ES52/AK52)</f>
        <v/>
      </c>
      <c r="FA52" s="9">
        <f>IF(ES52&lt;=0,"Pass",IF(ES52&gt;=Parcel!$C$27*Assumptions!$C$27,"Strong",IF(ES52&gt;=Parcel!$C$27,"Works at asking",IF(ES52&gt;=Parcel!$C$27*Assumptions!$C$28,"Negotiate","Pass"))))</f>
        <v/>
      </c>
      <c r="FB52" s="9">
        <f>IF(AM52=0,"",IF(Use_Library!$BH$51="Y",IF(Use_Effective!$AF$51&gt;=3,"High","Medium"),"Low - verify location"))</f>
        <v/>
      </c>
      <c r="FC52" s="9">
        <f>IF(AND(Use_Library!$BH$51="N",AM52=1),Use_Library!$BI$51,"")</f>
        <v/>
      </c>
      <c r="FD52" s="9">
        <f>TRIM(Q52&amp;" "&amp;IF(AND(AM52=0,T52=1),"Nothing fits. ","")&amp;IF(AND(Use_Library!$AZ$51&lt;&gt;"Y",Parcel!$C$19&lt;Use_Library!$AY$51),"Frontage under "&amp;Use_Library!$AY$51&amp;" LF. ","")&amp;IF(Parcel!$C$17&gt;0.15,"Slope over 15%. ","")&amp;IF(AND(AM52=1,AI52&gt;0.5),TEXT(AI52,"0")&amp;" ac not used - resold as raw land. ","")&amp;IF(AND(AM52=1,AC52&lt;1),"Demand caps it at "&amp;TEXT(AK52,"#,##0")&amp;" "&amp;Use_Library!$D$51&amp;". ","")&amp;IF(AND(AM52=1,L52=1),"Rezone required (+"&amp;Location!$C$32&amp;" mo). ","")&amp;IF(AND(AM52=1,BA52=1),"State wastewater permit needed. ","")&amp;IF(AND(AM52=1,AV52=1),"Public water system needed. ","")&amp;AP52&amp;IF(Parcel!$C$16&gt;Assumptions!$C$29,"Floodplain over "&amp;TEXT(Assumptions!$C$29,"0%")&amp;". ","")&amp;IF(AND(AM52=1,EV52&gt;60),"Over 5 years to exit. ",""))</f>
        <v/>
      </c>
      <c r="FE52" s="20">
        <f>IF(AND(Org_Profile!$C$5="My uses",E52=0),-1E+9,ES52)+ROW()/1000000</f>
        <v/>
      </c>
    </row>
    <row r="53">
      <c r="A53" s="4">
        <f>Use_Library!$A$52</f>
        <v/>
      </c>
      <c r="B53" s="9">
        <f>Use_Library!$C$52</f>
        <v/>
      </c>
      <c r="C53" s="9">
        <f>Use_Library!$D$52</f>
        <v/>
      </c>
      <c r="D53" s="9">
        <f>Use_Library!$F$52</f>
        <v/>
      </c>
      <c r="E53" s="15">
        <f>IF(Org_Profile!$C$69="Y",1,0)</f>
        <v/>
      </c>
      <c r="F53" s="14">
        <f>MAX(0,Parcel!$C$37*(1-Use_Library!$N$52-IF(Use_Library!$AB$52="Y",Assumptions!$C$7,0)))</f>
        <v/>
      </c>
      <c r="G53" s="14">
        <f>IF(Use_Library!$M$52&gt;0,MIN(F53,Use_Library!$M$52),F53)</f>
        <v/>
      </c>
      <c r="H53" s="23">
        <f>IF(F53=0,0,G53/F53)</f>
        <v/>
      </c>
      <c r="I53" s="14">
        <f>Parcel!$C$37*H53</f>
        <v/>
      </c>
      <c r="J53" s="9">
        <f>IF(ISNUMBER(SEARCH(","&amp;Use_Library!$F$52&amp;",",","&amp;SUBSTITUTE(Parcel!$C$11," ","")&amp;",")),"Deed restricted",IF(Parcel!$C$46=0,"No zoning",IF(ISNUMBER(SEARCH(","&amp;Use_Library!$F$52&amp;",",","&amp;SUBSTITUTE(Parcel!$C$10," ","")&amp;",")),"By right",IF(OR(TRIM(Parcel!$C$12)="*",ISNUMBER(SEARCH(","&amp;Use_Library!$F$52&amp;",",","&amp;SUBSTITUTE(Parcel!$C$12," ","")&amp;","))),"Rezone required","Prohibited by zoning"))))</f>
        <v/>
      </c>
      <c r="K53" s="15">
        <f>IF(OR(J53="Deed restricted",J53="Prohibited by zoning"),0,1)</f>
        <v/>
      </c>
      <c r="L53" s="15">
        <f>IF(J53="Rezone required",1,0)</f>
        <v/>
      </c>
      <c r="M53" s="15">
        <f>IF(Parcel!$C$20="None",0,IF(AND(Parcel!$C$20="Private easement",Use_Library!$BA$52="Y"),0,1))</f>
        <v/>
      </c>
      <c r="N53" s="15">
        <f>IF(AND(Use_Library!$AZ$52="Y",Parcel!$C$19&lt;Use_Library!$AY$52),0,1)</f>
        <v/>
      </c>
      <c r="O53" s="15">
        <f>IF(AND(Use_Library!$T$52="Y",Parcel!$C$39=0),0,1)</f>
        <v/>
      </c>
      <c r="P53" s="15">
        <f>IF(AND(Use_Library!$U$52="Y",Parcel!$C$38=0),0,1)</f>
        <v/>
      </c>
      <c r="Q53" s="9">
        <f>TRIM(IF(AND(Use_Library!$BB$52&gt;0,Parcel!$C$28&lt;Use_Library!$BB$52),"Traffic under "&amp;TEXT(Use_Library!$BB$52,"#,##0")&amp;" VPD. ","")&amp;IF(AND(Use_Library!$BC$52&gt;0,Parcel!$C$29&lt;Use_Library!$BC$52),"Under "&amp;TEXT(Use_Library!$BC$52,"#,##0")&amp;" households in 3 mi. ","")&amp;IF(AND(Use_Library!$BD$52&gt;0,Parcel!$C$31&gt;Use_Library!$BD$52),"Over "&amp;Use_Library!$BD$52&amp;" mi to highway. ","")&amp;IF(AND(Use_Library!$BE$52="Y",Parcel!$C$32&lt;&gt;"Y"),"Needs a corner. ","")&amp;IF(AND(Use_Library!$BF$52&gt;0,Parcel!$C$33&gt;Use_Library!$BF$52),"Over "&amp;Use_Library!$BF$52&amp;" mi to substation. ","")&amp;IF(AND(Use_Library!$BG$52&gt;0,Parcel!$C$34&gt;Use_Library!$BG$52),"Over "&amp;Use_Library!$BG$52&amp;" mi to a major employer. ",""))</f>
        <v/>
      </c>
      <c r="R53" s="15">
        <f>IF(Q53="",1,0)</f>
        <v/>
      </c>
      <c r="S53" s="15">
        <f>IF(F53&gt;=Use_Library!$L$52,1,0)</f>
        <v/>
      </c>
      <c r="T53" s="15">
        <f>K53*M53*N53*O53*P53*R53*S53</f>
        <v/>
      </c>
      <c r="U53" s="14">
        <f>IF(Use_Library!$G$52&gt;0,I53*Use_Library!$G$52,1E+9)</f>
        <v/>
      </c>
      <c r="V53" s="14">
        <f>IF(Use_Library!$H$52&gt;0,G53*43560/Use_Library!$H$52,1E+9)</f>
        <v/>
      </c>
      <c r="W53" s="14">
        <f>IF(AND(Use_Library!$K$52="Y",Parcel!$C$39=0),G53*(1-Assumptions!$C$8)/IF(Parcel!$C$38=1,Location!$C$25,Location!$C$26),1E+9)</f>
        <v/>
      </c>
      <c r="X53" s="14">
        <f>IF(Use_Library!$I$52&gt;0,Parcel!$C$14*H53/Use_Library!$I$52,1E+9)</f>
        <v/>
      </c>
      <c r="Y53" s="14">
        <f>IF(Use_Library!$J$52&gt;0,Parcel!$C$19/Use_Library!$J$52,1E+9)</f>
        <v/>
      </c>
      <c r="Z53" s="14">
        <f>IF(AND(Parcel!$C$39=0,Use_Library!$K$52="N",Use_Library!$Y$52&gt;0,Use_Library!$Z$52="Y"),G53*Location!$C$27*Parcel!$C$45/Use_Library!$Y$52,1E+9)</f>
        <v/>
      </c>
      <c r="AA53" s="14">
        <f>MIN(U53,V53,W53,X53,Y53,Z53)</f>
        <v/>
      </c>
      <c r="AB53" s="14">
        <f>IF(Use_Library!$O$52&gt;0,IF(Use_Library!$P$52&gt;=10,Parcel!$C$30,Parcel!$C$29)*Use_Library!$O$52*Use_Library!$Q$52,1E+9)</f>
        <v/>
      </c>
      <c r="AC53" s="23">
        <f>IF(OR(AA53&gt;=1E+9,AA53&lt;=0),1,MIN(1,AB53/AA53))</f>
        <v/>
      </c>
      <c r="AD53" s="14">
        <f>G53*AC53</f>
        <v/>
      </c>
      <c r="AE53" s="23">
        <f>IF(F53=0,0,AD53/F53)</f>
        <v/>
      </c>
      <c r="AF53" s="14">
        <f>Parcel!$C$37*AE53</f>
        <v/>
      </c>
      <c r="AG53" s="14">
        <f>AF53*IF(Use_Library!$AB$52="Y",Assumptions!$C$7,0)</f>
        <v/>
      </c>
      <c r="AH53" s="14">
        <f>AF53*(1-Use_Library!$N$52)</f>
        <v/>
      </c>
      <c r="AI53" s="14">
        <f>Parcel!$C$14*(1-AE53)</f>
        <v/>
      </c>
      <c r="AJ53" s="14">
        <f>MIN(AA53,AB53)</f>
        <v/>
      </c>
      <c r="AK53" s="25">
        <f>IF(T53=0,0,IF(AJ53&gt;=1E+9,AD53,IF(Use_Library!$E$52="Y",INT(AJ53+1E-9),AJ53)))</f>
        <v/>
      </c>
      <c r="AL53" s="9">
        <f>IF(M53=0,"No public road access",IF(K53=0,J53,IF(R53=0,"Location fails",IF(N53=0,"Frontage under "&amp;Use_Library!$AY$52&amp;" LF",IF(S53=0,"Too small - needs "&amp;Use_Library!$L$52&amp;" usable ac",IF(O53=0,"Needs public sewer",IF(P53=0,"Needs public water",IF(AJ53&gt;=1E+9,"Usable acres",IF(AB53&lt;=AA53,"Market demand",IF(W53=AA53,"Septic lot size",IF(Z53=AA53,"Septic capacity (gal/day)",IF(X53=AA53,"Min lot size",IF(Y53=AA53,"Road frontage",IF(V53=AA53,"Site area / parking","Density"))))))))))))))</f>
        <v/>
      </c>
      <c r="AM53" s="15">
        <f>IF(AK53&gt;0,1,0)</f>
        <v/>
      </c>
      <c r="AN53" s="15">
        <f>IF(Use_Library!$Z$52="Y",1,0)*AM53</f>
        <v/>
      </c>
      <c r="AO53" s="14">
        <f>IF(Parcel!$C$39=0,MIN(U53,V53,X53,Y53,AB53),0)</f>
        <v/>
      </c>
      <c r="AP53" s="9">
        <f>IF(AND(Parcel!$C$39=0,M53*K53*R53*N53*S53*P53=1,AO53&lt;1E+9,AO53&gt;=MAX(1,AK53)*1.25),"Unlock: sewer or package plant allows ~"&amp;TEXT(INT(AO53),"#,##0")&amp;" "&amp;Use_Library!$D$52&amp;". ","")</f>
        <v/>
      </c>
      <c r="AQ53" s="15">
        <f>AK53*Use_Library!$AC$52*AN53</f>
        <v/>
      </c>
      <c r="AR53" s="15">
        <f>AK53*Use_Library!$AD$52*AN53</f>
        <v/>
      </c>
      <c r="AS53" s="14">
        <f>AK53*Use_Library!$V$52*AN53</f>
        <v/>
      </c>
      <c r="AT53" s="15">
        <f>IF(Parcel!$C$38=1,AQ53+Parcel!$C$40,0)*AN53</f>
        <v/>
      </c>
      <c r="AU53" s="14">
        <f>AS53*Parcel!$C$38</f>
        <v/>
      </c>
      <c r="AV53" s="15">
        <f>IF(AND(Parcel!$C$38=0,Use_Library!$K$52="N",AS53&gt;=Location!$C$30),1,0)*AN53</f>
        <v/>
      </c>
      <c r="AW53" s="15">
        <f>IF(Parcel!$C$39=1,AQ53+Parcel!$C$41,0)*AN53</f>
        <v/>
      </c>
      <c r="AX53" s="14">
        <f>AS53*Parcel!$C$39</f>
        <v/>
      </c>
      <c r="AY53" s="14">
        <f>IF(Parcel!$C$39=0,AK53*Use_Library!$W$52,0)*AN53</f>
        <v/>
      </c>
      <c r="AZ53" s="15">
        <f>IF(Parcel!$C$39=0,AK53*Use_Library!$Y$52,0)*AN53</f>
        <v/>
      </c>
      <c r="BA53" s="15">
        <f>IF(AND(Use_Library!$K$52="N",AZ53&gt;Location!$C$28),1,0)</f>
        <v/>
      </c>
      <c r="BB53" s="14">
        <f>IF(AND(Parcel!$C$38=0,AV53=0),AK53*Use_Library!$X$52,0)*AN53</f>
        <v/>
      </c>
      <c r="BC53" s="14">
        <f>AH53*Parcel!$C$18*Use_Library!$AA$52*AN53</f>
        <v/>
      </c>
      <c r="BD53" s="14">
        <f>AH53*Use_Library!$AA$52*AN53</f>
        <v/>
      </c>
      <c r="BE53" s="15">
        <f>IF(Use_Library!$C$52="For-Sale",IF(Use_Library!$E$52="Y",AK53,1),1)*AM53</f>
        <v/>
      </c>
      <c r="BF53" s="15">
        <f>IF(OR(Use_Library!$F$52="RES-SF",Use_Library!$F$52="RES-ATT",Use_Library!$F$52="RES-MF",Use_Library!$F$52="MH"),1,0)</f>
        <v/>
      </c>
      <c r="BG53" s="20">
        <f>Cost_Library!$J$5*Location!$C$9*AM53</f>
        <v/>
      </c>
      <c r="BH53" s="20">
        <f>BE53*Cost_Library!$J$6*Location!$C$9</f>
        <v/>
      </c>
      <c r="BI53" s="20">
        <f>BD53*Cost_Library!$J$7*Location!$C$9</f>
        <v/>
      </c>
      <c r="BJ53" s="20">
        <f>Cost_Library!$J$8*Location!$C$9*AN53*IF(Use_Library!$AA$52&gt;=0.5,1,0)</f>
        <v/>
      </c>
      <c r="BK53" s="20">
        <f>AY53*Cost_Library!$J$9*Location!$C$9</f>
        <v/>
      </c>
      <c r="BL53" s="20">
        <f>BA53*Cost_Library!$J$10*Location!$C$9</f>
        <v/>
      </c>
      <c r="BM53" s="20">
        <f>Cost_Library!$J$11*Location!$C$9*AM53</f>
        <v/>
      </c>
      <c r="BN53" s="20">
        <f>Cost_Library!$J$12*Location!$C$9*AN53*IF(Use_Library!$AB$52="Y",1,0)</f>
        <v/>
      </c>
      <c r="BO53" s="20">
        <f>Use_Effective!$C$52*AM53</f>
        <v/>
      </c>
      <c r="BP53" s="20">
        <f>L53*Location!$C$31*AM53</f>
        <v/>
      </c>
      <c r="BQ53" s="20">
        <f>Cost_Library!$J$13*Location!$C$9*AM53</f>
        <v/>
      </c>
      <c r="BR53" s="20">
        <f>BC53*Cost_Library!$J$14*Location!$C$9</f>
        <v/>
      </c>
      <c r="BS53" s="20">
        <f>BD53*Cost_Library!$J$15*Location!$C$9*Parcel!$C$43</f>
        <v/>
      </c>
      <c r="BT53" s="20">
        <f>AQ53*Cost_Library!$J$16*Location!$C$9</f>
        <v/>
      </c>
      <c r="BU53" s="20">
        <f>AR53*Cost_Library!$J$17*Location!$C$9</f>
        <v/>
      </c>
      <c r="BV53" s="20">
        <f>AG53*Cost_Library!$J$18*Location!$C$9*AN53</f>
        <v/>
      </c>
      <c r="BW53" s="20">
        <f>BD53*Cost_Library!$J$19*Location!$C$9</f>
        <v/>
      </c>
      <c r="BX53" s="20">
        <f>IF(Use_Library!$AZ$52="Y",1,0)*Cost_Library!$J$20*Location!$C$9*AN53</f>
        <v/>
      </c>
      <c r="BY53" s="20">
        <f>AT53*Cost_Library!$J$21*Location!$C$9</f>
        <v/>
      </c>
      <c r="BZ53" s="20">
        <f>AU53*Cost_Library!$J$22*Location!$C$9</f>
        <v/>
      </c>
      <c r="CA53" s="20">
        <f>AW53*Cost_Library!$J$23*Location!$C$9</f>
        <v/>
      </c>
      <c r="CB53" s="20">
        <f>AX53*Cost_Library!$J$24*Location!$C$9</f>
        <v/>
      </c>
      <c r="CC53" s="20">
        <f>AY53*Cost_Library!$J$25*Location!$C$9*Parcel!$C$44</f>
        <v/>
      </c>
      <c r="CD53" s="20">
        <f>BB53*Cost_Library!$J$26*Location!$C$9</f>
        <v/>
      </c>
      <c r="CE53" s="20">
        <f>AV53*(Cost_Library!$J$27+AS53*Cost_Library!$J$28)*Location!$C$9</f>
        <v/>
      </c>
      <c r="CF53" s="20">
        <f>AQ53*Cost_Library!$J$29*Location!$C$9</f>
        <v/>
      </c>
      <c r="CG53" s="20">
        <f>SUM(BG53:CF53)</f>
        <v/>
      </c>
      <c r="CH53" s="20">
        <f>CG53*Assumptions!$C$9</f>
        <v/>
      </c>
      <c r="CI53" s="20">
        <f>(CG53+CH53)*Org_Profile!$C$17</f>
        <v/>
      </c>
      <c r="CJ53" s="20">
        <f>CG53+CH53+CI53</f>
        <v/>
      </c>
      <c r="CK53" s="20">
        <f>AK53*Use_Effective!$B$52*(1+Org_Profile!$C$17)</f>
        <v/>
      </c>
      <c r="CL53" s="20">
        <f>CK53*(Assumptions!$C$10+Assumptions!$C$11)</f>
        <v/>
      </c>
      <c r="CM53" s="20">
        <f>AK53*Use_Effective!$D$52</f>
        <v/>
      </c>
      <c r="CN53" s="20">
        <f>AK53*Location!$C$21*BF53*AM53</f>
        <v/>
      </c>
      <c r="CO53" s="14">
        <f>Use_Effective!$F$52+L53*Location!$C$32+BA53*Location!$C$29</f>
        <v/>
      </c>
      <c r="CP53" s="14">
        <f>IF(Use_Effective!$P$52&gt;0,IF(Use_Library!$C$52="For-Sale",AK53,AD53)/Use_Effective!$P$52,0)*AM53</f>
        <v/>
      </c>
      <c r="CQ53" s="14">
        <f>IF(AND(Use_Library!$C$52="For-Sale",Use_Effective!$O$52&gt;0),AK53/Use_Effective!$O$52,0)*AM53</f>
        <v/>
      </c>
      <c r="CR53" s="14">
        <f>IF(Use_Library!$C$52="Income",MAX(Use_Library!$AQ$52,IF(Use_Effective!$O$52&gt;0,AK53/Use_Effective!$O$52,0)),0)</f>
        <v/>
      </c>
      <c r="CS53" s="14">
        <f>CO53+CP53</f>
        <v/>
      </c>
      <c r="CT53" s="14">
        <f>CO53+CQ53+CR53</f>
        <v/>
      </c>
      <c r="CU53" s="14">
        <f>CO53+IF(Use_Library!$C$52="Income",CR53,0)</f>
        <v/>
      </c>
      <c r="CV53" s="23">
        <f>Use_Effective!$G$52+Assumptions!$C$25*MAX(0,(CS53-12)/12)</f>
        <v/>
      </c>
      <c r="CW53" s="23">
        <f>Use_Effective!$G$52+Assumptions!$C$25*MAX(0,(CT53-12)/12)</f>
        <v/>
      </c>
      <c r="CX53" s="23">
        <f>Use_Effective!$G$52+Assumptions!$C$25*MAX(0,(CU53-12)/12)</f>
        <v/>
      </c>
      <c r="CY53" s="28">
        <f>1+Location!$C$17+IF(Parcel!$C$26="Y",Location!$C$20,0)</f>
        <v/>
      </c>
      <c r="CZ53" s="28">
        <f>CY53+Location!$C$19*(CO53+CP53/2)/12</f>
        <v/>
      </c>
      <c r="DA53" s="28">
        <f>CY53+Location!$C$19*(CO53+CQ53/2)/12</f>
        <v/>
      </c>
      <c r="DB53" s="28">
        <f>IF(Use_Library!$C$52="Income",DA53,CY53+Location!$C$19*CO53/12)</f>
        <v/>
      </c>
      <c r="DC53" s="28">
        <f>1+Assumptions!$C$15*(Assumptions!$C$16*(CO53+CP53/2)/12*Assumptions!$C$18+Assumptions!$C$17)</f>
        <v/>
      </c>
      <c r="DD53" s="28">
        <f>1+Assumptions!$C$15*(Assumptions!$C$16*((CO53+CQ53/2)/12*Assumptions!$C$18+CR53/12*Assumptions!$C$19)+Assumptions!$C$17)</f>
        <v/>
      </c>
      <c r="DE53" s="28">
        <f>IF(Use_Library!$C$52="Income",DD53,1+Assumptions!$C$15*(Assumptions!$C$16*CO53/12*Assumptions!$C$18+Assumptions!$C$17))</f>
        <v/>
      </c>
      <c r="DF53" s="23">
        <f>Assumptions!$C$13+Location!$C$18</f>
        <v/>
      </c>
      <c r="DG53" s="23">
        <f>Assumptions!$C$12+Location!$C$18</f>
        <v/>
      </c>
      <c r="DH53" s="23">
        <f>Assumptions!$C$14+Location!$C$18</f>
        <v/>
      </c>
      <c r="DI53" s="20">
        <f>AI53*Location!$C$14*(1-DF53)*AM53</f>
        <v/>
      </c>
      <c r="DJ53" s="20">
        <f>IF(Use_Library!$AV$52=1,IF(Use_Library!$C$52="For-Sale",AK53*Use_Effective!$H$52+Parcel!$C$14*AE53*Use_Effective!$J$52,AD53*Use_Effective!$J$52)*(1-DF53)+DI53,0)*AM53</f>
        <v/>
      </c>
      <c r="DK53" s="20">
        <f>(CG53-BU53-CC53-CD53)*(1+Assumptions!$C$9)*(1+Org_Profile!$C$17)</f>
        <v/>
      </c>
      <c r="DL53" s="28">
        <f>CZ53*DC53</f>
        <v/>
      </c>
      <c r="DM53" s="20">
        <f>(Parcel!$C$27*CZ53+DK53)*DC53</f>
        <v/>
      </c>
      <c r="DN53" s="20">
        <f>DJ53-DM53</f>
        <v/>
      </c>
      <c r="DO53" s="38">
        <f>IF(AND(Use_Library!$AV$52=1,AM53=1),MAX(0,((1-CV53)*DJ53-DK53*DC53)/DL53),0)</f>
        <v/>
      </c>
      <c r="DP53" s="20">
        <f>CJ53+CK53+CL53+CM53+CN53</f>
        <v/>
      </c>
      <c r="DQ53" s="28">
        <f>DA53*DD53</f>
        <v/>
      </c>
      <c r="DR53" s="20">
        <f>(Parcel!$C$27*DA53+DP53)*DD53</f>
        <v/>
      </c>
      <c r="DS53" s="20">
        <f>IF(Use_Library!$C$52="Income",AK53*Use_Effective!$K$52,0)</f>
        <v/>
      </c>
      <c r="DT53" s="20">
        <f>DS53*(1+Use_Library!$AL$52)*(1-Use_Effective!$N$52)</f>
        <v/>
      </c>
      <c r="DU53" s="20">
        <f>IF(Use_Library!$C$52="Income",AK53*Use_Effective!$E$52,0)</f>
        <v/>
      </c>
      <c r="DV53" s="20">
        <f>IF(Use_Library!$C$52="Income",Location!$C$15*Location!$C$16*DR53,0)</f>
        <v/>
      </c>
      <c r="DW53" s="20">
        <f>DT53*Use_Library!$AO$52</f>
        <v/>
      </c>
      <c r="DX53" s="20">
        <f>(DU53+DV53)*Use_Library!$AP$52</f>
        <v/>
      </c>
      <c r="DY53" s="20">
        <f>DT53-DU53-DV53-DW53+DX53</f>
        <v/>
      </c>
      <c r="DZ53" s="26">
        <f>Use_Effective!$M$52</f>
        <v/>
      </c>
      <c r="EA53" s="20">
        <f>IF(AND(Use_Library!$C$52="Income",DZ53&gt;0),DY53/DZ53,0)</f>
        <v/>
      </c>
      <c r="EB53" s="39">
        <f>IF(Use_Library!$C$52="Income",-Location!$C$15*Location!$C$16*(1-Use_Library!$AP$52)*DQ53,0)</f>
        <v/>
      </c>
      <c r="EC53" s="23">
        <f>IF(DR53=0,0,DY53/DR53)</f>
        <v/>
      </c>
      <c r="ED53" s="20">
        <f>IF(Use_Library!$AW$52=1,IF(Use_Library!$C$52="Income",EA53*(1-DH53),AK53*Use_Effective!$I$52*(1-DG53))+DI53,0)*AM53</f>
        <v/>
      </c>
      <c r="EE53" s="39">
        <f>IF(AND(Use_Library!$AW$52=1,Use_Library!$C$52="Income",DZ53&gt;0),EB53/DZ53*(1-DH53),0)</f>
        <v/>
      </c>
      <c r="EF53" s="20">
        <f>ED53-DR53</f>
        <v/>
      </c>
      <c r="EG53" s="38">
        <f>IF(AND(Use_Library!$AW$52=1,AM53=1),MAX(0,Parcel!$C$27-((1-CW53)*ED53-DR53)/((1-CW53)*EE53-DQ53)),0)</f>
        <v/>
      </c>
      <c r="EH53" s="20">
        <f>IF(Use_Library!$AX$52=1,IF(Use_Library!$C$52="Income",EA53,IF(DZ53&gt;0,AD53*Use_Effective!$L$52/DZ53,0))+DI53,0)*AM53</f>
        <v/>
      </c>
      <c r="EI53" s="20">
        <f>IF(Use_Library!$C$52="Income",DP53,CJ53)</f>
        <v/>
      </c>
      <c r="EJ53" s="28">
        <f>IF(Use_Library!$C$52="Income",DQ53,DB53*DE53)</f>
        <v/>
      </c>
      <c r="EK53" s="20">
        <f>IF(Use_Library!$C$52="Income",DR53,(Parcel!$C$27*DB53+CJ53)*DE53)</f>
        <v/>
      </c>
      <c r="EL53" s="39">
        <f>IF(AND(Use_Library!$AX$52=1,Use_Library!$C$52="Income",DZ53&gt;0),EB53/DZ53,0)</f>
        <v/>
      </c>
      <c r="EM53" s="20">
        <f>EH53-EK53</f>
        <v/>
      </c>
      <c r="EN53" s="38">
        <f>IF(AND(Use_Library!$AX$52=1,AM53=1),MAX(0,Parcel!$C$27-((1-CX53)*EH53-EK53)/((1-CX53)*EL53-EJ53)),0)</f>
        <v/>
      </c>
      <c r="EO53" s="20">
        <f>IF(Use_Library!$C$52="Income",Assumptions!$C$15*(Parcel!$C$27*DA53+DP53),0)</f>
        <v/>
      </c>
      <c r="EP53" s="20">
        <f>IF(AND(Use_Library!$C$52="Income",DY53&gt;0),MIN(Assumptions!$C$20*EA53,PV(Assumptions!$C$23/12,Assumptions!$C$24*12,-DY53/Assumptions!$C$21/12),DY53/Assumptions!$C$22),0)</f>
        <v/>
      </c>
      <c r="EQ53" s="27">
        <f>IF(EP53=0,0,DY53/(-PMT(Assumptions!$C$23/12,Assumptions!$C$24*12,EP53)*12))</f>
        <v/>
      </c>
      <c r="ER53" s="20">
        <f>EP53-EO53</f>
        <v/>
      </c>
      <c r="ES53" s="19">
        <f>MAX(DO53,EG53,EN53)</f>
        <v/>
      </c>
      <c r="ET53" s="15">
        <f>IF(ES53&lt;=0,0,IF(DO53=ES53,1,IF(EG53=ES53,2,3)))</f>
        <v/>
      </c>
      <c r="EU53" s="9">
        <f>CHOOSE(ET53+1,"None works","Land / pad sale","Build &amp; sell","Build &amp; hold / lease")</f>
        <v/>
      </c>
      <c r="EV53" s="15">
        <f>CHOOSE(ET53+1,0,CS53,CT53,CU53)</f>
        <v/>
      </c>
      <c r="EW53" s="20">
        <f>ES53*(1-Assumptions!$C$26)</f>
        <v/>
      </c>
      <c r="EX53" s="20">
        <f>ES53-Parcel!$C$27</f>
        <v/>
      </c>
      <c r="EY53" s="20">
        <f>IF(Parcel!$C$14=0,0,ES53/Parcel!$C$14)</f>
        <v/>
      </c>
      <c r="EZ53" s="36">
        <f>IF(AK53=0,0,ES53/AK53)</f>
        <v/>
      </c>
      <c r="FA53" s="9">
        <f>IF(ES53&lt;=0,"Pass",IF(ES53&gt;=Parcel!$C$27*Assumptions!$C$27,"Strong",IF(ES53&gt;=Parcel!$C$27,"Works at asking",IF(ES53&gt;=Parcel!$C$27*Assumptions!$C$28,"Negotiate","Pass"))))</f>
        <v/>
      </c>
      <c r="FB53" s="9">
        <f>IF(AM53=0,"",IF(Use_Library!$BH$52="Y",IF(Use_Effective!$AF$52&gt;=3,"High","Medium"),"Low - verify location"))</f>
        <v/>
      </c>
      <c r="FC53" s="9">
        <f>IF(AND(Use_Library!$BH$52="N",AM53=1),Use_Library!$BI$52,"")</f>
        <v/>
      </c>
      <c r="FD53" s="9">
        <f>TRIM(Q53&amp;" "&amp;IF(AND(AM53=0,T53=1),"Nothing fits. ","")&amp;IF(AND(Use_Library!$AZ$52&lt;&gt;"Y",Parcel!$C$19&lt;Use_Library!$AY$52),"Frontage under "&amp;Use_Library!$AY$52&amp;" LF. ","")&amp;IF(Parcel!$C$17&gt;0.15,"Slope over 15%. ","")&amp;IF(AND(AM53=1,AI53&gt;0.5),TEXT(AI53,"0")&amp;" ac not used - resold as raw land. ","")&amp;IF(AND(AM53=1,AC53&lt;1),"Demand caps it at "&amp;TEXT(AK53,"#,##0")&amp;" "&amp;Use_Library!$D$52&amp;". ","")&amp;IF(AND(AM53=1,L53=1),"Rezone required (+"&amp;Location!$C$32&amp;" mo). ","")&amp;IF(AND(AM53=1,BA53=1),"State wastewater permit needed. ","")&amp;IF(AND(AM53=1,AV53=1),"Public water system needed. ","")&amp;AP53&amp;IF(Parcel!$C$16&gt;Assumptions!$C$29,"Floodplain over "&amp;TEXT(Assumptions!$C$29,"0%")&amp;". ","")&amp;IF(AND(AM53=1,EV53&gt;60),"Over 5 years to exit. ",""))</f>
        <v/>
      </c>
      <c r="FE53" s="20">
        <f>IF(AND(Org_Profile!$C$5="My uses",E53=0),-1E+9,ES53)+ROW()/1000000</f>
        <v/>
      </c>
    </row>
    <row r="54">
      <c r="A54" s="4">
        <f>Use_Library!$A$53</f>
        <v/>
      </c>
      <c r="B54" s="9">
        <f>Use_Library!$C$53</f>
        <v/>
      </c>
      <c r="C54" s="9">
        <f>Use_Library!$D$53</f>
        <v/>
      </c>
      <c r="D54" s="9">
        <f>Use_Library!$F$53</f>
        <v/>
      </c>
      <c r="E54" s="15">
        <f>IF(Org_Profile!$C$70="Y",1,0)</f>
        <v/>
      </c>
      <c r="F54" s="14">
        <f>MAX(0,Parcel!$C$37*(1-Use_Library!$N$53-IF(Use_Library!$AB$53="Y",Assumptions!$C$7,0)))</f>
        <v/>
      </c>
      <c r="G54" s="14">
        <f>IF(Use_Library!$M$53&gt;0,MIN(F54,Use_Library!$M$53),F54)</f>
        <v/>
      </c>
      <c r="H54" s="23">
        <f>IF(F54=0,0,G54/F54)</f>
        <v/>
      </c>
      <c r="I54" s="14">
        <f>Parcel!$C$37*H54</f>
        <v/>
      </c>
      <c r="J54" s="9">
        <f>IF(ISNUMBER(SEARCH(","&amp;Use_Library!$F$53&amp;",",","&amp;SUBSTITUTE(Parcel!$C$11," ","")&amp;",")),"Deed restricted",IF(Parcel!$C$46=0,"No zoning",IF(ISNUMBER(SEARCH(","&amp;Use_Library!$F$53&amp;",",","&amp;SUBSTITUTE(Parcel!$C$10," ","")&amp;",")),"By right",IF(OR(TRIM(Parcel!$C$12)="*",ISNUMBER(SEARCH(","&amp;Use_Library!$F$53&amp;",",","&amp;SUBSTITUTE(Parcel!$C$12," ","")&amp;","))),"Rezone required","Prohibited by zoning"))))</f>
        <v/>
      </c>
      <c r="K54" s="15">
        <f>IF(OR(J54="Deed restricted",J54="Prohibited by zoning"),0,1)</f>
        <v/>
      </c>
      <c r="L54" s="15">
        <f>IF(J54="Rezone required",1,0)</f>
        <v/>
      </c>
      <c r="M54" s="15">
        <f>IF(Parcel!$C$20="None",0,IF(AND(Parcel!$C$20="Private easement",Use_Library!$BA$53="Y"),0,1))</f>
        <v/>
      </c>
      <c r="N54" s="15">
        <f>IF(AND(Use_Library!$AZ$53="Y",Parcel!$C$19&lt;Use_Library!$AY$53),0,1)</f>
        <v/>
      </c>
      <c r="O54" s="15">
        <f>IF(AND(Use_Library!$T$53="Y",Parcel!$C$39=0),0,1)</f>
        <v/>
      </c>
      <c r="P54" s="15">
        <f>IF(AND(Use_Library!$U$53="Y",Parcel!$C$38=0),0,1)</f>
        <v/>
      </c>
      <c r="Q54" s="9">
        <f>TRIM(IF(AND(Use_Library!$BB$53&gt;0,Parcel!$C$28&lt;Use_Library!$BB$53),"Traffic under "&amp;TEXT(Use_Library!$BB$53,"#,##0")&amp;" VPD. ","")&amp;IF(AND(Use_Library!$BC$53&gt;0,Parcel!$C$29&lt;Use_Library!$BC$53),"Under "&amp;TEXT(Use_Library!$BC$53,"#,##0")&amp;" households in 3 mi. ","")&amp;IF(AND(Use_Library!$BD$53&gt;0,Parcel!$C$31&gt;Use_Library!$BD$53),"Over "&amp;Use_Library!$BD$53&amp;" mi to highway. ","")&amp;IF(AND(Use_Library!$BE$53="Y",Parcel!$C$32&lt;&gt;"Y"),"Needs a corner. ","")&amp;IF(AND(Use_Library!$BF$53&gt;0,Parcel!$C$33&gt;Use_Library!$BF$53),"Over "&amp;Use_Library!$BF$53&amp;" mi to substation. ","")&amp;IF(AND(Use_Library!$BG$53&gt;0,Parcel!$C$34&gt;Use_Library!$BG$53),"Over "&amp;Use_Library!$BG$53&amp;" mi to a major employer. ",""))</f>
        <v/>
      </c>
      <c r="R54" s="15">
        <f>IF(Q54="",1,0)</f>
        <v/>
      </c>
      <c r="S54" s="15">
        <f>IF(F54&gt;=Use_Library!$L$53,1,0)</f>
        <v/>
      </c>
      <c r="T54" s="15">
        <f>K54*M54*N54*O54*P54*R54*S54</f>
        <v/>
      </c>
      <c r="U54" s="14">
        <f>IF(Use_Library!$G$53&gt;0,I54*Use_Library!$G$53,1E+9)</f>
        <v/>
      </c>
      <c r="V54" s="14">
        <f>IF(Use_Library!$H$53&gt;0,G54*43560/Use_Library!$H$53,1E+9)</f>
        <v/>
      </c>
      <c r="W54" s="14">
        <f>IF(AND(Use_Library!$K$53="Y",Parcel!$C$39=0),G54*(1-Assumptions!$C$8)/IF(Parcel!$C$38=1,Location!$C$25,Location!$C$26),1E+9)</f>
        <v/>
      </c>
      <c r="X54" s="14">
        <f>IF(Use_Library!$I$53&gt;0,Parcel!$C$14*H54/Use_Library!$I$53,1E+9)</f>
        <v/>
      </c>
      <c r="Y54" s="14">
        <f>IF(Use_Library!$J$53&gt;0,Parcel!$C$19/Use_Library!$J$53,1E+9)</f>
        <v/>
      </c>
      <c r="Z54" s="14">
        <f>IF(AND(Parcel!$C$39=0,Use_Library!$K$53="N",Use_Library!$Y$53&gt;0,Use_Library!$Z$53="Y"),G54*Location!$C$27*Parcel!$C$45/Use_Library!$Y$53,1E+9)</f>
        <v/>
      </c>
      <c r="AA54" s="14">
        <f>MIN(U54,V54,W54,X54,Y54,Z54)</f>
        <v/>
      </c>
      <c r="AB54" s="14">
        <f>IF(Use_Library!$O$53&gt;0,IF(Use_Library!$P$53&gt;=10,Parcel!$C$30,Parcel!$C$29)*Use_Library!$O$53*Use_Library!$Q$53,1E+9)</f>
        <v/>
      </c>
      <c r="AC54" s="23">
        <f>IF(OR(AA54&gt;=1E+9,AA54&lt;=0),1,MIN(1,AB54/AA54))</f>
        <v/>
      </c>
      <c r="AD54" s="14">
        <f>G54*AC54</f>
        <v/>
      </c>
      <c r="AE54" s="23">
        <f>IF(F54=0,0,AD54/F54)</f>
        <v/>
      </c>
      <c r="AF54" s="14">
        <f>Parcel!$C$37*AE54</f>
        <v/>
      </c>
      <c r="AG54" s="14">
        <f>AF54*IF(Use_Library!$AB$53="Y",Assumptions!$C$7,0)</f>
        <v/>
      </c>
      <c r="AH54" s="14">
        <f>AF54*(1-Use_Library!$N$53)</f>
        <v/>
      </c>
      <c r="AI54" s="14">
        <f>Parcel!$C$14*(1-AE54)</f>
        <v/>
      </c>
      <c r="AJ54" s="14">
        <f>MIN(AA54,AB54)</f>
        <v/>
      </c>
      <c r="AK54" s="25">
        <f>IF(T54=0,0,IF(AJ54&gt;=1E+9,AD54,IF(Use_Library!$E$53="Y",INT(AJ54+1E-9),AJ54)))</f>
        <v/>
      </c>
      <c r="AL54" s="9">
        <f>IF(M54=0,"No public road access",IF(K54=0,J54,IF(R54=0,"Location fails",IF(N54=0,"Frontage under "&amp;Use_Library!$AY$53&amp;" LF",IF(S54=0,"Too small - needs "&amp;Use_Library!$L$53&amp;" usable ac",IF(O54=0,"Needs public sewer",IF(P54=0,"Needs public water",IF(AJ54&gt;=1E+9,"Usable acres",IF(AB54&lt;=AA54,"Market demand",IF(W54=AA54,"Septic lot size",IF(Z54=AA54,"Septic capacity (gal/day)",IF(X54=AA54,"Min lot size",IF(Y54=AA54,"Road frontage",IF(V54=AA54,"Site area / parking","Density"))))))))))))))</f>
        <v/>
      </c>
      <c r="AM54" s="15">
        <f>IF(AK54&gt;0,1,0)</f>
        <v/>
      </c>
      <c r="AN54" s="15">
        <f>IF(Use_Library!$Z$53="Y",1,0)*AM54</f>
        <v/>
      </c>
      <c r="AO54" s="14">
        <f>IF(Parcel!$C$39=0,MIN(U54,V54,X54,Y54,AB54),0)</f>
        <v/>
      </c>
      <c r="AP54" s="9">
        <f>IF(AND(Parcel!$C$39=0,M54*K54*R54*N54*S54*P54=1,AO54&lt;1E+9,AO54&gt;=MAX(1,AK54)*1.25),"Unlock: sewer or package plant allows ~"&amp;TEXT(INT(AO54),"#,##0")&amp;" "&amp;Use_Library!$D$53&amp;". ","")</f>
        <v/>
      </c>
      <c r="AQ54" s="15">
        <f>AK54*Use_Library!$AC$53*AN54</f>
        <v/>
      </c>
      <c r="AR54" s="15">
        <f>AK54*Use_Library!$AD$53*AN54</f>
        <v/>
      </c>
      <c r="AS54" s="14">
        <f>AK54*Use_Library!$V$53*AN54</f>
        <v/>
      </c>
      <c r="AT54" s="15">
        <f>IF(Parcel!$C$38=1,AQ54+Parcel!$C$40,0)*AN54</f>
        <v/>
      </c>
      <c r="AU54" s="14">
        <f>AS54*Parcel!$C$38</f>
        <v/>
      </c>
      <c r="AV54" s="15">
        <f>IF(AND(Parcel!$C$38=0,Use_Library!$K$53="N",AS54&gt;=Location!$C$30),1,0)*AN54</f>
        <v/>
      </c>
      <c r="AW54" s="15">
        <f>IF(Parcel!$C$39=1,AQ54+Parcel!$C$41,0)*AN54</f>
        <v/>
      </c>
      <c r="AX54" s="14">
        <f>AS54*Parcel!$C$39</f>
        <v/>
      </c>
      <c r="AY54" s="14">
        <f>IF(Parcel!$C$39=0,AK54*Use_Library!$W$53,0)*AN54</f>
        <v/>
      </c>
      <c r="AZ54" s="15">
        <f>IF(Parcel!$C$39=0,AK54*Use_Library!$Y$53,0)*AN54</f>
        <v/>
      </c>
      <c r="BA54" s="15">
        <f>IF(AND(Use_Library!$K$53="N",AZ54&gt;Location!$C$28),1,0)</f>
        <v/>
      </c>
      <c r="BB54" s="14">
        <f>IF(AND(Parcel!$C$38=0,AV54=0),AK54*Use_Library!$X$53,0)*AN54</f>
        <v/>
      </c>
      <c r="BC54" s="14">
        <f>AH54*Parcel!$C$18*Use_Library!$AA$53*AN54</f>
        <v/>
      </c>
      <c r="BD54" s="14">
        <f>AH54*Use_Library!$AA$53*AN54</f>
        <v/>
      </c>
      <c r="BE54" s="15">
        <f>IF(Use_Library!$C$53="For-Sale",IF(Use_Library!$E$53="Y",AK54,1),1)*AM54</f>
        <v/>
      </c>
      <c r="BF54" s="15">
        <f>IF(OR(Use_Library!$F$53="RES-SF",Use_Library!$F$53="RES-ATT",Use_Library!$F$53="RES-MF",Use_Library!$F$53="MH"),1,0)</f>
        <v/>
      </c>
      <c r="BG54" s="20">
        <f>Cost_Library!$J$5*Location!$C$9*AM54</f>
        <v/>
      </c>
      <c r="BH54" s="20">
        <f>BE54*Cost_Library!$J$6*Location!$C$9</f>
        <v/>
      </c>
      <c r="BI54" s="20">
        <f>BD54*Cost_Library!$J$7*Location!$C$9</f>
        <v/>
      </c>
      <c r="BJ54" s="20">
        <f>Cost_Library!$J$8*Location!$C$9*AN54*IF(Use_Library!$AA$53&gt;=0.5,1,0)</f>
        <v/>
      </c>
      <c r="BK54" s="20">
        <f>AY54*Cost_Library!$J$9*Location!$C$9</f>
        <v/>
      </c>
      <c r="BL54" s="20">
        <f>BA54*Cost_Library!$J$10*Location!$C$9</f>
        <v/>
      </c>
      <c r="BM54" s="20">
        <f>Cost_Library!$J$11*Location!$C$9*AM54</f>
        <v/>
      </c>
      <c r="BN54" s="20">
        <f>Cost_Library!$J$12*Location!$C$9*AN54*IF(Use_Library!$AB$53="Y",1,0)</f>
        <v/>
      </c>
      <c r="BO54" s="20">
        <f>Use_Effective!$C$53*AM54</f>
        <v/>
      </c>
      <c r="BP54" s="20">
        <f>L54*Location!$C$31*AM54</f>
        <v/>
      </c>
      <c r="BQ54" s="20">
        <f>Cost_Library!$J$13*Location!$C$9*AM54</f>
        <v/>
      </c>
      <c r="BR54" s="20">
        <f>BC54*Cost_Library!$J$14*Location!$C$9</f>
        <v/>
      </c>
      <c r="BS54" s="20">
        <f>BD54*Cost_Library!$J$15*Location!$C$9*Parcel!$C$43</f>
        <v/>
      </c>
      <c r="BT54" s="20">
        <f>AQ54*Cost_Library!$J$16*Location!$C$9</f>
        <v/>
      </c>
      <c r="BU54" s="20">
        <f>AR54*Cost_Library!$J$17*Location!$C$9</f>
        <v/>
      </c>
      <c r="BV54" s="20">
        <f>AG54*Cost_Library!$J$18*Location!$C$9*AN54</f>
        <v/>
      </c>
      <c r="BW54" s="20">
        <f>BD54*Cost_Library!$J$19*Location!$C$9</f>
        <v/>
      </c>
      <c r="BX54" s="20">
        <f>IF(Use_Library!$AZ$53="Y",1,0)*Cost_Library!$J$20*Location!$C$9*AN54</f>
        <v/>
      </c>
      <c r="BY54" s="20">
        <f>AT54*Cost_Library!$J$21*Location!$C$9</f>
        <v/>
      </c>
      <c r="BZ54" s="20">
        <f>AU54*Cost_Library!$J$22*Location!$C$9</f>
        <v/>
      </c>
      <c r="CA54" s="20">
        <f>AW54*Cost_Library!$J$23*Location!$C$9</f>
        <v/>
      </c>
      <c r="CB54" s="20">
        <f>AX54*Cost_Library!$J$24*Location!$C$9</f>
        <v/>
      </c>
      <c r="CC54" s="20">
        <f>AY54*Cost_Library!$J$25*Location!$C$9*Parcel!$C$44</f>
        <v/>
      </c>
      <c r="CD54" s="20">
        <f>BB54*Cost_Library!$J$26*Location!$C$9</f>
        <v/>
      </c>
      <c r="CE54" s="20">
        <f>AV54*(Cost_Library!$J$27+AS54*Cost_Library!$J$28)*Location!$C$9</f>
        <v/>
      </c>
      <c r="CF54" s="20">
        <f>AQ54*Cost_Library!$J$29*Location!$C$9</f>
        <v/>
      </c>
      <c r="CG54" s="20">
        <f>SUM(BG54:CF54)</f>
        <v/>
      </c>
      <c r="CH54" s="20">
        <f>CG54*Assumptions!$C$9</f>
        <v/>
      </c>
      <c r="CI54" s="20">
        <f>(CG54+CH54)*Org_Profile!$C$17</f>
        <v/>
      </c>
      <c r="CJ54" s="20">
        <f>CG54+CH54+CI54</f>
        <v/>
      </c>
      <c r="CK54" s="20">
        <f>AK54*Use_Effective!$B$53*(1+Org_Profile!$C$17)</f>
        <v/>
      </c>
      <c r="CL54" s="20">
        <f>CK54*(Assumptions!$C$10+Assumptions!$C$11)</f>
        <v/>
      </c>
      <c r="CM54" s="20">
        <f>AK54*Use_Effective!$D$53</f>
        <v/>
      </c>
      <c r="CN54" s="20">
        <f>AK54*Location!$C$21*BF54*AM54</f>
        <v/>
      </c>
      <c r="CO54" s="14">
        <f>Use_Effective!$F$53+L54*Location!$C$32+BA54*Location!$C$29</f>
        <v/>
      </c>
      <c r="CP54" s="14">
        <f>IF(Use_Effective!$P$53&gt;0,IF(Use_Library!$C$53="For-Sale",AK54,AD54)/Use_Effective!$P$53,0)*AM54</f>
        <v/>
      </c>
      <c r="CQ54" s="14">
        <f>IF(AND(Use_Library!$C$53="For-Sale",Use_Effective!$O$53&gt;0),AK54/Use_Effective!$O$53,0)*AM54</f>
        <v/>
      </c>
      <c r="CR54" s="14">
        <f>IF(Use_Library!$C$53="Income",MAX(Use_Library!$AQ$53,IF(Use_Effective!$O$53&gt;0,AK54/Use_Effective!$O$53,0)),0)</f>
        <v/>
      </c>
      <c r="CS54" s="14">
        <f>CO54+CP54</f>
        <v/>
      </c>
      <c r="CT54" s="14">
        <f>CO54+CQ54+CR54</f>
        <v/>
      </c>
      <c r="CU54" s="14">
        <f>CO54+IF(Use_Library!$C$53="Income",CR54,0)</f>
        <v/>
      </c>
      <c r="CV54" s="23">
        <f>Use_Effective!$G$53+Assumptions!$C$25*MAX(0,(CS54-12)/12)</f>
        <v/>
      </c>
      <c r="CW54" s="23">
        <f>Use_Effective!$G$53+Assumptions!$C$25*MAX(0,(CT54-12)/12)</f>
        <v/>
      </c>
      <c r="CX54" s="23">
        <f>Use_Effective!$G$53+Assumptions!$C$25*MAX(0,(CU54-12)/12)</f>
        <v/>
      </c>
      <c r="CY54" s="28">
        <f>1+Location!$C$17+IF(Parcel!$C$26="Y",Location!$C$20,0)</f>
        <v/>
      </c>
      <c r="CZ54" s="28">
        <f>CY54+Location!$C$19*(CO54+CP54/2)/12</f>
        <v/>
      </c>
      <c r="DA54" s="28">
        <f>CY54+Location!$C$19*(CO54+CQ54/2)/12</f>
        <v/>
      </c>
      <c r="DB54" s="28">
        <f>IF(Use_Library!$C$53="Income",DA54,CY54+Location!$C$19*CO54/12)</f>
        <v/>
      </c>
      <c r="DC54" s="28">
        <f>1+Assumptions!$C$15*(Assumptions!$C$16*(CO54+CP54/2)/12*Assumptions!$C$18+Assumptions!$C$17)</f>
        <v/>
      </c>
      <c r="DD54" s="28">
        <f>1+Assumptions!$C$15*(Assumptions!$C$16*((CO54+CQ54/2)/12*Assumptions!$C$18+CR54/12*Assumptions!$C$19)+Assumptions!$C$17)</f>
        <v/>
      </c>
      <c r="DE54" s="28">
        <f>IF(Use_Library!$C$53="Income",DD54,1+Assumptions!$C$15*(Assumptions!$C$16*CO54/12*Assumptions!$C$18+Assumptions!$C$17))</f>
        <v/>
      </c>
      <c r="DF54" s="23">
        <f>Assumptions!$C$13+Location!$C$18</f>
        <v/>
      </c>
      <c r="DG54" s="23">
        <f>Assumptions!$C$12+Location!$C$18</f>
        <v/>
      </c>
      <c r="DH54" s="23">
        <f>Assumptions!$C$14+Location!$C$18</f>
        <v/>
      </c>
      <c r="DI54" s="20">
        <f>AI54*Location!$C$14*(1-DF54)*AM54</f>
        <v/>
      </c>
      <c r="DJ54" s="20">
        <f>IF(Use_Library!$AV$53=1,IF(Use_Library!$C$53="For-Sale",AK54*Use_Effective!$H$53+Parcel!$C$14*AE54*Use_Effective!$J$53,AD54*Use_Effective!$J$53)*(1-DF54)+DI54,0)*AM54</f>
        <v/>
      </c>
      <c r="DK54" s="20">
        <f>(CG54-BU54-CC54-CD54)*(1+Assumptions!$C$9)*(1+Org_Profile!$C$17)</f>
        <v/>
      </c>
      <c r="DL54" s="28">
        <f>CZ54*DC54</f>
        <v/>
      </c>
      <c r="DM54" s="20">
        <f>(Parcel!$C$27*CZ54+DK54)*DC54</f>
        <v/>
      </c>
      <c r="DN54" s="20">
        <f>DJ54-DM54</f>
        <v/>
      </c>
      <c r="DO54" s="38">
        <f>IF(AND(Use_Library!$AV$53=1,AM54=1),MAX(0,((1-CV54)*DJ54-DK54*DC54)/DL54),0)</f>
        <v/>
      </c>
      <c r="DP54" s="20">
        <f>CJ54+CK54+CL54+CM54+CN54</f>
        <v/>
      </c>
      <c r="DQ54" s="28">
        <f>DA54*DD54</f>
        <v/>
      </c>
      <c r="DR54" s="20">
        <f>(Parcel!$C$27*DA54+DP54)*DD54</f>
        <v/>
      </c>
      <c r="DS54" s="20">
        <f>IF(Use_Library!$C$53="Income",AK54*Use_Effective!$K$53,0)</f>
        <v/>
      </c>
      <c r="DT54" s="20">
        <f>DS54*(1+Use_Library!$AL$53)*(1-Use_Effective!$N$53)</f>
        <v/>
      </c>
      <c r="DU54" s="20">
        <f>IF(Use_Library!$C$53="Income",AK54*Use_Effective!$E$53,0)</f>
        <v/>
      </c>
      <c r="DV54" s="20">
        <f>IF(Use_Library!$C$53="Income",Location!$C$15*Location!$C$16*DR54,0)</f>
        <v/>
      </c>
      <c r="DW54" s="20">
        <f>DT54*Use_Library!$AO$53</f>
        <v/>
      </c>
      <c r="DX54" s="20">
        <f>(DU54+DV54)*Use_Library!$AP$53</f>
        <v/>
      </c>
      <c r="DY54" s="20">
        <f>DT54-DU54-DV54-DW54+DX54</f>
        <v/>
      </c>
      <c r="DZ54" s="26">
        <f>Use_Effective!$M$53</f>
        <v/>
      </c>
      <c r="EA54" s="20">
        <f>IF(AND(Use_Library!$C$53="Income",DZ54&gt;0),DY54/DZ54,0)</f>
        <v/>
      </c>
      <c r="EB54" s="39">
        <f>IF(Use_Library!$C$53="Income",-Location!$C$15*Location!$C$16*(1-Use_Library!$AP$53)*DQ54,0)</f>
        <v/>
      </c>
      <c r="EC54" s="23">
        <f>IF(DR54=0,0,DY54/DR54)</f>
        <v/>
      </c>
      <c r="ED54" s="20">
        <f>IF(Use_Library!$AW$53=1,IF(Use_Library!$C$53="Income",EA54*(1-DH54),AK54*Use_Effective!$I$53*(1-DG54))+DI54,0)*AM54</f>
        <v/>
      </c>
      <c r="EE54" s="39">
        <f>IF(AND(Use_Library!$AW$53=1,Use_Library!$C$53="Income",DZ54&gt;0),EB54/DZ54*(1-DH54),0)</f>
        <v/>
      </c>
      <c r="EF54" s="20">
        <f>ED54-DR54</f>
        <v/>
      </c>
      <c r="EG54" s="38">
        <f>IF(AND(Use_Library!$AW$53=1,AM54=1),MAX(0,Parcel!$C$27-((1-CW54)*ED54-DR54)/((1-CW54)*EE54-DQ54)),0)</f>
        <v/>
      </c>
      <c r="EH54" s="20">
        <f>IF(Use_Library!$AX$53=1,IF(Use_Library!$C$53="Income",EA54,IF(DZ54&gt;0,AD54*Use_Effective!$L$53/DZ54,0))+DI54,0)*AM54</f>
        <v/>
      </c>
      <c r="EI54" s="20">
        <f>IF(Use_Library!$C$53="Income",DP54,CJ54)</f>
        <v/>
      </c>
      <c r="EJ54" s="28">
        <f>IF(Use_Library!$C$53="Income",DQ54,DB54*DE54)</f>
        <v/>
      </c>
      <c r="EK54" s="20">
        <f>IF(Use_Library!$C$53="Income",DR54,(Parcel!$C$27*DB54+CJ54)*DE54)</f>
        <v/>
      </c>
      <c r="EL54" s="39">
        <f>IF(AND(Use_Library!$AX$53=1,Use_Library!$C$53="Income",DZ54&gt;0),EB54/DZ54,0)</f>
        <v/>
      </c>
      <c r="EM54" s="20">
        <f>EH54-EK54</f>
        <v/>
      </c>
      <c r="EN54" s="38">
        <f>IF(AND(Use_Library!$AX$53=1,AM54=1),MAX(0,Parcel!$C$27-((1-CX54)*EH54-EK54)/((1-CX54)*EL54-EJ54)),0)</f>
        <v/>
      </c>
      <c r="EO54" s="20">
        <f>IF(Use_Library!$C$53="Income",Assumptions!$C$15*(Parcel!$C$27*DA54+DP54),0)</f>
        <v/>
      </c>
      <c r="EP54" s="20">
        <f>IF(AND(Use_Library!$C$53="Income",DY54&gt;0),MIN(Assumptions!$C$20*EA54,PV(Assumptions!$C$23/12,Assumptions!$C$24*12,-DY54/Assumptions!$C$21/12),DY54/Assumptions!$C$22),0)</f>
        <v/>
      </c>
      <c r="EQ54" s="27">
        <f>IF(EP54=0,0,DY54/(-PMT(Assumptions!$C$23/12,Assumptions!$C$24*12,EP54)*12))</f>
        <v/>
      </c>
      <c r="ER54" s="20">
        <f>EP54-EO54</f>
        <v/>
      </c>
      <c r="ES54" s="19">
        <f>MAX(DO54,EG54,EN54)</f>
        <v/>
      </c>
      <c r="ET54" s="15">
        <f>IF(ES54&lt;=0,0,IF(DO54=ES54,1,IF(EG54=ES54,2,3)))</f>
        <v/>
      </c>
      <c r="EU54" s="9">
        <f>CHOOSE(ET54+1,"None works","Land / pad sale","Build &amp; sell","Build &amp; hold / lease")</f>
        <v/>
      </c>
      <c r="EV54" s="15">
        <f>CHOOSE(ET54+1,0,CS54,CT54,CU54)</f>
        <v/>
      </c>
      <c r="EW54" s="20">
        <f>ES54*(1-Assumptions!$C$26)</f>
        <v/>
      </c>
      <c r="EX54" s="20">
        <f>ES54-Parcel!$C$27</f>
        <v/>
      </c>
      <c r="EY54" s="20">
        <f>IF(Parcel!$C$14=0,0,ES54/Parcel!$C$14)</f>
        <v/>
      </c>
      <c r="EZ54" s="36">
        <f>IF(AK54=0,0,ES54/AK54)</f>
        <v/>
      </c>
      <c r="FA54" s="9">
        <f>IF(ES54&lt;=0,"Pass",IF(ES54&gt;=Parcel!$C$27*Assumptions!$C$27,"Strong",IF(ES54&gt;=Parcel!$C$27,"Works at asking",IF(ES54&gt;=Parcel!$C$27*Assumptions!$C$28,"Negotiate","Pass"))))</f>
        <v/>
      </c>
      <c r="FB54" s="9">
        <f>IF(AM54=0,"",IF(Use_Library!$BH$53="Y",IF(Use_Effective!$AF$53&gt;=3,"High","Medium"),"Low - verify location"))</f>
        <v/>
      </c>
      <c r="FC54" s="9">
        <f>IF(AND(Use_Library!$BH$53="N",AM54=1),Use_Library!$BI$53,"")</f>
        <v/>
      </c>
      <c r="FD54" s="9">
        <f>TRIM(Q54&amp;" "&amp;IF(AND(AM54=0,T54=1),"Nothing fits. ","")&amp;IF(AND(Use_Library!$AZ$53&lt;&gt;"Y",Parcel!$C$19&lt;Use_Library!$AY$53),"Frontage under "&amp;Use_Library!$AY$53&amp;" LF. ","")&amp;IF(Parcel!$C$17&gt;0.15,"Slope over 15%. ","")&amp;IF(AND(AM54=1,AI54&gt;0.5),TEXT(AI54,"0")&amp;" ac not used - resold as raw land. ","")&amp;IF(AND(AM54=1,AC54&lt;1),"Demand caps it at "&amp;TEXT(AK54,"#,##0")&amp;" "&amp;Use_Library!$D$53&amp;". ","")&amp;IF(AND(AM54=1,L54=1),"Rezone required (+"&amp;Location!$C$32&amp;" mo). ","")&amp;IF(AND(AM54=1,BA54=1),"State wastewater permit needed. ","")&amp;IF(AND(AM54=1,AV54=1),"Public water system needed. ","")&amp;AP54&amp;IF(Parcel!$C$16&gt;Assumptions!$C$29,"Floodplain over "&amp;TEXT(Assumptions!$C$29,"0%")&amp;". ","")&amp;IF(AND(AM54=1,EV54&gt;60),"Over 5 years to exit. ",""))</f>
        <v/>
      </c>
      <c r="FE54" s="20">
        <f>IF(AND(Org_Profile!$C$5="My uses",E54=0),-1E+9,ES54)+ROW()/1000000</f>
        <v/>
      </c>
    </row>
    <row r="55">
      <c r="A55" s="4">
        <f>Use_Library!$A$54</f>
        <v/>
      </c>
      <c r="B55" s="9">
        <f>Use_Library!$C$54</f>
        <v/>
      </c>
      <c r="C55" s="9">
        <f>Use_Library!$D$54</f>
        <v/>
      </c>
      <c r="D55" s="9">
        <f>Use_Library!$F$54</f>
        <v/>
      </c>
      <c r="E55" s="15">
        <f>IF(Org_Profile!$C$71="Y",1,0)</f>
        <v/>
      </c>
      <c r="F55" s="14">
        <f>MAX(0,Parcel!$C$37*(1-Use_Library!$N$54-IF(Use_Library!$AB$54="Y",Assumptions!$C$7,0)))</f>
        <v/>
      </c>
      <c r="G55" s="14">
        <f>IF(Use_Library!$M$54&gt;0,MIN(F55,Use_Library!$M$54),F55)</f>
        <v/>
      </c>
      <c r="H55" s="23">
        <f>IF(F55=0,0,G55/F55)</f>
        <v/>
      </c>
      <c r="I55" s="14">
        <f>Parcel!$C$37*H55</f>
        <v/>
      </c>
      <c r="J55" s="9">
        <f>IF(ISNUMBER(SEARCH(","&amp;Use_Library!$F$54&amp;",",","&amp;SUBSTITUTE(Parcel!$C$11," ","")&amp;",")),"Deed restricted",IF(Parcel!$C$46=0,"No zoning",IF(ISNUMBER(SEARCH(","&amp;Use_Library!$F$54&amp;",",","&amp;SUBSTITUTE(Parcel!$C$10," ","")&amp;",")),"By right",IF(OR(TRIM(Parcel!$C$12)="*",ISNUMBER(SEARCH(","&amp;Use_Library!$F$54&amp;",",","&amp;SUBSTITUTE(Parcel!$C$12," ","")&amp;","))),"Rezone required","Prohibited by zoning"))))</f>
        <v/>
      </c>
      <c r="K55" s="15">
        <f>IF(OR(J55="Deed restricted",J55="Prohibited by zoning"),0,1)</f>
        <v/>
      </c>
      <c r="L55" s="15">
        <f>IF(J55="Rezone required",1,0)</f>
        <v/>
      </c>
      <c r="M55" s="15">
        <f>IF(Parcel!$C$20="None",0,IF(AND(Parcel!$C$20="Private easement",Use_Library!$BA$54="Y"),0,1))</f>
        <v/>
      </c>
      <c r="N55" s="15">
        <f>IF(AND(Use_Library!$AZ$54="Y",Parcel!$C$19&lt;Use_Library!$AY$54),0,1)</f>
        <v/>
      </c>
      <c r="O55" s="15">
        <f>IF(AND(Use_Library!$T$54="Y",Parcel!$C$39=0),0,1)</f>
        <v/>
      </c>
      <c r="P55" s="15">
        <f>IF(AND(Use_Library!$U$54="Y",Parcel!$C$38=0),0,1)</f>
        <v/>
      </c>
      <c r="Q55" s="9">
        <f>TRIM(IF(AND(Use_Library!$BB$54&gt;0,Parcel!$C$28&lt;Use_Library!$BB$54),"Traffic under "&amp;TEXT(Use_Library!$BB$54,"#,##0")&amp;" VPD. ","")&amp;IF(AND(Use_Library!$BC$54&gt;0,Parcel!$C$29&lt;Use_Library!$BC$54),"Under "&amp;TEXT(Use_Library!$BC$54,"#,##0")&amp;" households in 3 mi. ","")&amp;IF(AND(Use_Library!$BD$54&gt;0,Parcel!$C$31&gt;Use_Library!$BD$54),"Over "&amp;Use_Library!$BD$54&amp;" mi to highway. ","")&amp;IF(AND(Use_Library!$BE$54="Y",Parcel!$C$32&lt;&gt;"Y"),"Needs a corner. ","")&amp;IF(AND(Use_Library!$BF$54&gt;0,Parcel!$C$33&gt;Use_Library!$BF$54),"Over "&amp;Use_Library!$BF$54&amp;" mi to substation. ","")&amp;IF(AND(Use_Library!$BG$54&gt;0,Parcel!$C$34&gt;Use_Library!$BG$54),"Over "&amp;Use_Library!$BG$54&amp;" mi to a major employer. ",""))</f>
        <v/>
      </c>
      <c r="R55" s="15">
        <f>IF(Q55="",1,0)</f>
        <v/>
      </c>
      <c r="S55" s="15">
        <f>IF(F55&gt;=Use_Library!$L$54,1,0)</f>
        <v/>
      </c>
      <c r="T55" s="15">
        <f>K55*M55*N55*O55*P55*R55*S55</f>
        <v/>
      </c>
      <c r="U55" s="14">
        <f>IF(Use_Library!$G$54&gt;0,I55*Use_Library!$G$54,1E+9)</f>
        <v/>
      </c>
      <c r="V55" s="14">
        <f>IF(Use_Library!$H$54&gt;0,G55*43560/Use_Library!$H$54,1E+9)</f>
        <v/>
      </c>
      <c r="W55" s="14">
        <f>IF(AND(Use_Library!$K$54="Y",Parcel!$C$39=0),G55*(1-Assumptions!$C$8)/IF(Parcel!$C$38=1,Location!$C$25,Location!$C$26),1E+9)</f>
        <v/>
      </c>
      <c r="X55" s="14">
        <f>IF(Use_Library!$I$54&gt;0,Parcel!$C$14*H55/Use_Library!$I$54,1E+9)</f>
        <v/>
      </c>
      <c r="Y55" s="14">
        <f>IF(Use_Library!$J$54&gt;0,Parcel!$C$19/Use_Library!$J$54,1E+9)</f>
        <v/>
      </c>
      <c r="Z55" s="14">
        <f>IF(AND(Parcel!$C$39=0,Use_Library!$K$54="N",Use_Library!$Y$54&gt;0,Use_Library!$Z$54="Y"),G55*Location!$C$27*Parcel!$C$45/Use_Library!$Y$54,1E+9)</f>
        <v/>
      </c>
      <c r="AA55" s="14">
        <f>MIN(U55,V55,W55,X55,Y55,Z55)</f>
        <v/>
      </c>
      <c r="AB55" s="14">
        <f>IF(Use_Library!$O$54&gt;0,IF(Use_Library!$P$54&gt;=10,Parcel!$C$30,Parcel!$C$29)*Use_Library!$O$54*Use_Library!$Q$54,1E+9)</f>
        <v/>
      </c>
      <c r="AC55" s="23">
        <f>IF(OR(AA55&gt;=1E+9,AA55&lt;=0),1,MIN(1,AB55/AA55))</f>
        <v/>
      </c>
      <c r="AD55" s="14">
        <f>G55*AC55</f>
        <v/>
      </c>
      <c r="AE55" s="23">
        <f>IF(F55=0,0,AD55/F55)</f>
        <v/>
      </c>
      <c r="AF55" s="14">
        <f>Parcel!$C$37*AE55</f>
        <v/>
      </c>
      <c r="AG55" s="14">
        <f>AF55*IF(Use_Library!$AB$54="Y",Assumptions!$C$7,0)</f>
        <v/>
      </c>
      <c r="AH55" s="14">
        <f>AF55*(1-Use_Library!$N$54)</f>
        <v/>
      </c>
      <c r="AI55" s="14">
        <f>Parcel!$C$14*(1-AE55)</f>
        <v/>
      </c>
      <c r="AJ55" s="14">
        <f>MIN(AA55,AB55)</f>
        <v/>
      </c>
      <c r="AK55" s="25">
        <f>IF(T55=0,0,IF(AJ55&gt;=1E+9,AD55,IF(Use_Library!$E$54="Y",INT(AJ55+1E-9),AJ55)))</f>
        <v/>
      </c>
      <c r="AL55" s="9">
        <f>IF(M55=0,"No public road access",IF(K55=0,J55,IF(R55=0,"Location fails",IF(N55=0,"Frontage under "&amp;Use_Library!$AY$54&amp;" LF",IF(S55=0,"Too small - needs "&amp;Use_Library!$L$54&amp;" usable ac",IF(O55=0,"Needs public sewer",IF(P55=0,"Needs public water",IF(AJ55&gt;=1E+9,"Usable acres",IF(AB55&lt;=AA55,"Market demand",IF(W55=AA55,"Septic lot size",IF(Z55=AA55,"Septic capacity (gal/day)",IF(X55=AA55,"Min lot size",IF(Y55=AA55,"Road frontage",IF(V55=AA55,"Site area / parking","Density"))))))))))))))</f>
        <v/>
      </c>
      <c r="AM55" s="15">
        <f>IF(AK55&gt;0,1,0)</f>
        <v/>
      </c>
      <c r="AN55" s="15">
        <f>IF(Use_Library!$Z$54="Y",1,0)*AM55</f>
        <v/>
      </c>
      <c r="AO55" s="14">
        <f>IF(Parcel!$C$39=0,MIN(U55,V55,X55,Y55,AB55),0)</f>
        <v/>
      </c>
      <c r="AP55" s="9">
        <f>IF(AND(Parcel!$C$39=0,M55*K55*R55*N55*S55*P55=1,AO55&lt;1E+9,AO55&gt;=MAX(1,AK55)*1.25),"Unlock: sewer or package plant allows ~"&amp;TEXT(INT(AO55),"#,##0")&amp;" "&amp;Use_Library!$D$54&amp;". ","")</f>
        <v/>
      </c>
      <c r="AQ55" s="15">
        <f>AK55*Use_Library!$AC$54*AN55</f>
        <v/>
      </c>
      <c r="AR55" s="15">
        <f>AK55*Use_Library!$AD$54*AN55</f>
        <v/>
      </c>
      <c r="AS55" s="14">
        <f>AK55*Use_Library!$V$54*AN55</f>
        <v/>
      </c>
      <c r="AT55" s="15">
        <f>IF(Parcel!$C$38=1,AQ55+Parcel!$C$40,0)*AN55</f>
        <v/>
      </c>
      <c r="AU55" s="14">
        <f>AS55*Parcel!$C$38</f>
        <v/>
      </c>
      <c r="AV55" s="15">
        <f>IF(AND(Parcel!$C$38=0,Use_Library!$K$54="N",AS55&gt;=Location!$C$30),1,0)*AN55</f>
        <v/>
      </c>
      <c r="AW55" s="15">
        <f>IF(Parcel!$C$39=1,AQ55+Parcel!$C$41,0)*AN55</f>
        <v/>
      </c>
      <c r="AX55" s="14">
        <f>AS55*Parcel!$C$39</f>
        <v/>
      </c>
      <c r="AY55" s="14">
        <f>IF(Parcel!$C$39=0,AK55*Use_Library!$W$54,0)*AN55</f>
        <v/>
      </c>
      <c r="AZ55" s="15">
        <f>IF(Parcel!$C$39=0,AK55*Use_Library!$Y$54,0)*AN55</f>
        <v/>
      </c>
      <c r="BA55" s="15">
        <f>IF(AND(Use_Library!$K$54="N",AZ55&gt;Location!$C$28),1,0)</f>
        <v/>
      </c>
      <c r="BB55" s="14">
        <f>IF(AND(Parcel!$C$38=0,AV55=0),AK55*Use_Library!$X$54,0)*AN55</f>
        <v/>
      </c>
      <c r="BC55" s="14">
        <f>AH55*Parcel!$C$18*Use_Library!$AA$54*AN55</f>
        <v/>
      </c>
      <c r="BD55" s="14">
        <f>AH55*Use_Library!$AA$54*AN55</f>
        <v/>
      </c>
      <c r="BE55" s="15">
        <f>IF(Use_Library!$C$54="For-Sale",IF(Use_Library!$E$54="Y",AK55,1),1)*AM55</f>
        <v/>
      </c>
      <c r="BF55" s="15">
        <f>IF(OR(Use_Library!$F$54="RES-SF",Use_Library!$F$54="RES-ATT",Use_Library!$F$54="RES-MF",Use_Library!$F$54="MH"),1,0)</f>
        <v/>
      </c>
      <c r="BG55" s="20">
        <f>Cost_Library!$J$5*Location!$C$9*AM55</f>
        <v/>
      </c>
      <c r="BH55" s="20">
        <f>BE55*Cost_Library!$J$6*Location!$C$9</f>
        <v/>
      </c>
      <c r="BI55" s="20">
        <f>BD55*Cost_Library!$J$7*Location!$C$9</f>
        <v/>
      </c>
      <c r="BJ55" s="20">
        <f>Cost_Library!$J$8*Location!$C$9*AN55*IF(Use_Library!$AA$54&gt;=0.5,1,0)</f>
        <v/>
      </c>
      <c r="BK55" s="20">
        <f>AY55*Cost_Library!$J$9*Location!$C$9</f>
        <v/>
      </c>
      <c r="BL55" s="20">
        <f>BA55*Cost_Library!$J$10*Location!$C$9</f>
        <v/>
      </c>
      <c r="BM55" s="20">
        <f>Cost_Library!$J$11*Location!$C$9*AM55</f>
        <v/>
      </c>
      <c r="BN55" s="20">
        <f>Cost_Library!$J$12*Location!$C$9*AN55*IF(Use_Library!$AB$54="Y",1,0)</f>
        <v/>
      </c>
      <c r="BO55" s="20">
        <f>Use_Effective!$C$54*AM55</f>
        <v/>
      </c>
      <c r="BP55" s="20">
        <f>L55*Location!$C$31*AM55</f>
        <v/>
      </c>
      <c r="BQ55" s="20">
        <f>Cost_Library!$J$13*Location!$C$9*AM55</f>
        <v/>
      </c>
      <c r="BR55" s="20">
        <f>BC55*Cost_Library!$J$14*Location!$C$9</f>
        <v/>
      </c>
      <c r="BS55" s="20">
        <f>BD55*Cost_Library!$J$15*Location!$C$9*Parcel!$C$43</f>
        <v/>
      </c>
      <c r="BT55" s="20">
        <f>AQ55*Cost_Library!$J$16*Location!$C$9</f>
        <v/>
      </c>
      <c r="BU55" s="20">
        <f>AR55*Cost_Library!$J$17*Location!$C$9</f>
        <v/>
      </c>
      <c r="BV55" s="20">
        <f>AG55*Cost_Library!$J$18*Location!$C$9*AN55</f>
        <v/>
      </c>
      <c r="BW55" s="20">
        <f>BD55*Cost_Library!$J$19*Location!$C$9</f>
        <v/>
      </c>
      <c r="BX55" s="20">
        <f>IF(Use_Library!$AZ$54="Y",1,0)*Cost_Library!$J$20*Location!$C$9*AN55</f>
        <v/>
      </c>
      <c r="BY55" s="20">
        <f>AT55*Cost_Library!$J$21*Location!$C$9</f>
        <v/>
      </c>
      <c r="BZ55" s="20">
        <f>AU55*Cost_Library!$J$22*Location!$C$9</f>
        <v/>
      </c>
      <c r="CA55" s="20">
        <f>AW55*Cost_Library!$J$23*Location!$C$9</f>
        <v/>
      </c>
      <c r="CB55" s="20">
        <f>AX55*Cost_Library!$J$24*Location!$C$9</f>
        <v/>
      </c>
      <c r="CC55" s="20">
        <f>AY55*Cost_Library!$J$25*Location!$C$9*Parcel!$C$44</f>
        <v/>
      </c>
      <c r="CD55" s="20">
        <f>BB55*Cost_Library!$J$26*Location!$C$9</f>
        <v/>
      </c>
      <c r="CE55" s="20">
        <f>AV55*(Cost_Library!$J$27+AS55*Cost_Library!$J$28)*Location!$C$9</f>
        <v/>
      </c>
      <c r="CF55" s="20">
        <f>AQ55*Cost_Library!$J$29*Location!$C$9</f>
        <v/>
      </c>
      <c r="CG55" s="20">
        <f>SUM(BG55:CF55)</f>
        <v/>
      </c>
      <c r="CH55" s="20">
        <f>CG55*Assumptions!$C$9</f>
        <v/>
      </c>
      <c r="CI55" s="20">
        <f>(CG55+CH55)*Org_Profile!$C$17</f>
        <v/>
      </c>
      <c r="CJ55" s="20">
        <f>CG55+CH55+CI55</f>
        <v/>
      </c>
      <c r="CK55" s="20">
        <f>AK55*Use_Effective!$B$54*(1+Org_Profile!$C$17)</f>
        <v/>
      </c>
      <c r="CL55" s="20">
        <f>CK55*(Assumptions!$C$10+Assumptions!$C$11)</f>
        <v/>
      </c>
      <c r="CM55" s="20">
        <f>AK55*Use_Effective!$D$54</f>
        <v/>
      </c>
      <c r="CN55" s="20">
        <f>AK55*Location!$C$21*BF55*AM55</f>
        <v/>
      </c>
      <c r="CO55" s="14">
        <f>Use_Effective!$F$54+L55*Location!$C$32+BA55*Location!$C$29</f>
        <v/>
      </c>
      <c r="CP55" s="14">
        <f>IF(Use_Effective!$P$54&gt;0,IF(Use_Library!$C$54="For-Sale",AK55,AD55)/Use_Effective!$P$54,0)*AM55</f>
        <v/>
      </c>
      <c r="CQ55" s="14">
        <f>IF(AND(Use_Library!$C$54="For-Sale",Use_Effective!$O$54&gt;0),AK55/Use_Effective!$O$54,0)*AM55</f>
        <v/>
      </c>
      <c r="CR55" s="14">
        <f>IF(Use_Library!$C$54="Income",MAX(Use_Library!$AQ$54,IF(Use_Effective!$O$54&gt;0,AK55/Use_Effective!$O$54,0)),0)</f>
        <v/>
      </c>
      <c r="CS55" s="14">
        <f>CO55+CP55</f>
        <v/>
      </c>
      <c r="CT55" s="14">
        <f>CO55+CQ55+CR55</f>
        <v/>
      </c>
      <c r="CU55" s="14">
        <f>CO55+IF(Use_Library!$C$54="Income",CR55,0)</f>
        <v/>
      </c>
      <c r="CV55" s="23">
        <f>Use_Effective!$G$54+Assumptions!$C$25*MAX(0,(CS55-12)/12)</f>
        <v/>
      </c>
      <c r="CW55" s="23">
        <f>Use_Effective!$G$54+Assumptions!$C$25*MAX(0,(CT55-12)/12)</f>
        <v/>
      </c>
      <c r="CX55" s="23">
        <f>Use_Effective!$G$54+Assumptions!$C$25*MAX(0,(CU55-12)/12)</f>
        <v/>
      </c>
      <c r="CY55" s="28">
        <f>1+Location!$C$17+IF(Parcel!$C$26="Y",Location!$C$20,0)</f>
        <v/>
      </c>
      <c r="CZ55" s="28">
        <f>CY55+Location!$C$19*(CO55+CP55/2)/12</f>
        <v/>
      </c>
      <c r="DA55" s="28">
        <f>CY55+Location!$C$19*(CO55+CQ55/2)/12</f>
        <v/>
      </c>
      <c r="DB55" s="28">
        <f>IF(Use_Library!$C$54="Income",DA55,CY55+Location!$C$19*CO55/12)</f>
        <v/>
      </c>
      <c r="DC55" s="28">
        <f>1+Assumptions!$C$15*(Assumptions!$C$16*(CO55+CP55/2)/12*Assumptions!$C$18+Assumptions!$C$17)</f>
        <v/>
      </c>
      <c r="DD55" s="28">
        <f>1+Assumptions!$C$15*(Assumptions!$C$16*((CO55+CQ55/2)/12*Assumptions!$C$18+CR55/12*Assumptions!$C$19)+Assumptions!$C$17)</f>
        <v/>
      </c>
      <c r="DE55" s="28">
        <f>IF(Use_Library!$C$54="Income",DD55,1+Assumptions!$C$15*(Assumptions!$C$16*CO55/12*Assumptions!$C$18+Assumptions!$C$17))</f>
        <v/>
      </c>
      <c r="DF55" s="23">
        <f>Assumptions!$C$13+Location!$C$18</f>
        <v/>
      </c>
      <c r="DG55" s="23">
        <f>Assumptions!$C$12+Location!$C$18</f>
        <v/>
      </c>
      <c r="DH55" s="23">
        <f>Assumptions!$C$14+Location!$C$18</f>
        <v/>
      </c>
      <c r="DI55" s="20">
        <f>AI55*Location!$C$14*(1-DF55)*AM55</f>
        <v/>
      </c>
      <c r="DJ55" s="20">
        <f>IF(Use_Library!$AV$54=1,IF(Use_Library!$C$54="For-Sale",AK55*Use_Effective!$H$54+Parcel!$C$14*AE55*Use_Effective!$J$54,AD55*Use_Effective!$J$54)*(1-DF55)+DI55,0)*AM55</f>
        <v/>
      </c>
      <c r="DK55" s="20">
        <f>(CG55-BU55-CC55-CD55)*(1+Assumptions!$C$9)*(1+Org_Profile!$C$17)</f>
        <v/>
      </c>
      <c r="DL55" s="28">
        <f>CZ55*DC55</f>
        <v/>
      </c>
      <c r="DM55" s="20">
        <f>(Parcel!$C$27*CZ55+DK55)*DC55</f>
        <v/>
      </c>
      <c r="DN55" s="20">
        <f>DJ55-DM55</f>
        <v/>
      </c>
      <c r="DO55" s="38">
        <f>IF(AND(Use_Library!$AV$54=1,AM55=1),MAX(0,((1-CV55)*DJ55-DK55*DC55)/DL55),0)</f>
        <v/>
      </c>
      <c r="DP55" s="20">
        <f>CJ55+CK55+CL55+CM55+CN55</f>
        <v/>
      </c>
      <c r="DQ55" s="28">
        <f>DA55*DD55</f>
        <v/>
      </c>
      <c r="DR55" s="20">
        <f>(Parcel!$C$27*DA55+DP55)*DD55</f>
        <v/>
      </c>
      <c r="DS55" s="20">
        <f>IF(Use_Library!$C$54="Income",AK55*Use_Effective!$K$54,0)</f>
        <v/>
      </c>
      <c r="DT55" s="20">
        <f>DS55*(1+Use_Library!$AL$54)*(1-Use_Effective!$N$54)</f>
        <v/>
      </c>
      <c r="DU55" s="20">
        <f>IF(Use_Library!$C$54="Income",AK55*Use_Effective!$E$54,0)</f>
        <v/>
      </c>
      <c r="DV55" s="20">
        <f>IF(Use_Library!$C$54="Income",Location!$C$15*Location!$C$16*DR55,0)</f>
        <v/>
      </c>
      <c r="DW55" s="20">
        <f>DT55*Use_Library!$AO$54</f>
        <v/>
      </c>
      <c r="DX55" s="20">
        <f>(DU55+DV55)*Use_Library!$AP$54</f>
        <v/>
      </c>
      <c r="DY55" s="20">
        <f>DT55-DU55-DV55-DW55+DX55</f>
        <v/>
      </c>
      <c r="DZ55" s="26">
        <f>Use_Effective!$M$54</f>
        <v/>
      </c>
      <c r="EA55" s="20">
        <f>IF(AND(Use_Library!$C$54="Income",DZ55&gt;0),DY55/DZ55,0)</f>
        <v/>
      </c>
      <c r="EB55" s="39">
        <f>IF(Use_Library!$C$54="Income",-Location!$C$15*Location!$C$16*(1-Use_Library!$AP$54)*DQ55,0)</f>
        <v/>
      </c>
      <c r="EC55" s="23">
        <f>IF(DR55=0,0,DY55/DR55)</f>
        <v/>
      </c>
      <c r="ED55" s="20">
        <f>IF(Use_Library!$AW$54=1,IF(Use_Library!$C$54="Income",EA55*(1-DH55),AK55*Use_Effective!$I$54*(1-DG55))+DI55,0)*AM55</f>
        <v/>
      </c>
      <c r="EE55" s="39">
        <f>IF(AND(Use_Library!$AW$54=1,Use_Library!$C$54="Income",DZ55&gt;0),EB55/DZ55*(1-DH55),0)</f>
        <v/>
      </c>
      <c r="EF55" s="20">
        <f>ED55-DR55</f>
        <v/>
      </c>
      <c r="EG55" s="38">
        <f>IF(AND(Use_Library!$AW$54=1,AM55=1),MAX(0,Parcel!$C$27-((1-CW55)*ED55-DR55)/((1-CW55)*EE55-DQ55)),0)</f>
        <v/>
      </c>
      <c r="EH55" s="20">
        <f>IF(Use_Library!$AX$54=1,IF(Use_Library!$C$54="Income",EA55,IF(DZ55&gt;0,AD55*Use_Effective!$L$54/DZ55,0))+DI55,0)*AM55</f>
        <v/>
      </c>
      <c r="EI55" s="20">
        <f>IF(Use_Library!$C$54="Income",DP55,CJ55)</f>
        <v/>
      </c>
      <c r="EJ55" s="28">
        <f>IF(Use_Library!$C$54="Income",DQ55,DB55*DE55)</f>
        <v/>
      </c>
      <c r="EK55" s="20">
        <f>IF(Use_Library!$C$54="Income",DR55,(Parcel!$C$27*DB55+CJ55)*DE55)</f>
        <v/>
      </c>
      <c r="EL55" s="39">
        <f>IF(AND(Use_Library!$AX$54=1,Use_Library!$C$54="Income",DZ55&gt;0),EB55/DZ55,0)</f>
        <v/>
      </c>
      <c r="EM55" s="20">
        <f>EH55-EK55</f>
        <v/>
      </c>
      <c r="EN55" s="38">
        <f>IF(AND(Use_Library!$AX$54=1,AM55=1),MAX(0,Parcel!$C$27-((1-CX55)*EH55-EK55)/((1-CX55)*EL55-EJ55)),0)</f>
        <v/>
      </c>
      <c r="EO55" s="20">
        <f>IF(Use_Library!$C$54="Income",Assumptions!$C$15*(Parcel!$C$27*DA55+DP55),0)</f>
        <v/>
      </c>
      <c r="EP55" s="20">
        <f>IF(AND(Use_Library!$C$54="Income",DY55&gt;0),MIN(Assumptions!$C$20*EA55,PV(Assumptions!$C$23/12,Assumptions!$C$24*12,-DY55/Assumptions!$C$21/12),DY55/Assumptions!$C$22),0)</f>
        <v/>
      </c>
      <c r="EQ55" s="27">
        <f>IF(EP55=0,0,DY55/(-PMT(Assumptions!$C$23/12,Assumptions!$C$24*12,EP55)*12))</f>
        <v/>
      </c>
      <c r="ER55" s="20">
        <f>EP55-EO55</f>
        <v/>
      </c>
      <c r="ES55" s="19">
        <f>MAX(DO55,EG55,EN55)</f>
        <v/>
      </c>
      <c r="ET55" s="15">
        <f>IF(ES55&lt;=0,0,IF(DO55=ES55,1,IF(EG55=ES55,2,3)))</f>
        <v/>
      </c>
      <c r="EU55" s="9">
        <f>CHOOSE(ET55+1,"None works","Land / pad sale","Build &amp; sell","Build &amp; hold / lease")</f>
        <v/>
      </c>
      <c r="EV55" s="15">
        <f>CHOOSE(ET55+1,0,CS55,CT55,CU55)</f>
        <v/>
      </c>
      <c r="EW55" s="20">
        <f>ES55*(1-Assumptions!$C$26)</f>
        <v/>
      </c>
      <c r="EX55" s="20">
        <f>ES55-Parcel!$C$27</f>
        <v/>
      </c>
      <c r="EY55" s="20">
        <f>IF(Parcel!$C$14=0,0,ES55/Parcel!$C$14)</f>
        <v/>
      </c>
      <c r="EZ55" s="36">
        <f>IF(AK55=0,0,ES55/AK55)</f>
        <v/>
      </c>
      <c r="FA55" s="9">
        <f>IF(ES55&lt;=0,"Pass",IF(ES55&gt;=Parcel!$C$27*Assumptions!$C$27,"Strong",IF(ES55&gt;=Parcel!$C$27,"Works at asking",IF(ES55&gt;=Parcel!$C$27*Assumptions!$C$28,"Negotiate","Pass"))))</f>
        <v/>
      </c>
      <c r="FB55" s="9">
        <f>IF(AM55=0,"",IF(Use_Library!$BH$54="Y",IF(Use_Effective!$AF$54&gt;=3,"High","Medium"),"Low - verify location"))</f>
        <v/>
      </c>
      <c r="FC55" s="9">
        <f>IF(AND(Use_Library!$BH$54="N",AM55=1),Use_Library!$BI$54,"")</f>
        <v/>
      </c>
      <c r="FD55" s="9">
        <f>TRIM(Q55&amp;" "&amp;IF(AND(AM55=0,T55=1),"Nothing fits. ","")&amp;IF(AND(Use_Library!$AZ$54&lt;&gt;"Y",Parcel!$C$19&lt;Use_Library!$AY$54),"Frontage under "&amp;Use_Library!$AY$54&amp;" LF. ","")&amp;IF(Parcel!$C$17&gt;0.15,"Slope over 15%. ","")&amp;IF(AND(AM55=1,AI55&gt;0.5),TEXT(AI55,"0")&amp;" ac not used - resold as raw land. ","")&amp;IF(AND(AM55=1,AC55&lt;1),"Demand caps it at "&amp;TEXT(AK55,"#,##0")&amp;" "&amp;Use_Library!$D$54&amp;". ","")&amp;IF(AND(AM55=1,L55=1),"Rezone required (+"&amp;Location!$C$32&amp;" mo). ","")&amp;IF(AND(AM55=1,BA55=1),"State wastewater permit needed. ","")&amp;IF(AND(AM55=1,AV55=1),"Public water system needed. ","")&amp;AP55&amp;IF(Parcel!$C$16&gt;Assumptions!$C$29,"Floodplain over "&amp;TEXT(Assumptions!$C$29,"0%")&amp;". ","")&amp;IF(AND(AM55=1,EV55&gt;60),"Over 5 years to exit. ",""))</f>
        <v/>
      </c>
      <c r="FE55" s="20">
        <f>IF(AND(Org_Profile!$C$5="My uses",E55=0),-1E+9,ES55)+ROW()/1000000</f>
        <v/>
      </c>
    </row>
    <row r="56">
      <c r="A56" s="4">
        <f>Use_Library!$A$55</f>
        <v/>
      </c>
      <c r="B56" s="9">
        <f>Use_Library!$C$55</f>
        <v/>
      </c>
      <c r="C56" s="9">
        <f>Use_Library!$D$55</f>
        <v/>
      </c>
      <c r="D56" s="9">
        <f>Use_Library!$F$55</f>
        <v/>
      </c>
      <c r="E56" s="15">
        <f>IF(Org_Profile!$C$72="Y",1,0)</f>
        <v/>
      </c>
      <c r="F56" s="14">
        <f>MAX(0,Parcel!$C$37*(1-Use_Library!$N$55-IF(Use_Library!$AB$55="Y",Assumptions!$C$7,0)))</f>
        <v/>
      </c>
      <c r="G56" s="14">
        <f>IF(Use_Library!$M$55&gt;0,MIN(F56,Use_Library!$M$55),F56)</f>
        <v/>
      </c>
      <c r="H56" s="23">
        <f>IF(F56=0,0,G56/F56)</f>
        <v/>
      </c>
      <c r="I56" s="14">
        <f>Parcel!$C$37*H56</f>
        <v/>
      </c>
      <c r="J56" s="9">
        <f>IF(ISNUMBER(SEARCH(","&amp;Use_Library!$F$55&amp;",",","&amp;SUBSTITUTE(Parcel!$C$11," ","")&amp;",")),"Deed restricted",IF(Parcel!$C$46=0,"No zoning",IF(ISNUMBER(SEARCH(","&amp;Use_Library!$F$55&amp;",",","&amp;SUBSTITUTE(Parcel!$C$10," ","")&amp;",")),"By right",IF(OR(TRIM(Parcel!$C$12)="*",ISNUMBER(SEARCH(","&amp;Use_Library!$F$55&amp;",",","&amp;SUBSTITUTE(Parcel!$C$12," ","")&amp;","))),"Rezone required","Prohibited by zoning"))))</f>
        <v/>
      </c>
      <c r="K56" s="15">
        <f>IF(OR(J56="Deed restricted",J56="Prohibited by zoning"),0,1)</f>
        <v/>
      </c>
      <c r="L56" s="15">
        <f>IF(J56="Rezone required",1,0)</f>
        <v/>
      </c>
      <c r="M56" s="15">
        <f>IF(Parcel!$C$20="None",0,IF(AND(Parcel!$C$20="Private easement",Use_Library!$BA$55="Y"),0,1))</f>
        <v/>
      </c>
      <c r="N56" s="15">
        <f>IF(AND(Use_Library!$AZ$55="Y",Parcel!$C$19&lt;Use_Library!$AY$55),0,1)</f>
        <v/>
      </c>
      <c r="O56" s="15">
        <f>IF(AND(Use_Library!$T$55="Y",Parcel!$C$39=0),0,1)</f>
        <v/>
      </c>
      <c r="P56" s="15">
        <f>IF(AND(Use_Library!$U$55="Y",Parcel!$C$38=0),0,1)</f>
        <v/>
      </c>
      <c r="Q56" s="9">
        <f>TRIM(IF(AND(Use_Library!$BB$55&gt;0,Parcel!$C$28&lt;Use_Library!$BB$55),"Traffic under "&amp;TEXT(Use_Library!$BB$55,"#,##0")&amp;" VPD. ","")&amp;IF(AND(Use_Library!$BC$55&gt;0,Parcel!$C$29&lt;Use_Library!$BC$55),"Under "&amp;TEXT(Use_Library!$BC$55,"#,##0")&amp;" households in 3 mi. ","")&amp;IF(AND(Use_Library!$BD$55&gt;0,Parcel!$C$31&gt;Use_Library!$BD$55),"Over "&amp;Use_Library!$BD$55&amp;" mi to highway. ","")&amp;IF(AND(Use_Library!$BE$55="Y",Parcel!$C$32&lt;&gt;"Y"),"Needs a corner. ","")&amp;IF(AND(Use_Library!$BF$55&gt;0,Parcel!$C$33&gt;Use_Library!$BF$55),"Over "&amp;Use_Library!$BF$55&amp;" mi to substation. ","")&amp;IF(AND(Use_Library!$BG$55&gt;0,Parcel!$C$34&gt;Use_Library!$BG$55),"Over "&amp;Use_Library!$BG$55&amp;" mi to a major employer. ",""))</f>
        <v/>
      </c>
      <c r="R56" s="15">
        <f>IF(Q56="",1,0)</f>
        <v/>
      </c>
      <c r="S56" s="15">
        <f>IF(F56&gt;=Use_Library!$L$55,1,0)</f>
        <v/>
      </c>
      <c r="T56" s="15">
        <f>K56*M56*N56*O56*P56*R56*S56</f>
        <v/>
      </c>
      <c r="U56" s="14">
        <f>IF(Use_Library!$G$55&gt;0,I56*Use_Library!$G$55,1E+9)</f>
        <v/>
      </c>
      <c r="V56" s="14">
        <f>IF(Use_Library!$H$55&gt;0,G56*43560/Use_Library!$H$55,1E+9)</f>
        <v/>
      </c>
      <c r="W56" s="14">
        <f>IF(AND(Use_Library!$K$55="Y",Parcel!$C$39=0),G56*(1-Assumptions!$C$8)/IF(Parcel!$C$38=1,Location!$C$25,Location!$C$26),1E+9)</f>
        <v/>
      </c>
      <c r="X56" s="14">
        <f>IF(Use_Library!$I$55&gt;0,Parcel!$C$14*H56/Use_Library!$I$55,1E+9)</f>
        <v/>
      </c>
      <c r="Y56" s="14">
        <f>IF(Use_Library!$J$55&gt;0,Parcel!$C$19/Use_Library!$J$55,1E+9)</f>
        <v/>
      </c>
      <c r="Z56" s="14">
        <f>IF(AND(Parcel!$C$39=0,Use_Library!$K$55="N",Use_Library!$Y$55&gt;0,Use_Library!$Z$55="Y"),G56*Location!$C$27*Parcel!$C$45/Use_Library!$Y$55,1E+9)</f>
        <v/>
      </c>
      <c r="AA56" s="14">
        <f>MIN(U56,V56,W56,X56,Y56,Z56)</f>
        <v/>
      </c>
      <c r="AB56" s="14">
        <f>IF(Use_Library!$O$55&gt;0,IF(Use_Library!$P$55&gt;=10,Parcel!$C$30,Parcel!$C$29)*Use_Library!$O$55*Use_Library!$Q$55,1E+9)</f>
        <v/>
      </c>
      <c r="AC56" s="23">
        <f>IF(OR(AA56&gt;=1E+9,AA56&lt;=0),1,MIN(1,AB56/AA56))</f>
        <v/>
      </c>
      <c r="AD56" s="14">
        <f>G56*AC56</f>
        <v/>
      </c>
      <c r="AE56" s="23">
        <f>IF(F56=0,0,AD56/F56)</f>
        <v/>
      </c>
      <c r="AF56" s="14">
        <f>Parcel!$C$37*AE56</f>
        <v/>
      </c>
      <c r="AG56" s="14">
        <f>AF56*IF(Use_Library!$AB$55="Y",Assumptions!$C$7,0)</f>
        <v/>
      </c>
      <c r="AH56" s="14">
        <f>AF56*(1-Use_Library!$N$55)</f>
        <v/>
      </c>
      <c r="AI56" s="14">
        <f>Parcel!$C$14*(1-AE56)</f>
        <v/>
      </c>
      <c r="AJ56" s="14">
        <f>MIN(AA56,AB56)</f>
        <v/>
      </c>
      <c r="AK56" s="25">
        <f>IF(T56=0,0,IF(AJ56&gt;=1E+9,AD56,IF(Use_Library!$E$55="Y",INT(AJ56+1E-9),AJ56)))</f>
        <v/>
      </c>
      <c r="AL56" s="9">
        <f>IF(M56=0,"No public road access",IF(K56=0,J56,IF(R56=0,"Location fails",IF(N56=0,"Frontage under "&amp;Use_Library!$AY$55&amp;" LF",IF(S56=0,"Too small - needs "&amp;Use_Library!$L$55&amp;" usable ac",IF(O56=0,"Needs public sewer",IF(P56=0,"Needs public water",IF(AJ56&gt;=1E+9,"Usable acres",IF(AB56&lt;=AA56,"Market demand",IF(W56=AA56,"Septic lot size",IF(Z56=AA56,"Septic capacity (gal/day)",IF(X56=AA56,"Min lot size",IF(Y56=AA56,"Road frontage",IF(V56=AA56,"Site area / parking","Density"))))))))))))))</f>
        <v/>
      </c>
      <c r="AM56" s="15">
        <f>IF(AK56&gt;0,1,0)</f>
        <v/>
      </c>
      <c r="AN56" s="15">
        <f>IF(Use_Library!$Z$55="Y",1,0)*AM56</f>
        <v/>
      </c>
      <c r="AO56" s="14">
        <f>IF(Parcel!$C$39=0,MIN(U56,V56,X56,Y56,AB56),0)</f>
        <v/>
      </c>
      <c r="AP56" s="9">
        <f>IF(AND(Parcel!$C$39=0,M56*K56*R56*N56*S56*P56=1,AO56&lt;1E+9,AO56&gt;=MAX(1,AK56)*1.25),"Unlock: sewer or package plant allows ~"&amp;TEXT(INT(AO56),"#,##0")&amp;" "&amp;Use_Library!$D$55&amp;". ","")</f>
        <v/>
      </c>
      <c r="AQ56" s="15">
        <f>AK56*Use_Library!$AC$55*AN56</f>
        <v/>
      </c>
      <c r="AR56" s="15">
        <f>AK56*Use_Library!$AD$55*AN56</f>
        <v/>
      </c>
      <c r="AS56" s="14">
        <f>AK56*Use_Library!$V$55*AN56</f>
        <v/>
      </c>
      <c r="AT56" s="15">
        <f>IF(Parcel!$C$38=1,AQ56+Parcel!$C$40,0)*AN56</f>
        <v/>
      </c>
      <c r="AU56" s="14">
        <f>AS56*Parcel!$C$38</f>
        <v/>
      </c>
      <c r="AV56" s="15">
        <f>IF(AND(Parcel!$C$38=0,Use_Library!$K$55="N",AS56&gt;=Location!$C$30),1,0)*AN56</f>
        <v/>
      </c>
      <c r="AW56" s="15">
        <f>IF(Parcel!$C$39=1,AQ56+Parcel!$C$41,0)*AN56</f>
        <v/>
      </c>
      <c r="AX56" s="14">
        <f>AS56*Parcel!$C$39</f>
        <v/>
      </c>
      <c r="AY56" s="14">
        <f>IF(Parcel!$C$39=0,AK56*Use_Library!$W$55,0)*AN56</f>
        <v/>
      </c>
      <c r="AZ56" s="15">
        <f>IF(Parcel!$C$39=0,AK56*Use_Library!$Y$55,0)*AN56</f>
        <v/>
      </c>
      <c r="BA56" s="15">
        <f>IF(AND(Use_Library!$K$55="N",AZ56&gt;Location!$C$28),1,0)</f>
        <v/>
      </c>
      <c r="BB56" s="14">
        <f>IF(AND(Parcel!$C$38=0,AV56=0),AK56*Use_Library!$X$55,0)*AN56</f>
        <v/>
      </c>
      <c r="BC56" s="14">
        <f>AH56*Parcel!$C$18*Use_Library!$AA$55*AN56</f>
        <v/>
      </c>
      <c r="BD56" s="14">
        <f>AH56*Use_Library!$AA$55*AN56</f>
        <v/>
      </c>
      <c r="BE56" s="15">
        <f>IF(Use_Library!$C$55="For-Sale",IF(Use_Library!$E$55="Y",AK56,1),1)*AM56</f>
        <v/>
      </c>
      <c r="BF56" s="15">
        <f>IF(OR(Use_Library!$F$55="RES-SF",Use_Library!$F$55="RES-ATT",Use_Library!$F$55="RES-MF",Use_Library!$F$55="MH"),1,0)</f>
        <v/>
      </c>
      <c r="BG56" s="20">
        <f>Cost_Library!$J$5*Location!$C$9*AM56</f>
        <v/>
      </c>
      <c r="BH56" s="20">
        <f>BE56*Cost_Library!$J$6*Location!$C$9</f>
        <v/>
      </c>
      <c r="BI56" s="20">
        <f>BD56*Cost_Library!$J$7*Location!$C$9</f>
        <v/>
      </c>
      <c r="BJ56" s="20">
        <f>Cost_Library!$J$8*Location!$C$9*AN56*IF(Use_Library!$AA$55&gt;=0.5,1,0)</f>
        <v/>
      </c>
      <c r="BK56" s="20">
        <f>AY56*Cost_Library!$J$9*Location!$C$9</f>
        <v/>
      </c>
      <c r="BL56" s="20">
        <f>BA56*Cost_Library!$J$10*Location!$C$9</f>
        <v/>
      </c>
      <c r="BM56" s="20">
        <f>Cost_Library!$J$11*Location!$C$9*AM56</f>
        <v/>
      </c>
      <c r="BN56" s="20">
        <f>Cost_Library!$J$12*Location!$C$9*AN56*IF(Use_Library!$AB$55="Y",1,0)</f>
        <v/>
      </c>
      <c r="BO56" s="20">
        <f>Use_Effective!$C$55*AM56</f>
        <v/>
      </c>
      <c r="BP56" s="20">
        <f>L56*Location!$C$31*AM56</f>
        <v/>
      </c>
      <c r="BQ56" s="20">
        <f>Cost_Library!$J$13*Location!$C$9*AM56</f>
        <v/>
      </c>
      <c r="BR56" s="20">
        <f>BC56*Cost_Library!$J$14*Location!$C$9</f>
        <v/>
      </c>
      <c r="BS56" s="20">
        <f>BD56*Cost_Library!$J$15*Location!$C$9*Parcel!$C$43</f>
        <v/>
      </c>
      <c r="BT56" s="20">
        <f>AQ56*Cost_Library!$J$16*Location!$C$9</f>
        <v/>
      </c>
      <c r="BU56" s="20">
        <f>AR56*Cost_Library!$J$17*Location!$C$9</f>
        <v/>
      </c>
      <c r="BV56" s="20">
        <f>AG56*Cost_Library!$J$18*Location!$C$9*AN56</f>
        <v/>
      </c>
      <c r="BW56" s="20">
        <f>BD56*Cost_Library!$J$19*Location!$C$9</f>
        <v/>
      </c>
      <c r="BX56" s="20">
        <f>IF(Use_Library!$AZ$55="Y",1,0)*Cost_Library!$J$20*Location!$C$9*AN56</f>
        <v/>
      </c>
      <c r="BY56" s="20">
        <f>AT56*Cost_Library!$J$21*Location!$C$9</f>
        <v/>
      </c>
      <c r="BZ56" s="20">
        <f>AU56*Cost_Library!$J$22*Location!$C$9</f>
        <v/>
      </c>
      <c r="CA56" s="20">
        <f>AW56*Cost_Library!$J$23*Location!$C$9</f>
        <v/>
      </c>
      <c r="CB56" s="20">
        <f>AX56*Cost_Library!$J$24*Location!$C$9</f>
        <v/>
      </c>
      <c r="CC56" s="20">
        <f>AY56*Cost_Library!$J$25*Location!$C$9*Parcel!$C$44</f>
        <v/>
      </c>
      <c r="CD56" s="20">
        <f>BB56*Cost_Library!$J$26*Location!$C$9</f>
        <v/>
      </c>
      <c r="CE56" s="20">
        <f>AV56*(Cost_Library!$J$27+AS56*Cost_Library!$J$28)*Location!$C$9</f>
        <v/>
      </c>
      <c r="CF56" s="20">
        <f>AQ56*Cost_Library!$J$29*Location!$C$9</f>
        <v/>
      </c>
      <c r="CG56" s="20">
        <f>SUM(BG56:CF56)</f>
        <v/>
      </c>
      <c r="CH56" s="20">
        <f>CG56*Assumptions!$C$9</f>
        <v/>
      </c>
      <c r="CI56" s="20">
        <f>(CG56+CH56)*Org_Profile!$C$17</f>
        <v/>
      </c>
      <c r="CJ56" s="20">
        <f>CG56+CH56+CI56</f>
        <v/>
      </c>
      <c r="CK56" s="20">
        <f>AK56*Use_Effective!$B$55*(1+Org_Profile!$C$17)</f>
        <v/>
      </c>
      <c r="CL56" s="20">
        <f>CK56*(Assumptions!$C$10+Assumptions!$C$11)</f>
        <v/>
      </c>
      <c r="CM56" s="20">
        <f>AK56*Use_Effective!$D$55</f>
        <v/>
      </c>
      <c r="CN56" s="20">
        <f>AK56*Location!$C$21*BF56*AM56</f>
        <v/>
      </c>
      <c r="CO56" s="14">
        <f>Use_Effective!$F$55+L56*Location!$C$32+BA56*Location!$C$29</f>
        <v/>
      </c>
      <c r="CP56" s="14">
        <f>IF(Use_Effective!$P$55&gt;0,IF(Use_Library!$C$55="For-Sale",AK56,AD56)/Use_Effective!$P$55,0)*AM56</f>
        <v/>
      </c>
      <c r="CQ56" s="14">
        <f>IF(AND(Use_Library!$C$55="For-Sale",Use_Effective!$O$55&gt;0),AK56/Use_Effective!$O$55,0)*AM56</f>
        <v/>
      </c>
      <c r="CR56" s="14">
        <f>IF(Use_Library!$C$55="Income",MAX(Use_Library!$AQ$55,IF(Use_Effective!$O$55&gt;0,AK56/Use_Effective!$O$55,0)),0)</f>
        <v/>
      </c>
      <c r="CS56" s="14">
        <f>CO56+CP56</f>
        <v/>
      </c>
      <c r="CT56" s="14">
        <f>CO56+CQ56+CR56</f>
        <v/>
      </c>
      <c r="CU56" s="14">
        <f>CO56+IF(Use_Library!$C$55="Income",CR56,0)</f>
        <v/>
      </c>
      <c r="CV56" s="23">
        <f>Use_Effective!$G$55+Assumptions!$C$25*MAX(0,(CS56-12)/12)</f>
        <v/>
      </c>
      <c r="CW56" s="23">
        <f>Use_Effective!$G$55+Assumptions!$C$25*MAX(0,(CT56-12)/12)</f>
        <v/>
      </c>
      <c r="CX56" s="23">
        <f>Use_Effective!$G$55+Assumptions!$C$25*MAX(0,(CU56-12)/12)</f>
        <v/>
      </c>
      <c r="CY56" s="28">
        <f>1+Location!$C$17+IF(Parcel!$C$26="Y",Location!$C$20,0)</f>
        <v/>
      </c>
      <c r="CZ56" s="28">
        <f>CY56+Location!$C$19*(CO56+CP56/2)/12</f>
        <v/>
      </c>
      <c r="DA56" s="28">
        <f>CY56+Location!$C$19*(CO56+CQ56/2)/12</f>
        <v/>
      </c>
      <c r="DB56" s="28">
        <f>IF(Use_Library!$C$55="Income",DA56,CY56+Location!$C$19*CO56/12)</f>
        <v/>
      </c>
      <c r="DC56" s="28">
        <f>1+Assumptions!$C$15*(Assumptions!$C$16*(CO56+CP56/2)/12*Assumptions!$C$18+Assumptions!$C$17)</f>
        <v/>
      </c>
      <c r="DD56" s="28">
        <f>1+Assumptions!$C$15*(Assumptions!$C$16*((CO56+CQ56/2)/12*Assumptions!$C$18+CR56/12*Assumptions!$C$19)+Assumptions!$C$17)</f>
        <v/>
      </c>
      <c r="DE56" s="28">
        <f>IF(Use_Library!$C$55="Income",DD56,1+Assumptions!$C$15*(Assumptions!$C$16*CO56/12*Assumptions!$C$18+Assumptions!$C$17))</f>
        <v/>
      </c>
      <c r="DF56" s="23">
        <f>Assumptions!$C$13+Location!$C$18</f>
        <v/>
      </c>
      <c r="DG56" s="23">
        <f>Assumptions!$C$12+Location!$C$18</f>
        <v/>
      </c>
      <c r="DH56" s="23">
        <f>Assumptions!$C$14+Location!$C$18</f>
        <v/>
      </c>
      <c r="DI56" s="20">
        <f>AI56*Location!$C$14*(1-DF56)*AM56</f>
        <v/>
      </c>
      <c r="DJ56" s="20">
        <f>IF(Use_Library!$AV$55=1,IF(Use_Library!$C$55="For-Sale",AK56*Use_Effective!$H$55+Parcel!$C$14*AE56*Use_Effective!$J$55,AD56*Use_Effective!$J$55)*(1-DF56)+DI56,0)*AM56</f>
        <v/>
      </c>
      <c r="DK56" s="20">
        <f>(CG56-BU56-CC56-CD56)*(1+Assumptions!$C$9)*(1+Org_Profile!$C$17)</f>
        <v/>
      </c>
      <c r="DL56" s="28">
        <f>CZ56*DC56</f>
        <v/>
      </c>
      <c r="DM56" s="20">
        <f>(Parcel!$C$27*CZ56+DK56)*DC56</f>
        <v/>
      </c>
      <c r="DN56" s="20">
        <f>DJ56-DM56</f>
        <v/>
      </c>
      <c r="DO56" s="38">
        <f>IF(AND(Use_Library!$AV$55=1,AM56=1),MAX(0,((1-CV56)*DJ56-DK56*DC56)/DL56),0)</f>
        <v/>
      </c>
      <c r="DP56" s="20">
        <f>CJ56+CK56+CL56+CM56+CN56</f>
        <v/>
      </c>
      <c r="DQ56" s="28">
        <f>DA56*DD56</f>
        <v/>
      </c>
      <c r="DR56" s="20">
        <f>(Parcel!$C$27*DA56+DP56)*DD56</f>
        <v/>
      </c>
      <c r="DS56" s="20">
        <f>IF(Use_Library!$C$55="Income",AK56*Use_Effective!$K$55,0)</f>
        <v/>
      </c>
      <c r="DT56" s="20">
        <f>DS56*(1+Use_Library!$AL$55)*(1-Use_Effective!$N$55)</f>
        <v/>
      </c>
      <c r="DU56" s="20">
        <f>IF(Use_Library!$C$55="Income",AK56*Use_Effective!$E$55,0)</f>
        <v/>
      </c>
      <c r="DV56" s="20">
        <f>IF(Use_Library!$C$55="Income",Location!$C$15*Location!$C$16*DR56,0)</f>
        <v/>
      </c>
      <c r="DW56" s="20">
        <f>DT56*Use_Library!$AO$55</f>
        <v/>
      </c>
      <c r="DX56" s="20">
        <f>(DU56+DV56)*Use_Library!$AP$55</f>
        <v/>
      </c>
      <c r="DY56" s="20">
        <f>DT56-DU56-DV56-DW56+DX56</f>
        <v/>
      </c>
      <c r="DZ56" s="26">
        <f>Use_Effective!$M$55</f>
        <v/>
      </c>
      <c r="EA56" s="20">
        <f>IF(AND(Use_Library!$C$55="Income",DZ56&gt;0),DY56/DZ56,0)</f>
        <v/>
      </c>
      <c r="EB56" s="39">
        <f>IF(Use_Library!$C$55="Income",-Location!$C$15*Location!$C$16*(1-Use_Library!$AP$55)*DQ56,0)</f>
        <v/>
      </c>
      <c r="EC56" s="23">
        <f>IF(DR56=0,0,DY56/DR56)</f>
        <v/>
      </c>
      <c r="ED56" s="20">
        <f>IF(Use_Library!$AW$55=1,IF(Use_Library!$C$55="Income",EA56*(1-DH56),AK56*Use_Effective!$I$55*(1-DG56))+DI56,0)*AM56</f>
        <v/>
      </c>
      <c r="EE56" s="39">
        <f>IF(AND(Use_Library!$AW$55=1,Use_Library!$C$55="Income",DZ56&gt;0),EB56/DZ56*(1-DH56),0)</f>
        <v/>
      </c>
      <c r="EF56" s="20">
        <f>ED56-DR56</f>
        <v/>
      </c>
      <c r="EG56" s="38">
        <f>IF(AND(Use_Library!$AW$55=1,AM56=1),MAX(0,Parcel!$C$27-((1-CW56)*ED56-DR56)/((1-CW56)*EE56-DQ56)),0)</f>
        <v/>
      </c>
      <c r="EH56" s="20">
        <f>IF(Use_Library!$AX$55=1,IF(Use_Library!$C$55="Income",EA56,IF(DZ56&gt;0,AD56*Use_Effective!$L$55/DZ56,0))+DI56,0)*AM56</f>
        <v/>
      </c>
      <c r="EI56" s="20">
        <f>IF(Use_Library!$C$55="Income",DP56,CJ56)</f>
        <v/>
      </c>
      <c r="EJ56" s="28">
        <f>IF(Use_Library!$C$55="Income",DQ56,DB56*DE56)</f>
        <v/>
      </c>
      <c r="EK56" s="20">
        <f>IF(Use_Library!$C$55="Income",DR56,(Parcel!$C$27*DB56+CJ56)*DE56)</f>
        <v/>
      </c>
      <c r="EL56" s="39">
        <f>IF(AND(Use_Library!$AX$55=1,Use_Library!$C$55="Income",DZ56&gt;0),EB56/DZ56,0)</f>
        <v/>
      </c>
      <c r="EM56" s="20">
        <f>EH56-EK56</f>
        <v/>
      </c>
      <c r="EN56" s="38">
        <f>IF(AND(Use_Library!$AX$55=1,AM56=1),MAX(0,Parcel!$C$27-((1-CX56)*EH56-EK56)/((1-CX56)*EL56-EJ56)),0)</f>
        <v/>
      </c>
      <c r="EO56" s="20">
        <f>IF(Use_Library!$C$55="Income",Assumptions!$C$15*(Parcel!$C$27*DA56+DP56),0)</f>
        <v/>
      </c>
      <c r="EP56" s="20">
        <f>IF(AND(Use_Library!$C$55="Income",DY56&gt;0),MIN(Assumptions!$C$20*EA56,PV(Assumptions!$C$23/12,Assumptions!$C$24*12,-DY56/Assumptions!$C$21/12),DY56/Assumptions!$C$22),0)</f>
        <v/>
      </c>
      <c r="EQ56" s="27">
        <f>IF(EP56=0,0,DY56/(-PMT(Assumptions!$C$23/12,Assumptions!$C$24*12,EP56)*12))</f>
        <v/>
      </c>
      <c r="ER56" s="20">
        <f>EP56-EO56</f>
        <v/>
      </c>
      <c r="ES56" s="19">
        <f>MAX(DO56,EG56,EN56)</f>
        <v/>
      </c>
      <c r="ET56" s="15">
        <f>IF(ES56&lt;=0,0,IF(DO56=ES56,1,IF(EG56=ES56,2,3)))</f>
        <v/>
      </c>
      <c r="EU56" s="9">
        <f>CHOOSE(ET56+1,"None works","Land / pad sale","Build &amp; sell","Build &amp; hold / lease")</f>
        <v/>
      </c>
      <c r="EV56" s="15">
        <f>CHOOSE(ET56+1,0,CS56,CT56,CU56)</f>
        <v/>
      </c>
      <c r="EW56" s="20">
        <f>ES56*(1-Assumptions!$C$26)</f>
        <v/>
      </c>
      <c r="EX56" s="20">
        <f>ES56-Parcel!$C$27</f>
        <v/>
      </c>
      <c r="EY56" s="20">
        <f>IF(Parcel!$C$14=0,0,ES56/Parcel!$C$14)</f>
        <v/>
      </c>
      <c r="EZ56" s="36">
        <f>IF(AK56=0,0,ES56/AK56)</f>
        <v/>
      </c>
      <c r="FA56" s="9">
        <f>IF(ES56&lt;=0,"Pass",IF(ES56&gt;=Parcel!$C$27*Assumptions!$C$27,"Strong",IF(ES56&gt;=Parcel!$C$27,"Works at asking",IF(ES56&gt;=Parcel!$C$27*Assumptions!$C$28,"Negotiate","Pass"))))</f>
        <v/>
      </c>
      <c r="FB56" s="9">
        <f>IF(AM56=0,"",IF(Use_Library!$BH$55="Y",IF(Use_Effective!$AF$55&gt;=3,"High","Medium"),"Low - verify location"))</f>
        <v/>
      </c>
      <c r="FC56" s="9">
        <f>IF(AND(Use_Library!$BH$55="N",AM56=1),Use_Library!$BI$55,"")</f>
        <v/>
      </c>
      <c r="FD56" s="9">
        <f>TRIM(Q56&amp;" "&amp;IF(AND(AM56=0,T56=1),"Nothing fits. ","")&amp;IF(AND(Use_Library!$AZ$55&lt;&gt;"Y",Parcel!$C$19&lt;Use_Library!$AY$55),"Frontage under "&amp;Use_Library!$AY$55&amp;" LF. ","")&amp;IF(Parcel!$C$17&gt;0.15,"Slope over 15%. ","")&amp;IF(AND(AM56=1,AI56&gt;0.5),TEXT(AI56,"0")&amp;" ac not used - resold as raw land. ","")&amp;IF(AND(AM56=1,AC56&lt;1),"Demand caps it at "&amp;TEXT(AK56,"#,##0")&amp;" "&amp;Use_Library!$D$55&amp;". ","")&amp;IF(AND(AM56=1,L56=1),"Rezone required (+"&amp;Location!$C$32&amp;" mo). ","")&amp;IF(AND(AM56=1,BA56=1),"State wastewater permit needed. ","")&amp;IF(AND(AM56=1,AV56=1),"Public water system needed. ","")&amp;AP56&amp;IF(Parcel!$C$16&gt;Assumptions!$C$29,"Floodplain over "&amp;TEXT(Assumptions!$C$29,"0%")&amp;". ","")&amp;IF(AND(AM56=1,EV56&gt;60),"Over 5 years to exit. ",""))</f>
        <v/>
      </c>
      <c r="FE56" s="20">
        <f>IF(AND(Org_Profile!$C$5="My uses",E56=0),-1E+9,ES56)+ROW()/1000000</f>
        <v/>
      </c>
    </row>
    <row r="57">
      <c r="A57" s="4">
        <f>Use_Library!$A$56</f>
        <v/>
      </c>
      <c r="B57" s="9">
        <f>Use_Library!$C$56</f>
        <v/>
      </c>
      <c r="C57" s="9">
        <f>Use_Library!$D$56</f>
        <v/>
      </c>
      <c r="D57" s="9">
        <f>Use_Library!$F$56</f>
        <v/>
      </c>
      <c r="E57" s="15">
        <f>IF(Org_Profile!$C$73="Y",1,0)</f>
        <v/>
      </c>
      <c r="F57" s="14">
        <f>MAX(0,Parcel!$C$37*(1-Use_Library!$N$56-IF(Use_Library!$AB$56="Y",Assumptions!$C$7,0)))</f>
        <v/>
      </c>
      <c r="G57" s="14">
        <f>IF(Use_Library!$M$56&gt;0,MIN(F57,Use_Library!$M$56),F57)</f>
        <v/>
      </c>
      <c r="H57" s="23">
        <f>IF(F57=0,0,G57/F57)</f>
        <v/>
      </c>
      <c r="I57" s="14">
        <f>Parcel!$C$37*H57</f>
        <v/>
      </c>
      <c r="J57" s="9">
        <f>IF(ISNUMBER(SEARCH(","&amp;Use_Library!$F$56&amp;",",","&amp;SUBSTITUTE(Parcel!$C$11," ","")&amp;",")),"Deed restricted",IF(Parcel!$C$46=0,"No zoning",IF(ISNUMBER(SEARCH(","&amp;Use_Library!$F$56&amp;",",","&amp;SUBSTITUTE(Parcel!$C$10," ","")&amp;",")),"By right",IF(OR(TRIM(Parcel!$C$12)="*",ISNUMBER(SEARCH(","&amp;Use_Library!$F$56&amp;",",","&amp;SUBSTITUTE(Parcel!$C$12," ","")&amp;","))),"Rezone required","Prohibited by zoning"))))</f>
        <v/>
      </c>
      <c r="K57" s="15">
        <f>IF(OR(J57="Deed restricted",J57="Prohibited by zoning"),0,1)</f>
        <v/>
      </c>
      <c r="L57" s="15">
        <f>IF(J57="Rezone required",1,0)</f>
        <v/>
      </c>
      <c r="M57" s="15">
        <f>IF(Parcel!$C$20="None",0,IF(AND(Parcel!$C$20="Private easement",Use_Library!$BA$56="Y"),0,1))</f>
        <v/>
      </c>
      <c r="N57" s="15">
        <f>IF(AND(Use_Library!$AZ$56="Y",Parcel!$C$19&lt;Use_Library!$AY$56),0,1)</f>
        <v/>
      </c>
      <c r="O57" s="15">
        <f>IF(AND(Use_Library!$T$56="Y",Parcel!$C$39=0),0,1)</f>
        <v/>
      </c>
      <c r="P57" s="15">
        <f>IF(AND(Use_Library!$U$56="Y",Parcel!$C$38=0),0,1)</f>
        <v/>
      </c>
      <c r="Q57" s="9">
        <f>TRIM(IF(AND(Use_Library!$BB$56&gt;0,Parcel!$C$28&lt;Use_Library!$BB$56),"Traffic under "&amp;TEXT(Use_Library!$BB$56,"#,##0")&amp;" VPD. ","")&amp;IF(AND(Use_Library!$BC$56&gt;0,Parcel!$C$29&lt;Use_Library!$BC$56),"Under "&amp;TEXT(Use_Library!$BC$56,"#,##0")&amp;" households in 3 mi. ","")&amp;IF(AND(Use_Library!$BD$56&gt;0,Parcel!$C$31&gt;Use_Library!$BD$56),"Over "&amp;Use_Library!$BD$56&amp;" mi to highway. ","")&amp;IF(AND(Use_Library!$BE$56="Y",Parcel!$C$32&lt;&gt;"Y"),"Needs a corner. ","")&amp;IF(AND(Use_Library!$BF$56&gt;0,Parcel!$C$33&gt;Use_Library!$BF$56),"Over "&amp;Use_Library!$BF$56&amp;" mi to substation. ","")&amp;IF(AND(Use_Library!$BG$56&gt;0,Parcel!$C$34&gt;Use_Library!$BG$56),"Over "&amp;Use_Library!$BG$56&amp;" mi to a major employer. ",""))</f>
        <v/>
      </c>
      <c r="R57" s="15">
        <f>IF(Q57="",1,0)</f>
        <v/>
      </c>
      <c r="S57" s="15">
        <f>IF(F57&gt;=Use_Library!$L$56,1,0)</f>
        <v/>
      </c>
      <c r="T57" s="15">
        <f>K57*M57*N57*O57*P57*R57*S57</f>
        <v/>
      </c>
      <c r="U57" s="14">
        <f>IF(Use_Library!$G$56&gt;0,I57*Use_Library!$G$56,1E+9)</f>
        <v/>
      </c>
      <c r="V57" s="14">
        <f>IF(Use_Library!$H$56&gt;0,G57*43560/Use_Library!$H$56,1E+9)</f>
        <v/>
      </c>
      <c r="W57" s="14">
        <f>IF(AND(Use_Library!$K$56="Y",Parcel!$C$39=0),G57*(1-Assumptions!$C$8)/IF(Parcel!$C$38=1,Location!$C$25,Location!$C$26),1E+9)</f>
        <v/>
      </c>
      <c r="X57" s="14">
        <f>IF(Use_Library!$I$56&gt;0,Parcel!$C$14*H57/Use_Library!$I$56,1E+9)</f>
        <v/>
      </c>
      <c r="Y57" s="14">
        <f>IF(Use_Library!$J$56&gt;0,Parcel!$C$19/Use_Library!$J$56,1E+9)</f>
        <v/>
      </c>
      <c r="Z57" s="14">
        <f>IF(AND(Parcel!$C$39=0,Use_Library!$K$56="N",Use_Library!$Y$56&gt;0,Use_Library!$Z$56="Y"),G57*Location!$C$27*Parcel!$C$45/Use_Library!$Y$56,1E+9)</f>
        <v/>
      </c>
      <c r="AA57" s="14">
        <f>MIN(U57,V57,W57,X57,Y57,Z57)</f>
        <v/>
      </c>
      <c r="AB57" s="14">
        <f>IF(Use_Library!$O$56&gt;0,IF(Use_Library!$P$56&gt;=10,Parcel!$C$30,Parcel!$C$29)*Use_Library!$O$56*Use_Library!$Q$56,1E+9)</f>
        <v/>
      </c>
      <c r="AC57" s="23">
        <f>IF(OR(AA57&gt;=1E+9,AA57&lt;=0),1,MIN(1,AB57/AA57))</f>
        <v/>
      </c>
      <c r="AD57" s="14">
        <f>G57*AC57</f>
        <v/>
      </c>
      <c r="AE57" s="23">
        <f>IF(F57=0,0,AD57/F57)</f>
        <v/>
      </c>
      <c r="AF57" s="14">
        <f>Parcel!$C$37*AE57</f>
        <v/>
      </c>
      <c r="AG57" s="14">
        <f>AF57*IF(Use_Library!$AB$56="Y",Assumptions!$C$7,0)</f>
        <v/>
      </c>
      <c r="AH57" s="14">
        <f>AF57*(1-Use_Library!$N$56)</f>
        <v/>
      </c>
      <c r="AI57" s="14">
        <f>Parcel!$C$14*(1-AE57)</f>
        <v/>
      </c>
      <c r="AJ57" s="14">
        <f>MIN(AA57,AB57)</f>
        <v/>
      </c>
      <c r="AK57" s="25">
        <f>IF(T57=0,0,IF(AJ57&gt;=1E+9,AD57,IF(Use_Library!$E$56="Y",INT(AJ57+1E-9),AJ57)))</f>
        <v/>
      </c>
      <c r="AL57" s="9">
        <f>IF(M57=0,"No public road access",IF(K57=0,J57,IF(R57=0,"Location fails",IF(N57=0,"Frontage under "&amp;Use_Library!$AY$56&amp;" LF",IF(S57=0,"Too small - needs "&amp;Use_Library!$L$56&amp;" usable ac",IF(O57=0,"Needs public sewer",IF(P57=0,"Needs public water",IF(AJ57&gt;=1E+9,"Usable acres",IF(AB57&lt;=AA57,"Market demand",IF(W57=AA57,"Septic lot size",IF(Z57=AA57,"Septic capacity (gal/day)",IF(X57=AA57,"Min lot size",IF(Y57=AA57,"Road frontage",IF(V57=AA57,"Site area / parking","Density"))))))))))))))</f>
        <v/>
      </c>
      <c r="AM57" s="15">
        <f>IF(AK57&gt;0,1,0)</f>
        <v/>
      </c>
      <c r="AN57" s="15">
        <f>IF(Use_Library!$Z$56="Y",1,0)*AM57</f>
        <v/>
      </c>
      <c r="AO57" s="14">
        <f>IF(Parcel!$C$39=0,MIN(U57,V57,X57,Y57,AB57),0)</f>
        <v/>
      </c>
      <c r="AP57" s="9">
        <f>IF(AND(Parcel!$C$39=0,M57*K57*R57*N57*S57*P57=1,AO57&lt;1E+9,AO57&gt;=MAX(1,AK57)*1.25),"Unlock: sewer or package plant allows ~"&amp;TEXT(INT(AO57),"#,##0")&amp;" "&amp;Use_Library!$D$56&amp;". ","")</f>
        <v/>
      </c>
      <c r="AQ57" s="15">
        <f>AK57*Use_Library!$AC$56*AN57</f>
        <v/>
      </c>
      <c r="AR57" s="15">
        <f>AK57*Use_Library!$AD$56*AN57</f>
        <v/>
      </c>
      <c r="AS57" s="14">
        <f>AK57*Use_Library!$V$56*AN57</f>
        <v/>
      </c>
      <c r="AT57" s="15">
        <f>IF(Parcel!$C$38=1,AQ57+Parcel!$C$40,0)*AN57</f>
        <v/>
      </c>
      <c r="AU57" s="14">
        <f>AS57*Parcel!$C$38</f>
        <v/>
      </c>
      <c r="AV57" s="15">
        <f>IF(AND(Parcel!$C$38=0,Use_Library!$K$56="N",AS57&gt;=Location!$C$30),1,0)*AN57</f>
        <v/>
      </c>
      <c r="AW57" s="15">
        <f>IF(Parcel!$C$39=1,AQ57+Parcel!$C$41,0)*AN57</f>
        <v/>
      </c>
      <c r="AX57" s="14">
        <f>AS57*Parcel!$C$39</f>
        <v/>
      </c>
      <c r="AY57" s="14">
        <f>IF(Parcel!$C$39=0,AK57*Use_Library!$W$56,0)*AN57</f>
        <v/>
      </c>
      <c r="AZ57" s="15">
        <f>IF(Parcel!$C$39=0,AK57*Use_Library!$Y$56,0)*AN57</f>
        <v/>
      </c>
      <c r="BA57" s="15">
        <f>IF(AND(Use_Library!$K$56="N",AZ57&gt;Location!$C$28),1,0)</f>
        <v/>
      </c>
      <c r="BB57" s="14">
        <f>IF(AND(Parcel!$C$38=0,AV57=0),AK57*Use_Library!$X$56,0)*AN57</f>
        <v/>
      </c>
      <c r="BC57" s="14">
        <f>AH57*Parcel!$C$18*Use_Library!$AA$56*AN57</f>
        <v/>
      </c>
      <c r="BD57" s="14">
        <f>AH57*Use_Library!$AA$56*AN57</f>
        <v/>
      </c>
      <c r="BE57" s="15">
        <f>IF(Use_Library!$C$56="For-Sale",IF(Use_Library!$E$56="Y",AK57,1),1)*AM57</f>
        <v/>
      </c>
      <c r="BF57" s="15">
        <f>IF(OR(Use_Library!$F$56="RES-SF",Use_Library!$F$56="RES-ATT",Use_Library!$F$56="RES-MF",Use_Library!$F$56="MH"),1,0)</f>
        <v/>
      </c>
      <c r="BG57" s="20">
        <f>Cost_Library!$J$5*Location!$C$9*AM57</f>
        <v/>
      </c>
      <c r="BH57" s="20">
        <f>BE57*Cost_Library!$J$6*Location!$C$9</f>
        <v/>
      </c>
      <c r="BI57" s="20">
        <f>BD57*Cost_Library!$J$7*Location!$C$9</f>
        <v/>
      </c>
      <c r="BJ57" s="20">
        <f>Cost_Library!$J$8*Location!$C$9*AN57*IF(Use_Library!$AA$56&gt;=0.5,1,0)</f>
        <v/>
      </c>
      <c r="BK57" s="20">
        <f>AY57*Cost_Library!$J$9*Location!$C$9</f>
        <v/>
      </c>
      <c r="BL57" s="20">
        <f>BA57*Cost_Library!$J$10*Location!$C$9</f>
        <v/>
      </c>
      <c r="BM57" s="20">
        <f>Cost_Library!$J$11*Location!$C$9*AM57</f>
        <v/>
      </c>
      <c r="BN57" s="20">
        <f>Cost_Library!$J$12*Location!$C$9*AN57*IF(Use_Library!$AB$56="Y",1,0)</f>
        <v/>
      </c>
      <c r="BO57" s="20">
        <f>Use_Effective!$C$56*AM57</f>
        <v/>
      </c>
      <c r="BP57" s="20">
        <f>L57*Location!$C$31*AM57</f>
        <v/>
      </c>
      <c r="BQ57" s="20">
        <f>Cost_Library!$J$13*Location!$C$9*AM57</f>
        <v/>
      </c>
      <c r="BR57" s="20">
        <f>BC57*Cost_Library!$J$14*Location!$C$9</f>
        <v/>
      </c>
      <c r="BS57" s="20">
        <f>BD57*Cost_Library!$J$15*Location!$C$9*Parcel!$C$43</f>
        <v/>
      </c>
      <c r="BT57" s="20">
        <f>AQ57*Cost_Library!$J$16*Location!$C$9</f>
        <v/>
      </c>
      <c r="BU57" s="20">
        <f>AR57*Cost_Library!$J$17*Location!$C$9</f>
        <v/>
      </c>
      <c r="BV57" s="20">
        <f>AG57*Cost_Library!$J$18*Location!$C$9*AN57</f>
        <v/>
      </c>
      <c r="BW57" s="20">
        <f>BD57*Cost_Library!$J$19*Location!$C$9</f>
        <v/>
      </c>
      <c r="BX57" s="20">
        <f>IF(Use_Library!$AZ$56="Y",1,0)*Cost_Library!$J$20*Location!$C$9*AN57</f>
        <v/>
      </c>
      <c r="BY57" s="20">
        <f>AT57*Cost_Library!$J$21*Location!$C$9</f>
        <v/>
      </c>
      <c r="BZ57" s="20">
        <f>AU57*Cost_Library!$J$22*Location!$C$9</f>
        <v/>
      </c>
      <c r="CA57" s="20">
        <f>AW57*Cost_Library!$J$23*Location!$C$9</f>
        <v/>
      </c>
      <c r="CB57" s="20">
        <f>AX57*Cost_Library!$J$24*Location!$C$9</f>
        <v/>
      </c>
      <c r="CC57" s="20">
        <f>AY57*Cost_Library!$J$25*Location!$C$9*Parcel!$C$44</f>
        <v/>
      </c>
      <c r="CD57" s="20">
        <f>BB57*Cost_Library!$J$26*Location!$C$9</f>
        <v/>
      </c>
      <c r="CE57" s="20">
        <f>AV57*(Cost_Library!$J$27+AS57*Cost_Library!$J$28)*Location!$C$9</f>
        <v/>
      </c>
      <c r="CF57" s="20">
        <f>AQ57*Cost_Library!$J$29*Location!$C$9</f>
        <v/>
      </c>
      <c r="CG57" s="20">
        <f>SUM(BG57:CF57)</f>
        <v/>
      </c>
      <c r="CH57" s="20">
        <f>CG57*Assumptions!$C$9</f>
        <v/>
      </c>
      <c r="CI57" s="20">
        <f>(CG57+CH57)*Org_Profile!$C$17</f>
        <v/>
      </c>
      <c r="CJ57" s="20">
        <f>CG57+CH57+CI57</f>
        <v/>
      </c>
      <c r="CK57" s="20">
        <f>AK57*Use_Effective!$B$56*(1+Org_Profile!$C$17)</f>
        <v/>
      </c>
      <c r="CL57" s="20">
        <f>CK57*(Assumptions!$C$10+Assumptions!$C$11)</f>
        <v/>
      </c>
      <c r="CM57" s="20">
        <f>AK57*Use_Effective!$D$56</f>
        <v/>
      </c>
      <c r="CN57" s="20">
        <f>AK57*Location!$C$21*BF57*AM57</f>
        <v/>
      </c>
      <c r="CO57" s="14">
        <f>Use_Effective!$F$56+L57*Location!$C$32+BA57*Location!$C$29</f>
        <v/>
      </c>
      <c r="CP57" s="14">
        <f>IF(Use_Effective!$P$56&gt;0,IF(Use_Library!$C$56="For-Sale",AK57,AD57)/Use_Effective!$P$56,0)*AM57</f>
        <v/>
      </c>
      <c r="CQ57" s="14">
        <f>IF(AND(Use_Library!$C$56="For-Sale",Use_Effective!$O$56&gt;0),AK57/Use_Effective!$O$56,0)*AM57</f>
        <v/>
      </c>
      <c r="CR57" s="14">
        <f>IF(Use_Library!$C$56="Income",MAX(Use_Library!$AQ$56,IF(Use_Effective!$O$56&gt;0,AK57/Use_Effective!$O$56,0)),0)</f>
        <v/>
      </c>
      <c r="CS57" s="14">
        <f>CO57+CP57</f>
        <v/>
      </c>
      <c r="CT57" s="14">
        <f>CO57+CQ57+CR57</f>
        <v/>
      </c>
      <c r="CU57" s="14">
        <f>CO57+IF(Use_Library!$C$56="Income",CR57,0)</f>
        <v/>
      </c>
      <c r="CV57" s="23">
        <f>Use_Effective!$G$56+Assumptions!$C$25*MAX(0,(CS57-12)/12)</f>
        <v/>
      </c>
      <c r="CW57" s="23">
        <f>Use_Effective!$G$56+Assumptions!$C$25*MAX(0,(CT57-12)/12)</f>
        <v/>
      </c>
      <c r="CX57" s="23">
        <f>Use_Effective!$G$56+Assumptions!$C$25*MAX(0,(CU57-12)/12)</f>
        <v/>
      </c>
      <c r="CY57" s="28">
        <f>1+Location!$C$17+IF(Parcel!$C$26="Y",Location!$C$20,0)</f>
        <v/>
      </c>
      <c r="CZ57" s="28">
        <f>CY57+Location!$C$19*(CO57+CP57/2)/12</f>
        <v/>
      </c>
      <c r="DA57" s="28">
        <f>CY57+Location!$C$19*(CO57+CQ57/2)/12</f>
        <v/>
      </c>
      <c r="DB57" s="28">
        <f>IF(Use_Library!$C$56="Income",DA57,CY57+Location!$C$19*CO57/12)</f>
        <v/>
      </c>
      <c r="DC57" s="28">
        <f>1+Assumptions!$C$15*(Assumptions!$C$16*(CO57+CP57/2)/12*Assumptions!$C$18+Assumptions!$C$17)</f>
        <v/>
      </c>
      <c r="DD57" s="28">
        <f>1+Assumptions!$C$15*(Assumptions!$C$16*((CO57+CQ57/2)/12*Assumptions!$C$18+CR57/12*Assumptions!$C$19)+Assumptions!$C$17)</f>
        <v/>
      </c>
      <c r="DE57" s="28">
        <f>IF(Use_Library!$C$56="Income",DD57,1+Assumptions!$C$15*(Assumptions!$C$16*CO57/12*Assumptions!$C$18+Assumptions!$C$17))</f>
        <v/>
      </c>
      <c r="DF57" s="23">
        <f>Assumptions!$C$13+Location!$C$18</f>
        <v/>
      </c>
      <c r="DG57" s="23">
        <f>Assumptions!$C$12+Location!$C$18</f>
        <v/>
      </c>
      <c r="DH57" s="23">
        <f>Assumptions!$C$14+Location!$C$18</f>
        <v/>
      </c>
      <c r="DI57" s="20">
        <f>AI57*Location!$C$14*(1-DF57)*AM57</f>
        <v/>
      </c>
      <c r="DJ57" s="20">
        <f>IF(Use_Library!$AV$56=1,IF(Use_Library!$C$56="For-Sale",AK57*Use_Effective!$H$56+Parcel!$C$14*AE57*Use_Effective!$J$56,AD57*Use_Effective!$J$56)*(1-DF57)+DI57,0)*AM57</f>
        <v/>
      </c>
      <c r="DK57" s="20">
        <f>(CG57-BU57-CC57-CD57)*(1+Assumptions!$C$9)*(1+Org_Profile!$C$17)</f>
        <v/>
      </c>
      <c r="DL57" s="28">
        <f>CZ57*DC57</f>
        <v/>
      </c>
      <c r="DM57" s="20">
        <f>(Parcel!$C$27*CZ57+DK57)*DC57</f>
        <v/>
      </c>
      <c r="DN57" s="20">
        <f>DJ57-DM57</f>
        <v/>
      </c>
      <c r="DO57" s="38">
        <f>IF(AND(Use_Library!$AV$56=1,AM57=1),MAX(0,((1-CV57)*DJ57-DK57*DC57)/DL57),0)</f>
        <v/>
      </c>
      <c r="DP57" s="20">
        <f>CJ57+CK57+CL57+CM57+CN57</f>
        <v/>
      </c>
      <c r="DQ57" s="28">
        <f>DA57*DD57</f>
        <v/>
      </c>
      <c r="DR57" s="20">
        <f>(Parcel!$C$27*DA57+DP57)*DD57</f>
        <v/>
      </c>
      <c r="DS57" s="20">
        <f>IF(Use_Library!$C$56="Income",AK57*Use_Effective!$K$56,0)</f>
        <v/>
      </c>
      <c r="DT57" s="20">
        <f>DS57*(1+Use_Library!$AL$56)*(1-Use_Effective!$N$56)</f>
        <v/>
      </c>
      <c r="DU57" s="20">
        <f>IF(Use_Library!$C$56="Income",AK57*Use_Effective!$E$56,0)</f>
        <v/>
      </c>
      <c r="DV57" s="20">
        <f>IF(Use_Library!$C$56="Income",Location!$C$15*Location!$C$16*DR57,0)</f>
        <v/>
      </c>
      <c r="DW57" s="20">
        <f>DT57*Use_Library!$AO$56</f>
        <v/>
      </c>
      <c r="DX57" s="20">
        <f>(DU57+DV57)*Use_Library!$AP$56</f>
        <v/>
      </c>
      <c r="DY57" s="20">
        <f>DT57-DU57-DV57-DW57+DX57</f>
        <v/>
      </c>
      <c r="DZ57" s="26">
        <f>Use_Effective!$M$56</f>
        <v/>
      </c>
      <c r="EA57" s="20">
        <f>IF(AND(Use_Library!$C$56="Income",DZ57&gt;0),DY57/DZ57,0)</f>
        <v/>
      </c>
      <c r="EB57" s="39">
        <f>IF(Use_Library!$C$56="Income",-Location!$C$15*Location!$C$16*(1-Use_Library!$AP$56)*DQ57,0)</f>
        <v/>
      </c>
      <c r="EC57" s="23">
        <f>IF(DR57=0,0,DY57/DR57)</f>
        <v/>
      </c>
      <c r="ED57" s="20">
        <f>IF(Use_Library!$AW$56=1,IF(Use_Library!$C$56="Income",EA57*(1-DH57),AK57*Use_Effective!$I$56*(1-DG57))+DI57,0)*AM57</f>
        <v/>
      </c>
      <c r="EE57" s="39">
        <f>IF(AND(Use_Library!$AW$56=1,Use_Library!$C$56="Income",DZ57&gt;0),EB57/DZ57*(1-DH57),0)</f>
        <v/>
      </c>
      <c r="EF57" s="20">
        <f>ED57-DR57</f>
        <v/>
      </c>
      <c r="EG57" s="38">
        <f>IF(AND(Use_Library!$AW$56=1,AM57=1),MAX(0,Parcel!$C$27-((1-CW57)*ED57-DR57)/((1-CW57)*EE57-DQ57)),0)</f>
        <v/>
      </c>
      <c r="EH57" s="20">
        <f>IF(Use_Library!$AX$56=1,IF(Use_Library!$C$56="Income",EA57,IF(DZ57&gt;0,AD57*Use_Effective!$L$56/DZ57,0))+DI57,0)*AM57</f>
        <v/>
      </c>
      <c r="EI57" s="20">
        <f>IF(Use_Library!$C$56="Income",DP57,CJ57)</f>
        <v/>
      </c>
      <c r="EJ57" s="28">
        <f>IF(Use_Library!$C$56="Income",DQ57,DB57*DE57)</f>
        <v/>
      </c>
      <c r="EK57" s="20">
        <f>IF(Use_Library!$C$56="Income",DR57,(Parcel!$C$27*DB57+CJ57)*DE57)</f>
        <v/>
      </c>
      <c r="EL57" s="39">
        <f>IF(AND(Use_Library!$AX$56=1,Use_Library!$C$56="Income",DZ57&gt;0),EB57/DZ57,0)</f>
        <v/>
      </c>
      <c r="EM57" s="20">
        <f>EH57-EK57</f>
        <v/>
      </c>
      <c r="EN57" s="38">
        <f>IF(AND(Use_Library!$AX$56=1,AM57=1),MAX(0,Parcel!$C$27-((1-CX57)*EH57-EK57)/((1-CX57)*EL57-EJ57)),0)</f>
        <v/>
      </c>
      <c r="EO57" s="20">
        <f>IF(Use_Library!$C$56="Income",Assumptions!$C$15*(Parcel!$C$27*DA57+DP57),0)</f>
        <v/>
      </c>
      <c r="EP57" s="20">
        <f>IF(AND(Use_Library!$C$56="Income",DY57&gt;0),MIN(Assumptions!$C$20*EA57,PV(Assumptions!$C$23/12,Assumptions!$C$24*12,-DY57/Assumptions!$C$21/12),DY57/Assumptions!$C$22),0)</f>
        <v/>
      </c>
      <c r="EQ57" s="27">
        <f>IF(EP57=0,0,DY57/(-PMT(Assumptions!$C$23/12,Assumptions!$C$24*12,EP57)*12))</f>
        <v/>
      </c>
      <c r="ER57" s="20">
        <f>EP57-EO57</f>
        <v/>
      </c>
      <c r="ES57" s="19">
        <f>MAX(DO57,EG57,EN57)</f>
        <v/>
      </c>
      <c r="ET57" s="15">
        <f>IF(ES57&lt;=0,0,IF(DO57=ES57,1,IF(EG57=ES57,2,3)))</f>
        <v/>
      </c>
      <c r="EU57" s="9">
        <f>CHOOSE(ET57+1,"None works","Land / pad sale","Build &amp; sell","Build &amp; hold / lease")</f>
        <v/>
      </c>
      <c r="EV57" s="15">
        <f>CHOOSE(ET57+1,0,CS57,CT57,CU57)</f>
        <v/>
      </c>
      <c r="EW57" s="20">
        <f>ES57*(1-Assumptions!$C$26)</f>
        <v/>
      </c>
      <c r="EX57" s="20">
        <f>ES57-Parcel!$C$27</f>
        <v/>
      </c>
      <c r="EY57" s="20">
        <f>IF(Parcel!$C$14=0,0,ES57/Parcel!$C$14)</f>
        <v/>
      </c>
      <c r="EZ57" s="36">
        <f>IF(AK57=0,0,ES57/AK57)</f>
        <v/>
      </c>
      <c r="FA57" s="9">
        <f>IF(ES57&lt;=0,"Pass",IF(ES57&gt;=Parcel!$C$27*Assumptions!$C$27,"Strong",IF(ES57&gt;=Parcel!$C$27,"Works at asking",IF(ES57&gt;=Parcel!$C$27*Assumptions!$C$28,"Negotiate","Pass"))))</f>
        <v/>
      </c>
      <c r="FB57" s="9">
        <f>IF(AM57=0,"",IF(Use_Library!$BH$56="Y",IF(Use_Effective!$AF$56&gt;=3,"High","Medium"),"Low - verify location"))</f>
        <v/>
      </c>
      <c r="FC57" s="9">
        <f>IF(AND(Use_Library!$BH$56="N",AM57=1),Use_Library!$BI$56,"")</f>
        <v/>
      </c>
      <c r="FD57" s="9">
        <f>TRIM(Q57&amp;" "&amp;IF(AND(AM57=0,T57=1),"Nothing fits. ","")&amp;IF(AND(Use_Library!$AZ$56&lt;&gt;"Y",Parcel!$C$19&lt;Use_Library!$AY$56),"Frontage under "&amp;Use_Library!$AY$56&amp;" LF. ","")&amp;IF(Parcel!$C$17&gt;0.15,"Slope over 15%. ","")&amp;IF(AND(AM57=1,AI57&gt;0.5),TEXT(AI57,"0")&amp;" ac not used - resold as raw land. ","")&amp;IF(AND(AM57=1,AC57&lt;1),"Demand caps it at "&amp;TEXT(AK57,"#,##0")&amp;" "&amp;Use_Library!$D$56&amp;". ","")&amp;IF(AND(AM57=1,L57=1),"Rezone required (+"&amp;Location!$C$32&amp;" mo). ","")&amp;IF(AND(AM57=1,BA57=1),"State wastewater permit needed. ","")&amp;IF(AND(AM57=1,AV57=1),"Public water system needed. ","")&amp;AP57&amp;IF(Parcel!$C$16&gt;Assumptions!$C$29,"Floodplain over "&amp;TEXT(Assumptions!$C$29,"0%")&amp;". ","")&amp;IF(AND(AM57=1,EV57&gt;60),"Over 5 years to exit. ",""))</f>
        <v/>
      </c>
      <c r="FE57" s="20">
        <f>IF(AND(Org_Profile!$C$5="My uses",E57=0),-1E+9,ES57)+ROW()/1000000</f>
        <v/>
      </c>
    </row>
    <row r="58">
      <c r="A58" s="4">
        <f>Use_Library!$A$57</f>
        <v/>
      </c>
      <c r="B58" s="9">
        <f>Use_Library!$C$57</f>
        <v/>
      </c>
      <c r="C58" s="9">
        <f>Use_Library!$D$57</f>
        <v/>
      </c>
      <c r="D58" s="9">
        <f>Use_Library!$F$57</f>
        <v/>
      </c>
      <c r="E58" s="15">
        <f>IF(Org_Profile!$C$74="Y",1,0)</f>
        <v/>
      </c>
      <c r="F58" s="14">
        <f>MAX(0,Parcel!$C$37*(1-Use_Library!$N$57-IF(Use_Library!$AB$57="Y",Assumptions!$C$7,0)))</f>
        <v/>
      </c>
      <c r="G58" s="14">
        <f>IF(Use_Library!$M$57&gt;0,MIN(F58,Use_Library!$M$57),F58)</f>
        <v/>
      </c>
      <c r="H58" s="23">
        <f>IF(F58=0,0,G58/F58)</f>
        <v/>
      </c>
      <c r="I58" s="14">
        <f>Parcel!$C$37*H58</f>
        <v/>
      </c>
      <c r="J58" s="9">
        <f>IF(ISNUMBER(SEARCH(","&amp;Use_Library!$F$57&amp;",",","&amp;SUBSTITUTE(Parcel!$C$11," ","")&amp;",")),"Deed restricted",IF(Parcel!$C$46=0,"No zoning",IF(ISNUMBER(SEARCH(","&amp;Use_Library!$F$57&amp;",",","&amp;SUBSTITUTE(Parcel!$C$10," ","")&amp;",")),"By right",IF(OR(TRIM(Parcel!$C$12)="*",ISNUMBER(SEARCH(","&amp;Use_Library!$F$57&amp;",",","&amp;SUBSTITUTE(Parcel!$C$12," ","")&amp;","))),"Rezone required","Prohibited by zoning"))))</f>
        <v/>
      </c>
      <c r="K58" s="15">
        <f>IF(OR(J58="Deed restricted",J58="Prohibited by zoning"),0,1)</f>
        <v/>
      </c>
      <c r="L58" s="15">
        <f>IF(J58="Rezone required",1,0)</f>
        <v/>
      </c>
      <c r="M58" s="15">
        <f>IF(Parcel!$C$20="None",0,IF(AND(Parcel!$C$20="Private easement",Use_Library!$BA$57="Y"),0,1))</f>
        <v/>
      </c>
      <c r="N58" s="15">
        <f>IF(AND(Use_Library!$AZ$57="Y",Parcel!$C$19&lt;Use_Library!$AY$57),0,1)</f>
        <v/>
      </c>
      <c r="O58" s="15">
        <f>IF(AND(Use_Library!$T$57="Y",Parcel!$C$39=0),0,1)</f>
        <v/>
      </c>
      <c r="P58" s="15">
        <f>IF(AND(Use_Library!$U$57="Y",Parcel!$C$38=0),0,1)</f>
        <v/>
      </c>
      <c r="Q58" s="9">
        <f>TRIM(IF(AND(Use_Library!$BB$57&gt;0,Parcel!$C$28&lt;Use_Library!$BB$57),"Traffic under "&amp;TEXT(Use_Library!$BB$57,"#,##0")&amp;" VPD. ","")&amp;IF(AND(Use_Library!$BC$57&gt;0,Parcel!$C$29&lt;Use_Library!$BC$57),"Under "&amp;TEXT(Use_Library!$BC$57,"#,##0")&amp;" households in 3 mi. ","")&amp;IF(AND(Use_Library!$BD$57&gt;0,Parcel!$C$31&gt;Use_Library!$BD$57),"Over "&amp;Use_Library!$BD$57&amp;" mi to highway. ","")&amp;IF(AND(Use_Library!$BE$57="Y",Parcel!$C$32&lt;&gt;"Y"),"Needs a corner. ","")&amp;IF(AND(Use_Library!$BF$57&gt;0,Parcel!$C$33&gt;Use_Library!$BF$57),"Over "&amp;Use_Library!$BF$57&amp;" mi to substation. ","")&amp;IF(AND(Use_Library!$BG$57&gt;0,Parcel!$C$34&gt;Use_Library!$BG$57),"Over "&amp;Use_Library!$BG$57&amp;" mi to a major employer. ",""))</f>
        <v/>
      </c>
      <c r="R58" s="15">
        <f>IF(Q58="",1,0)</f>
        <v/>
      </c>
      <c r="S58" s="15">
        <f>IF(F58&gt;=Use_Library!$L$57,1,0)</f>
        <v/>
      </c>
      <c r="T58" s="15">
        <f>K58*M58*N58*O58*P58*R58*S58</f>
        <v/>
      </c>
      <c r="U58" s="14">
        <f>IF(Use_Library!$G$57&gt;0,I58*Use_Library!$G$57,1E+9)</f>
        <v/>
      </c>
      <c r="V58" s="14">
        <f>IF(Use_Library!$H$57&gt;0,G58*43560/Use_Library!$H$57,1E+9)</f>
        <v/>
      </c>
      <c r="W58" s="14">
        <f>IF(AND(Use_Library!$K$57="Y",Parcel!$C$39=0),G58*(1-Assumptions!$C$8)/IF(Parcel!$C$38=1,Location!$C$25,Location!$C$26),1E+9)</f>
        <v/>
      </c>
      <c r="X58" s="14">
        <f>IF(Use_Library!$I$57&gt;0,Parcel!$C$14*H58/Use_Library!$I$57,1E+9)</f>
        <v/>
      </c>
      <c r="Y58" s="14">
        <f>IF(Use_Library!$J$57&gt;0,Parcel!$C$19/Use_Library!$J$57,1E+9)</f>
        <v/>
      </c>
      <c r="Z58" s="14">
        <f>IF(AND(Parcel!$C$39=0,Use_Library!$K$57="N",Use_Library!$Y$57&gt;0,Use_Library!$Z$57="Y"),G58*Location!$C$27*Parcel!$C$45/Use_Library!$Y$57,1E+9)</f>
        <v/>
      </c>
      <c r="AA58" s="14">
        <f>MIN(U58,V58,W58,X58,Y58,Z58)</f>
        <v/>
      </c>
      <c r="AB58" s="14">
        <f>IF(Use_Library!$O$57&gt;0,IF(Use_Library!$P$57&gt;=10,Parcel!$C$30,Parcel!$C$29)*Use_Library!$O$57*Use_Library!$Q$57,1E+9)</f>
        <v/>
      </c>
      <c r="AC58" s="23">
        <f>IF(OR(AA58&gt;=1E+9,AA58&lt;=0),1,MIN(1,AB58/AA58))</f>
        <v/>
      </c>
      <c r="AD58" s="14">
        <f>G58*AC58</f>
        <v/>
      </c>
      <c r="AE58" s="23">
        <f>IF(F58=0,0,AD58/F58)</f>
        <v/>
      </c>
      <c r="AF58" s="14">
        <f>Parcel!$C$37*AE58</f>
        <v/>
      </c>
      <c r="AG58" s="14">
        <f>AF58*IF(Use_Library!$AB$57="Y",Assumptions!$C$7,0)</f>
        <v/>
      </c>
      <c r="AH58" s="14">
        <f>AF58*(1-Use_Library!$N$57)</f>
        <v/>
      </c>
      <c r="AI58" s="14">
        <f>Parcel!$C$14*(1-AE58)</f>
        <v/>
      </c>
      <c r="AJ58" s="14">
        <f>MIN(AA58,AB58)</f>
        <v/>
      </c>
      <c r="AK58" s="25">
        <f>IF(T58=0,0,IF(AJ58&gt;=1E+9,AD58,IF(Use_Library!$E$57="Y",INT(AJ58+1E-9),AJ58)))</f>
        <v/>
      </c>
      <c r="AL58" s="9">
        <f>IF(M58=0,"No public road access",IF(K58=0,J58,IF(R58=0,"Location fails",IF(N58=0,"Frontage under "&amp;Use_Library!$AY$57&amp;" LF",IF(S58=0,"Too small - needs "&amp;Use_Library!$L$57&amp;" usable ac",IF(O58=0,"Needs public sewer",IF(P58=0,"Needs public water",IF(AJ58&gt;=1E+9,"Usable acres",IF(AB58&lt;=AA58,"Market demand",IF(W58=AA58,"Septic lot size",IF(Z58=AA58,"Septic capacity (gal/day)",IF(X58=AA58,"Min lot size",IF(Y58=AA58,"Road frontage",IF(V58=AA58,"Site area / parking","Density"))))))))))))))</f>
        <v/>
      </c>
      <c r="AM58" s="15">
        <f>IF(AK58&gt;0,1,0)</f>
        <v/>
      </c>
      <c r="AN58" s="15">
        <f>IF(Use_Library!$Z$57="Y",1,0)*AM58</f>
        <v/>
      </c>
      <c r="AO58" s="14">
        <f>IF(Parcel!$C$39=0,MIN(U58,V58,X58,Y58,AB58),0)</f>
        <v/>
      </c>
      <c r="AP58" s="9">
        <f>IF(AND(Parcel!$C$39=0,M58*K58*R58*N58*S58*P58=1,AO58&lt;1E+9,AO58&gt;=MAX(1,AK58)*1.25),"Unlock: sewer or package plant allows ~"&amp;TEXT(INT(AO58),"#,##0")&amp;" "&amp;Use_Library!$D$57&amp;". ","")</f>
        <v/>
      </c>
      <c r="AQ58" s="15">
        <f>AK58*Use_Library!$AC$57*AN58</f>
        <v/>
      </c>
      <c r="AR58" s="15">
        <f>AK58*Use_Library!$AD$57*AN58</f>
        <v/>
      </c>
      <c r="AS58" s="14">
        <f>AK58*Use_Library!$V$57*AN58</f>
        <v/>
      </c>
      <c r="AT58" s="15">
        <f>IF(Parcel!$C$38=1,AQ58+Parcel!$C$40,0)*AN58</f>
        <v/>
      </c>
      <c r="AU58" s="14">
        <f>AS58*Parcel!$C$38</f>
        <v/>
      </c>
      <c r="AV58" s="15">
        <f>IF(AND(Parcel!$C$38=0,Use_Library!$K$57="N",AS58&gt;=Location!$C$30),1,0)*AN58</f>
        <v/>
      </c>
      <c r="AW58" s="15">
        <f>IF(Parcel!$C$39=1,AQ58+Parcel!$C$41,0)*AN58</f>
        <v/>
      </c>
      <c r="AX58" s="14">
        <f>AS58*Parcel!$C$39</f>
        <v/>
      </c>
      <c r="AY58" s="14">
        <f>IF(Parcel!$C$39=0,AK58*Use_Library!$W$57,0)*AN58</f>
        <v/>
      </c>
      <c r="AZ58" s="15">
        <f>IF(Parcel!$C$39=0,AK58*Use_Library!$Y$57,0)*AN58</f>
        <v/>
      </c>
      <c r="BA58" s="15">
        <f>IF(AND(Use_Library!$K$57="N",AZ58&gt;Location!$C$28),1,0)</f>
        <v/>
      </c>
      <c r="BB58" s="14">
        <f>IF(AND(Parcel!$C$38=0,AV58=0),AK58*Use_Library!$X$57,0)*AN58</f>
        <v/>
      </c>
      <c r="BC58" s="14">
        <f>AH58*Parcel!$C$18*Use_Library!$AA$57*AN58</f>
        <v/>
      </c>
      <c r="BD58" s="14">
        <f>AH58*Use_Library!$AA$57*AN58</f>
        <v/>
      </c>
      <c r="BE58" s="15">
        <f>IF(Use_Library!$C$57="For-Sale",IF(Use_Library!$E$57="Y",AK58,1),1)*AM58</f>
        <v/>
      </c>
      <c r="BF58" s="15">
        <f>IF(OR(Use_Library!$F$57="RES-SF",Use_Library!$F$57="RES-ATT",Use_Library!$F$57="RES-MF",Use_Library!$F$57="MH"),1,0)</f>
        <v/>
      </c>
      <c r="BG58" s="20">
        <f>Cost_Library!$J$5*Location!$C$9*AM58</f>
        <v/>
      </c>
      <c r="BH58" s="20">
        <f>BE58*Cost_Library!$J$6*Location!$C$9</f>
        <v/>
      </c>
      <c r="BI58" s="20">
        <f>BD58*Cost_Library!$J$7*Location!$C$9</f>
        <v/>
      </c>
      <c r="BJ58" s="20">
        <f>Cost_Library!$J$8*Location!$C$9*AN58*IF(Use_Library!$AA$57&gt;=0.5,1,0)</f>
        <v/>
      </c>
      <c r="BK58" s="20">
        <f>AY58*Cost_Library!$J$9*Location!$C$9</f>
        <v/>
      </c>
      <c r="BL58" s="20">
        <f>BA58*Cost_Library!$J$10*Location!$C$9</f>
        <v/>
      </c>
      <c r="BM58" s="20">
        <f>Cost_Library!$J$11*Location!$C$9*AM58</f>
        <v/>
      </c>
      <c r="BN58" s="20">
        <f>Cost_Library!$J$12*Location!$C$9*AN58*IF(Use_Library!$AB$57="Y",1,0)</f>
        <v/>
      </c>
      <c r="BO58" s="20">
        <f>Use_Effective!$C$57*AM58</f>
        <v/>
      </c>
      <c r="BP58" s="20">
        <f>L58*Location!$C$31*AM58</f>
        <v/>
      </c>
      <c r="BQ58" s="20">
        <f>Cost_Library!$J$13*Location!$C$9*AM58</f>
        <v/>
      </c>
      <c r="BR58" s="20">
        <f>BC58*Cost_Library!$J$14*Location!$C$9</f>
        <v/>
      </c>
      <c r="BS58" s="20">
        <f>BD58*Cost_Library!$J$15*Location!$C$9*Parcel!$C$43</f>
        <v/>
      </c>
      <c r="BT58" s="20">
        <f>AQ58*Cost_Library!$J$16*Location!$C$9</f>
        <v/>
      </c>
      <c r="BU58" s="20">
        <f>AR58*Cost_Library!$J$17*Location!$C$9</f>
        <v/>
      </c>
      <c r="BV58" s="20">
        <f>AG58*Cost_Library!$J$18*Location!$C$9*AN58</f>
        <v/>
      </c>
      <c r="BW58" s="20">
        <f>BD58*Cost_Library!$J$19*Location!$C$9</f>
        <v/>
      </c>
      <c r="BX58" s="20">
        <f>IF(Use_Library!$AZ$57="Y",1,0)*Cost_Library!$J$20*Location!$C$9*AN58</f>
        <v/>
      </c>
      <c r="BY58" s="20">
        <f>AT58*Cost_Library!$J$21*Location!$C$9</f>
        <v/>
      </c>
      <c r="BZ58" s="20">
        <f>AU58*Cost_Library!$J$22*Location!$C$9</f>
        <v/>
      </c>
      <c r="CA58" s="20">
        <f>AW58*Cost_Library!$J$23*Location!$C$9</f>
        <v/>
      </c>
      <c r="CB58" s="20">
        <f>AX58*Cost_Library!$J$24*Location!$C$9</f>
        <v/>
      </c>
      <c r="CC58" s="20">
        <f>AY58*Cost_Library!$J$25*Location!$C$9*Parcel!$C$44</f>
        <v/>
      </c>
      <c r="CD58" s="20">
        <f>BB58*Cost_Library!$J$26*Location!$C$9</f>
        <v/>
      </c>
      <c r="CE58" s="20">
        <f>AV58*(Cost_Library!$J$27+AS58*Cost_Library!$J$28)*Location!$C$9</f>
        <v/>
      </c>
      <c r="CF58" s="20">
        <f>AQ58*Cost_Library!$J$29*Location!$C$9</f>
        <v/>
      </c>
      <c r="CG58" s="20">
        <f>SUM(BG58:CF58)</f>
        <v/>
      </c>
      <c r="CH58" s="20">
        <f>CG58*Assumptions!$C$9</f>
        <v/>
      </c>
      <c r="CI58" s="20">
        <f>(CG58+CH58)*Org_Profile!$C$17</f>
        <v/>
      </c>
      <c r="CJ58" s="20">
        <f>CG58+CH58+CI58</f>
        <v/>
      </c>
      <c r="CK58" s="20">
        <f>AK58*Use_Effective!$B$57*(1+Org_Profile!$C$17)</f>
        <v/>
      </c>
      <c r="CL58" s="20">
        <f>CK58*(Assumptions!$C$10+Assumptions!$C$11)</f>
        <v/>
      </c>
      <c r="CM58" s="20">
        <f>AK58*Use_Effective!$D$57</f>
        <v/>
      </c>
      <c r="CN58" s="20">
        <f>AK58*Location!$C$21*BF58*AM58</f>
        <v/>
      </c>
      <c r="CO58" s="14">
        <f>Use_Effective!$F$57+L58*Location!$C$32+BA58*Location!$C$29</f>
        <v/>
      </c>
      <c r="CP58" s="14">
        <f>IF(Use_Effective!$P$57&gt;0,IF(Use_Library!$C$57="For-Sale",AK58,AD58)/Use_Effective!$P$57,0)*AM58</f>
        <v/>
      </c>
      <c r="CQ58" s="14">
        <f>IF(AND(Use_Library!$C$57="For-Sale",Use_Effective!$O$57&gt;0),AK58/Use_Effective!$O$57,0)*AM58</f>
        <v/>
      </c>
      <c r="CR58" s="14">
        <f>IF(Use_Library!$C$57="Income",MAX(Use_Library!$AQ$57,IF(Use_Effective!$O$57&gt;0,AK58/Use_Effective!$O$57,0)),0)</f>
        <v/>
      </c>
      <c r="CS58" s="14">
        <f>CO58+CP58</f>
        <v/>
      </c>
      <c r="CT58" s="14">
        <f>CO58+CQ58+CR58</f>
        <v/>
      </c>
      <c r="CU58" s="14">
        <f>CO58+IF(Use_Library!$C$57="Income",CR58,0)</f>
        <v/>
      </c>
      <c r="CV58" s="23">
        <f>Use_Effective!$G$57+Assumptions!$C$25*MAX(0,(CS58-12)/12)</f>
        <v/>
      </c>
      <c r="CW58" s="23">
        <f>Use_Effective!$G$57+Assumptions!$C$25*MAX(0,(CT58-12)/12)</f>
        <v/>
      </c>
      <c r="CX58" s="23">
        <f>Use_Effective!$G$57+Assumptions!$C$25*MAX(0,(CU58-12)/12)</f>
        <v/>
      </c>
      <c r="CY58" s="28">
        <f>1+Location!$C$17+IF(Parcel!$C$26="Y",Location!$C$20,0)</f>
        <v/>
      </c>
      <c r="CZ58" s="28">
        <f>CY58+Location!$C$19*(CO58+CP58/2)/12</f>
        <v/>
      </c>
      <c r="DA58" s="28">
        <f>CY58+Location!$C$19*(CO58+CQ58/2)/12</f>
        <v/>
      </c>
      <c r="DB58" s="28">
        <f>IF(Use_Library!$C$57="Income",DA58,CY58+Location!$C$19*CO58/12)</f>
        <v/>
      </c>
      <c r="DC58" s="28">
        <f>1+Assumptions!$C$15*(Assumptions!$C$16*(CO58+CP58/2)/12*Assumptions!$C$18+Assumptions!$C$17)</f>
        <v/>
      </c>
      <c r="DD58" s="28">
        <f>1+Assumptions!$C$15*(Assumptions!$C$16*((CO58+CQ58/2)/12*Assumptions!$C$18+CR58/12*Assumptions!$C$19)+Assumptions!$C$17)</f>
        <v/>
      </c>
      <c r="DE58" s="28">
        <f>IF(Use_Library!$C$57="Income",DD58,1+Assumptions!$C$15*(Assumptions!$C$16*CO58/12*Assumptions!$C$18+Assumptions!$C$17))</f>
        <v/>
      </c>
      <c r="DF58" s="23">
        <f>Assumptions!$C$13+Location!$C$18</f>
        <v/>
      </c>
      <c r="DG58" s="23">
        <f>Assumptions!$C$12+Location!$C$18</f>
        <v/>
      </c>
      <c r="DH58" s="23">
        <f>Assumptions!$C$14+Location!$C$18</f>
        <v/>
      </c>
      <c r="DI58" s="20">
        <f>AI58*Location!$C$14*(1-DF58)*AM58</f>
        <v/>
      </c>
      <c r="DJ58" s="20">
        <f>IF(Use_Library!$AV$57=1,IF(Use_Library!$C$57="For-Sale",AK58*Use_Effective!$H$57+Parcel!$C$14*AE58*Use_Effective!$J$57,AD58*Use_Effective!$J$57)*(1-DF58)+DI58,0)*AM58</f>
        <v/>
      </c>
      <c r="DK58" s="20">
        <f>(CG58-BU58-CC58-CD58)*(1+Assumptions!$C$9)*(1+Org_Profile!$C$17)</f>
        <v/>
      </c>
      <c r="DL58" s="28">
        <f>CZ58*DC58</f>
        <v/>
      </c>
      <c r="DM58" s="20">
        <f>(Parcel!$C$27*CZ58+DK58)*DC58</f>
        <v/>
      </c>
      <c r="DN58" s="20">
        <f>DJ58-DM58</f>
        <v/>
      </c>
      <c r="DO58" s="38">
        <f>IF(AND(Use_Library!$AV$57=1,AM58=1),MAX(0,((1-CV58)*DJ58-DK58*DC58)/DL58),0)</f>
        <v/>
      </c>
      <c r="DP58" s="20">
        <f>CJ58+CK58+CL58+CM58+CN58</f>
        <v/>
      </c>
      <c r="DQ58" s="28">
        <f>DA58*DD58</f>
        <v/>
      </c>
      <c r="DR58" s="20">
        <f>(Parcel!$C$27*DA58+DP58)*DD58</f>
        <v/>
      </c>
      <c r="DS58" s="20">
        <f>IF(Use_Library!$C$57="Income",AK58*Use_Effective!$K$57,0)</f>
        <v/>
      </c>
      <c r="DT58" s="20">
        <f>DS58*(1+Use_Library!$AL$57)*(1-Use_Effective!$N$57)</f>
        <v/>
      </c>
      <c r="DU58" s="20">
        <f>IF(Use_Library!$C$57="Income",AK58*Use_Effective!$E$57,0)</f>
        <v/>
      </c>
      <c r="DV58" s="20">
        <f>IF(Use_Library!$C$57="Income",Location!$C$15*Location!$C$16*DR58,0)</f>
        <v/>
      </c>
      <c r="DW58" s="20">
        <f>DT58*Use_Library!$AO$57</f>
        <v/>
      </c>
      <c r="DX58" s="20">
        <f>(DU58+DV58)*Use_Library!$AP$57</f>
        <v/>
      </c>
      <c r="DY58" s="20">
        <f>DT58-DU58-DV58-DW58+DX58</f>
        <v/>
      </c>
      <c r="DZ58" s="26">
        <f>Use_Effective!$M$57</f>
        <v/>
      </c>
      <c r="EA58" s="20">
        <f>IF(AND(Use_Library!$C$57="Income",DZ58&gt;0),DY58/DZ58,0)</f>
        <v/>
      </c>
      <c r="EB58" s="39">
        <f>IF(Use_Library!$C$57="Income",-Location!$C$15*Location!$C$16*(1-Use_Library!$AP$57)*DQ58,0)</f>
        <v/>
      </c>
      <c r="EC58" s="23">
        <f>IF(DR58=0,0,DY58/DR58)</f>
        <v/>
      </c>
      <c r="ED58" s="20">
        <f>IF(Use_Library!$AW$57=1,IF(Use_Library!$C$57="Income",EA58*(1-DH58),AK58*Use_Effective!$I$57*(1-DG58))+DI58,0)*AM58</f>
        <v/>
      </c>
      <c r="EE58" s="39">
        <f>IF(AND(Use_Library!$AW$57=1,Use_Library!$C$57="Income",DZ58&gt;0),EB58/DZ58*(1-DH58),0)</f>
        <v/>
      </c>
      <c r="EF58" s="20">
        <f>ED58-DR58</f>
        <v/>
      </c>
      <c r="EG58" s="38">
        <f>IF(AND(Use_Library!$AW$57=1,AM58=1),MAX(0,Parcel!$C$27-((1-CW58)*ED58-DR58)/((1-CW58)*EE58-DQ58)),0)</f>
        <v/>
      </c>
      <c r="EH58" s="20">
        <f>IF(Use_Library!$AX$57=1,IF(Use_Library!$C$57="Income",EA58,IF(DZ58&gt;0,AD58*Use_Effective!$L$57/DZ58,0))+DI58,0)*AM58</f>
        <v/>
      </c>
      <c r="EI58" s="20">
        <f>IF(Use_Library!$C$57="Income",DP58,CJ58)</f>
        <v/>
      </c>
      <c r="EJ58" s="28">
        <f>IF(Use_Library!$C$57="Income",DQ58,DB58*DE58)</f>
        <v/>
      </c>
      <c r="EK58" s="20">
        <f>IF(Use_Library!$C$57="Income",DR58,(Parcel!$C$27*DB58+CJ58)*DE58)</f>
        <v/>
      </c>
      <c r="EL58" s="39">
        <f>IF(AND(Use_Library!$AX$57=1,Use_Library!$C$57="Income",DZ58&gt;0),EB58/DZ58,0)</f>
        <v/>
      </c>
      <c r="EM58" s="20">
        <f>EH58-EK58</f>
        <v/>
      </c>
      <c r="EN58" s="38">
        <f>IF(AND(Use_Library!$AX$57=1,AM58=1),MAX(0,Parcel!$C$27-((1-CX58)*EH58-EK58)/((1-CX58)*EL58-EJ58)),0)</f>
        <v/>
      </c>
      <c r="EO58" s="20">
        <f>IF(Use_Library!$C$57="Income",Assumptions!$C$15*(Parcel!$C$27*DA58+DP58),0)</f>
        <v/>
      </c>
      <c r="EP58" s="20">
        <f>IF(AND(Use_Library!$C$57="Income",DY58&gt;0),MIN(Assumptions!$C$20*EA58,PV(Assumptions!$C$23/12,Assumptions!$C$24*12,-DY58/Assumptions!$C$21/12),DY58/Assumptions!$C$22),0)</f>
        <v/>
      </c>
      <c r="EQ58" s="27">
        <f>IF(EP58=0,0,DY58/(-PMT(Assumptions!$C$23/12,Assumptions!$C$24*12,EP58)*12))</f>
        <v/>
      </c>
      <c r="ER58" s="20">
        <f>EP58-EO58</f>
        <v/>
      </c>
      <c r="ES58" s="19">
        <f>MAX(DO58,EG58,EN58)</f>
        <v/>
      </c>
      <c r="ET58" s="15">
        <f>IF(ES58&lt;=0,0,IF(DO58=ES58,1,IF(EG58=ES58,2,3)))</f>
        <v/>
      </c>
      <c r="EU58" s="9">
        <f>CHOOSE(ET58+1,"None works","Land / pad sale","Build &amp; sell","Build &amp; hold / lease")</f>
        <v/>
      </c>
      <c r="EV58" s="15">
        <f>CHOOSE(ET58+1,0,CS58,CT58,CU58)</f>
        <v/>
      </c>
      <c r="EW58" s="20">
        <f>ES58*(1-Assumptions!$C$26)</f>
        <v/>
      </c>
      <c r="EX58" s="20">
        <f>ES58-Parcel!$C$27</f>
        <v/>
      </c>
      <c r="EY58" s="20">
        <f>IF(Parcel!$C$14=0,0,ES58/Parcel!$C$14)</f>
        <v/>
      </c>
      <c r="EZ58" s="36">
        <f>IF(AK58=0,0,ES58/AK58)</f>
        <v/>
      </c>
      <c r="FA58" s="9">
        <f>IF(ES58&lt;=0,"Pass",IF(ES58&gt;=Parcel!$C$27*Assumptions!$C$27,"Strong",IF(ES58&gt;=Parcel!$C$27,"Works at asking",IF(ES58&gt;=Parcel!$C$27*Assumptions!$C$28,"Negotiate","Pass"))))</f>
        <v/>
      </c>
      <c r="FB58" s="9">
        <f>IF(AM58=0,"",IF(Use_Library!$BH$57="Y",IF(Use_Effective!$AF$57&gt;=3,"High","Medium"),"Low - verify location"))</f>
        <v/>
      </c>
      <c r="FC58" s="9">
        <f>IF(AND(Use_Library!$BH$57="N",AM58=1),Use_Library!$BI$57,"")</f>
        <v/>
      </c>
      <c r="FD58" s="9">
        <f>TRIM(Q58&amp;" "&amp;IF(AND(AM58=0,T58=1),"Nothing fits. ","")&amp;IF(AND(Use_Library!$AZ$57&lt;&gt;"Y",Parcel!$C$19&lt;Use_Library!$AY$57),"Frontage under "&amp;Use_Library!$AY$57&amp;" LF. ","")&amp;IF(Parcel!$C$17&gt;0.15,"Slope over 15%. ","")&amp;IF(AND(AM58=1,AI58&gt;0.5),TEXT(AI58,"0")&amp;" ac not used - resold as raw land. ","")&amp;IF(AND(AM58=1,AC58&lt;1),"Demand caps it at "&amp;TEXT(AK58,"#,##0")&amp;" "&amp;Use_Library!$D$57&amp;". ","")&amp;IF(AND(AM58=1,L58=1),"Rezone required (+"&amp;Location!$C$32&amp;" mo). ","")&amp;IF(AND(AM58=1,BA58=1),"State wastewater permit needed. ","")&amp;IF(AND(AM58=1,AV58=1),"Public water system needed. ","")&amp;AP58&amp;IF(Parcel!$C$16&gt;Assumptions!$C$29,"Floodplain over "&amp;TEXT(Assumptions!$C$29,"0%")&amp;". ","")&amp;IF(AND(AM58=1,EV58&gt;60),"Over 5 years to exit. ",""))</f>
        <v/>
      </c>
      <c r="FE58" s="20">
        <f>IF(AND(Org_Profile!$C$5="My uses",E58=0),-1E+9,ES58)+ROW()/1000000</f>
        <v/>
      </c>
    </row>
    <row r="59">
      <c r="A59" s="4">
        <f>Use_Library!$A$58</f>
        <v/>
      </c>
      <c r="B59" s="9">
        <f>Use_Library!$C$58</f>
        <v/>
      </c>
      <c r="C59" s="9">
        <f>Use_Library!$D$58</f>
        <v/>
      </c>
      <c r="D59" s="9">
        <f>Use_Library!$F$58</f>
        <v/>
      </c>
      <c r="E59" s="15">
        <f>IF(Org_Profile!$C$75="Y",1,0)</f>
        <v/>
      </c>
      <c r="F59" s="14">
        <f>MAX(0,Parcel!$C$37*(1-Use_Library!$N$58-IF(Use_Library!$AB$58="Y",Assumptions!$C$7,0)))</f>
        <v/>
      </c>
      <c r="G59" s="14">
        <f>IF(Use_Library!$M$58&gt;0,MIN(F59,Use_Library!$M$58),F59)</f>
        <v/>
      </c>
      <c r="H59" s="23">
        <f>IF(F59=0,0,G59/F59)</f>
        <v/>
      </c>
      <c r="I59" s="14">
        <f>Parcel!$C$37*H59</f>
        <v/>
      </c>
      <c r="J59" s="9">
        <f>IF(ISNUMBER(SEARCH(","&amp;Use_Library!$F$58&amp;",",","&amp;SUBSTITUTE(Parcel!$C$11," ","")&amp;",")),"Deed restricted",IF(Parcel!$C$46=0,"No zoning",IF(ISNUMBER(SEARCH(","&amp;Use_Library!$F$58&amp;",",","&amp;SUBSTITUTE(Parcel!$C$10," ","")&amp;",")),"By right",IF(OR(TRIM(Parcel!$C$12)="*",ISNUMBER(SEARCH(","&amp;Use_Library!$F$58&amp;",",","&amp;SUBSTITUTE(Parcel!$C$12," ","")&amp;","))),"Rezone required","Prohibited by zoning"))))</f>
        <v/>
      </c>
      <c r="K59" s="15">
        <f>IF(OR(J59="Deed restricted",J59="Prohibited by zoning"),0,1)</f>
        <v/>
      </c>
      <c r="L59" s="15">
        <f>IF(J59="Rezone required",1,0)</f>
        <v/>
      </c>
      <c r="M59" s="15">
        <f>IF(Parcel!$C$20="None",0,IF(AND(Parcel!$C$20="Private easement",Use_Library!$BA$58="Y"),0,1))</f>
        <v/>
      </c>
      <c r="N59" s="15">
        <f>IF(AND(Use_Library!$AZ$58="Y",Parcel!$C$19&lt;Use_Library!$AY$58),0,1)</f>
        <v/>
      </c>
      <c r="O59" s="15">
        <f>IF(AND(Use_Library!$T$58="Y",Parcel!$C$39=0),0,1)</f>
        <v/>
      </c>
      <c r="P59" s="15">
        <f>IF(AND(Use_Library!$U$58="Y",Parcel!$C$38=0),0,1)</f>
        <v/>
      </c>
      <c r="Q59" s="9">
        <f>TRIM(IF(AND(Use_Library!$BB$58&gt;0,Parcel!$C$28&lt;Use_Library!$BB$58),"Traffic under "&amp;TEXT(Use_Library!$BB$58,"#,##0")&amp;" VPD. ","")&amp;IF(AND(Use_Library!$BC$58&gt;0,Parcel!$C$29&lt;Use_Library!$BC$58),"Under "&amp;TEXT(Use_Library!$BC$58,"#,##0")&amp;" households in 3 mi. ","")&amp;IF(AND(Use_Library!$BD$58&gt;0,Parcel!$C$31&gt;Use_Library!$BD$58),"Over "&amp;Use_Library!$BD$58&amp;" mi to highway. ","")&amp;IF(AND(Use_Library!$BE$58="Y",Parcel!$C$32&lt;&gt;"Y"),"Needs a corner. ","")&amp;IF(AND(Use_Library!$BF$58&gt;0,Parcel!$C$33&gt;Use_Library!$BF$58),"Over "&amp;Use_Library!$BF$58&amp;" mi to substation. ","")&amp;IF(AND(Use_Library!$BG$58&gt;0,Parcel!$C$34&gt;Use_Library!$BG$58),"Over "&amp;Use_Library!$BG$58&amp;" mi to a major employer. ",""))</f>
        <v/>
      </c>
      <c r="R59" s="15">
        <f>IF(Q59="",1,0)</f>
        <v/>
      </c>
      <c r="S59" s="15">
        <f>IF(F59&gt;=Use_Library!$L$58,1,0)</f>
        <v/>
      </c>
      <c r="T59" s="15">
        <f>K59*M59*N59*O59*P59*R59*S59</f>
        <v/>
      </c>
      <c r="U59" s="14">
        <f>IF(Use_Library!$G$58&gt;0,I59*Use_Library!$G$58,1E+9)</f>
        <v/>
      </c>
      <c r="V59" s="14">
        <f>IF(Use_Library!$H$58&gt;0,G59*43560/Use_Library!$H$58,1E+9)</f>
        <v/>
      </c>
      <c r="W59" s="14">
        <f>IF(AND(Use_Library!$K$58="Y",Parcel!$C$39=0),G59*(1-Assumptions!$C$8)/IF(Parcel!$C$38=1,Location!$C$25,Location!$C$26),1E+9)</f>
        <v/>
      </c>
      <c r="X59" s="14">
        <f>IF(Use_Library!$I$58&gt;0,Parcel!$C$14*H59/Use_Library!$I$58,1E+9)</f>
        <v/>
      </c>
      <c r="Y59" s="14">
        <f>IF(Use_Library!$J$58&gt;0,Parcel!$C$19/Use_Library!$J$58,1E+9)</f>
        <v/>
      </c>
      <c r="Z59" s="14">
        <f>IF(AND(Parcel!$C$39=0,Use_Library!$K$58="N",Use_Library!$Y$58&gt;0,Use_Library!$Z$58="Y"),G59*Location!$C$27*Parcel!$C$45/Use_Library!$Y$58,1E+9)</f>
        <v/>
      </c>
      <c r="AA59" s="14">
        <f>MIN(U59,V59,W59,X59,Y59,Z59)</f>
        <v/>
      </c>
      <c r="AB59" s="14">
        <f>IF(Use_Library!$O$58&gt;0,IF(Use_Library!$P$58&gt;=10,Parcel!$C$30,Parcel!$C$29)*Use_Library!$O$58*Use_Library!$Q$58,1E+9)</f>
        <v/>
      </c>
      <c r="AC59" s="23">
        <f>IF(OR(AA59&gt;=1E+9,AA59&lt;=0),1,MIN(1,AB59/AA59))</f>
        <v/>
      </c>
      <c r="AD59" s="14">
        <f>G59*AC59</f>
        <v/>
      </c>
      <c r="AE59" s="23">
        <f>IF(F59=0,0,AD59/F59)</f>
        <v/>
      </c>
      <c r="AF59" s="14">
        <f>Parcel!$C$37*AE59</f>
        <v/>
      </c>
      <c r="AG59" s="14">
        <f>AF59*IF(Use_Library!$AB$58="Y",Assumptions!$C$7,0)</f>
        <v/>
      </c>
      <c r="AH59" s="14">
        <f>AF59*(1-Use_Library!$N$58)</f>
        <v/>
      </c>
      <c r="AI59" s="14">
        <f>Parcel!$C$14*(1-AE59)</f>
        <v/>
      </c>
      <c r="AJ59" s="14">
        <f>MIN(AA59,AB59)</f>
        <v/>
      </c>
      <c r="AK59" s="25">
        <f>IF(T59=0,0,IF(AJ59&gt;=1E+9,AD59,IF(Use_Library!$E$58="Y",INT(AJ59+1E-9),AJ59)))</f>
        <v/>
      </c>
      <c r="AL59" s="9">
        <f>IF(M59=0,"No public road access",IF(K59=0,J59,IF(R59=0,"Location fails",IF(N59=0,"Frontage under "&amp;Use_Library!$AY$58&amp;" LF",IF(S59=0,"Too small - needs "&amp;Use_Library!$L$58&amp;" usable ac",IF(O59=0,"Needs public sewer",IF(P59=0,"Needs public water",IF(AJ59&gt;=1E+9,"Usable acres",IF(AB59&lt;=AA59,"Market demand",IF(W59=AA59,"Septic lot size",IF(Z59=AA59,"Septic capacity (gal/day)",IF(X59=AA59,"Min lot size",IF(Y59=AA59,"Road frontage",IF(V59=AA59,"Site area / parking","Density"))))))))))))))</f>
        <v/>
      </c>
      <c r="AM59" s="15">
        <f>IF(AK59&gt;0,1,0)</f>
        <v/>
      </c>
      <c r="AN59" s="15">
        <f>IF(Use_Library!$Z$58="Y",1,0)*AM59</f>
        <v/>
      </c>
      <c r="AO59" s="14">
        <f>IF(Parcel!$C$39=0,MIN(U59,V59,X59,Y59,AB59),0)</f>
        <v/>
      </c>
      <c r="AP59" s="9">
        <f>IF(AND(Parcel!$C$39=0,M59*K59*R59*N59*S59*P59=1,AO59&lt;1E+9,AO59&gt;=MAX(1,AK59)*1.25),"Unlock: sewer or package plant allows ~"&amp;TEXT(INT(AO59),"#,##0")&amp;" "&amp;Use_Library!$D$58&amp;". ","")</f>
        <v/>
      </c>
      <c r="AQ59" s="15">
        <f>AK59*Use_Library!$AC$58*AN59</f>
        <v/>
      </c>
      <c r="AR59" s="15">
        <f>AK59*Use_Library!$AD$58*AN59</f>
        <v/>
      </c>
      <c r="AS59" s="14">
        <f>AK59*Use_Library!$V$58*AN59</f>
        <v/>
      </c>
      <c r="AT59" s="15">
        <f>IF(Parcel!$C$38=1,AQ59+Parcel!$C$40,0)*AN59</f>
        <v/>
      </c>
      <c r="AU59" s="14">
        <f>AS59*Parcel!$C$38</f>
        <v/>
      </c>
      <c r="AV59" s="15">
        <f>IF(AND(Parcel!$C$38=0,Use_Library!$K$58="N",AS59&gt;=Location!$C$30),1,0)*AN59</f>
        <v/>
      </c>
      <c r="AW59" s="15">
        <f>IF(Parcel!$C$39=1,AQ59+Parcel!$C$41,0)*AN59</f>
        <v/>
      </c>
      <c r="AX59" s="14">
        <f>AS59*Parcel!$C$39</f>
        <v/>
      </c>
      <c r="AY59" s="14">
        <f>IF(Parcel!$C$39=0,AK59*Use_Library!$W$58,0)*AN59</f>
        <v/>
      </c>
      <c r="AZ59" s="15">
        <f>IF(Parcel!$C$39=0,AK59*Use_Library!$Y$58,0)*AN59</f>
        <v/>
      </c>
      <c r="BA59" s="15">
        <f>IF(AND(Use_Library!$K$58="N",AZ59&gt;Location!$C$28),1,0)</f>
        <v/>
      </c>
      <c r="BB59" s="14">
        <f>IF(AND(Parcel!$C$38=0,AV59=0),AK59*Use_Library!$X$58,0)*AN59</f>
        <v/>
      </c>
      <c r="BC59" s="14">
        <f>AH59*Parcel!$C$18*Use_Library!$AA$58*AN59</f>
        <v/>
      </c>
      <c r="BD59" s="14">
        <f>AH59*Use_Library!$AA$58*AN59</f>
        <v/>
      </c>
      <c r="BE59" s="15">
        <f>IF(Use_Library!$C$58="For-Sale",IF(Use_Library!$E$58="Y",AK59,1),1)*AM59</f>
        <v/>
      </c>
      <c r="BF59" s="15">
        <f>IF(OR(Use_Library!$F$58="RES-SF",Use_Library!$F$58="RES-ATT",Use_Library!$F$58="RES-MF",Use_Library!$F$58="MH"),1,0)</f>
        <v/>
      </c>
      <c r="BG59" s="20">
        <f>Cost_Library!$J$5*Location!$C$9*AM59</f>
        <v/>
      </c>
      <c r="BH59" s="20">
        <f>BE59*Cost_Library!$J$6*Location!$C$9</f>
        <v/>
      </c>
      <c r="BI59" s="20">
        <f>BD59*Cost_Library!$J$7*Location!$C$9</f>
        <v/>
      </c>
      <c r="BJ59" s="20">
        <f>Cost_Library!$J$8*Location!$C$9*AN59*IF(Use_Library!$AA$58&gt;=0.5,1,0)</f>
        <v/>
      </c>
      <c r="BK59" s="20">
        <f>AY59*Cost_Library!$J$9*Location!$C$9</f>
        <v/>
      </c>
      <c r="BL59" s="20">
        <f>BA59*Cost_Library!$J$10*Location!$C$9</f>
        <v/>
      </c>
      <c r="BM59" s="20">
        <f>Cost_Library!$J$11*Location!$C$9*AM59</f>
        <v/>
      </c>
      <c r="BN59" s="20">
        <f>Cost_Library!$J$12*Location!$C$9*AN59*IF(Use_Library!$AB$58="Y",1,0)</f>
        <v/>
      </c>
      <c r="BO59" s="20">
        <f>Use_Effective!$C$58*AM59</f>
        <v/>
      </c>
      <c r="BP59" s="20">
        <f>L59*Location!$C$31*AM59</f>
        <v/>
      </c>
      <c r="BQ59" s="20">
        <f>Cost_Library!$J$13*Location!$C$9*AM59</f>
        <v/>
      </c>
      <c r="BR59" s="20">
        <f>BC59*Cost_Library!$J$14*Location!$C$9</f>
        <v/>
      </c>
      <c r="BS59" s="20">
        <f>BD59*Cost_Library!$J$15*Location!$C$9*Parcel!$C$43</f>
        <v/>
      </c>
      <c r="BT59" s="20">
        <f>AQ59*Cost_Library!$J$16*Location!$C$9</f>
        <v/>
      </c>
      <c r="BU59" s="20">
        <f>AR59*Cost_Library!$J$17*Location!$C$9</f>
        <v/>
      </c>
      <c r="BV59" s="20">
        <f>AG59*Cost_Library!$J$18*Location!$C$9*AN59</f>
        <v/>
      </c>
      <c r="BW59" s="20">
        <f>BD59*Cost_Library!$J$19*Location!$C$9</f>
        <v/>
      </c>
      <c r="BX59" s="20">
        <f>IF(Use_Library!$AZ$58="Y",1,0)*Cost_Library!$J$20*Location!$C$9*AN59</f>
        <v/>
      </c>
      <c r="BY59" s="20">
        <f>AT59*Cost_Library!$J$21*Location!$C$9</f>
        <v/>
      </c>
      <c r="BZ59" s="20">
        <f>AU59*Cost_Library!$J$22*Location!$C$9</f>
        <v/>
      </c>
      <c r="CA59" s="20">
        <f>AW59*Cost_Library!$J$23*Location!$C$9</f>
        <v/>
      </c>
      <c r="CB59" s="20">
        <f>AX59*Cost_Library!$J$24*Location!$C$9</f>
        <v/>
      </c>
      <c r="CC59" s="20">
        <f>AY59*Cost_Library!$J$25*Location!$C$9*Parcel!$C$44</f>
        <v/>
      </c>
      <c r="CD59" s="20">
        <f>BB59*Cost_Library!$J$26*Location!$C$9</f>
        <v/>
      </c>
      <c r="CE59" s="20">
        <f>AV59*(Cost_Library!$J$27+AS59*Cost_Library!$J$28)*Location!$C$9</f>
        <v/>
      </c>
      <c r="CF59" s="20">
        <f>AQ59*Cost_Library!$J$29*Location!$C$9</f>
        <v/>
      </c>
      <c r="CG59" s="20">
        <f>SUM(BG59:CF59)</f>
        <v/>
      </c>
      <c r="CH59" s="20">
        <f>CG59*Assumptions!$C$9</f>
        <v/>
      </c>
      <c r="CI59" s="20">
        <f>(CG59+CH59)*Org_Profile!$C$17</f>
        <v/>
      </c>
      <c r="CJ59" s="20">
        <f>CG59+CH59+CI59</f>
        <v/>
      </c>
      <c r="CK59" s="20">
        <f>AK59*Use_Effective!$B$58*(1+Org_Profile!$C$17)</f>
        <v/>
      </c>
      <c r="CL59" s="20">
        <f>CK59*(Assumptions!$C$10+Assumptions!$C$11)</f>
        <v/>
      </c>
      <c r="CM59" s="20">
        <f>AK59*Use_Effective!$D$58</f>
        <v/>
      </c>
      <c r="CN59" s="20">
        <f>AK59*Location!$C$21*BF59*AM59</f>
        <v/>
      </c>
      <c r="CO59" s="14">
        <f>Use_Effective!$F$58+L59*Location!$C$32+BA59*Location!$C$29</f>
        <v/>
      </c>
      <c r="CP59" s="14">
        <f>IF(Use_Effective!$P$58&gt;0,IF(Use_Library!$C$58="For-Sale",AK59,AD59)/Use_Effective!$P$58,0)*AM59</f>
        <v/>
      </c>
      <c r="CQ59" s="14">
        <f>IF(AND(Use_Library!$C$58="For-Sale",Use_Effective!$O$58&gt;0),AK59/Use_Effective!$O$58,0)*AM59</f>
        <v/>
      </c>
      <c r="CR59" s="14">
        <f>IF(Use_Library!$C$58="Income",MAX(Use_Library!$AQ$58,IF(Use_Effective!$O$58&gt;0,AK59/Use_Effective!$O$58,0)),0)</f>
        <v/>
      </c>
      <c r="CS59" s="14">
        <f>CO59+CP59</f>
        <v/>
      </c>
      <c r="CT59" s="14">
        <f>CO59+CQ59+CR59</f>
        <v/>
      </c>
      <c r="CU59" s="14">
        <f>CO59+IF(Use_Library!$C$58="Income",CR59,0)</f>
        <v/>
      </c>
      <c r="CV59" s="23">
        <f>Use_Effective!$G$58+Assumptions!$C$25*MAX(0,(CS59-12)/12)</f>
        <v/>
      </c>
      <c r="CW59" s="23">
        <f>Use_Effective!$G$58+Assumptions!$C$25*MAX(0,(CT59-12)/12)</f>
        <v/>
      </c>
      <c r="CX59" s="23">
        <f>Use_Effective!$G$58+Assumptions!$C$25*MAX(0,(CU59-12)/12)</f>
        <v/>
      </c>
      <c r="CY59" s="28">
        <f>1+Location!$C$17+IF(Parcel!$C$26="Y",Location!$C$20,0)</f>
        <v/>
      </c>
      <c r="CZ59" s="28">
        <f>CY59+Location!$C$19*(CO59+CP59/2)/12</f>
        <v/>
      </c>
      <c r="DA59" s="28">
        <f>CY59+Location!$C$19*(CO59+CQ59/2)/12</f>
        <v/>
      </c>
      <c r="DB59" s="28">
        <f>IF(Use_Library!$C$58="Income",DA59,CY59+Location!$C$19*CO59/12)</f>
        <v/>
      </c>
      <c r="DC59" s="28">
        <f>1+Assumptions!$C$15*(Assumptions!$C$16*(CO59+CP59/2)/12*Assumptions!$C$18+Assumptions!$C$17)</f>
        <v/>
      </c>
      <c r="DD59" s="28">
        <f>1+Assumptions!$C$15*(Assumptions!$C$16*((CO59+CQ59/2)/12*Assumptions!$C$18+CR59/12*Assumptions!$C$19)+Assumptions!$C$17)</f>
        <v/>
      </c>
      <c r="DE59" s="28">
        <f>IF(Use_Library!$C$58="Income",DD59,1+Assumptions!$C$15*(Assumptions!$C$16*CO59/12*Assumptions!$C$18+Assumptions!$C$17))</f>
        <v/>
      </c>
      <c r="DF59" s="23">
        <f>Assumptions!$C$13+Location!$C$18</f>
        <v/>
      </c>
      <c r="DG59" s="23">
        <f>Assumptions!$C$12+Location!$C$18</f>
        <v/>
      </c>
      <c r="DH59" s="23">
        <f>Assumptions!$C$14+Location!$C$18</f>
        <v/>
      </c>
      <c r="DI59" s="20">
        <f>AI59*Location!$C$14*(1-DF59)*AM59</f>
        <v/>
      </c>
      <c r="DJ59" s="20">
        <f>IF(Use_Library!$AV$58=1,IF(Use_Library!$C$58="For-Sale",AK59*Use_Effective!$H$58+Parcel!$C$14*AE59*Use_Effective!$J$58,AD59*Use_Effective!$J$58)*(1-DF59)+DI59,0)*AM59</f>
        <v/>
      </c>
      <c r="DK59" s="20">
        <f>(CG59-BU59-CC59-CD59)*(1+Assumptions!$C$9)*(1+Org_Profile!$C$17)</f>
        <v/>
      </c>
      <c r="DL59" s="28">
        <f>CZ59*DC59</f>
        <v/>
      </c>
      <c r="DM59" s="20">
        <f>(Parcel!$C$27*CZ59+DK59)*DC59</f>
        <v/>
      </c>
      <c r="DN59" s="20">
        <f>DJ59-DM59</f>
        <v/>
      </c>
      <c r="DO59" s="38">
        <f>IF(AND(Use_Library!$AV$58=1,AM59=1),MAX(0,((1-CV59)*DJ59-DK59*DC59)/DL59),0)</f>
        <v/>
      </c>
      <c r="DP59" s="20">
        <f>CJ59+CK59+CL59+CM59+CN59</f>
        <v/>
      </c>
      <c r="DQ59" s="28">
        <f>DA59*DD59</f>
        <v/>
      </c>
      <c r="DR59" s="20">
        <f>(Parcel!$C$27*DA59+DP59)*DD59</f>
        <v/>
      </c>
      <c r="DS59" s="20">
        <f>IF(Use_Library!$C$58="Income",AK59*Use_Effective!$K$58,0)</f>
        <v/>
      </c>
      <c r="DT59" s="20">
        <f>DS59*(1+Use_Library!$AL$58)*(1-Use_Effective!$N$58)</f>
        <v/>
      </c>
      <c r="DU59" s="20">
        <f>IF(Use_Library!$C$58="Income",AK59*Use_Effective!$E$58,0)</f>
        <v/>
      </c>
      <c r="DV59" s="20">
        <f>IF(Use_Library!$C$58="Income",Location!$C$15*Location!$C$16*DR59,0)</f>
        <v/>
      </c>
      <c r="DW59" s="20">
        <f>DT59*Use_Library!$AO$58</f>
        <v/>
      </c>
      <c r="DX59" s="20">
        <f>(DU59+DV59)*Use_Library!$AP$58</f>
        <v/>
      </c>
      <c r="DY59" s="20">
        <f>DT59-DU59-DV59-DW59+DX59</f>
        <v/>
      </c>
      <c r="DZ59" s="26">
        <f>Use_Effective!$M$58</f>
        <v/>
      </c>
      <c r="EA59" s="20">
        <f>IF(AND(Use_Library!$C$58="Income",DZ59&gt;0),DY59/DZ59,0)</f>
        <v/>
      </c>
      <c r="EB59" s="39">
        <f>IF(Use_Library!$C$58="Income",-Location!$C$15*Location!$C$16*(1-Use_Library!$AP$58)*DQ59,0)</f>
        <v/>
      </c>
      <c r="EC59" s="23">
        <f>IF(DR59=0,0,DY59/DR59)</f>
        <v/>
      </c>
      <c r="ED59" s="20">
        <f>IF(Use_Library!$AW$58=1,IF(Use_Library!$C$58="Income",EA59*(1-DH59),AK59*Use_Effective!$I$58*(1-DG59))+DI59,0)*AM59</f>
        <v/>
      </c>
      <c r="EE59" s="39">
        <f>IF(AND(Use_Library!$AW$58=1,Use_Library!$C$58="Income",DZ59&gt;0),EB59/DZ59*(1-DH59),0)</f>
        <v/>
      </c>
      <c r="EF59" s="20">
        <f>ED59-DR59</f>
        <v/>
      </c>
      <c r="EG59" s="38">
        <f>IF(AND(Use_Library!$AW$58=1,AM59=1),MAX(0,Parcel!$C$27-((1-CW59)*ED59-DR59)/((1-CW59)*EE59-DQ59)),0)</f>
        <v/>
      </c>
      <c r="EH59" s="20">
        <f>IF(Use_Library!$AX$58=1,IF(Use_Library!$C$58="Income",EA59,IF(DZ59&gt;0,AD59*Use_Effective!$L$58/DZ59,0))+DI59,0)*AM59</f>
        <v/>
      </c>
      <c r="EI59" s="20">
        <f>IF(Use_Library!$C$58="Income",DP59,CJ59)</f>
        <v/>
      </c>
      <c r="EJ59" s="28">
        <f>IF(Use_Library!$C$58="Income",DQ59,DB59*DE59)</f>
        <v/>
      </c>
      <c r="EK59" s="20">
        <f>IF(Use_Library!$C$58="Income",DR59,(Parcel!$C$27*DB59+CJ59)*DE59)</f>
        <v/>
      </c>
      <c r="EL59" s="39">
        <f>IF(AND(Use_Library!$AX$58=1,Use_Library!$C$58="Income",DZ59&gt;0),EB59/DZ59,0)</f>
        <v/>
      </c>
      <c r="EM59" s="20">
        <f>EH59-EK59</f>
        <v/>
      </c>
      <c r="EN59" s="38">
        <f>IF(AND(Use_Library!$AX$58=1,AM59=1),MAX(0,Parcel!$C$27-((1-CX59)*EH59-EK59)/((1-CX59)*EL59-EJ59)),0)</f>
        <v/>
      </c>
      <c r="EO59" s="20">
        <f>IF(Use_Library!$C$58="Income",Assumptions!$C$15*(Parcel!$C$27*DA59+DP59),0)</f>
        <v/>
      </c>
      <c r="EP59" s="20">
        <f>IF(AND(Use_Library!$C$58="Income",DY59&gt;0),MIN(Assumptions!$C$20*EA59,PV(Assumptions!$C$23/12,Assumptions!$C$24*12,-DY59/Assumptions!$C$21/12),DY59/Assumptions!$C$22),0)</f>
        <v/>
      </c>
      <c r="EQ59" s="27">
        <f>IF(EP59=0,0,DY59/(-PMT(Assumptions!$C$23/12,Assumptions!$C$24*12,EP59)*12))</f>
        <v/>
      </c>
      <c r="ER59" s="20">
        <f>EP59-EO59</f>
        <v/>
      </c>
      <c r="ES59" s="19">
        <f>MAX(DO59,EG59,EN59)</f>
        <v/>
      </c>
      <c r="ET59" s="15">
        <f>IF(ES59&lt;=0,0,IF(DO59=ES59,1,IF(EG59=ES59,2,3)))</f>
        <v/>
      </c>
      <c r="EU59" s="9">
        <f>CHOOSE(ET59+1,"None works","Land / pad sale","Build &amp; sell","Build &amp; hold / lease")</f>
        <v/>
      </c>
      <c r="EV59" s="15">
        <f>CHOOSE(ET59+1,0,CS59,CT59,CU59)</f>
        <v/>
      </c>
      <c r="EW59" s="20">
        <f>ES59*(1-Assumptions!$C$26)</f>
        <v/>
      </c>
      <c r="EX59" s="20">
        <f>ES59-Parcel!$C$27</f>
        <v/>
      </c>
      <c r="EY59" s="20">
        <f>IF(Parcel!$C$14=0,0,ES59/Parcel!$C$14)</f>
        <v/>
      </c>
      <c r="EZ59" s="36">
        <f>IF(AK59=0,0,ES59/AK59)</f>
        <v/>
      </c>
      <c r="FA59" s="9">
        <f>IF(ES59&lt;=0,"Pass",IF(ES59&gt;=Parcel!$C$27*Assumptions!$C$27,"Strong",IF(ES59&gt;=Parcel!$C$27,"Works at asking",IF(ES59&gt;=Parcel!$C$27*Assumptions!$C$28,"Negotiate","Pass"))))</f>
        <v/>
      </c>
      <c r="FB59" s="9">
        <f>IF(AM59=0,"",IF(Use_Library!$BH$58="Y",IF(Use_Effective!$AF$58&gt;=3,"High","Medium"),"Low - verify location"))</f>
        <v/>
      </c>
      <c r="FC59" s="9">
        <f>IF(AND(Use_Library!$BH$58="N",AM59=1),Use_Library!$BI$58,"")</f>
        <v/>
      </c>
      <c r="FD59" s="9">
        <f>TRIM(Q59&amp;" "&amp;IF(AND(AM59=0,T59=1),"Nothing fits. ","")&amp;IF(AND(Use_Library!$AZ$58&lt;&gt;"Y",Parcel!$C$19&lt;Use_Library!$AY$58),"Frontage under "&amp;Use_Library!$AY$58&amp;" LF. ","")&amp;IF(Parcel!$C$17&gt;0.15,"Slope over 15%. ","")&amp;IF(AND(AM59=1,AI59&gt;0.5),TEXT(AI59,"0")&amp;" ac not used - resold as raw land. ","")&amp;IF(AND(AM59=1,AC59&lt;1),"Demand caps it at "&amp;TEXT(AK59,"#,##0")&amp;" "&amp;Use_Library!$D$58&amp;". ","")&amp;IF(AND(AM59=1,L59=1),"Rezone required (+"&amp;Location!$C$32&amp;" mo). ","")&amp;IF(AND(AM59=1,BA59=1),"State wastewater permit needed. ","")&amp;IF(AND(AM59=1,AV59=1),"Public water system needed. ","")&amp;AP59&amp;IF(Parcel!$C$16&gt;Assumptions!$C$29,"Floodplain over "&amp;TEXT(Assumptions!$C$29,"0%")&amp;". ","")&amp;IF(AND(AM59=1,EV59&gt;60),"Over 5 years to exit. ",""))</f>
        <v/>
      </c>
      <c r="FE59" s="20">
        <f>IF(AND(Org_Profile!$C$5="My uses",E59=0),-1E+9,ES59)+ROW()/1000000</f>
        <v/>
      </c>
    </row>
    <row r="60">
      <c r="A60" s="4">
        <f>Use_Library!$A$59</f>
        <v/>
      </c>
      <c r="B60" s="9">
        <f>Use_Library!$C$59</f>
        <v/>
      </c>
      <c r="C60" s="9">
        <f>Use_Library!$D$59</f>
        <v/>
      </c>
      <c r="D60" s="9">
        <f>Use_Library!$F$59</f>
        <v/>
      </c>
      <c r="E60" s="15">
        <f>IF(Org_Profile!$C$76="Y",1,0)</f>
        <v/>
      </c>
      <c r="F60" s="14">
        <f>MAX(0,Parcel!$C$37*(1-Use_Library!$N$59-IF(Use_Library!$AB$59="Y",Assumptions!$C$7,0)))</f>
        <v/>
      </c>
      <c r="G60" s="14">
        <f>IF(Use_Library!$M$59&gt;0,MIN(F60,Use_Library!$M$59),F60)</f>
        <v/>
      </c>
      <c r="H60" s="23">
        <f>IF(F60=0,0,G60/F60)</f>
        <v/>
      </c>
      <c r="I60" s="14">
        <f>Parcel!$C$37*H60</f>
        <v/>
      </c>
      <c r="J60" s="9">
        <f>IF(ISNUMBER(SEARCH(","&amp;Use_Library!$F$59&amp;",",","&amp;SUBSTITUTE(Parcel!$C$11," ","")&amp;",")),"Deed restricted",IF(Parcel!$C$46=0,"No zoning",IF(ISNUMBER(SEARCH(","&amp;Use_Library!$F$59&amp;",",","&amp;SUBSTITUTE(Parcel!$C$10," ","")&amp;",")),"By right",IF(OR(TRIM(Parcel!$C$12)="*",ISNUMBER(SEARCH(","&amp;Use_Library!$F$59&amp;",",","&amp;SUBSTITUTE(Parcel!$C$12," ","")&amp;","))),"Rezone required","Prohibited by zoning"))))</f>
        <v/>
      </c>
      <c r="K60" s="15">
        <f>IF(OR(J60="Deed restricted",J60="Prohibited by zoning"),0,1)</f>
        <v/>
      </c>
      <c r="L60" s="15">
        <f>IF(J60="Rezone required",1,0)</f>
        <v/>
      </c>
      <c r="M60" s="15">
        <f>IF(Parcel!$C$20="None",0,IF(AND(Parcel!$C$20="Private easement",Use_Library!$BA$59="Y"),0,1))</f>
        <v/>
      </c>
      <c r="N60" s="15">
        <f>IF(AND(Use_Library!$AZ$59="Y",Parcel!$C$19&lt;Use_Library!$AY$59),0,1)</f>
        <v/>
      </c>
      <c r="O60" s="15">
        <f>IF(AND(Use_Library!$T$59="Y",Parcel!$C$39=0),0,1)</f>
        <v/>
      </c>
      <c r="P60" s="15">
        <f>IF(AND(Use_Library!$U$59="Y",Parcel!$C$38=0),0,1)</f>
        <v/>
      </c>
      <c r="Q60" s="9">
        <f>TRIM(IF(AND(Use_Library!$BB$59&gt;0,Parcel!$C$28&lt;Use_Library!$BB$59),"Traffic under "&amp;TEXT(Use_Library!$BB$59,"#,##0")&amp;" VPD. ","")&amp;IF(AND(Use_Library!$BC$59&gt;0,Parcel!$C$29&lt;Use_Library!$BC$59),"Under "&amp;TEXT(Use_Library!$BC$59,"#,##0")&amp;" households in 3 mi. ","")&amp;IF(AND(Use_Library!$BD$59&gt;0,Parcel!$C$31&gt;Use_Library!$BD$59),"Over "&amp;Use_Library!$BD$59&amp;" mi to highway. ","")&amp;IF(AND(Use_Library!$BE$59="Y",Parcel!$C$32&lt;&gt;"Y"),"Needs a corner. ","")&amp;IF(AND(Use_Library!$BF$59&gt;0,Parcel!$C$33&gt;Use_Library!$BF$59),"Over "&amp;Use_Library!$BF$59&amp;" mi to substation. ","")&amp;IF(AND(Use_Library!$BG$59&gt;0,Parcel!$C$34&gt;Use_Library!$BG$59),"Over "&amp;Use_Library!$BG$59&amp;" mi to a major employer. ",""))</f>
        <v/>
      </c>
      <c r="R60" s="15">
        <f>IF(Q60="",1,0)</f>
        <v/>
      </c>
      <c r="S60" s="15">
        <f>IF(F60&gt;=Use_Library!$L$59,1,0)</f>
        <v/>
      </c>
      <c r="T60" s="15">
        <f>K60*M60*N60*O60*P60*R60*S60</f>
        <v/>
      </c>
      <c r="U60" s="14">
        <f>IF(Use_Library!$G$59&gt;0,I60*Use_Library!$G$59,1E+9)</f>
        <v/>
      </c>
      <c r="V60" s="14">
        <f>IF(Use_Library!$H$59&gt;0,G60*43560/Use_Library!$H$59,1E+9)</f>
        <v/>
      </c>
      <c r="W60" s="14">
        <f>IF(AND(Use_Library!$K$59="Y",Parcel!$C$39=0),G60*(1-Assumptions!$C$8)/IF(Parcel!$C$38=1,Location!$C$25,Location!$C$26),1E+9)</f>
        <v/>
      </c>
      <c r="X60" s="14">
        <f>IF(Use_Library!$I$59&gt;0,Parcel!$C$14*H60/Use_Library!$I$59,1E+9)</f>
        <v/>
      </c>
      <c r="Y60" s="14">
        <f>IF(Use_Library!$J$59&gt;0,Parcel!$C$19/Use_Library!$J$59,1E+9)</f>
        <v/>
      </c>
      <c r="Z60" s="14">
        <f>IF(AND(Parcel!$C$39=0,Use_Library!$K$59="N",Use_Library!$Y$59&gt;0,Use_Library!$Z$59="Y"),G60*Location!$C$27*Parcel!$C$45/Use_Library!$Y$59,1E+9)</f>
        <v/>
      </c>
      <c r="AA60" s="14">
        <f>MIN(U60,V60,W60,X60,Y60,Z60)</f>
        <v/>
      </c>
      <c r="AB60" s="14">
        <f>IF(Use_Library!$O$59&gt;0,IF(Use_Library!$P$59&gt;=10,Parcel!$C$30,Parcel!$C$29)*Use_Library!$O$59*Use_Library!$Q$59,1E+9)</f>
        <v/>
      </c>
      <c r="AC60" s="23">
        <f>IF(OR(AA60&gt;=1E+9,AA60&lt;=0),1,MIN(1,AB60/AA60))</f>
        <v/>
      </c>
      <c r="AD60" s="14">
        <f>G60*AC60</f>
        <v/>
      </c>
      <c r="AE60" s="23">
        <f>IF(F60=0,0,AD60/F60)</f>
        <v/>
      </c>
      <c r="AF60" s="14">
        <f>Parcel!$C$37*AE60</f>
        <v/>
      </c>
      <c r="AG60" s="14">
        <f>AF60*IF(Use_Library!$AB$59="Y",Assumptions!$C$7,0)</f>
        <v/>
      </c>
      <c r="AH60" s="14">
        <f>AF60*(1-Use_Library!$N$59)</f>
        <v/>
      </c>
      <c r="AI60" s="14">
        <f>Parcel!$C$14*(1-AE60)</f>
        <v/>
      </c>
      <c r="AJ60" s="14">
        <f>MIN(AA60,AB60)</f>
        <v/>
      </c>
      <c r="AK60" s="25">
        <f>IF(T60=0,0,IF(AJ60&gt;=1E+9,AD60,IF(Use_Library!$E$59="Y",INT(AJ60+1E-9),AJ60)))</f>
        <v/>
      </c>
      <c r="AL60" s="9">
        <f>IF(M60=0,"No public road access",IF(K60=0,J60,IF(R60=0,"Location fails",IF(N60=0,"Frontage under "&amp;Use_Library!$AY$59&amp;" LF",IF(S60=0,"Too small - needs "&amp;Use_Library!$L$59&amp;" usable ac",IF(O60=0,"Needs public sewer",IF(P60=0,"Needs public water",IF(AJ60&gt;=1E+9,"Usable acres",IF(AB60&lt;=AA60,"Market demand",IF(W60=AA60,"Septic lot size",IF(Z60=AA60,"Septic capacity (gal/day)",IF(X60=AA60,"Min lot size",IF(Y60=AA60,"Road frontage",IF(V60=AA60,"Site area / parking","Density"))))))))))))))</f>
        <v/>
      </c>
      <c r="AM60" s="15">
        <f>IF(AK60&gt;0,1,0)</f>
        <v/>
      </c>
      <c r="AN60" s="15">
        <f>IF(Use_Library!$Z$59="Y",1,0)*AM60</f>
        <v/>
      </c>
      <c r="AO60" s="14">
        <f>IF(Parcel!$C$39=0,MIN(U60,V60,X60,Y60,AB60),0)</f>
        <v/>
      </c>
      <c r="AP60" s="9">
        <f>IF(AND(Parcel!$C$39=0,M60*K60*R60*N60*S60*P60=1,AO60&lt;1E+9,AO60&gt;=MAX(1,AK60)*1.25),"Unlock: sewer or package plant allows ~"&amp;TEXT(INT(AO60),"#,##0")&amp;" "&amp;Use_Library!$D$59&amp;". ","")</f>
        <v/>
      </c>
      <c r="AQ60" s="15">
        <f>AK60*Use_Library!$AC$59*AN60</f>
        <v/>
      </c>
      <c r="AR60" s="15">
        <f>AK60*Use_Library!$AD$59*AN60</f>
        <v/>
      </c>
      <c r="AS60" s="14">
        <f>AK60*Use_Library!$V$59*AN60</f>
        <v/>
      </c>
      <c r="AT60" s="15">
        <f>IF(Parcel!$C$38=1,AQ60+Parcel!$C$40,0)*AN60</f>
        <v/>
      </c>
      <c r="AU60" s="14">
        <f>AS60*Parcel!$C$38</f>
        <v/>
      </c>
      <c r="AV60" s="15">
        <f>IF(AND(Parcel!$C$38=0,Use_Library!$K$59="N",AS60&gt;=Location!$C$30),1,0)*AN60</f>
        <v/>
      </c>
      <c r="AW60" s="15">
        <f>IF(Parcel!$C$39=1,AQ60+Parcel!$C$41,0)*AN60</f>
        <v/>
      </c>
      <c r="AX60" s="14">
        <f>AS60*Parcel!$C$39</f>
        <v/>
      </c>
      <c r="AY60" s="14">
        <f>IF(Parcel!$C$39=0,AK60*Use_Library!$W$59,0)*AN60</f>
        <v/>
      </c>
      <c r="AZ60" s="15">
        <f>IF(Parcel!$C$39=0,AK60*Use_Library!$Y$59,0)*AN60</f>
        <v/>
      </c>
      <c r="BA60" s="15">
        <f>IF(AND(Use_Library!$K$59="N",AZ60&gt;Location!$C$28),1,0)</f>
        <v/>
      </c>
      <c r="BB60" s="14">
        <f>IF(AND(Parcel!$C$38=0,AV60=0),AK60*Use_Library!$X$59,0)*AN60</f>
        <v/>
      </c>
      <c r="BC60" s="14">
        <f>AH60*Parcel!$C$18*Use_Library!$AA$59*AN60</f>
        <v/>
      </c>
      <c r="BD60" s="14">
        <f>AH60*Use_Library!$AA$59*AN60</f>
        <v/>
      </c>
      <c r="BE60" s="15">
        <f>IF(Use_Library!$C$59="For-Sale",IF(Use_Library!$E$59="Y",AK60,1),1)*AM60</f>
        <v/>
      </c>
      <c r="BF60" s="15">
        <f>IF(OR(Use_Library!$F$59="RES-SF",Use_Library!$F$59="RES-ATT",Use_Library!$F$59="RES-MF",Use_Library!$F$59="MH"),1,0)</f>
        <v/>
      </c>
      <c r="BG60" s="20">
        <f>Cost_Library!$J$5*Location!$C$9*AM60</f>
        <v/>
      </c>
      <c r="BH60" s="20">
        <f>BE60*Cost_Library!$J$6*Location!$C$9</f>
        <v/>
      </c>
      <c r="BI60" s="20">
        <f>BD60*Cost_Library!$J$7*Location!$C$9</f>
        <v/>
      </c>
      <c r="BJ60" s="20">
        <f>Cost_Library!$J$8*Location!$C$9*AN60*IF(Use_Library!$AA$59&gt;=0.5,1,0)</f>
        <v/>
      </c>
      <c r="BK60" s="20">
        <f>AY60*Cost_Library!$J$9*Location!$C$9</f>
        <v/>
      </c>
      <c r="BL60" s="20">
        <f>BA60*Cost_Library!$J$10*Location!$C$9</f>
        <v/>
      </c>
      <c r="BM60" s="20">
        <f>Cost_Library!$J$11*Location!$C$9*AM60</f>
        <v/>
      </c>
      <c r="BN60" s="20">
        <f>Cost_Library!$J$12*Location!$C$9*AN60*IF(Use_Library!$AB$59="Y",1,0)</f>
        <v/>
      </c>
      <c r="BO60" s="20">
        <f>Use_Effective!$C$59*AM60</f>
        <v/>
      </c>
      <c r="BP60" s="20">
        <f>L60*Location!$C$31*AM60</f>
        <v/>
      </c>
      <c r="BQ60" s="20">
        <f>Cost_Library!$J$13*Location!$C$9*AM60</f>
        <v/>
      </c>
      <c r="BR60" s="20">
        <f>BC60*Cost_Library!$J$14*Location!$C$9</f>
        <v/>
      </c>
      <c r="BS60" s="20">
        <f>BD60*Cost_Library!$J$15*Location!$C$9*Parcel!$C$43</f>
        <v/>
      </c>
      <c r="BT60" s="20">
        <f>AQ60*Cost_Library!$J$16*Location!$C$9</f>
        <v/>
      </c>
      <c r="BU60" s="20">
        <f>AR60*Cost_Library!$J$17*Location!$C$9</f>
        <v/>
      </c>
      <c r="BV60" s="20">
        <f>AG60*Cost_Library!$J$18*Location!$C$9*AN60</f>
        <v/>
      </c>
      <c r="BW60" s="20">
        <f>BD60*Cost_Library!$J$19*Location!$C$9</f>
        <v/>
      </c>
      <c r="BX60" s="20">
        <f>IF(Use_Library!$AZ$59="Y",1,0)*Cost_Library!$J$20*Location!$C$9*AN60</f>
        <v/>
      </c>
      <c r="BY60" s="20">
        <f>AT60*Cost_Library!$J$21*Location!$C$9</f>
        <v/>
      </c>
      <c r="BZ60" s="20">
        <f>AU60*Cost_Library!$J$22*Location!$C$9</f>
        <v/>
      </c>
      <c r="CA60" s="20">
        <f>AW60*Cost_Library!$J$23*Location!$C$9</f>
        <v/>
      </c>
      <c r="CB60" s="20">
        <f>AX60*Cost_Library!$J$24*Location!$C$9</f>
        <v/>
      </c>
      <c r="CC60" s="20">
        <f>AY60*Cost_Library!$J$25*Location!$C$9*Parcel!$C$44</f>
        <v/>
      </c>
      <c r="CD60" s="20">
        <f>BB60*Cost_Library!$J$26*Location!$C$9</f>
        <v/>
      </c>
      <c r="CE60" s="20">
        <f>AV60*(Cost_Library!$J$27+AS60*Cost_Library!$J$28)*Location!$C$9</f>
        <v/>
      </c>
      <c r="CF60" s="20">
        <f>AQ60*Cost_Library!$J$29*Location!$C$9</f>
        <v/>
      </c>
      <c r="CG60" s="20">
        <f>SUM(BG60:CF60)</f>
        <v/>
      </c>
      <c r="CH60" s="20">
        <f>CG60*Assumptions!$C$9</f>
        <v/>
      </c>
      <c r="CI60" s="20">
        <f>(CG60+CH60)*Org_Profile!$C$17</f>
        <v/>
      </c>
      <c r="CJ60" s="20">
        <f>CG60+CH60+CI60</f>
        <v/>
      </c>
      <c r="CK60" s="20">
        <f>AK60*Use_Effective!$B$59*(1+Org_Profile!$C$17)</f>
        <v/>
      </c>
      <c r="CL60" s="20">
        <f>CK60*(Assumptions!$C$10+Assumptions!$C$11)</f>
        <v/>
      </c>
      <c r="CM60" s="20">
        <f>AK60*Use_Effective!$D$59</f>
        <v/>
      </c>
      <c r="CN60" s="20">
        <f>AK60*Location!$C$21*BF60*AM60</f>
        <v/>
      </c>
      <c r="CO60" s="14">
        <f>Use_Effective!$F$59+L60*Location!$C$32+BA60*Location!$C$29</f>
        <v/>
      </c>
      <c r="CP60" s="14">
        <f>IF(Use_Effective!$P$59&gt;0,IF(Use_Library!$C$59="For-Sale",AK60,AD60)/Use_Effective!$P$59,0)*AM60</f>
        <v/>
      </c>
      <c r="CQ60" s="14">
        <f>IF(AND(Use_Library!$C$59="For-Sale",Use_Effective!$O$59&gt;0),AK60/Use_Effective!$O$59,0)*AM60</f>
        <v/>
      </c>
      <c r="CR60" s="14">
        <f>IF(Use_Library!$C$59="Income",MAX(Use_Library!$AQ$59,IF(Use_Effective!$O$59&gt;0,AK60/Use_Effective!$O$59,0)),0)</f>
        <v/>
      </c>
      <c r="CS60" s="14">
        <f>CO60+CP60</f>
        <v/>
      </c>
      <c r="CT60" s="14">
        <f>CO60+CQ60+CR60</f>
        <v/>
      </c>
      <c r="CU60" s="14">
        <f>CO60+IF(Use_Library!$C$59="Income",CR60,0)</f>
        <v/>
      </c>
      <c r="CV60" s="23">
        <f>Use_Effective!$G$59+Assumptions!$C$25*MAX(0,(CS60-12)/12)</f>
        <v/>
      </c>
      <c r="CW60" s="23">
        <f>Use_Effective!$G$59+Assumptions!$C$25*MAX(0,(CT60-12)/12)</f>
        <v/>
      </c>
      <c r="CX60" s="23">
        <f>Use_Effective!$G$59+Assumptions!$C$25*MAX(0,(CU60-12)/12)</f>
        <v/>
      </c>
      <c r="CY60" s="28">
        <f>1+Location!$C$17+IF(Parcel!$C$26="Y",Location!$C$20,0)</f>
        <v/>
      </c>
      <c r="CZ60" s="28">
        <f>CY60+Location!$C$19*(CO60+CP60/2)/12</f>
        <v/>
      </c>
      <c r="DA60" s="28">
        <f>CY60+Location!$C$19*(CO60+CQ60/2)/12</f>
        <v/>
      </c>
      <c r="DB60" s="28">
        <f>IF(Use_Library!$C$59="Income",DA60,CY60+Location!$C$19*CO60/12)</f>
        <v/>
      </c>
      <c r="DC60" s="28">
        <f>1+Assumptions!$C$15*(Assumptions!$C$16*(CO60+CP60/2)/12*Assumptions!$C$18+Assumptions!$C$17)</f>
        <v/>
      </c>
      <c r="DD60" s="28">
        <f>1+Assumptions!$C$15*(Assumptions!$C$16*((CO60+CQ60/2)/12*Assumptions!$C$18+CR60/12*Assumptions!$C$19)+Assumptions!$C$17)</f>
        <v/>
      </c>
      <c r="DE60" s="28">
        <f>IF(Use_Library!$C$59="Income",DD60,1+Assumptions!$C$15*(Assumptions!$C$16*CO60/12*Assumptions!$C$18+Assumptions!$C$17))</f>
        <v/>
      </c>
      <c r="DF60" s="23">
        <f>Assumptions!$C$13+Location!$C$18</f>
        <v/>
      </c>
      <c r="DG60" s="23">
        <f>Assumptions!$C$12+Location!$C$18</f>
        <v/>
      </c>
      <c r="DH60" s="23">
        <f>Assumptions!$C$14+Location!$C$18</f>
        <v/>
      </c>
      <c r="DI60" s="20">
        <f>AI60*Location!$C$14*(1-DF60)*AM60</f>
        <v/>
      </c>
      <c r="DJ60" s="20">
        <f>IF(Use_Library!$AV$59=1,IF(Use_Library!$C$59="For-Sale",AK60*Use_Effective!$H$59+Parcel!$C$14*AE60*Use_Effective!$J$59,AD60*Use_Effective!$J$59)*(1-DF60)+DI60,0)*AM60</f>
        <v/>
      </c>
      <c r="DK60" s="20">
        <f>(CG60-BU60-CC60-CD60)*(1+Assumptions!$C$9)*(1+Org_Profile!$C$17)</f>
        <v/>
      </c>
      <c r="DL60" s="28">
        <f>CZ60*DC60</f>
        <v/>
      </c>
      <c r="DM60" s="20">
        <f>(Parcel!$C$27*CZ60+DK60)*DC60</f>
        <v/>
      </c>
      <c r="DN60" s="20">
        <f>DJ60-DM60</f>
        <v/>
      </c>
      <c r="DO60" s="38">
        <f>IF(AND(Use_Library!$AV$59=1,AM60=1),MAX(0,((1-CV60)*DJ60-DK60*DC60)/DL60),0)</f>
        <v/>
      </c>
      <c r="DP60" s="20">
        <f>CJ60+CK60+CL60+CM60+CN60</f>
        <v/>
      </c>
      <c r="DQ60" s="28">
        <f>DA60*DD60</f>
        <v/>
      </c>
      <c r="DR60" s="20">
        <f>(Parcel!$C$27*DA60+DP60)*DD60</f>
        <v/>
      </c>
      <c r="DS60" s="20">
        <f>IF(Use_Library!$C$59="Income",AK60*Use_Effective!$K$59,0)</f>
        <v/>
      </c>
      <c r="DT60" s="20">
        <f>DS60*(1+Use_Library!$AL$59)*(1-Use_Effective!$N$59)</f>
        <v/>
      </c>
      <c r="DU60" s="20">
        <f>IF(Use_Library!$C$59="Income",AK60*Use_Effective!$E$59,0)</f>
        <v/>
      </c>
      <c r="DV60" s="20">
        <f>IF(Use_Library!$C$59="Income",Location!$C$15*Location!$C$16*DR60,0)</f>
        <v/>
      </c>
      <c r="DW60" s="20">
        <f>DT60*Use_Library!$AO$59</f>
        <v/>
      </c>
      <c r="DX60" s="20">
        <f>(DU60+DV60)*Use_Library!$AP$59</f>
        <v/>
      </c>
      <c r="DY60" s="20">
        <f>DT60-DU60-DV60-DW60+DX60</f>
        <v/>
      </c>
      <c r="DZ60" s="26">
        <f>Use_Effective!$M$59</f>
        <v/>
      </c>
      <c r="EA60" s="20">
        <f>IF(AND(Use_Library!$C$59="Income",DZ60&gt;0),DY60/DZ60,0)</f>
        <v/>
      </c>
      <c r="EB60" s="39">
        <f>IF(Use_Library!$C$59="Income",-Location!$C$15*Location!$C$16*(1-Use_Library!$AP$59)*DQ60,0)</f>
        <v/>
      </c>
      <c r="EC60" s="23">
        <f>IF(DR60=0,0,DY60/DR60)</f>
        <v/>
      </c>
      <c r="ED60" s="20">
        <f>IF(Use_Library!$AW$59=1,IF(Use_Library!$C$59="Income",EA60*(1-DH60),AK60*Use_Effective!$I$59*(1-DG60))+DI60,0)*AM60</f>
        <v/>
      </c>
      <c r="EE60" s="39">
        <f>IF(AND(Use_Library!$AW$59=1,Use_Library!$C$59="Income",DZ60&gt;0),EB60/DZ60*(1-DH60),0)</f>
        <v/>
      </c>
      <c r="EF60" s="20">
        <f>ED60-DR60</f>
        <v/>
      </c>
      <c r="EG60" s="38">
        <f>IF(AND(Use_Library!$AW$59=1,AM60=1),MAX(0,Parcel!$C$27-((1-CW60)*ED60-DR60)/((1-CW60)*EE60-DQ60)),0)</f>
        <v/>
      </c>
      <c r="EH60" s="20">
        <f>IF(Use_Library!$AX$59=1,IF(Use_Library!$C$59="Income",EA60,IF(DZ60&gt;0,AD60*Use_Effective!$L$59/DZ60,0))+DI60,0)*AM60</f>
        <v/>
      </c>
      <c r="EI60" s="20">
        <f>IF(Use_Library!$C$59="Income",DP60,CJ60)</f>
        <v/>
      </c>
      <c r="EJ60" s="28">
        <f>IF(Use_Library!$C$59="Income",DQ60,DB60*DE60)</f>
        <v/>
      </c>
      <c r="EK60" s="20">
        <f>IF(Use_Library!$C$59="Income",DR60,(Parcel!$C$27*DB60+CJ60)*DE60)</f>
        <v/>
      </c>
      <c r="EL60" s="39">
        <f>IF(AND(Use_Library!$AX$59=1,Use_Library!$C$59="Income",DZ60&gt;0),EB60/DZ60,0)</f>
        <v/>
      </c>
      <c r="EM60" s="20">
        <f>EH60-EK60</f>
        <v/>
      </c>
      <c r="EN60" s="38">
        <f>IF(AND(Use_Library!$AX$59=1,AM60=1),MAX(0,Parcel!$C$27-((1-CX60)*EH60-EK60)/((1-CX60)*EL60-EJ60)),0)</f>
        <v/>
      </c>
      <c r="EO60" s="20">
        <f>IF(Use_Library!$C$59="Income",Assumptions!$C$15*(Parcel!$C$27*DA60+DP60),0)</f>
        <v/>
      </c>
      <c r="EP60" s="20">
        <f>IF(AND(Use_Library!$C$59="Income",DY60&gt;0),MIN(Assumptions!$C$20*EA60,PV(Assumptions!$C$23/12,Assumptions!$C$24*12,-DY60/Assumptions!$C$21/12),DY60/Assumptions!$C$22),0)</f>
        <v/>
      </c>
      <c r="EQ60" s="27">
        <f>IF(EP60=0,0,DY60/(-PMT(Assumptions!$C$23/12,Assumptions!$C$24*12,EP60)*12))</f>
        <v/>
      </c>
      <c r="ER60" s="20">
        <f>EP60-EO60</f>
        <v/>
      </c>
      <c r="ES60" s="19">
        <f>MAX(DO60,EG60,EN60)</f>
        <v/>
      </c>
      <c r="ET60" s="15">
        <f>IF(ES60&lt;=0,0,IF(DO60=ES60,1,IF(EG60=ES60,2,3)))</f>
        <v/>
      </c>
      <c r="EU60" s="9">
        <f>CHOOSE(ET60+1,"None works","Land / pad sale","Build &amp; sell","Build &amp; hold / lease")</f>
        <v/>
      </c>
      <c r="EV60" s="15">
        <f>CHOOSE(ET60+1,0,CS60,CT60,CU60)</f>
        <v/>
      </c>
      <c r="EW60" s="20">
        <f>ES60*(1-Assumptions!$C$26)</f>
        <v/>
      </c>
      <c r="EX60" s="20">
        <f>ES60-Parcel!$C$27</f>
        <v/>
      </c>
      <c r="EY60" s="20">
        <f>IF(Parcel!$C$14=0,0,ES60/Parcel!$C$14)</f>
        <v/>
      </c>
      <c r="EZ60" s="36">
        <f>IF(AK60=0,0,ES60/AK60)</f>
        <v/>
      </c>
      <c r="FA60" s="9">
        <f>IF(ES60&lt;=0,"Pass",IF(ES60&gt;=Parcel!$C$27*Assumptions!$C$27,"Strong",IF(ES60&gt;=Parcel!$C$27,"Works at asking",IF(ES60&gt;=Parcel!$C$27*Assumptions!$C$28,"Negotiate","Pass"))))</f>
        <v/>
      </c>
      <c r="FB60" s="9">
        <f>IF(AM60=0,"",IF(Use_Library!$BH$59="Y",IF(Use_Effective!$AF$59&gt;=3,"High","Medium"),"Low - verify location"))</f>
        <v/>
      </c>
      <c r="FC60" s="9">
        <f>IF(AND(Use_Library!$BH$59="N",AM60=1),Use_Library!$BI$59,"")</f>
        <v/>
      </c>
      <c r="FD60" s="9">
        <f>TRIM(Q60&amp;" "&amp;IF(AND(AM60=0,T60=1),"Nothing fits. ","")&amp;IF(AND(Use_Library!$AZ$59&lt;&gt;"Y",Parcel!$C$19&lt;Use_Library!$AY$59),"Frontage under "&amp;Use_Library!$AY$59&amp;" LF. ","")&amp;IF(Parcel!$C$17&gt;0.15,"Slope over 15%. ","")&amp;IF(AND(AM60=1,AI60&gt;0.5),TEXT(AI60,"0")&amp;" ac not used - resold as raw land. ","")&amp;IF(AND(AM60=1,AC60&lt;1),"Demand caps it at "&amp;TEXT(AK60,"#,##0")&amp;" "&amp;Use_Library!$D$59&amp;". ","")&amp;IF(AND(AM60=1,L60=1),"Rezone required (+"&amp;Location!$C$32&amp;" mo). ","")&amp;IF(AND(AM60=1,BA60=1),"State wastewater permit needed. ","")&amp;IF(AND(AM60=1,AV60=1),"Public water system needed. ","")&amp;AP60&amp;IF(Parcel!$C$16&gt;Assumptions!$C$29,"Floodplain over "&amp;TEXT(Assumptions!$C$29,"0%")&amp;". ","")&amp;IF(AND(AM60=1,EV60&gt;60),"Over 5 years to exit. ",""))</f>
        <v/>
      </c>
      <c r="FE60" s="20">
        <f>IF(AND(Org_Profile!$C$5="My uses",E60=0),-1E+9,ES60)+ROW()/1000000</f>
        <v/>
      </c>
    </row>
    <row r="61">
      <c r="A61" s="4">
        <f>Use_Library!$A$60</f>
        <v/>
      </c>
      <c r="B61" s="9">
        <f>Use_Library!$C$60</f>
        <v/>
      </c>
      <c r="C61" s="9">
        <f>Use_Library!$D$60</f>
        <v/>
      </c>
      <c r="D61" s="9">
        <f>Use_Library!$F$60</f>
        <v/>
      </c>
      <c r="E61" s="15">
        <f>IF(Org_Profile!$C$77="Y",1,0)</f>
        <v/>
      </c>
      <c r="F61" s="14">
        <f>MAX(0,Parcel!$C$37*(1-Use_Library!$N$60-IF(Use_Library!$AB$60="Y",Assumptions!$C$7,0)))</f>
        <v/>
      </c>
      <c r="G61" s="14">
        <f>IF(Use_Library!$M$60&gt;0,MIN(F61,Use_Library!$M$60),F61)</f>
        <v/>
      </c>
      <c r="H61" s="23">
        <f>IF(F61=0,0,G61/F61)</f>
        <v/>
      </c>
      <c r="I61" s="14">
        <f>Parcel!$C$37*H61</f>
        <v/>
      </c>
      <c r="J61" s="9">
        <f>IF(ISNUMBER(SEARCH(","&amp;Use_Library!$F$60&amp;",",","&amp;SUBSTITUTE(Parcel!$C$11," ","")&amp;",")),"Deed restricted",IF(Parcel!$C$46=0,"No zoning",IF(ISNUMBER(SEARCH(","&amp;Use_Library!$F$60&amp;",",","&amp;SUBSTITUTE(Parcel!$C$10," ","")&amp;",")),"By right",IF(OR(TRIM(Parcel!$C$12)="*",ISNUMBER(SEARCH(","&amp;Use_Library!$F$60&amp;",",","&amp;SUBSTITUTE(Parcel!$C$12," ","")&amp;","))),"Rezone required","Prohibited by zoning"))))</f>
        <v/>
      </c>
      <c r="K61" s="15">
        <f>IF(OR(J61="Deed restricted",J61="Prohibited by zoning"),0,1)</f>
        <v/>
      </c>
      <c r="L61" s="15">
        <f>IF(J61="Rezone required",1,0)</f>
        <v/>
      </c>
      <c r="M61" s="15">
        <f>IF(Parcel!$C$20="None",0,IF(AND(Parcel!$C$20="Private easement",Use_Library!$BA$60="Y"),0,1))</f>
        <v/>
      </c>
      <c r="N61" s="15">
        <f>IF(AND(Use_Library!$AZ$60="Y",Parcel!$C$19&lt;Use_Library!$AY$60),0,1)</f>
        <v/>
      </c>
      <c r="O61" s="15">
        <f>IF(AND(Use_Library!$T$60="Y",Parcel!$C$39=0),0,1)</f>
        <v/>
      </c>
      <c r="P61" s="15">
        <f>IF(AND(Use_Library!$U$60="Y",Parcel!$C$38=0),0,1)</f>
        <v/>
      </c>
      <c r="Q61" s="9">
        <f>TRIM(IF(AND(Use_Library!$BB$60&gt;0,Parcel!$C$28&lt;Use_Library!$BB$60),"Traffic under "&amp;TEXT(Use_Library!$BB$60,"#,##0")&amp;" VPD. ","")&amp;IF(AND(Use_Library!$BC$60&gt;0,Parcel!$C$29&lt;Use_Library!$BC$60),"Under "&amp;TEXT(Use_Library!$BC$60,"#,##0")&amp;" households in 3 mi. ","")&amp;IF(AND(Use_Library!$BD$60&gt;0,Parcel!$C$31&gt;Use_Library!$BD$60),"Over "&amp;Use_Library!$BD$60&amp;" mi to highway. ","")&amp;IF(AND(Use_Library!$BE$60="Y",Parcel!$C$32&lt;&gt;"Y"),"Needs a corner. ","")&amp;IF(AND(Use_Library!$BF$60&gt;0,Parcel!$C$33&gt;Use_Library!$BF$60),"Over "&amp;Use_Library!$BF$60&amp;" mi to substation. ","")&amp;IF(AND(Use_Library!$BG$60&gt;0,Parcel!$C$34&gt;Use_Library!$BG$60),"Over "&amp;Use_Library!$BG$60&amp;" mi to a major employer. ",""))</f>
        <v/>
      </c>
      <c r="R61" s="15">
        <f>IF(Q61="",1,0)</f>
        <v/>
      </c>
      <c r="S61" s="15">
        <f>IF(F61&gt;=Use_Library!$L$60,1,0)</f>
        <v/>
      </c>
      <c r="T61" s="15">
        <f>K61*M61*N61*O61*P61*R61*S61</f>
        <v/>
      </c>
      <c r="U61" s="14">
        <f>IF(Use_Library!$G$60&gt;0,I61*Use_Library!$G$60,1E+9)</f>
        <v/>
      </c>
      <c r="V61" s="14">
        <f>IF(Use_Library!$H$60&gt;0,G61*43560/Use_Library!$H$60,1E+9)</f>
        <v/>
      </c>
      <c r="W61" s="14">
        <f>IF(AND(Use_Library!$K$60="Y",Parcel!$C$39=0),G61*(1-Assumptions!$C$8)/IF(Parcel!$C$38=1,Location!$C$25,Location!$C$26),1E+9)</f>
        <v/>
      </c>
      <c r="X61" s="14">
        <f>IF(Use_Library!$I$60&gt;0,Parcel!$C$14*H61/Use_Library!$I$60,1E+9)</f>
        <v/>
      </c>
      <c r="Y61" s="14">
        <f>IF(Use_Library!$J$60&gt;0,Parcel!$C$19/Use_Library!$J$60,1E+9)</f>
        <v/>
      </c>
      <c r="Z61" s="14">
        <f>IF(AND(Parcel!$C$39=0,Use_Library!$K$60="N",Use_Library!$Y$60&gt;0,Use_Library!$Z$60="Y"),G61*Location!$C$27*Parcel!$C$45/Use_Library!$Y$60,1E+9)</f>
        <v/>
      </c>
      <c r="AA61" s="14">
        <f>MIN(U61,V61,W61,X61,Y61,Z61)</f>
        <v/>
      </c>
      <c r="AB61" s="14">
        <f>IF(Use_Library!$O$60&gt;0,IF(Use_Library!$P$60&gt;=10,Parcel!$C$30,Parcel!$C$29)*Use_Library!$O$60*Use_Library!$Q$60,1E+9)</f>
        <v/>
      </c>
      <c r="AC61" s="23">
        <f>IF(OR(AA61&gt;=1E+9,AA61&lt;=0),1,MIN(1,AB61/AA61))</f>
        <v/>
      </c>
      <c r="AD61" s="14">
        <f>G61*AC61</f>
        <v/>
      </c>
      <c r="AE61" s="23">
        <f>IF(F61=0,0,AD61/F61)</f>
        <v/>
      </c>
      <c r="AF61" s="14">
        <f>Parcel!$C$37*AE61</f>
        <v/>
      </c>
      <c r="AG61" s="14">
        <f>AF61*IF(Use_Library!$AB$60="Y",Assumptions!$C$7,0)</f>
        <v/>
      </c>
      <c r="AH61" s="14">
        <f>AF61*(1-Use_Library!$N$60)</f>
        <v/>
      </c>
      <c r="AI61" s="14">
        <f>Parcel!$C$14*(1-AE61)</f>
        <v/>
      </c>
      <c r="AJ61" s="14">
        <f>MIN(AA61,AB61)</f>
        <v/>
      </c>
      <c r="AK61" s="25">
        <f>IF(T61=0,0,IF(AJ61&gt;=1E+9,AD61,IF(Use_Library!$E$60="Y",INT(AJ61+1E-9),AJ61)))</f>
        <v/>
      </c>
      <c r="AL61" s="9">
        <f>IF(M61=0,"No public road access",IF(K61=0,J61,IF(R61=0,"Location fails",IF(N61=0,"Frontage under "&amp;Use_Library!$AY$60&amp;" LF",IF(S61=0,"Too small - needs "&amp;Use_Library!$L$60&amp;" usable ac",IF(O61=0,"Needs public sewer",IF(P61=0,"Needs public water",IF(AJ61&gt;=1E+9,"Usable acres",IF(AB61&lt;=AA61,"Market demand",IF(W61=AA61,"Septic lot size",IF(Z61=AA61,"Septic capacity (gal/day)",IF(X61=AA61,"Min lot size",IF(Y61=AA61,"Road frontage",IF(V61=AA61,"Site area / parking","Density"))))))))))))))</f>
        <v/>
      </c>
      <c r="AM61" s="15">
        <f>IF(AK61&gt;0,1,0)</f>
        <v/>
      </c>
      <c r="AN61" s="15">
        <f>IF(Use_Library!$Z$60="Y",1,0)*AM61</f>
        <v/>
      </c>
      <c r="AO61" s="14">
        <f>IF(Parcel!$C$39=0,MIN(U61,V61,X61,Y61,AB61),0)</f>
        <v/>
      </c>
      <c r="AP61" s="9">
        <f>IF(AND(Parcel!$C$39=0,M61*K61*R61*N61*S61*P61=1,AO61&lt;1E+9,AO61&gt;=MAX(1,AK61)*1.25),"Unlock: sewer or package plant allows ~"&amp;TEXT(INT(AO61),"#,##0")&amp;" "&amp;Use_Library!$D$60&amp;". ","")</f>
        <v/>
      </c>
      <c r="AQ61" s="15">
        <f>AK61*Use_Library!$AC$60*AN61</f>
        <v/>
      </c>
      <c r="AR61" s="15">
        <f>AK61*Use_Library!$AD$60*AN61</f>
        <v/>
      </c>
      <c r="AS61" s="14">
        <f>AK61*Use_Library!$V$60*AN61</f>
        <v/>
      </c>
      <c r="AT61" s="15">
        <f>IF(Parcel!$C$38=1,AQ61+Parcel!$C$40,0)*AN61</f>
        <v/>
      </c>
      <c r="AU61" s="14">
        <f>AS61*Parcel!$C$38</f>
        <v/>
      </c>
      <c r="AV61" s="15">
        <f>IF(AND(Parcel!$C$38=0,Use_Library!$K$60="N",AS61&gt;=Location!$C$30),1,0)*AN61</f>
        <v/>
      </c>
      <c r="AW61" s="15">
        <f>IF(Parcel!$C$39=1,AQ61+Parcel!$C$41,0)*AN61</f>
        <v/>
      </c>
      <c r="AX61" s="14">
        <f>AS61*Parcel!$C$39</f>
        <v/>
      </c>
      <c r="AY61" s="14">
        <f>IF(Parcel!$C$39=0,AK61*Use_Library!$W$60,0)*AN61</f>
        <v/>
      </c>
      <c r="AZ61" s="15">
        <f>IF(Parcel!$C$39=0,AK61*Use_Library!$Y$60,0)*AN61</f>
        <v/>
      </c>
      <c r="BA61" s="15">
        <f>IF(AND(Use_Library!$K$60="N",AZ61&gt;Location!$C$28),1,0)</f>
        <v/>
      </c>
      <c r="BB61" s="14">
        <f>IF(AND(Parcel!$C$38=0,AV61=0),AK61*Use_Library!$X$60,0)*AN61</f>
        <v/>
      </c>
      <c r="BC61" s="14">
        <f>AH61*Parcel!$C$18*Use_Library!$AA$60*AN61</f>
        <v/>
      </c>
      <c r="BD61" s="14">
        <f>AH61*Use_Library!$AA$60*AN61</f>
        <v/>
      </c>
      <c r="BE61" s="15">
        <f>IF(Use_Library!$C$60="For-Sale",IF(Use_Library!$E$60="Y",AK61,1),1)*AM61</f>
        <v/>
      </c>
      <c r="BF61" s="15">
        <f>IF(OR(Use_Library!$F$60="RES-SF",Use_Library!$F$60="RES-ATT",Use_Library!$F$60="RES-MF",Use_Library!$F$60="MH"),1,0)</f>
        <v/>
      </c>
      <c r="BG61" s="20">
        <f>Cost_Library!$J$5*Location!$C$9*AM61</f>
        <v/>
      </c>
      <c r="BH61" s="20">
        <f>BE61*Cost_Library!$J$6*Location!$C$9</f>
        <v/>
      </c>
      <c r="BI61" s="20">
        <f>BD61*Cost_Library!$J$7*Location!$C$9</f>
        <v/>
      </c>
      <c r="BJ61" s="20">
        <f>Cost_Library!$J$8*Location!$C$9*AN61*IF(Use_Library!$AA$60&gt;=0.5,1,0)</f>
        <v/>
      </c>
      <c r="BK61" s="20">
        <f>AY61*Cost_Library!$J$9*Location!$C$9</f>
        <v/>
      </c>
      <c r="BL61" s="20">
        <f>BA61*Cost_Library!$J$10*Location!$C$9</f>
        <v/>
      </c>
      <c r="BM61" s="20">
        <f>Cost_Library!$J$11*Location!$C$9*AM61</f>
        <v/>
      </c>
      <c r="BN61" s="20">
        <f>Cost_Library!$J$12*Location!$C$9*AN61*IF(Use_Library!$AB$60="Y",1,0)</f>
        <v/>
      </c>
      <c r="BO61" s="20">
        <f>Use_Effective!$C$60*AM61</f>
        <v/>
      </c>
      <c r="BP61" s="20">
        <f>L61*Location!$C$31*AM61</f>
        <v/>
      </c>
      <c r="BQ61" s="20">
        <f>Cost_Library!$J$13*Location!$C$9*AM61</f>
        <v/>
      </c>
      <c r="BR61" s="20">
        <f>BC61*Cost_Library!$J$14*Location!$C$9</f>
        <v/>
      </c>
      <c r="BS61" s="20">
        <f>BD61*Cost_Library!$J$15*Location!$C$9*Parcel!$C$43</f>
        <v/>
      </c>
      <c r="BT61" s="20">
        <f>AQ61*Cost_Library!$J$16*Location!$C$9</f>
        <v/>
      </c>
      <c r="BU61" s="20">
        <f>AR61*Cost_Library!$J$17*Location!$C$9</f>
        <v/>
      </c>
      <c r="BV61" s="20">
        <f>AG61*Cost_Library!$J$18*Location!$C$9*AN61</f>
        <v/>
      </c>
      <c r="BW61" s="20">
        <f>BD61*Cost_Library!$J$19*Location!$C$9</f>
        <v/>
      </c>
      <c r="BX61" s="20">
        <f>IF(Use_Library!$AZ$60="Y",1,0)*Cost_Library!$J$20*Location!$C$9*AN61</f>
        <v/>
      </c>
      <c r="BY61" s="20">
        <f>AT61*Cost_Library!$J$21*Location!$C$9</f>
        <v/>
      </c>
      <c r="BZ61" s="20">
        <f>AU61*Cost_Library!$J$22*Location!$C$9</f>
        <v/>
      </c>
      <c r="CA61" s="20">
        <f>AW61*Cost_Library!$J$23*Location!$C$9</f>
        <v/>
      </c>
      <c r="CB61" s="20">
        <f>AX61*Cost_Library!$J$24*Location!$C$9</f>
        <v/>
      </c>
      <c r="CC61" s="20">
        <f>AY61*Cost_Library!$J$25*Location!$C$9*Parcel!$C$44</f>
        <v/>
      </c>
      <c r="CD61" s="20">
        <f>BB61*Cost_Library!$J$26*Location!$C$9</f>
        <v/>
      </c>
      <c r="CE61" s="20">
        <f>AV61*(Cost_Library!$J$27+AS61*Cost_Library!$J$28)*Location!$C$9</f>
        <v/>
      </c>
      <c r="CF61" s="20">
        <f>AQ61*Cost_Library!$J$29*Location!$C$9</f>
        <v/>
      </c>
      <c r="CG61" s="20">
        <f>SUM(BG61:CF61)</f>
        <v/>
      </c>
      <c r="CH61" s="20">
        <f>CG61*Assumptions!$C$9</f>
        <v/>
      </c>
      <c r="CI61" s="20">
        <f>(CG61+CH61)*Org_Profile!$C$17</f>
        <v/>
      </c>
      <c r="CJ61" s="20">
        <f>CG61+CH61+CI61</f>
        <v/>
      </c>
      <c r="CK61" s="20">
        <f>AK61*Use_Effective!$B$60*(1+Org_Profile!$C$17)</f>
        <v/>
      </c>
      <c r="CL61" s="20">
        <f>CK61*(Assumptions!$C$10+Assumptions!$C$11)</f>
        <v/>
      </c>
      <c r="CM61" s="20">
        <f>AK61*Use_Effective!$D$60</f>
        <v/>
      </c>
      <c r="CN61" s="20">
        <f>AK61*Location!$C$21*BF61*AM61</f>
        <v/>
      </c>
      <c r="CO61" s="14">
        <f>Use_Effective!$F$60+L61*Location!$C$32+BA61*Location!$C$29</f>
        <v/>
      </c>
      <c r="CP61" s="14">
        <f>IF(Use_Effective!$P$60&gt;0,IF(Use_Library!$C$60="For-Sale",AK61,AD61)/Use_Effective!$P$60,0)*AM61</f>
        <v/>
      </c>
      <c r="CQ61" s="14">
        <f>IF(AND(Use_Library!$C$60="For-Sale",Use_Effective!$O$60&gt;0),AK61/Use_Effective!$O$60,0)*AM61</f>
        <v/>
      </c>
      <c r="CR61" s="14">
        <f>IF(Use_Library!$C$60="Income",MAX(Use_Library!$AQ$60,IF(Use_Effective!$O$60&gt;0,AK61/Use_Effective!$O$60,0)),0)</f>
        <v/>
      </c>
      <c r="CS61" s="14">
        <f>CO61+CP61</f>
        <v/>
      </c>
      <c r="CT61" s="14">
        <f>CO61+CQ61+CR61</f>
        <v/>
      </c>
      <c r="CU61" s="14">
        <f>CO61+IF(Use_Library!$C$60="Income",CR61,0)</f>
        <v/>
      </c>
      <c r="CV61" s="23">
        <f>Use_Effective!$G$60+Assumptions!$C$25*MAX(0,(CS61-12)/12)</f>
        <v/>
      </c>
      <c r="CW61" s="23">
        <f>Use_Effective!$G$60+Assumptions!$C$25*MAX(0,(CT61-12)/12)</f>
        <v/>
      </c>
      <c r="CX61" s="23">
        <f>Use_Effective!$G$60+Assumptions!$C$25*MAX(0,(CU61-12)/12)</f>
        <v/>
      </c>
      <c r="CY61" s="28">
        <f>1+Location!$C$17+IF(Parcel!$C$26="Y",Location!$C$20,0)</f>
        <v/>
      </c>
      <c r="CZ61" s="28">
        <f>CY61+Location!$C$19*(CO61+CP61/2)/12</f>
        <v/>
      </c>
      <c r="DA61" s="28">
        <f>CY61+Location!$C$19*(CO61+CQ61/2)/12</f>
        <v/>
      </c>
      <c r="DB61" s="28">
        <f>IF(Use_Library!$C$60="Income",DA61,CY61+Location!$C$19*CO61/12)</f>
        <v/>
      </c>
      <c r="DC61" s="28">
        <f>1+Assumptions!$C$15*(Assumptions!$C$16*(CO61+CP61/2)/12*Assumptions!$C$18+Assumptions!$C$17)</f>
        <v/>
      </c>
      <c r="DD61" s="28">
        <f>1+Assumptions!$C$15*(Assumptions!$C$16*((CO61+CQ61/2)/12*Assumptions!$C$18+CR61/12*Assumptions!$C$19)+Assumptions!$C$17)</f>
        <v/>
      </c>
      <c r="DE61" s="28">
        <f>IF(Use_Library!$C$60="Income",DD61,1+Assumptions!$C$15*(Assumptions!$C$16*CO61/12*Assumptions!$C$18+Assumptions!$C$17))</f>
        <v/>
      </c>
      <c r="DF61" s="23">
        <f>Assumptions!$C$13+Location!$C$18</f>
        <v/>
      </c>
      <c r="DG61" s="23">
        <f>Assumptions!$C$12+Location!$C$18</f>
        <v/>
      </c>
      <c r="DH61" s="23">
        <f>Assumptions!$C$14+Location!$C$18</f>
        <v/>
      </c>
      <c r="DI61" s="20">
        <f>AI61*Location!$C$14*(1-DF61)*AM61</f>
        <v/>
      </c>
      <c r="DJ61" s="20">
        <f>IF(Use_Library!$AV$60=1,IF(Use_Library!$C$60="For-Sale",AK61*Use_Effective!$H$60+Parcel!$C$14*AE61*Use_Effective!$J$60,AD61*Use_Effective!$J$60)*(1-DF61)+DI61,0)*AM61</f>
        <v/>
      </c>
      <c r="DK61" s="20">
        <f>(CG61-BU61-CC61-CD61)*(1+Assumptions!$C$9)*(1+Org_Profile!$C$17)</f>
        <v/>
      </c>
      <c r="DL61" s="28">
        <f>CZ61*DC61</f>
        <v/>
      </c>
      <c r="DM61" s="20">
        <f>(Parcel!$C$27*CZ61+DK61)*DC61</f>
        <v/>
      </c>
      <c r="DN61" s="20">
        <f>DJ61-DM61</f>
        <v/>
      </c>
      <c r="DO61" s="38">
        <f>IF(AND(Use_Library!$AV$60=1,AM61=1),MAX(0,((1-CV61)*DJ61-DK61*DC61)/DL61),0)</f>
        <v/>
      </c>
      <c r="DP61" s="20">
        <f>CJ61+CK61+CL61+CM61+CN61</f>
        <v/>
      </c>
      <c r="DQ61" s="28">
        <f>DA61*DD61</f>
        <v/>
      </c>
      <c r="DR61" s="20">
        <f>(Parcel!$C$27*DA61+DP61)*DD61</f>
        <v/>
      </c>
      <c r="DS61" s="20">
        <f>IF(Use_Library!$C$60="Income",AK61*Use_Effective!$K$60,0)</f>
        <v/>
      </c>
      <c r="DT61" s="20">
        <f>DS61*(1+Use_Library!$AL$60)*(1-Use_Effective!$N$60)</f>
        <v/>
      </c>
      <c r="DU61" s="20">
        <f>IF(Use_Library!$C$60="Income",AK61*Use_Effective!$E$60,0)</f>
        <v/>
      </c>
      <c r="DV61" s="20">
        <f>IF(Use_Library!$C$60="Income",Location!$C$15*Location!$C$16*DR61,0)</f>
        <v/>
      </c>
      <c r="DW61" s="20">
        <f>DT61*Use_Library!$AO$60</f>
        <v/>
      </c>
      <c r="DX61" s="20">
        <f>(DU61+DV61)*Use_Library!$AP$60</f>
        <v/>
      </c>
      <c r="DY61" s="20">
        <f>DT61-DU61-DV61-DW61+DX61</f>
        <v/>
      </c>
      <c r="DZ61" s="26">
        <f>Use_Effective!$M$60</f>
        <v/>
      </c>
      <c r="EA61" s="20">
        <f>IF(AND(Use_Library!$C$60="Income",DZ61&gt;0),DY61/DZ61,0)</f>
        <v/>
      </c>
      <c r="EB61" s="39">
        <f>IF(Use_Library!$C$60="Income",-Location!$C$15*Location!$C$16*(1-Use_Library!$AP$60)*DQ61,0)</f>
        <v/>
      </c>
      <c r="EC61" s="23">
        <f>IF(DR61=0,0,DY61/DR61)</f>
        <v/>
      </c>
      <c r="ED61" s="20">
        <f>IF(Use_Library!$AW$60=1,IF(Use_Library!$C$60="Income",EA61*(1-DH61),AK61*Use_Effective!$I$60*(1-DG61))+DI61,0)*AM61</f>
        <v/>
      </c>
      <c r="EE61" s="39">
        <f>IF(AND(Use_Library!$AW$60=1,Use_Library!$C$60="Income",DZ61&gt;0),EB61/DZ61*(1-DH61),0)</f>
        <v/>
      </c>
      <c r="EF61" s="20">
        <f>ED61-DR61</f>
        <v/>
      </c>
      <c r="EG61" s="38">
        <f>IF(AND(Use_Library!$AW$60=1,AM61=1),MAX(0,Parcel!$C$27-((1-CW61)*ED61-DR61)/((1-CW61)*EE61-DQ61)),0)</f>
        <v/>
      </c>
      <c r="EH61" s="20">
        <f>IF(Use_Library!$AX$60=1,IF(Use_Library!$C$60="Income",EA61,IF(DZ61&gt;0,AD61*Use_Effective!$L$60/DZ61,0))+DI61,0)*AM61</f>
        <v/>
      </c>
      <c r="EI61" s="20">
        <f>IF(Use_Library!$C$60="Income",DP61,CJ61)</f>
        <v/>
      </c>
      <c r="EJ61" s="28">
        <f>IF(Use_Library!$C$60="Income",DQ61,DB61*DE61)</f>
        <v/>
      </c>
      <c r="EK61" s="20">
        <f>IF(Use_Library!$C$60="Income",DR61,(Parcel!$C$27*DB61+CJ61)*DE61)</f>
        <v/>
      </c>
      <c r="EL61" s="39">
        <f>IF(AND(Use_Library!$AX$60=1,Use_Library!$C$60="Income",DZ61&gt;0),EB61/DZ61,0)</f>
        <v/>
      </c>
      <c r="EM61" s="20">
        <f>EH61-EK61</f>
        <v/>
      </c>
      <c r="EN61" s="38">
        <f>IF(AND(Use_Library!$AX$60=1,AM61=1),MAX(0,Parcel!$C$27-((1-CX61)*EH61-EK61)/((1-CX61)*EL61-EJ61)),0)</f>
        <v/>
      </c>
      <c r="EO61" s="20">
        <f>IF(Use_Library!$C$60="Income",Assumptions!$C$15*(Parcel!$C$27*DA61+DP61),0)</f>
        <v/>
      </c>
      <c r="EP61" s="20">
        <f>IF(AND(Use_Library!$C$60="Income",DY61&gt;0),MIN(Assumptions!$C$20*EA61,PV(Assumptions!$C$23/12,Assumptions!$C$24*12,-DY61/Assumptions!$C$21/12),DY61/Assumptions!$C$22),0)</f>
        <v/>
      </c>
      <c r="EQ61" s="27">
        <f>IF(EP61=0,0,DY61/(-PMT(Assumptions!$C$23/12,Assumptions!$C$24*12,EP61)*12))</f>
        <v/>
      </c>
      <c r="ER61" s="20">
        <f>EP61-EO61</f>
        <v/>
      </c>
      <c r="ES61" s="19">
        <f>MAX(DO61,EG61,EN61)</f>
        <v/>
      </c>
      <c r="ET61" s="15">
        <f>IF(ES61&lt;=0,0,IF(DO61=ES61,1,IF(EG61=ES61,2,3)))</f>
        <v/>
      </c>
      <c r="EU61" s="9">
        <f>CHOOSE(ET61+1,"None works","Land / pad sale","Build &amp; sell","Build &amp; hold / lease")</f>
        <v/>
      </c>
      <c r="EV61" s="15">
        <f>CHOOSE(ET61+1,0,CS61,CT61,CU61)</f>
        <v/>
      </c>
      <c r="EW61" s="20">
        <f>ES61*(1-Assumptions!$C$26)</f>
        <v/>
      </c>
      <c r="EX61" s="20">
        <f>ES61-Parcel!$C$27</f>
        <v/>
      </c>
      <c r="EY61" s="20">
        <f>IF(Parcel!$C$14=0,0,ES61/Parcel!$C$14)</f>
        <v/>
      </c>
      <c r="EZ61" s="36">
        <f>IF(AK61=0,0,ES61/AK61)</f>
        <v/>
      </c>
      <c r="FA61" s="9">
        <f>IF(ES61&lt;=0,"Pass",IF(ES61&gt;=Parcel!$C$27*Assumptions!$C$27,"Strong",IF(ES61&gt;=Parcel!$C$27,"Works at asking",IF(ES61&gt;=Parcel!$C$27*Assumptions!$C$28,"Negotiate","Pass"))))</f>
        <v/>
      </c>
      <c r="FB61" s="9">
        <f>IF(AM61=0,"",IF(Use_Library!$BH$60="Y",IF(Use_Effective!$AF$60&gt;=3,"High","Medium"),"Low - verify location"))</f>
        <v/>
      </c>
      <c r="FC61" s="9">
        <f>IF(AND(Use_Library!$BH$60="N",AM61=1),Use_Library!$BI$60,"")</f>
        <v/>
      </c>
      <c r="FD61" s="9">
        <f>TRIM(Q61&amp;" "&amp;IF(AND(AM61=0,T61=1),"Nothing fits. ","")&amp;IF(AND(Use_Library!$AZ$60&lt;&gt;"Y",Parcel!$C$19&lt;Use_Library!$AY$60),"Frontage under "&amp;Use_Library!$AY$60&amp;" LF. ","")&amp;IF(Parcel!$C$17&gt;0.15,"Slope over 15%. ","")&amp;IF(AND(AM61=1,AI61&gt;0.5),TEXT(AI61,"0")&amp;" ac not used - resold as raw land. ","")&amp;IF(AND(AM61=1,AC61&lt;1),"Demand caps it at "&amp;TEXT(AK61,"#,##0")&amp;" "&amp;Use_Library!$D$60&amp;". ","")&amp;IF(AND(AM61=1,L61=1),"Rezone required (+"&amp;Location!$C$32&amp;" mo). ","")&amp;IF(AND(AM61=1,BA61=1),"State wastewater permit needed. ","")&amp;IF(AND(AM61=1,AV61=1),"Public water system needed. ","")&amp;AP61&amp;IF(Parcel!$C$16&gt;Assumptions!$C$29,"Floodplain over "&amp;TEXT(Assumptions!$C$29,"0%")&amp;". ","")&amp;IF(AND(AM61=1,EV61&gt;60),"Over 5 years to exit. ",""))</f>
        <v/>
      </c>
      <c r="FE61" s="20">
        <f>IF(AND(Org_Profile!$C$5="My uses",E61=0),-1E+9,ES61)+ROW()/1000000</f>
        <v/>
      </c>
    </row>
    <row r="62">
      <c r="A62" s="4">
        <f>Use_Library!$A$61</f>
        <v/>
      </c>
      <c r="B62" s="9">
        <f>Use_Library!$C$61</f>
        <v/>
      </c>
      <c r="C62" s="9">
        <f>Use_Library!$D$61</f>
        <v/>
      </c>
      <c r="D62" s="9">
        <f>Use_Library!$F$61</f>
        <v/>
      </c>
      <c r="E62" s="15">
        <f>IF(Org_Profile!$C$78="Y",1,0)</f>
        <v/>
      </c>
      <c r="F62" s="14">
        <f>MAX(0,Parcel!$C$37*(1-Use_Library!$N$61-IF(Use_Library!$AB$61="Y",Assumptions!$C$7,0)))</f>
        <v/>
      </c>
      <c r="G62" s="14">
        <f>IF(Use_Library!$M$61&gt;0,MIN(F62,Use_Library!$M$61),F62)</f>
        <v/>
      </c>
      <c r="H62" s="23">
        <f>IF(F62=0,0,G62/F62)</f>
        <v/>
      </c>
      <c r="I62" s="14">
        <f>Parcel!$C$37*H62</f>
        <v/>
      </c>
      <c r="J62" s="9">
        <f>IF(ISNUMBER(SEARCH(","&amp;Use_Library!$F$61&amp;",",","&amp;SUBSTITUTE(Parcel!$C$11," ","")&amp;",")),"Deed restricted",IF(Parcel!$C$46=0,"No zoning",IF(ISNUMBER(SEARCH(","&amp;Use_Library!$F$61&amp;",",","&amp;SUBSTITUTE(Parcel!$C$10," ","")&amp;",")),"By right",IF(OR(TRIM(Parcel!$C$12)="*",ISNUMBER(SEARCH(","&amp;Use_Library!$F$61&amp;",",","&amp;SUBSTITUTE(Parcel!$C$12," ","")&amp;","))),"Rezone required","Prohibited by zoning"))))</f>
        <v/>
      </c>
      <c r="K62" s="15">
        <f>IF(OR(J62="Deed restricted",J62="Prohibited by zoning"),0,1)</f>
        <v/>
      </c>
      <c r="L62" s="15">
        <f>IF(J62="Rezone required",1,0)</f>
        <v/>
      </c>
      <c r="M62" s="15">
        <f>IF(Parcel!$C$20="None",0,IF(AND(Parcel!$C$20="Private easement",Use_Library!$BA$61="Y"),0,1))</f>
        <v/>
      </c>
      <c r="N62" s="15">
        <f>IF(AND(Use_Library!$AZ$61="Y",Parcel!$C$19&lt;Use_Library!$AY$61),0,1)</f>
        <v/>
      </c>
      <c r="O62" s="15">
        <f>IF(AND(Use_Library!$T$61="Y",Parcel!$C$39=0),0,1)</f>
        <v/>
      </c>
      <c r="P62" s="15">
        <f>IF(AND(Use_Library!$U$61="Y",Parcel!$C$38=0),0,1)</f>
        <v/>
      </c>
      <c r="Q62" s="9">
        <f>TRIM(IF(AND(Use_Library!$BB$61&gt;0,Parcel!$C$28&lt;Use_Library!$BB$61),"Traffic under "&amp;TEXT(Use_Library!$BB$61,"#,##0")&amp;" VPD. ","")&amp;IF(AND(Use_Library!$BC$61&gt;0,Parcel!$C$29&lt;Use_Library!$BC$61),"Under "&amp;TEXT(Use_Library!$BC$61,"#,##0")&amp;" households in 3 mi. ","")&amp;IF(AND(Use_Library!$BD$61&gt;0,Parcel!$C$31&gt;Use_Library!$BD$61),"Over "&amp;Use_Library!$BD$61&amp;" mi to highway. ","")&amp;IF(AND(Use_Library!$BE$61="Y",Parcel!$C$32&lt;&gt;"Y"),"Needs a corner. ","")&amp;IF(AND(Use_Library!$BF$61&gt;0,Parcel!$C$33&gt;Use_Library!$BF$61),"Over "&amp;Use_Library!$BF$61&amp;" mi to substation. ","")&amp;IF(AND(Use_Library!$BG$61&gt;0,Parcel!$C$34&gt;Use_Library!$BG$61),"Over "&amp;Use_Library!$BG$61&amp;" mi to a major employer. ",""))</f>
        <v/>
      </c>
      <c r="R62" s="15">
        <f>IF(Q62="",1,0)</f>
        <v/>
      </c>
      <c r="S62" s="15">
        <f>IF(F62&gt;=Use_Library!$L$61,1,0)</f>
        <v/>
      </c>
      <c r="T62" s="15">
        <f>K62*M62*N62*O62*P62*R62*S62</f>
        <v/>
      </c>
      <c r="U62" s="14">
        <f>IF(Use_Library!$G$61&gt;0,I62*Use_Library!$G$61,1E+9)</f>
        <v/>
      </c>
      <c r="V62" s="14">
        <f>IF(Use_Library!$H$61&gt;0,G62*43560/Use_Library!$H$61,1E+9)</f>
        <v/>
      </c>
      <c r="W62" s="14">
        <f>IF(AND(Use_Library!$K$61="Y",Parcel!$C$39=0),G62*(1-Assumptions!$C$8)/IF(Parcel!$C$38=1,Location!$C$25,Location!$C$26),1E+9)</f>
        <v/>
      </c>
      <c r="X62" s="14">
        <f>IF(Use_Library!$I$61&gt;0,Parcel!$C$14*H62/Use_Library!$I$61,1E+9)</f>
        <v/>
      </c>
      <c r="Y62" s="14">
        <f>IF(Use_Library!$J$61&gt;0,Parcel!$C$19/Use_Library!$J$61,1E+9)</f>
        <v/>
      </c>
      <c r="Z62" s="14">
        <f>IF(AND(Parcel!$C$39=0,Use_Library!$K$61="N",Use_Library!$Y$61&gt;0,Use_Library!$Z$61="Y"),G62*Location!$C$27*Parcel!$C$45/Use_Library!$Y$61,1E+9)</f>
        <v/>
      </c>
      <c r="AA62" s="14">
        <f>MIN(U62,V62,W62,X62,Y62,Z62)</f>
        <v/>
      </c>
      <c r="AB62" s="14">
        <f>IF(Use_Library!$O$61&gt;0,IF(Use_Library!$P$61&gt;=10,Parcel!$C$30,Parcel!$C$29)*Use_Library!$O$61*Use_Library!$Q$61,1E+9)</f>
        <v/>
      </c>
      <c r="AC62" s="23">
        <f>IF(OR(AA62&gt;=1E+9,AA62&lt;=0),1,MIN(1,AB62/AA62))</f>
        <v/>
      </c>
      <c r="AD62" s="14">
        <f>G62*AC62</f>
        <v/>
      </c>
      <c r="AE62" s="23">
        <f>IF(F62=0,0,AD62/F62)</f>
        <v/>
      </c>
      <c r="AF62" s="14">
        <f>Parcel!$C$37*AE62</f>
        <v/>
      </c>
      <c r="AG62" s="14">
        <f>AF62*IF(Use_Library!$AB$61="Y",Assumptions!$C$7,0)</f>
        <v/>
      </c>
      <c r="AH62" s="14">
        <f>AF62*(1-Use_Library!$N$61)</f>
        <v/>
      </c>
      <c r="AI62" s="14">
        <f>Parcel!$C$14*(1-AE62)</f>
        <v/>
      </c>
      <c r="AJ62" s="14">
        <f>MIN(AA62,AB62)</f>
        <v/>
      </c>
      <c r="AK62" s="25">
        <f>IF(T62=0,0,IF(AJ62&gt;=1E+9,AD62,IF(Use_Library!$E$61="Y",INT(AJ62+1E-9),AJ62)))</f>
        <v/>
      </c>
      <c r="AL62" s="9">
        <f>IF(M62=0,"No public road access",IF(K62=0,J62,IF(R62=0,"Location fails",IF(N62=0,"Frontage under "&amp;Use_Library!$AY$61&amp;" LF",IF(S62=0,"Too small - needs "&amp;Use_Library!$L$61&amp;" usable ac",IF(O62=0,"Needs public sewer",IF(P62=0,"Needs public water",IF(AJ62&gt;=1E+9,"Usable acres",IF(AB62&lt;=AA62,"Market demand",IF(W62=AA62,"Septic lot size",IF(Z62=AA62,"Septic capacity (gal/day)",IF(X62=AA62,"Min lot size",IF(Y62=AA62,"Road frontage",IF(V62=AA62,"Site area / parking","Density"))))))))))))))</f>
        <v/>
      </c>
      <c r="AM62" s="15">
        <f>IF(AK62&gt;0,1,0)</f>
        <v/>
      </c>
      <c r="AN62" s="15">
        <f>IF(Use_Library!$Z$61="Y",1,0)*AM62</f>
        <v/>
      </c>
      <c r="AO62" s="14">
        <f>IF(Parcel!$C$39=0,MIN(U62,V62,X62,Y62,AB62),0)</f>
        <v/>
      </c>
      <c r="AP62" s="9">
        <f>IF(AND(Parcel!$C$39=0,M62*K62*R62*N62*S62*P62=1,AO62&lt;1E+9,AO62&gt;=MAX(1,AK62)*1.25),"Unlock: sewer or package plant allows ~"&amp;TEXT(INT(AO62),"#,##0")&amp;" "&amp;Use_Library!$D$61&amp;". ","")</f>
        <v/>
      </c>
      <c r="AQ62" s="15">
        <f>AK62*Use_Library!$AC$61*AN62</f>
        <v/>
      </c>
      <c r="AR62" s="15">
        <f>AK62*Use_Library!$AD$61*AN62</f>
        <v/>
      </c>
      <c r="AS62" s="14">
        <f>AK62*Use_Library!$V$61*AN62</f>
        <v/>
      </c>
      <c r="AT62" s="15">
        <f>IF(Parcel!$C$38=1,AQ62+Parcel!$C$40,0)*AN62</f>
        <v/>
      </c>
      <c r="AU62" s="14">
        <f>AS62*Parcel!$C$38</f>
        <v/>
      </c>
      <c r="AV62" s="15">
        <f>IF(AND(Parcel!$C$38=0,Use_Library!$K$61="N",AS62&gt;=Location!$C$30),1,0)*AN62</f>
        <v/>
      </c>
      <c r="AW62" s="15">
        <f>IF(Parcel!$C$39=1,AQ62+Parcel!$C$41,0)*AN62</f>
        <v/>
      </c>
      <c r="AX62" s="14">
        <f>AS62*Parcel!$C$39</f>
        <v/>
      </c>
      <c r="AY62" s="14">
        <f>IF(Parcel!$C$39=0,AK62*Use_Library!$W$61,0)*AN62</f>
        <v/>
      </c>
      <c r="AZ62" s="15">
        <f>IF(Parcel!$C$39=0,AK62*Use_Library!$Y$61,0)*AN62</f>
        <v/>
      </c>
      <c r="BA62" s="15">
        <f>IF(AND(Use_Library!$K$61="N",AZ62&gt;Location!$C$28),1,0)</f>
        <v/>
      </c>
      <c r="BB62" s="14">
        <f>IF(AND(Parcel!$C$38=0,AV62=0),AK62*Use_Library!$X$61,0)*AN62</f>
        <v/>
      </c>
      <c r="BC62" s="14">
        <f>AH62*Parcel!$C$18*Use_Library!$AA$61*AN62</f>
        <v/>
      </c>
      <c r="BD62" s="14">
        <f>AH62*Use_Library!$AA$61*AN62</f>
        <v/>
      </c>
      <c r="BE62" s="15">
        <f>IF(Use_Library!$C$61="For-Sale",IF(Use_Library!$E$61="Y",AK62,1),1)*AM62</f>
        <v/>
      </c>
      <c r="BF62" s="15">
        <f>IF(OR(Use_Library!$F$61="RES-SF",Use_Library!$F$61="RES-ATT",Use_Library!$F$61="RES-MF",Use_Library!$F$61="MH"),1,0)</f>
        <v/>
      </c>
      <c r="BG62" s="20">
        <f>Cost_Library!$J$5*Location!$C$9*AM62</f>
        <v/>
      </c>
      <c r="BH62" s="20">
        <f>BE62*Cost_Library!$J$6*Location!$C$9</f>
        <v/>
      </c>
      <c r="BI62" s="20">
        <f>BD62*Cost_Library!$J$7*Location!$C$9</f>
        <v/>
      </c>
      <c r="BJ62" s="20">
        <f>Cost_Library!$J$8*Location!$C$9*AN62*IF(Use_Library!$AA$61&gt;=0.5,1,0)</f>
        <v/>
      </c>
      <c r="BK62" s="20">
        <f>AY62*Cost_Library!$J$9*Location!$C$9</f>
        <v/>
      </c>
      <c r="BL62" s="20">
        <f>BA62*Cost_Library!$J$10*Location!$C$9</f>
        <v/>
      </c>
      <c r="BM62" s="20">
        <f>Cost_Library!$J$11*Location!$C$9*AM62</f>
        <v/>
      </c>
      <c r="BN62" s="20">
        <f>Cost_Library!$J$12*Location!$C$9*AN62*IF(Use_Library!$AB$61="Y",1,0)</f>
        <v/>
      </c>
      <c r="BO62" s="20">
        <f>Use_Effective!$C$61*AM62</f>
        <v/>
      </c>
      <c r="BP62" s="20">
        <f>L62*Location!$C$31*AM62</f>
        <v/>
      </c>
      <c r="BQ62" s="20">
        <f>Cost_Library!$J$13*Location!$C$9*AM62</f>
        <v/>
      </c>
      <c r="BR62" s="20">
        <f>BC62*Cost_Library!$J$14*Location!$C$9</f>
        <v/>
      </c>
      <c r="BS62" s="20">
        <f>BD62*Cost_Library!$J$15*Location!$C$9*Parcel!$C$43</f>
        <v/>
      </c>
      <c r="BT62" s="20">
        <f>AQ62*Cost_Library!$J$16*Location!$C$9</f>
        <v/>
      </c>
      <c r="BU62" s="20">
        <f>AR62*Cost_Library!$J$17*Location!$C$9</f>
        <v/>
      </c>
      <c r="BV62" s="20">
        <f>AG62*Cost_Library!$J$18*Location!$C$9*AN62</f>
        <v/>
      </c>
      <c r="BW62" s="20">
        <f>BD62*Cost_Library!$J$19*Location!$C$9</f>
        <v/>
      </c>
      <c r="BX62" s="20">
        <f>IF(Use_Library!$AZ$61="Y",1,0)*Cost_Library!$J$20*Location!$C$9*AN62</f>
        <v/>
      </c>
      <c r="BY62" s="20">
        <f>AT62*Cost_Library!$J$21*Location!$C$9</f>
        <v/>
      </c>
      <c r="BZ62" s="20">
        <f>AU62*Cost_Library!$J$22*Location!$C$9</f>
        <v/>
      </c>
      <c r="CA62" s="20">
        <f>AW62*Cost_Library!$J$23*Location!$C$9</f>
        <v/>
      </c>
      <c r="CB62" s="20">
        <f>AX62*Cost_Library!$J$24*Location!$C$9</f>
        <v/>
      </c>
      <c r="CC62" s="20">
        <f>AY62*Cost_Library!$J$25*Location!$C$9*Parcel!$C$44</f>
        <v/>
      </c>
      <c r="CD62" s="20">
        <f>BB62*Cost_Library!$J$26*Location!$C$9</f>
        <v/>
      </c>
      <c r="CE62" s="20">
        <f>AV62*(Cost_Library!$J$27+AS62*Cost_Library!$J$28)*Location!$C$9</f>
        <v/>
      </c>
      <c r="CF62" s="20">
        <f>AQ62*Cost_Library!$J$29*Location!$C$9</f>
        <v/>
      </c>
      <c r="CG62" s="20">
        <f>SUM(BG62:CF62)</f>
        <v/>
      </c>
      <c r="CH62" s="20">
        <f>CG62*Assumptions!$C$9</f>
        <v/>
      </c>
      <c r="CI62" s="20">
        <f>(CG62+CH62)*Org_Profile!$C$17</f>
        <v/>
      </c>
      <c r="CJ62" s="20">
        <f>CG62+CH62+CI62</f>
        <v/>
      </c>
      <c r="CK62" s="20">
        <f>AK62*Use_Effective!$B$61*(1+Org_Profile!$C$17)</f>
        <v/>
      </c>
      <c r="CL62" s="20">
        <f>CK62*(Assumptions!$C$10+Assumptions!$C$11)</f>
        <v/>
      </c>
      <c r="CM62" s="20">
        <f>AK62*Use_Effective!$D$61</f>
        <v/>
      </c>
      <c r="CN62" s="20">
        <f>AK62*Location!$C$21*BF62*AM62</f>
        <v/>
      </c>
      <c r="CO62" s="14">
        <f>Use_Effective!$F$61+L62*Location!$C$32+BA62*Location!$C$29</f>
        <v/>
      </c>
      <c r="CP62" s="14">
        <f>IF(Use_Effective!$P$61&gt;0,IF(Use_Library!$C$61="For-Sale",AK62,AD62)/Use_Effective!$P$61,0)*AM62</f>
        <v/>
      </c>
      <c r="CQ62" s="14">
        <f>IF(AND(Use_Library!$C$61="For-Sale",Use_Effective!$O$61&gt;0),AK62/Use_Effective!$O$61,0)*AM62</f>
        <v/>
      </c>
      <c r="CR62" s="14">
        <f>IF(Use_Library!$C$61="Income",MAX(Use_Library!$AQ$61,IF(Use_Effective!$O$61&gt;0,AK62/Use_Effective!$O$61,0)),0)</f>
        <v/>
      </c>
      <c r="CS62" s="14">
        <f>CO62+CP62</f>
        <v/>
      </c>
      <c r="CT62" s="14">
        <f>CO62+CQ62+CR62</f>
        <v/>
      </c>
      <c r="CU62" s="14">
        <f>CO62+IF(Use_Library!$C$61="Income",CR62,0)</f>
        <v/>
      </c>
      <c r="CV62" s="23">
        <f>Use_Effective!$G$61+Assumptions!$C$25*MAX(0,(CS62-12)/12)</f>
        <v/>
      </c>
      <c r="CW62" s="23">
        <f>Use_Effective!$G$61+Assumptions!$C$25*MAX(0,(CT62-12)/12)</f>
        <v/>
      </c>
      <c r="CX62" s="23">
        <f>Use_Effective!$G$61+Assumptions!$C$25*MAX(0,(CU62-12)/12)</f>
        <v/>
      </c>
      <c r="CY62" s="28">
        <f>1+Location!$C$17+IF(Parcel!$C$26="Y",Location!$C$20,0)</f>
        <v/>
      </c>
      <c r="CZ62" s="28">
        <f>CY62+Location!$C$19*(CO62+CP62/2)/12</f>
        <v/>
      </c>
      <c r="DA62" s="28">
        <f>CY62+Location!$C$19*(CO62+CQ62/2)/12</f>
        <v/>
      </c>
      <c r="DB62" s="28">
        <f>IF(Use_Library!$C$61="Income",DA62,CY62+Location!$C$19*CO62/12)</f>
        <v/>
      </c>
      <c r="DC62" s="28">
        <f>1+Assumptions!$C$15*(Assumptions!$C$16*(CO62+CP62/2)/12*Assumptions!$C$18+Assumptions!$C$17)</f>
        <v/>
      </c>
      <c r="DD62" s="28">
        <f>1+Assumptions!$C$15*(Assumptions!$C$16*((CO62+CQ62/2)/12*Assumptions!$C$18+CR62/12*Assumptions!$C$19)+Assumptions!$C$17)</f>
        <v/>
      </c>
      <c r="DE62" s="28">
        <f>IF(Use_Library!$C$61="Income",DD62,1+Assumptions!$C$15*(Assumptions!$C$16*CO62/12*Assumptions!$C$18+Assumptions!$C$17))</f>
        <v/>
      </c>
      <c r="DF62" s="23">
        <f>Assumptions!$C$13+Location!$C$18</f>
        <v/>
      </c>
      <c r="DG62" s="23">
        <f>Assumptions!$C$12+Location!$C$18</f>
        <v/>
      </c>
      <c r="DH62" s="23">
        <f>Assumptions!$C$14+Location!$C$18</f>
        <v/>
      </c>
      <c r="DI62" s="20">
        <f>AI62*Location!$C$14*(1-DF62)*AM62</f>
        <v/>
      </c>
      <c r="DJ62" s="20">
        <f>IF(Use_Library!$AV$61=1,IF(Use_Library!$C$61="For-Sale",AK62*Use_Effective!$H$61+Parcel!$C$14*AE62*Use_Effective!$J$61,AD62*Use_Effective!$J$61)*(1-DF62)+DI62,0)*AM62</f>
        <v/>
      </c>
      <c r="DK62" s="20">
        <f>(CG62-BU62-CC62-CD62)*(1+Assumptions!$C$9)*(1+Org_Profile!$C$17)</f>
        <v/>
      </c>
      <c r="DL62" s="28">
        <f>CZ62*DC62</f>
        <v/>
      </c>
      <c r="DM62" s="20">
        <f>(Parcel!$C$27*CZ62+DK62)*DC62</f>
        <v/>
      </c>
      <c r="DN62" s="20">
        <f>DJ62-DM62</f>
        <v/>
      </c>
      <c r="DO62" s="38">
        <f>IF(AND(Use_Library!$AV$61=1,AM62=1),MAX(0,((1-CV62)*DJ62-DK62*DC62)/DL62),0)</f>
        <v/>
      </c>
      <c r="DP62" s="20">
        <f>CJ62+CK62+CL62+CM62+CN62</f>
        <v/>
      </c>
      <c r="DQ62" s="28">
        <f>DA62*DD62</f>
        <v/>
      </c>
      <c r="DR62" s="20">
        <f>(Parcel!$C$27*DA62+DP62)*DD62</f>
        <v/>
      </c>
      <c r="DS62" s="20">
        <f>IF(Use_Library!$C$61="Income",AK62*Use_Effective!$K$61,0)</f>
        <v/>
      </c>
      <c r="DT62" s="20">
        <f>DS62*(1+Use_Library!$AL$61)*(1-Use_Effective!$N$61)</f>
        <v/>
      </c>
      <c r="DU62" s="20">
        <f>IF(Use_Library!$C$61="Income",AK62*Use_Effective!$E$61,0)</f>
        <v/>
      </c>
      <c r="DV62" s="20">
        <f>IF(Use_Library!$C$61="Income",Location!$C$15*Location!$C$16*DR62,0)</f>
        <v/>
      </c>
      <c r="DW62" s="20">
        <f>DT62*Use_Library!$AO$61</f>
        <v/>
      </c>
      <c r="DX62" s="20">
        <f>(DU62+DV62)*Use_Library!$AP$61</f>
        <v/>
      </c>
      <c r="DY62" s="20">
        <f>DT62-DU62-DV62-DW62+DX62</f>
        <v/>
      </c>
      <c r="DZ62" s="26">
        <f>Use_Effective!$M$61</f>
        <v/>
      </c>
      <c r="EA62" s="20">
        <f>IF(AND(Use_Library!$C$61="Income",DZ62&gt;0),DY62/DZ62,0)</f>
        <v/>
      </c>
      <c r="EB62" s="39">
        <f>IF(Use_Library!$C$61="Income",-Location!$C$15*Location!$C$16*(1-Use_Library!$AP$61)*DQ62,0)</f>
        <v/>
      </c>
      <c r="EC62" s="23">
        <f>IF(DR62=0,0,DY62/DR62)</f>
        <v/>
      </c>
      <c r="ED62" s="20">
        <f>IF(Use_Library!$AW$61=1,IF(Use_Library!$C$61="Income",EA62*(1-DH62),AK62*Use_Effective!$I$61*(1-DG62))+DI62,0)*AM62</f>
        <v/>
      </c>
      <c r="EE62" s="39">
        <f>IF(AND(Use_Library!$AW$61=1,Use_Library!$C$61="Income",DZ62&gt;0),EB62/DZ62*(1-DH62),0)</f>
        <v/>
      </c>
      <c r="EF62" s="20">
        <f>ED62-DR62</f>
        <v/>
      </c>
      <c r="EG62" s="38">
        <f>IF(AND(Use_Library!$AW$61=1,AM62=1),MAX(0,Parcel!$C$27-((1-CW62)*ED62-DR62)/((1-CW62)*EE62-DQ62)),0)</f>
        <v/>
      </c>
      <c r="EH62" s="20">
        <f>IF(Use_Library!$AX$61=1,IF(Use_Library!$C$61="Income",EA62,IF(DZ62&gt;0,AD62*Use_Effective!$L$61/DZ62,0))+DI62,0)*AM62</f>
        <v/>
      </c>
      <c r="EI62" s="20">
        <f>IF(Use_Library!$C$61="Income",DP62,CJ62)</f>
        <v/>
      </c>
      <c r="EJ62" s="28">
        <f>IF(Use_Library!$C$61="Income",DQ62,DB62*DE62)</f>
        <v/>
      </c>
      <c r="EK62" s="20">
        <f>IF(Use_Library!$C$61="Income",DR62,(Parcel!$C$27*DB62+CJ62)*DE62)</f>
        <v/>
      </c>
      <c r="EL62" s="39">
        <f>IF(AND(Use_Library!$AX$61=1,Use_Library!$C$61="Income",DZ62&gt;0),EB62/DZ62,0)</f>
        <v/>
      </c>
      <c r="EM62" s="20">
        <f>EH62-EK62</f>
        <v/>
      </c>
      <c r="EN62" s="38">
        <f>IF(AND(Use_Library!$AX$61=1,AM62=1),MAX(0,Parcel!$C$27-((1-CX62)*EH62-EK62)/((1-CX62)*EL62-EJ62)),0)</f>
        <v/>
      </c>
      <c r="EO62" s="20">
        <f>IF(Use_Library!$C$61="Income",Assumptions!$C$15*(Parcel!$C$27*DA62+DP62),0)</f>
        <v/>
      </c>
      <c r="EP62" s="20">
        <f>IF(AND(Use_Library!$C$61="Income",DY62&gt;0),MIN(Assumptions!$C$20*EA62,PV(Assumptions!$C$23/12,Assumptions!$C$24*12,-DY62/Assumptions!$C$21/12),DY62/Assumptions!$C$22),0)</f>
        <v/>
      </c>
      <c r="EQ62" s="27">
        <f>IF(EP62=0,0,DY62/(-PMT(Assumptions!$C$23/12,Assumptions!$C$24*12,EP62)*12))</f>
        <v/>
      </c>
      <c r="ER62" s="20">
        <f>EP62-EO62</f>
        <v/>
      </c>
      <c r="ES62" s="19">
        <f>MAX(DO62,EG62,EN62)</f>
        <v/>
      </c>
      <c r="ET62" s="15">
        <f>IF(ES62&lt;=0,0,IF(DO62=ES62,1,IF(EG62=ES62,2,3)))</f>
        <v/>
      </c>
      <c r="EU62" s="9">
        <f>CHOOSE(ET62+1,"None works","Land / pad sale","Build &amp; sell","Build &amp; hold / lease")</f>
        <v/>
      </c>
      <c r="EV62" s="15">
        <f>CHOOSE(ET62+1,0,CS62,CT62,CU62)</f>
        <v/>
      </c>
      <c r="EW62" s="20">
        <f>ES62*(1-Assumptions!$C$26)</f>
        <v/>
      </c>
      <c r="EX62" s="20">
        <f>ES62-Parcel!$C$27</f>
        <v/>
      </c>
      <c r="EY62" s="20">
        <f>IF(Parcel!$C$14=0,0,ES62/Parcel!$C$14)</f>
        <v/>
      </c>
      <c r="EZ62" s="36">
        <f>IF(AK62=0,0,ES62/AK62)</f>
        <v/>
      </c>
      <c r="FA62" s="9">
        <f>IF(ES62&lt;=0,"Pass",IF(ES62&gt;=Parcel!$C$27*Assumptions!$C$27,"Strong",IF(ES62&gt;=Parcel!$C$27,"Works at asking",IF(ES62&gt;=Parcel!$C$27*Assumptions!$C$28,"Negotiate","Pass"))))</f>
        <v/>
      </c>
      <c r="FB62" s="9">
        <f>IF(AM62=0,"",IF(Use_Library!$BH$61="Y",IF(Use_Effective!$AF$61&gt;=3,"High","Medium"),"Low - verify location"))</f>
        <v/>
      </c>
      <c r="FC62" s="9">
        <f>IF(AND(Use_Library!$BH$61="N",AM62=1),Use_Library!$BI$61,"")</f>
        <v/>
      </c>
      <c r="FD62" s="9">
        <f>TRIM(Q62&amp;" "&amp;IF(AND(AM62=0,T62=1),"Nothing fits. ","")&amp;IF(AND(Use_Library!$AZ$61&lt;&gt;"Y",Parcel!$C$19&lt;Use_Library!$AY$61),"Frontage under "&amp;Use_Library!$AY$61&amp;" LF. ","")&amp;IF(Parcel!$C$17&gt;0.15,"Slope over 15%. ","")&amp;IF(AND(AM62=1,AI62&gt;0.5),TEXT(AI62,"0")&amp;" ac not used - resold as raw land. ","")&amp;IF(AND(AM62=1,AC62&lt;1),"Demand caps it at "&amp;TEXT(AK62,"#,##0")&amp;" "&amp;Use_Library!$D$61&amp;". ","")&amp;IF(AND(AM62=1,L62=1),"Rezone required (+"&amp;Location!$C$32&amp;" mo). ","")&amp;IF(AND(AM62=1,BA62=1),"State wastewater permit needed. ","")&amp;IF(AND(AM62=1,AV62=1),"Public water system needed. ","")&amp;AP62&amp;IF(Parcel!$C$16&gt;Assumptions!$C$29,"Floodplain over "&amp;TEXT(Assumptions!$C$29,"0%")&amp;". ","")&amp;IF(AND(AM62=1,EV62&gt;60),"Over 5 years to exit. ",""))</f>
        <v/>
      </c>
      <c r="FE62" s="20">
        <f>IF(AND(Org_Profile!$C$5="My uses",E62=0),-1E+9,ES62)+ROW()/1000000</f>
        <v/>
      </c>
    </row>
    <row r="63">
      <c r="A63" s="4">
        <f>Use_Library!$A$62</f>
        <v/>
      </c>
      <c r="B63" s="9">
        <f>Use_Library!$C$62</f>
        <v/>
      </c>
      <c r="C63" s="9">
        <f>Use_Library!$D$62</f>
        <v/>
      </c>
      <c r="D63" s="9">
        <f>Use_Library!$F$62</f>
        <v/>
      </c>
      <c r="E63" s="15">
        <f>IF(Org_Profile!$C$79="Y",1,0)</f>
        <v/>
      </c>
      <c r="F63" s="14">
        <f>MAX(0,Parcel!$C$37*(1-Use_Library!$N$62-IF(Use_Library!$AB$62="Y",Assumptions!$C$7,0)))</f>
        <v/>
      </c>
      <c r="G63" s="14">
        <f>IF(Use_Library!$M$62&gt;0,MIN(F63,Use_Library!$M$62),F63)</f>
        <v/>
      </c>
      <c r="H63" s="23">
        <f>IF(F63=0,0,G63/F63)</f>
        <v/>
      </c>
      <c r="I63" s="14">
        <f>Parcel!$C$37*H63</f>
        <v/>
      </c>
      <c r="J63" s="9">
        <f>IF(ISNUMBER(SEARCH(","&amp;Use_Library!$F$62&amp;",",","&amp;SUBSTITUTE(Parcel!$C$11," ","")&amp;",")),"Deed restricted",IF(Parcel!$C$46=0,"No zoning",IF(ISNUMBER(SEARCH(","&amp;Use_Library!$F$62&amp;",",","&amp;SUBSTITUTE(Parcel!$C$10," ","")&amp;",")),"By right",IF(OR(TRIM(Parcel!$C$12)="*",ISNUMBER(SEARCH(","&amp;Use_Library!$F$62&amp;",",","&amp;SUBSTITUTE(Parcel!$C$12," ","")&amp;","))),"Rezone required","Prohibited by zoning"))))</f>
        <v/>
      </c>
      <c r="K63" s="15">
        <f>IF(OR(J63="Deed restricted",J63="Prohibited by zoning"),0,1)</f>
        <v/>
      </c>
      <c r="L63" s="15">
        <f>IF(J63="Rezone required",1,0)</f>
        <v/>
      </c>
      <c r="M63" s="15">
        <f>IF(Parcel!$C$20="None",0,IF(AND(Parcel!$C$20="Private easement",Use_Library!$BA$62="Y"),0,1))</f>
        <v/>
      </c>
      <c r="N63" s="15">
        <f>IF(AND(Use_Library!$AZ$62="Y",Parcel!$C$19&lt;Use_Library!$AY$62),0,1)</f>
        <v/>
      </c>
      <c r="O63" s="15">
        <f>IF(AND(Use_Library!$T$62="Y",Parcel!$C$39=0),0,1)</f>
        <v/>
      </c>
      <c r="P63" s="15">
        <f>IF(AND(Use_Library!$U$62="Y",Parcel!$C$38=0),0,1)</f>
        <v/>
      </c>
      <c r="Q63" s="9">
        <f>TRIM(IF(AND(Use_Library!$BB$62&gt;0,Parcel!$C$28&lt;Use_Library!$BB$62),"Traffic under "&amp;TEXT(Use_Library!$BB$62,"#,##0")&amp;" VPD. ","")&amp;IF(AND(Use_Library!$BC$62&gt;0,Parcel!$C$29&lt;Use_Library!$BC$62),"Under "&amp;TEXT(Use_Library!$BC$62,"#,##0")&amp;" households in 3 mi. ","")&amp;IF(AND(Use_Library!$BD$62&gt;0,Parcel!$C$31&gt;Use_Library!$BD$62),"Over "&amp;Use_Library!$BD$62&amp;" mi to highway. ","")&amp;IF(AND(Use_Library!$BE$62="Y",Parcel!$C$32&lt;&gt;"Y"),"Needs a corner. ","")&amp;IF(AND(Use_Library!$BF$62&gt;0,Parcel!$C$33&gt;Use_Library!$BF$62),"Over "&amp;Use_Library!$BF$62&amp;" mi to substation. ","")&amp;IF(AND(Use_Library!$BG$62&gt;0,Parcel!$C$34&gt;Use_Library!$BG$62),"Over "&amp;Use_Library!$BG$62&amp;" mi to a major employer. ",""))</f>
        <v/>
      </c>
      <c r="R63" s="15">
        <f>IF(Q63="",1,0)</f>
        <v/>
      </c>
      <c r="S63" s="15">
        <f>IF(F63&gt;=Use_Library!$L$62,1,0)</f>
        <v/>
      </c>
      <c r="T63" s="15">
        <f>K63*M63*N63*O63*P63*R63*S63</f>
        <v/>
      </c>
      <c r="U63" s="14">
        <f>IF(Use_Library!$G$62&gt;0,I63*Use_Library!$G$62,1E+9)</f>
        <v/>
      </c>
      <c r="V63" s="14">
        <f>IF(Use_Library!$H$62&gt;0,G63*43560/Use_Library!$H$62,1E+9)</f>
        <v/>
      </c>
      <c r="W63" s="14">
        <f>IF(AND(Use_Library!$K$62="Y",Parcel!$C$39=0),G63*(1-Assumptions!$C$8)/IF(Parcel!$C$38=1,Location!$C$25,Location!$C$26),1E+9)</f>
        <v/>
      </c>
      <c r="X63" s="14">
        <f>IF(Use_Library!$I$62&gt;0,Parcel!$C$14*H63/Use_Library!$I$62,1E+9)</f>
        <v/>
      </c>
      <c r="Y63" s="14">
        <f>IF(Use_Library!$J$62&gt;0,Parcel!$C$19/Use_Library!$J$62,1E+9)</f>
        <v/>
      </c>
      <c r="Z63" s="14">
        <f>IF(AND(Parcel!$C$39=0,Use_Library!$K$62="N",Use_Library!$Y$62&gt;0,Use_Library!$Z$62="Y"),G63*Location!$C$27*Parcel!$C$45/Use_Library!$Y$62,1E+9)</f>
        <v/>
      </c>
      <c r="AA63" s="14">
        <f>MIN(U63,V63,W63,X63,Y63,Z63)</f>
        <v/>
      </c>
      <c r="AB63" s="14">
        <f>IF(Use_Library!$O$62&gt;0,IF(Use_Library!$P$62&gt;=10,Parcel!$C$30,Parcel!$C$29)*Use_Library!$O$62*Use_Library!$Q$62,1E+9)</f>
        <v/>
      </c>
      <c r="AC63" s="23">
        <f>IF(OR(AA63&gt;=1E+9,AA63&lt;=0),1,MIN(1,AB63/AA63))</f>
        <v/>
      </c>
      <c r="AD63" s="14">
        <f>G63*AC63</f>
        <v/>
      </c>
      <c r="AE63" s="23">
        <f>IF(F63=0,0,AD63/F63)</f>
        <v/>
      </c>
      <c r="AF63" s="14">
        <f>Parcel!$C$37*AE63</f>
        <v/>
      </c>
      <c r="AG63" s="14">
        <f>AF63*IF(Use_Library!$AB$62="Y",Assumptions!$C$7,0)</f>
        <v/>
      </c>
      <c r="AH63" s="14">
        <f>AF63*(1-Use_Library!$N$62)</f>
        <v/>
      </c>
      <c r="AI63" s="14">
        <f>Parcel!$C$14*(1-AE63)</f>
        <v/>
      </c>
      <c r="AJ63" s="14">
        <f>MIN(AA63,AB63)</f>
        <v/>
      </c>
      <c r="AK63" s="25">
        <f>IF(T63=0,0,IF(AJ63&gt;=1E+9,AD63,IF(Use_Library!$E$62="Y",INT(AJ63+1E-9),AJ63)))</f>
        <v/>
      </c>
      <c r="AL63" s="9">
        <f>IF(M63=0,"No public road access",IF(K63=0,J63,IF(R63=0,"Location fails",IF(N63=0,"Frontage under "&amp;Use_Library!$AY$62&amp;" LF",IF(S63=0,"Too small - needs "&amp;Use_Library!$L$62&amp;" usable ac",IF(O63=0,"Needs public sewer",IF(P63=0,"Needs public water",IF(AJ63&gt;=1E+9,"Usable acres",IF(AB63&lt;=AA63,"Market demand",IF(W63=AA63,"Septic lot size",IF(Z63=AA63,"Septic capacity (gal/day)",IF(X63=AA63,"Min lot size",IF(Y63=AA63,"Road frontage",IF(V63=AA63,"Site area / parking","Density"))))))))))))))</f>
        <v/>
      </c>
      <c r="AM63" s="15">
        <f>IF(AK63&gt;0,1,0)</f>
        <v/>
      </c>
      <c r="AN63" s="15">
        <f>IF(Use_Library!$Z$62="Y",1,0)*AM63</f>
        <v/>
      </c>
      <c r="AO63" s="14">
        <f>IF(Parcel!$C$39=0,MIN(U63,V63,X63,Y63,AB63),0)</f>
        <v/>
      </c>
      <c r="AP63" s="9">
        <f>IF(AND(Parcel!$C$39=0,M63*K63*R63*N63*S63*P63=1,AO63&lt;1E+9,AO63&gt;=MAX(1,AK63)*1.25),"Unlock: sewer or package plant allows ~"&amp;TEXT(INT(AO63),"#,##0")&amp;" "&amp;Use_Library!$D$62&amp;". ","")</f>
        <v/>
      </c>
      <c r="AQ63" s="15">
        <f>AK63*Use_Library!$AC$62*AN63</f>
        <v/>
      </c>
      <c r="AR63" s="15">
        <f>AK63*Use_Library!$AD$62*AN63</f>
        <v/>
      </c>
      <c r="AS63" s="14">
        <f>AK63*Use_Library!$V$62*AN63</f>
        <v/>
      </c>
      <c r="AT63" s="15">
        <f>IF(Parcel!$C$38=1,AQ63+Parcel!$C$40,0)*AN63</f>
        <v/>
      </c>
      <c r="AU63" s="14">
        <f>AS63*Parcel!$C$38</f>
        <v/>
      </c>
      <c r="AV63" s="15">
        <f>IF(AND(Parcel!$C$38=0,Use_Library!$K$62="N",AS63&gt;=Location!$C$30),1,0)*AN63</f>
        <v/>
      </c>
      <c r="AW63" s="15">
        <f>IF(Parcel!$C$39=1,AQ63+Parcel!$C$41,0)*AN63</f>
        <v/>
      </c>
      <c r="AX63" s="14">
        <f>AS63*Parcel!$C$39</f>
        <v/>
      </c>
      <c r="AY63" s="14">
        <f>IF(Parcel!$C$39=0,AK63*Use_Library!$W$62,0)*AN63</f>
        <v/>
      </c>
      <c r="AZ63" s="15">
        <f>IF(Parcel!$C$39=0,AK63*Use_Library!$Y$62,0)*AN63</f>
        <v/>
      </c>
      <c r="BA63" s="15">
        <f>IF(AND(Use_Library!$K$62="N",AZ63&gt;Location!$C$28),1,0)</f>
        <v/>
      </c>
      <c r="BB63" s="14">
        <f>IF(AND(Parcel!$C$38=0,AV63=0),AK63*Use_Library!$X$62,0)*AN63</f>
        <v/>
      </c>
      <c r="BC63" s="14">
        <f>AH63*Parcel!$C$18*Use_Library!$AA$62*AN63</f>
        <v/>
      </c>
      <c r="BD63" s="14">
        <f>AH63*Use_Library!$AA$62*AN63</f>
        <v/>
      </c>
      <c r="BE63" s="15">
        <f>IF(Use_Library!$C$62="For-Sale",IF(Use_Library!$E$62="Y",AK63,1),1)*AM63</f>
        <v/>
      </c>
      <c r="BF63" s="15">
        <f>IF(OR(Use_Library!$F$62="RES-SF",Use_Library!$F$62="RES-ATT",Use_Library!$F$62="RES-MF",Use_Library!$F$62="MH"),1,0)</f>
        <v/>
      </c>
      <c r="BG63" s="20">
        <f>Cost_Library!$J$5*Location!$C$9*AM63</f>
        <v/>
      </c>
      <c r="BH63" s="20">
        <f>BE63*Cost_Library!$J$6*Location!$C$9</f>
        <v/>
      </c>
      <c r="BI63" s="20">
        <f>BD63*Cost_Library!$J$7*Location!$C$9</f>
        <v/>
      </c>
      <c r="BJ63" s="20">
        <f>Cost_Library!$J$8*Location!$C$9*AN63*IF(Use_Library!$AA$62&gt;=0.5,1,0)</f>
        <v/>
      </c>
      <c r="BK63" s="20">
        <f>AY63*Cost_Library!$J$9*Location!$C$9</f>
        <v/>
      </c>
      <c r="BL63" s="20">
        <f>BA63*Cost_Library!$J$10*Location!$C$9</f>
        <v/>
      </c>
      <c r="BM63" s="20">
        <f>Cost_Library!$J$11*Location!$C$9*AM63</f>
        <v/>
      </c>
      <c r="BN63" s="20">
        <f>Cost_Library!$J$12*Location!$C$9*AN63*IF(Use_Library!$AB$62="Y",1,0)</f>
        <v/>
      </c>
      <c r="BO63" s="20">
        <f>Use_Effective!$C$62*AM63</f>
        <v/>
      </c>
      <c r="BP63" s="20">
        <f>L63*Location!$C$31*AM63</f>
        <v/>
      </c>
      <c r="BQ63" s="20">
        <f>Cost_Library!$J$13*Location!$C$9*AM63</f>
        <v/>
      </c>
      <c r="BR63" s="20">
        <f>BC63*Cost_Library!$J$14*Location!$C$9</f>
        <v/>
      </c>
      <c r="BS63" s="20">
        <f>BD63*Cost_Library!$J$15*Location!$C$9*Parcel!$C$43</f>
        <v/>
      </c>
      <c r="BT63" s="20">
        <f>AQ63*Cost_Library!$J$16*Location!$C$9</f>
        <v/>
      </c>
      <c r="BU63" s="20">
        <f>AR63*Cost_Library!$J$17*Location!$C$9</f>
        <v/>
      </c>
      <c r="BV63" s="20">
        <f>AG63*Cost_Library!$J$18*Location!$C$9*AN63</f>
        <v/>
      </c>
      <c r="BW63" s="20">
        <f>BD63*Cost_Library!$J$19*Location!$C$9</f>
        <v/>
      </c>
      <c r="BX63" s="20">
        <f>IF(Use_Library!$AZ$62="Y",1,0)*Cost_Library!$J$20*Location!$C$9*AN63</f>
        <v/>
      </c>
      <c r="BY63" s="20">
        <f>AT63*Cost_Library!$J$21*Location!$C$9</f>
        <v/>
      </c>
      <c r="BZ63" s="20">
        <f>AU63*Cost_Library!$J$22*Location!$C$9</f>
        <v/>
      </c>
      <c r="CA63" s="20">
        <f>AW63*Cost_Library!$J$23*Location!$C$9</f>
        <v/>
      </c>
      <c r="CB63" s="20">
        <f>AX63*Cost_Library!$J$24*Location!$C$9</f>
        <v/>
      </c>
      <c r="CC63" s="20">
        <f>AY63*Cost_Library!$J$25*Location!$C$9*Parcel!$C$44</f>
        <v/>
      </c>
      <c r="CD63" s="20">
        <f>BB63*Cost_Library!$J$26*Location!$C$9</f>
        <v/>
      </c>
      <c r="CE63" s="20">
        <f>AV63*(Cost_Library!$J$27+AS63*Cost_Library!$J$28)*Location!$C$9</f>
        <v/>
      </c>
      <c r="CF63" s="20">
        <f>AQ63*Cost_Library!$J$29*Location!$C$9</f>
        <v/>
      </c>
      <c r="CG63" s="20">
        <f>SUM(BG63:CF63)</f>
        <v/>
      </c>
      <c r="CH63" s="20">
        <f>CG63*Assumptions!$C$9</f>
        <v/>
      </c>
      <c r="CI63" s="20">
        <f>(CG63+CH63)*Org_Profile!$C$17</f>
        <v/>
      </c>
      <c r="CJ63" s="20">
        <f>CG63+CH63+CI63</f>
        <v/>
      </c>
      <c r="CK63" s="20">
        <f>AK63*Use_Effective!$B$62*(1+Org_Profile!$C$17)</f>
        <v/>
      </c>
      <c r="CL63" s="20">
        <f>CK63*(Assumptions!$C$10+Assumptions!$C$11)</f>
        <v/>
      </c>
      <c r="CM63" s="20">
        <f>AK63*Use_Effective!$D$62</f>
        <v/>
      </c>
      <c r="CN63" s="20">
        <f>AK63*Location!$C$21*BF63*AM63</f>
        <v/>
      </c>
      <c r="CO63" s="14">
        <f>Use_Effective!$F$62+L63*Location!$C$32+BA63*Location!$C$29</f>
        <v/>
      </c>
      <c r="CP63" s="14">
        <f>IF(Use_Effective!$P$62&gt;0,IF(Use_Library!$C$62="For-Sale",AK63,AD63)/Use_Effective!$P$62,0)*AM63</f>
        <v/>
      </c>
      <c r="CQ63" s="14">
        <f>IF(AND(Use_Library!$C$62="For-Sale",Use_Effective!$O$62&gt;0),AK63/Use_Effective!$O$62,0)*AM63</f>
        <v/>
      </c>
      <c r="CR63" s="14">
        <f>IF(Use_Library!$C$62="Income",MAX(Use_Library!$AQ$62,IF(Use_Effective!$O$62&gt;0,AK63/Use_Effective!$O$62,0)),0)</f>
        <v/>
      </c>
      <c r="CS63" s="14">
        <f>CO63+CP63</f>
        <v/>
      </c>
      <c r="CT63" s="14">
        <f>CO63+CQ63+CR63</f>
        <v/>
      </c>
      <c r="CU63" s="14">
        <f>CO63+IF(Use_Library!$C$62="Income",CR63,0)</f>
        <v/>
      </c>
      <c r="CV63" s="23">
        <f>Use_Effective!$G$62+Assumptions!$C$25*MAX(0,(CS63-12)/12)</f>
        <v/>
      </c>
      <c r="CW63" s="23">
        <f>Use_Effective!$G$62+Assumptions!$C$25*MAX(0,(CT63-12)/12)</f>
        <v/>
      </c>
      <c r="CX63" s="23">
        <f>Use_Effective!$G$62+Assumptions!$C$25*MAX(0,(CU63-12)/12)</f>
        <v/>
      </c>
      <c r="CY63" s="28">
        <f>1+Location!$C$17+IF(Parcel!$C$26="Y",Location!$C$20,0)</f>
        <v/>
      </c>
      <c r="CZ63" s="28">
        <f>CY63+Location!$C$19*(CO63+CP63/2)/12</f>
        <v/>
      </c>
      <c r="DA63" s="28">
        <f>CY63+Location!$C$19*(CO63+CQ63/2)/12</f>
        <v/>
      </c>
      <c r="DB63" s="28">
        <f>IF(Use_Library!$C$62="Income",DA63,CY63+Location!$C$19*CO63/12)</f>
        <v/>
      </c>
      <c r="DC63" s="28">
        <f>1+Assumptions!$C$15*(Assumptions!$C$16*(CO63+CP63/2)/12*Assumptions!$C$18+Assumptions!$C$17)</f>
        <v/>
      </c>
      <c r="DD63" s="28">
        <f>1+Assumptions!$C$15*(Assumptions!$C$16*((CO63+CQ63/2)/12*Assumptions!$C$18+CR63/12*Assumptions!$C$19)+Assumptions!$C$17)</f>
        <v/>
      </c>
      <c r="DE63" s="28">
        <f>IF(Use_Library!$C$62="Income",DD63,1+Assumptions!$C$15*(Assumptions!$C$16*CO63/12*Assumptions!$C$18+Assumptions!$C$17))</f>
        <v/>
      </c>
      <c r="DF63" s="23">
        <f>Assumptions!$C$13+Location!$C$18</f>
        <v/>
      </c>
      <c r="DG63" s="23">
        <f>Assumptions!$C$12+Location!$C$18</f>
        <v/>
      </c>
      <c r="DH63" s="23">
        <f>Assumptions!$C$14+Location!$C$18</f>
        <v/>
      </c>
      <c r="DI63" s="20">
        <f>AI63*Location!$C$14*(1-DF63)*AM63</f>
        <v/>
      </c>
      <c r="DJ63" s="20">
        <f>IF(Use_Library!$AV$62=1,IF(Use_Library!$C$62="For-Sale",AK63*Use_Effective!$H$62+Parcel!$C$14*AE63*Use_Effective!$J$62,AD63*Use_Effective!$J$62)*(1-DF63)+DI63,0)*AM63</f>
        <v/>
      </c>
      <c r="DK63" s="20">
        <f>(CG63-BU63-CC63-CD63)*(1+Assumptions!$C$9)*(1+Org_Profile!$C$17)</f>
        <v/>
      </c>
      <c r="DL63" s="28">
        <f>CZ63*DC63</f>
        <v/>
      </c>
      <c r="DM63" s="20">
        <f>(Parcel!$C$27*CZ63+DK63)*DC63</f>
        <v/>
      </c>
      <c r="DN63" s="20">
        <f>DJ63-DM63</f>
        <v/>
      </c>
      <c r="DO63" s="38">
        <f>IF(AND(Use_Library!$AV$62=1,AM63=1),MAX(0,((1-CV63)*DJ63-DK63*DC63)/DL63),0)</f>
        <v/>
      </c>
      <c r="DP63" s="20">
        <f>CJ63+CK63+CL63+CM63+CN63</f>
        <v/>
      </c>
      <c r="DQ63" s="28">
        <f>DA63*DD63</f>
        <v/>
      </c>
      <c r="DR63" s="20">
        <f>(Parcel!$C$27*DA63+DP63)*DD63</f>
        <v/>
      </c>
      <c r="DS63" s="20">
        <f>IF(Use_Library!$C$62="Income",AK63*Use_Effective!$K$62,0)</f>
        <v/>
      </c>
      <c r="DT63" s="20">
        <f>DS63*(1+Use_Library!$AL$62)*(1-Use_Effective!$N$62)</f>
        <v/>
      </c>
      <c r="DU63" s="20">
        <f>IF(Use_Library!$C$62="Income",AK63*Use_Effective!$E$62,0)</f>
        <v/>
      </c>
      <c r="DV63" s="20">
        <f>IF(Use_Library!$C$62="Income",Location!$C$15*Location!$C$16*DR63,0)</f>
        <v/>
      </c>
      <c r="DW63" s="20">
        <f>DT63*Use_Library!$AO$62</f>
        <v/>
      </c>
      <c r="DX63" s="20">
        <f>(DU63+DV63)*Use_Library!$AP$62</f>
        <v/>
      </c>
      <c r="DY63" s="20">
        <f>DT63-DU63-DV63-DW63+DX63</f>
        <v/>
      </c>
      <c r="DZ63" s="26">
        <f>Use_Effective!$M$62</f>
        <v/>
      </c>
      <c r="EA63" s="20">
        <f>IF(AND(Use_Library!$C$62="Income",DZ63&gt;0),DY63/DZ63,0)</f>
        <v/>
      </c>
      <c r="EB63" s="39">
        <f>IF(Use_Library!$C$62="Income",-Location!$C$15*Location!$C$16*(1-Use_Library!$AP$62)*DQ63,0)</f>
        <v/>
      </c>
      <c r="EC63" s="23">
        <f>IF(DR63=0,0,DY63/DR63)</f>
        <v/>
      </c>
      <c r="ED63" s="20">
        <f>IF(Use_Library!$AW$62=1,IF(Use_Library!$C$62="Income",EA63*(1-DH63),AK63*Use_Effective!$I$62*(1-DG63))+DI63,0)*AM63</f>
        <v/>
      </c>
      <c r="EE63" s="39">
        <f>IF(AND(Use_Library!$AW$62=1,Use_Library!$C$62="Income",DZ63&gt;0),EB63/DZ63*(1-DH63),0)</f>
        <v/>
      </c>
      <c r="EF63" s="20">
        <f>ED63-DR63</f>
        <v/>
      </c>
      <c r="EG63" s="38">
        <f>IF(AND(Use_Library!$AW$62=1,AM63=1),MAX(0,Parcel!$C$27-((1-CW63)*ED63-DR63)/((1-CW63)*EE63-DQ63)),0)</f>
        <v/>
      </c>
      <c r="EH63" s="20">
        <f>IF(Use_Library!$AX$62=1,IF(Use_Library!$C$62="Income",EA63,IF(DZ63&gt;0,AD63*Use_Effective!$L$62/DZ63,0))+DI63,0)*AM63</f>
        <v/>
      </c>
      <c r="EI63" s="20">
        <f>IF(Use_Library!$C$62="Income",DP63,CJ63)</f>
        <v/>
      </c>
      <c r="EJ63" s="28">
        <f>IF(Use_Library!$C$62="Income",DQ63,DB63*DE63)</f>
        <v/>
      </c>
      <c r="EK63" s="20">
        <f>IF(Use_Library!$C$62="Income",DR63,(Parcel!$C$27*DB63+CJ63)*DE63)</f>
        <v/>
      </c>
      <c r="EL63" s="39">
        <f>IF(AND(Use_Library!$AX$62=1,Use_Library!$C$62="Income",DZ63&gt;0),EB63/DZ63,0)</f>
        <v/>
      </c>
      <c r="EM63" s="20">
        <f>EH63-EK63</f>
        <v/>
      </c>
      <c r="EN63" s="38">
        <f>IF(AND(Use_Library!$AX$62=1,AM63=1),MAX(0,Parcel!$C$27-((1-CX63)*EH63-EK63)/((1-CX63)*EL63-EJ63)),0)</f>
        <v/>
      </c>
      <c r="EO63" s="20">
        <f>IF(Use_Library!$C$62="Income",Assumptions!$C$15*(Parcel!$C$27*DA63+DP63),0)</f>
        <v/>
      </c>
      <c r="EP63" s="20">
        <f>IF(AND(Use_Library!$C$62="Income",DY63&gt;0),MIN(Assumptions!$C$20*EA63,PV(Assumptions!$C$23/12,Assumptions!$C$24*12,-DY63/Assumptions!$C$21/12),DY63/Assumptions!$C$22),0)</f>
        <v/>
      </c>
      <c r="EQ63" s="27">
        <f>IF(EP63=0,0,DY63/(-PMT(Assumptions!$C$23/12,Assumptions!$C$24*12,EP63)*12))</f>
        <v/>
      </c>
      <c r="ER63" s="20">
        <f>EP63-EO63</f>
        <v/>
      </c>
      <c r="ES63" s="19">
        <f>MAX(DO63,EG63,EN63)</f>
        <v/>
      </c>
      <c r="ET63" s="15">
        <f>IF(ES63&lt;=0,0,IF(DO63=ES63,1,IF(EG63=ES63,2,3)))</f>
        <v/>
      </c>
      <c r="EU63" s="9">
        <f>CHOOSE(ET63+1,"None works","Land / pad sale","Build &amp; sell","Build &amp; hold / lease")</f>
        <v/>
      </c>
      <c r="EV63" s="15">
        <f>CHOOSE(ET63+1,0,CS63,CT63,CU63)</f>
        <v/>
      </c>
      <c r="EW63" s="20">
        <f>ES63*(1-Assumptions!$C$26)</f>
        <v/>
      </c>
      <c r="EX63" s="20">
        <f>ES63-Parcel!$C$27</f>
        <v/>
      </c>
      <c r="EY63" s="20">
        <f>IF(Parcel!$C$14=0,0,ES63/Parcel!$C$14)</f>
        <v/>
      </c>
      <c r="EZ63" s="36">
        <f>IF(AK63=0,0,ES63/AK63)</f>
        <v/>
      </c>
      <c r="FA63" s="9">
        <f>IF(ES63&lt;=0,"Pass",IF(ES63&gt;=Parcel!$C$27*Assumptions!$C$27,"Strong",IF(ES63&gt;=Parcel!$C$27,"Works at asking",IF(ES63&gt;=Parcel!$C$27*Assumptions!$C$28,"Negotiate","Pass"))))</f>
        <v/>
      </c>
      <c r="FB63" s="9">
        <f>IF(AM63=0,"",IF(Use_Library!$BH$62="Y",IF(Use_Effective!$AF$62&gt;=3,"High","Medium"),"Low - verify location"))</f>
        <v/>
      </c>
      <c r="FC63" s="9">
        <f>IF(AND(Use_Library!$BH$62="N",AM63=1),Use_Library!$BI$62,"")</f>
        <v/>
      </c>
      <c r="FD63" s="9">
        <f>TRIM(Q63&amp;" "&amp;IF(AND(AM63=0,T63=1),"Nothing fits. ","")&amp;IF(AND(Use_Library!$AZ$62&lt;&gt;"Y",Parcel!$C$19&lt;Use_Library!$AY$62),"Frontage under "&amp;Use_Library!$AY$62&amp;" LF. ","")&amp;IF(Parcel!$C$17&gt;0.15,"Slope over 15%. ","")&amp;IF(AND(AM63=1,AI63&gt;0.5),TEXT(AI63,"0")&amp;" ac not used - resold as raw land. ","")&amp;IF(AND(AM63=1,AC63&lt;1),"Demand caps it at "&amp;TEXT(AK63,"#,##0")&amp;" "&amp;Use_Library!$D$62&amp;". ","")&amp;IF(AND(AM63=1,L63=1),"Rezone required (+"&amp;Location!$C$32&amp;" mo). ","")&amp;IF(AND(AM63=1,BA63=1),"State wastewater permit needed. ","")&amp;IF(AND(AM63=1,AV63=1),"Public water system needed. ","")&amp;AP63&amp;IF(Parcel!$C$16&gt;Assumptions!$C$29,"Floodplain over "&amp;TEXT(Assumptions!$C$29,"0%")&amp;". ","")&amp;IF(AND(AM63=1,EV63&gt;60),"Over 5 years to exit. ",""))</f>
        <v/>
      </c>
      <c r="FE63" s="20">
        <f>IF(AND(Org_Profile!$C$5="My uses",E63=0),-1E+9,ES63)+ROW()/1000000</f>
        <v/>
      </c>
    </row>
    <row r="64">
      <c r="A64" s="4">
        <f>Use_Library!$A$63</f>
        <v/>
      </c>
      <c r="B64" s="9">
        <f>Use_Library!$C$63</f>
        <v/>
      </c>
      <c r="C64" s="9">
        <f>Use_Library!$D$63</f>
        <v/>
      </c>
      <c r="D64" s="9">
        <f>Use_Library!$F$63</f>
        <v/>
      </c>
      <c r="E64" s="15">
        <f>IF(Org_Profile!$C$80="Y",1,0)</f>
        <v/>
      </c>
      <c r="F64" s="14">
        <f>MAX(0,Parcel!$C$37*(1-Use_Library!$N$63-IF(Use_Library!$AB$63="Y",Assumptions!$C$7,0)))</f>
        <v/>
      </c>
      <c r="G64" s="14">
        <f>IF(Use_Library!$M$63&gt;0,MIN(F64,Use_Library!$M$63),F64)</f>
        <v/>
      </c>
      <c r="H64" s="23">
        <f>IF(F64=0,0,G64/F64)</f>
        <v/>
      </c>
      <c r="I64" s="14">
        <f>Parcel!$C$37*H64</f>
        <v/>
      </c>
      <c r="J64" s="9">
        <f>IF(ISNUMBER(SEARCH(","&amp;Use_Library!$F$63&amp;",",","&amp;SUBSTITUTE(Parcel!$C$11," ","")&amp;",")),"Deed restricted",IF(Parcel!$C$46=0,"No zoning",IF(ISNUMBER(SEARCH(","&amp;Use_Library!$F$63&amp;",",","&amp;SUBSTITUTE(Parcel!$C$10," ","")&amp;",")),"By right",IF(OR(TRIM(Parcel!$C$12)="*",ISNUMBER(SEARCH(","&amp;Use_Library!$F$63&amp;",",","&amp;SUBSTITUTE(Parcel!$C$12," ","")&amp;","))),"Rezone required","Prohibited by zoning"))))</f>
        <v/>
      </c>
      <c r="K64" s="15">
        <f>IF(OR(J64="Deed restricted",J64="Prohibited by zoning"),0,1)</f>
        <v/>
      </c>
      <c r="L64" s="15">
        <f>IF(J64="Rezone required",1,0)</f>
        <v/>
      </c>
      <c r="M64" s="15">
        <f>IF(Parcel!$C$20="None",0,IF(AND(Parcel!$C$20="Private easement",Use_Library!$BA$63="Y"),0,1))</f>
        <v/>
      </c>
      <c r="N64" s="15">
        <f>IF(AND(Use_Library!$AZ$63="Y",Parcel!$C$19&lt;Use_Library!$AY$63),0,1)</f>
        <v/>
      </c>
      <c r="O64" s="15">
        <f>IF(AND(Use_Library!$T$63="Y",Parcel!$C$39=0),0,1)</f>
        <v/>
      </c>
      <c r="P64" s="15">
        <f>IF(AND(Use_Library!$U$63="Y",Parcel!$C$38=0),0,1)</f>
        <v/>
      </c>
      <c r="Q64" s="9">
        <f>TRIM(IF(AND(Use_Library!$BB$63&gt;0,Parcel!$C$28&lt;Use_Library!$BB$63),"Traffic under "&amp;TEXT(Use_Library!$BB$63,"#,##0")&amp;" VPD. ","")&amp;IF(AND(Use_Library!$BC$63&gt;0,Parcel!$C$29&lt;Use_Library!$BC$63),"Under "&amp;TEXT(Use_Library!$BC$63,"#,##0")&amp;" households in 3 mi. ","")&amp;IF(AND(Use_Library!$BD$63&gt;0,Parcel!$C$31&gt;Use_Library!$BD$63),"Over "&amp;Use_Library!$BD$63&amp;" mi to highway. ","")&amp;IF(AND(Use_Library!$BE$63="Y",Parcel!$C$32&lt;&gt;"Y"),"Needs a corner. ","")&amp;IF(AND(Use_Library!$BF$63&gt;0,Parcel!$C$33&gt;Use_Library!$BF$63),"Over "&amp;Use_Library!$BF$63&amp;" mi to substation. ","")&amp;IF(AND(Use_Library!$BG$63&gt;0,Parcel!$C$34&gt;Use_Library!$BG$63),"Over "&amp;Use_Library!$BG$63&amp;" mi to a major employer. ",""))</f>
        <v/>
      </c>
      <c r="R64" s="15">
        <f>IF(Q64="",1,0)</f>
        <v/>
      </c>
      <c r="S64" s="15">
        <f>IF(F64&gt;=Use_Library!$L$63,1,0)</f>
        <v/>
      </c>
      <c r="T64" s="15">
        <f>K64*M64*N64*O64*P64*R64*S64</f>
        <v/>
      </c>
      <c r="U64" s="14">
        <f>IF(Use_Library!$G$63&gt;0,I64*Use_Library!$G$63,1E+9)</f>
        <v/>
      </c>
      <c r="V64" s="14">
        <f>IF(Use_Library!$H$63&gt;0,G64*43560/Use_Library!$H$63,1E+9)</f>
        <v/>
      </c>
      <c r="W64" s="14">
        <f>IF(AND(Use_Library!$K$63="Y",Parcel!$C$39=0),G64*(1-Assumptions!$C$8)/IF(Parcel!$C$38=1,Location!$C$25,Location!$C$26),1E+9)</f>
        <v/>
      </c>
      <c r="X64" s="14">
        <f>IF(Use_Library!$I$63&gt;0,Parcel!$C$14*H64/Use_Library!$I$63,1E+9)</f>
        <v/>
      </c>
      <c r="Y64" s="14">
        <f>IF(Use_Library!$J$63&gt;0,Parcel!$C$19/Use_Library!$J$63,1E+9)</f>
        <v/>
      </c>
      <c r="Z64" s="14">
        <f>IF(AND(Parcel!$C$39=0,Use_Library!$K$63="N",Use_Library!$Y$63&gt;0,Use_Library!$Z$63="Y"),G64*Location!$C$27*Parcel!$C$45/Use_Library!$Y$63,1E+9)</f>
        <v/>
      </c>
      <c r="AA64" s="14">
        <f>MIN(U64,V64,W64,X64,Y64,Z64)</f>
        <v/>
      </c>
      <c r="AB64" s="14">
        <f>IF(Use_Library!$O$63&gt;0,IF(Use_Library!$P$63&gt;=10,Parcel!$C$30,Parcel!$C$29)*Use_Library!$O$63*Use_Library!$Q$63,1E+9)</f>
        <v/>
      </c>
      <c r="AC64" s="23">
        <f>IF(OR(AA64&gt;=1E+9,AA64&lt;=0),1,MIN(1,AB64/AA64))</f>
        <v/>
      </c>
      <c r="AD64" s="14">
        <f>G64*AC64</f>
        <v/>
      </c>
      <c r="AE64" s="23">
        <f>IF(F64=0,0,AD64/F64)</f>
        <v/>
      </c>
      <c r="AF64" s="14">
        <f>Parcel!$C$37*AE64</f>
        <v/>
      </c>
      <c r="AG64" s="14">
        <f>AF64*IF(Use_Library!$AB$63="Y",Assumptions!$C$7,0)</f>
        <v/>
      </c>
      <c r="AH64" s="14">
        <f>AF64*(1-Use_Library!$N$63)</f>
        <v/>
      </c>
      <c r="AI64" s="14">
        <f>Parcel!$C$14*(1-AE64)</f>
        <v/>
      </c>
      <c r="AJ64" s="14">
        <f>MIN(AA64,AB64)</f>
        <v/>
      </c>
      <c r="AK64" s="25">
        <f>IF(T64=0,0,IF(AJ64&gt;=1E+9,AD64,IF(Use_Library!$E$63="Y",INT(AJ64+1E-9),AJ64)))</f>
        <v/>
      </c>
      <c r="AL64" s="9">
        <f>IF(M64=0,"No public road access",IF(K64=0,J64,IF(R64=0,"Location fails",IF(N64=0,"Frontage under "&amp;Use_Library!$AY$63&amp;" LF",IF(S64=0,"Too small - needs "&amp;Use_Library!$L$63&amp;" usable ac",IF(O64=0,"Needs public sewer",IF(P64=0,"Needs public water",IF(AJ64&gt;=1E+9,"Usable acres",IF(AB64&lt;=AA64,"Market demand",IF(W64=AA64,"Septic lot size",IF(Z64=AA64,"Septic capacity (gal/day)",IF(X64=AA64,"Min lot size",IF(Y64=AA64,"Road frontage",IF(V64=AA64,"Site area / parking","Density"))))))))))))))</f>
        <v/>
      </c>
      <c r="AM64" s="15">
        <f>IF(AK64&gt;0,1,0)</f>
        <v/>
      </c>
      <c r="AN64" s="15">
        <f>IF(Use_Library!$Z$63="Y",1,0)*AM64</f>
        <v/>
      </c>
      <c r="AO64" s="14">
        <f>IF(Parcel!$C$39=0,MIN(U64,V64,X64,Y64,AB64),0)</f>
        <v/>
      </c>
      <c r="AP64" s="9">
        <f>IF(AND(Parcel!$C$39=0,M64*K64*R64*N64*S64*P64=1,AO64&lt;1E+9,AO64&gt;=MAX(1,AK64)*1.25),"Unlock: sewer or package plant allows ~"&amp;TEXT(INT(AO64),"#,##0")&amp;" "&amp;Use_Library!$D$63&amp;". ","")</f>
        <v/>
      </c>
      <c r="AQ64" s="15">
        <f>AK64*Use_Library!$AC$63*AN64</f>
        <v/>
      </c>
      <c r="AR64" s="15">
        <f>AK64*Use_Library!$AD$63*AN64</f>
        <v/>
      </c>
      <c r="AS64" s="14">
        <f>AK64*Use_Library!$V$63*AN64</f>
        <v/>
      </c>
      <c r="AT64" s="15">
        <f>IF(Parcel!$C$38=1,AQ64+Parcel!$C$40,0)*AN64</f>
        <v/>
      </c>
      <c r="AU64" s="14">
        <f>AS64*Parcel!$C$38</f>
        <v/>
      </c>
      <c r="AV64" s="15">
        <f>IF(AND(Parcel!$C$38=0,Use_Library!$K$63="N",AS64&gt;=Location!$C$30),1,0)*AN64</f>
        <v/>
      </c>
      <c r="AW64" s="15">
        <f>IF(Parcel!$C$39=1,AQ64+Parcel!$C$41,0)*AN64</f>
        <v/>
      </c>
      <c r="AX64" s="14">
        <f>AS64*Parcel!$C$39</f>
        <v/>
      </c>
      <c r="AY64" s="14">
        <f>IF(Parcel!$C$39=0,AK64*Use_Library!$W$63,0)*AN64</f>
        <v/>
      </c>
      <c r="AZ64" s="15">
        <f>IF(Parcel!$C$39=0,AK64*Use_Library!$Y$63,0)*AN64</f>
        <v/>
      </c>
      <c r="BA64" s="15">
        <f>IF(AND(Use_Library!$K$63="N",AZ64&gt;Location!$C$28),1,0)</f>
        <v/>
      </c>
      <c r="BB64" s="14">
        <f>IF(AND(Parcel!$C$38=0,AV64=0),AK64*Use_Library!$X$63,0)*AN64</f>
        <v/>
      </c>
      <c r="BC64" s="14">
        <f>AH64*Parcel!$C$18*Use_Library!$AA$63*AN64</f>
        <v/>
      </c>
      <c r="BD64" s="14">
        <f>AH64*Use_Library!$AA$63*AN64</f>
        <v/>
      </c>
      <c r="BE64" s="15">
        <f>IF(Use_Library!$C$63="For-Sale",IF(Use_Library!$E$63="Y",AK64,1),1)*AM64</f>
        <v/>
      </c>
      <c r="BF64" s="15">
        <f>IF(OR(Use_Library!$F$63="RES-SF",Use_Library!$F$63="RES-ATT",Use_Library!$F$63="RES-MF",Use_Library!$F$63="MH"),1,0)</f>
        <v/>
      </c>
      <c r="BG64" s="20">
        <f>Cost_Library!$J$5*Location!$C$9*AM64</f>
        <v/>
      </c>
      <c r="BH64" s="20">
        <f>BE64*Cost_Library!$J$6*Location!$C$9</f>
        <v/>
      </c>
      <c r="BI64" s="20">
        <f>BD64*Cost_Library!$J$7*Location!$C$9</f>
        <v/>
      </c>
      <c r="BJ64" s="20">
        <f>Cost_Library!$J$8*Location!$C$9*AN64*IF(Use_Library!$AA$63&gt;=0.5,1,0)</f>
        <v/>
      </c>
      <c r="BK64" s="20">
        <f>AY64*Cost_Library!$J$9*Location!$C$9</f>
        <v/>
      </c>
      <c r="BL64" s="20">
        <f>BA64*Cost_Library!$J$10*Location!$C$9</f>
        <v/>
      </c>
      <c r="BM64" s="20">
        <f>Cost_Library!$J$11*Location!$C$9*AM64</f>
        <v/>
      </c>
      <c r="BN64" s="20">
        <f>Cost_Library!$J$12*Location!$C$9*AN64*IF(Use_Library!$AB$63="Y",1,0)</f>
        <v/>
      </c>
      <c r="BO64" s="20">
        <f>Use_Effective!$C$63*AM64</f>
        <v/>
      </c>
      <c r="BP64" s="20">
        <f>L64*Location!$C$31*AM64</f>
        <v/>
      </c>
      <c r="BQ64" s="20">
        <f>Cost_Library!$J$13*Location!$C$9*AM64</f>
        <v/>
      </c>
      <c r="BR64" s="20">
        <f>BC64*Cost_Library!$J$14*Location!$C$9</f>
        <v/>
      </c>
      <c r="BS64" s="20">
        <f>BD64*Cost_Library!$J$15*Location!$C$9*Parcel!$C$43</f>
        <v/>
      </c>
      <c r="BT64" s="20">
        <f>AQ64*Cost_Library!$J$16*Location!$C$9</f>
        <v/>
      </c>
      <c r="BU64" s="20">
        <f>AR64*Cost_Library!$J$17*Location!$C$9</f>
        <v/>
      </c>
      <c r="BV64" s="20">
        <f>AG64*Cost_Library!$J$18*Location!$C$9*AN64</f>
        <v/>
      </c>
      <c r="BW64" s="20">
        <f>BD64*Cost_Library!$J$19*Location!$C$9</f>
        <v/>
      </c>
      <c r="BX64" s="20">
        <f>IF(Use_Library!$AZ$63="Y",1,0)*Cost_Library!$J$20*Location!$C$9*AN64</f>
        <v/>
      </c>
      <c r="BY64" s="20">
        <f>AT64*Cost_Library!$J$21*Location!$C$9</f>
        <v/>
      </c>
      <c r="BZ64" s="20">
        <f>AU64*Cost_Library!$J$22*Location!$C$9</f>
        <v/>
      </c>
      <c r="CA64" s="20">
        <f>AW64*Cost_Library!$J$23*Location!$C$9</f>
        <v/>
      </c>
      <c r="CB64" s="20">
        <f>AX64*Cost_Library!$J$24*Location!$C$9</f>
        <v/>
      </c>
      <c r="CC64" s="20">
        <f>AY64*Cost_Library!$J$25*Location!$C$9*Parcel!$C$44</f>
        <v/>
      </c>
      <c r="CD64" s="20">
        <f>BB64*Cost_Library!$J$26*Location!$C$9</f>
        <v/>
      </c>
      <c r="CE64" s="20">
        <f>AV64*(Cost_Library!$J$27+AS64*Cost_Library!$J$28)*Location!$C$9</f>
        <v/>
      </c>
      <c r="CF64" s="20">
        <f>AQ64*Cost_Library!$J$29*Location!$C$9</f>
        <v/>
      </c>
      <c r="CG64" s="20">
        <f>SUM(BG64:CF64)</f>
        <v/>
      </c>
      <c r="CH64" s="20">
        <f>CG64*Assumptions!$C$9</f>
        <v/>
      </c>
      <c r="CI64" s="20">
        <f>(CG64+CH64)*Org_Profile!$C$17</f>
        <v/>
      </c>
      <c r="CJ64" s="20">
        <f>CG64+CH64+CI64</f>
        <v/>
      </c>
      <c r="CK64" s="20">
        <f>AK64*Use_Effective!$B$63*(1+Org_Profile!$C$17)</f>
        <v/>
      </c>
      <c r="CL64" s="20">
        <f>CK64*(Assumptions!$C$10+Assumptions!$C$11)</f>
        <v/>
      </c>
      <c r="CM64" s="20">
        <f>AK64*Use_Effective!$D$63</f>
        <v/>
      </c>
      <c r="CN64" s="20">
        <f>AK64*Location!$C$21*BF64*AM64</f>
        <v/>
      </c>
      <c r="CO64" s="14">
        <f>Use_Effective!$F$63+L64*Location!$C$32+BA64*Location!$C$29</f>
        <v/>
      </c>
      <c r="CP64" s="14">
        <f>IF(Use_Effective!$P$63&gt;0,IF(Use_Library!$C$63="For-Sale",AK64,AD64)/Use_Effective!$P$63,0)*AM64</f>
        <v/>
      </c>
      <c r="CQ64" s="14">
        <f>IF(AND(Use_Library!$C$63="For-Sale",Use_Effective!$O$63&gt;0),AK64/Use_Effective!$O$63,0)*AM64</f>
        <v/>
      </c>
      <c r="CR64" s="14">
        <f>IF(Use_Library!$C$63="Income",MAX(Use_Library!$AQ$63,IF(Use_Effective!$O$63&gt;0,AK64/Use_Effective!$O$63,0)),0)</f>
        <v/>
      </c>
      <c r="CS64" s="14">
        <f>CO64+CP64</f>
        <v/>
      </c>
      <c r="CT64" s="14">
        <f>CO64+CQ64+CR64</f>
        <v/>
      </c>
      <c r="CU64" s="14">
        <f>CO64+IF(Use_Library!$C$63="Income",CR64,0)</f>
        <v/>
      </c>
      <c r="CV64" s="23">
        <f>Use_Effective!$G$63+Assumptions!$C$25*MAX(0,(CS64-12)/12)</f>
        <v/>
      </c>
      <c r="CW64" s="23">
        <f>Use_Effective!$G$63+Assumptions!$C$25*MAX(0,(CT64-12)/12)</f>
        <v/>
      </c>
      <c r="CX64" s="23">
        <f>Use_Effective!$G$63+Assumptions!$C$25*MAX(0,(CU64-12)/12)</f>
        <v/>
      </c>
      <c r="CY64" s="28">
        <f>1+Location!$C$17+IF(Parcel!$C$26="Y",Location!$C$20,0)</f>
        <v/>
      </c>
      <c r="CZ64" s="28">
        <f>CY64+Location!$C$19*(CO64+CP64/2)/12</f>
        <v/>
      </c>
      <c r="DA64" s="28">
        <f>CY64+Location!$C$19*(CO64+CQ64/2)/12</f>
        <v/>
      </c>
      <c r="DB64" s="28">
        <f>IF(Use_Library!$C$63="Income",DA64,CY64+Location!$C$19*CO64/12)</f>
        <v/>
      </c>
      <c r="DC64" s="28">
        <f>1+Assumptions!$C$15*(Assumptions!$C$16*(CO64+CP64/2)/12*Assumptions!$C$18+Assumptions!$C$17)</f>
        <v/>
      </c>
      <c r="DD64" s="28">
        <f>1+Assumptions!$C$15*(Assumptions!$C$16*((CO64+CQ64/2)/12*Assumptions!$C$18+CR64/12*Assumptions!$C$19)+Assumptions!$C$17)</f>
        <v/>
      </c>
      <c r="DE64" s="28">
        <f>IF(Use_Library!$C$63="Income",DD64,1+Assumptions!$C$15*(Assumptions!$C$16*CO64/12*Assumptions!$C$18+Assumptions!$C$17))</f>
        <v/>
      </c>
      <c r="DF64" s="23">
        <f>Assumptions!$C$13+Location!$C$18</f>
        <v/>
      </c>
      <c r="DG64" s="23">
        <f>Assumptions!$C$12+Location!$C$18</f>
        <v/>
      </c>
      <c r="DH64" s="23">
        <f>Assumptions!$C$14+Location!$C$18</f>
        <v/>
      </c>
      <c r="DI64" s="20">
        <f>AI64*Location!$C$14*(1-DF64)*AM64</f>
        <v/>
      </c>
      <c r="DJ64" s="20">
        <f>IF(Use_Library!$AV$63=1,IF(Use_Library!$C$63="For-Sale",AK64*Use_Effective!$H$63+Parcel!$C$14*AE64*Use_Effective!$J$63,AD64*Use_Effective!$J$63)*(1-DF64)+DI64,0)*AM64</f>
        <v/>
      </c>
      <c r="DK64" s="20">
        <f>(CG64-BU64-CC64-CD64)*(1+Assumptions!$C$9)*(1+Org_Profile!$C$17)</f>
        <v/>
      </c>
      <c r="DL64" s="28">
        <f>CZ64*DC64</f>
        <v/>
      </c>
      <c r="DM64" s="20">
        <f>(Parcel!$C$27*CZ64+DK64)*DC64</f>
        <v/>
      </c>
      <c r="DN64" s="20">
        <f>DJ64-DM64</f>
        <v/>
      </c>
      <c r="DO64" s="38">
        <f>IF(AND(Use_Library!$AV$63=1,AM64=1),MAX(0,((1-CV64)*DJ64-DK64*DC64)/DL64),0)</f>
        <v/>
      </c>
      <c r="DP64" s="20">
        <f>CJ64+CK64+CL64+CM64+CN64</f>
        <v/>
      </c>
      <c r="DQ64" s="28">
        <f>DA64*DD64</f>
        <v/>
      </c>
      <c r="DR64" s="20">
        <f>(Parcel!$C$27*DA64+DP64)*DD64</f>
        <v/>
      </c>
      <c r="DS64" s="20">
        <f>IF(Use_Library!$C$63="Income",AK64*Use_Effective!$K$63,0)</f>
        <v/>
      </c>
      <c r="DT64" s="20">
        <f>DS64*(1+Use_Library!$AL$63)*(1-Use_Effective!$N$63)</f>
        <v/>
      </c>
      <c r="DU64" s="20">
        <f>IF(Use_Library!$C$63="Income",AK64*Use_Effective!$E$63,0)</f>
        <v/>
      </c>
      <c r="DV64" s="20">
        <f>IF(Use_Library!$C$63="Income",Location!$C$15*Location!$C$16*DR64,0)</f>
        <v/>
      </c>
      <c r="DW64" s="20">
        <f>DT64*Use_Library!$AO$63</f>
        <v/>
      </c>
      <c r="DX64" s="20">
        <f>(DU64+DV64)*Use_Library!$AP$63</f>
        <v/>
      </c>
      <c r="DY64" s="20">
        <f>DT64-DU64-DV64-DW64+DX64</f>
        <v/>
      </c>
      <c r="DZ64" s="26">
        <f>Use_Effective!$M$63</f>
        <v/>
      </c>
      <c r="EA64" s="20">
        <f>IF(AND(Use_Library!$C$63="Income",DZ64&gt;0),DY64/DZ64,0)</f>
        <v/>
      </c>
      <c r="EB64" s="39">
        <f>IF(Use_Library!$C$63="Income",-Location!$C$15*Location!$C$16*(1-Use_Library!$AP$63)*DQ64,0)</f>
        <v/>
      </c>
      <c r="EC64" s="23">
        <f>IF(DR64=0,0,DY64/DR64)</f>
        <v/>
      </c>
      <c r="ED64" s="20">
        <f>IF(Use_Library!$AW$63=1,IF(Use_Library!$C$63="Income",EA64*(1-DH64),AK64*Use_Effective!$I$63*(1-DG64))+DI64,0)*AM64</f>
        <v/>
      </c>
      <c r="EE64" s="39">
        <f>IF(AND(Use_Library!$AW$63=1,Use_Library!$C$63="Income",DZ64&gt;0),EB64/DZ64*(1-DH64),0)</f>
        <v/>
      </c>
      <c r="EF64" s="20">
        <f>ED64-DR64</f>
        <v/>
      </c>
      <c r="EG64" s="38">
        <f>IF(AND(Use_Library!$AW$63=1,AM64=1),MAX(0,Parcel!$C$27-((1-CW64)*ED64-DR64)/((1-CW64)*EE64-DQ64)),0)</f>
        <v/>
      </c>
      <c r="EH64" s="20">
        <f>IF(Use_Library!$AX$63=1,IF(Use_Library!$C$63="Income",EA64,IF(DZ64&gt;0,AD64*Use_Effective!$L$63/DZ64,0))+DI64,0)*AM64</f>
        <v/>
      </c>
      <c r="EI64" s="20">
        <f>IF(Use_Library!$C$63="Income",DP64,CJ64)</f>
        <v/>
      </c>
      <c r="EJ64" s="28">
        <f>IF(Use_Library!$C$63="Income",DQ64,DB64*DE64)</f>
        <v/>
      </c>
      <c r="EK64" s="20">
        <f>IF(Use_Library!$C$63="Income",DR64,(Parcel!$C$27*DB64+CJ64)*DE64)</f>
        <v/>
      </c>
      <c r="EL64" s="39">
        <f>IF(AND(Use_Library!$AX$63=1,Use_Library!$C$63="Income",DZ64&gt;0),EB64/DZ64,0)</f>
        <v/>
      </c>
      <c r="EM64" s="20">
        <f>EH64-EK64</f>
        <v/>
      </c>
      <c r="EN64" s="38">
        <f>IF(AND(Use_Library!$AX$63=1,AM64=1),MAX(0,Parcel!$C$27-((1-CX64)*EH64-EK64)/((1-CX64)*EL64-EJ64)),0)</f>
        <v/>
      </c>
      <c r="EO64" s="20">
        <f>IF(Use_Library!$C$63="Income",Assumptions!$C$15*(Parcel!$C$27*DA64+DP64),0)</f>
        <v/>
      </c>
      <c r="EP64" s="20">
        <f>IF(AND(Use_Library!$C$63="Income",DY64&gt;0),MIN(Assumptions!$C$20*EA64,PV(Assumptions!$C$23/12,Assumptions!$C$24*12,-DY64/Assumptions!$C$21/12),DY64/Assumptions!$C$22),0)</f>
        <v/>
      </c>
      <c r="EQ64" s="27">
        <f>IF(EP64=0,0,DY64/(-PMT(Assumptions!$C$23/12,Assumptions!$C$24*12,EP64)*12))</f>
        <v/>
      </c>
      <c r="ER64" s="20">
        <f>EP64-EO64</f>
        <v/>
      </c>
      <c r="ES64" s="19">
        <f>MAX(DO64,EG64,EN64)</f>
        <v/>
      </c>
      <c r="ET64" s="15">
        <f>IF(ES64&lt;=0,0,IF(DO64=ES64,1,IF(EG64=ES64,2,3)))</f>
        <v/>
      </c>
      <c r="EU64" s="9">
        <f>CHOOSE(ET64+1,"None works","Land / pad sale","Build &amp; sell","Build &amp; hold / lease")</f>
        <v/>
      </c>
      <c r="EV64" s="15">
        <f>CHOOSE(ET64+1,0,CS64,CT64,CU64)</f>
        <v/>
      </c>
      <c r="EW64" s="20">
        <f>ES64*(1-Assumptions!$C$26)</f>
        <v/>
      </c>
      <c r="EX64" s="20">
        <f>ES64-Parcel!$C$27</f>
        <v/>
      </c>
      <c r="EY64" s="20">
        <f>IF(Parcel!$C$14=0,0,ES64/Parcel!$C$14)</f>
        <v/>
      </c>
      <c r="EZ64" s="36">
        <f>IF(AK64=0,0,ES64/AK64)</f>
        <v/>
      </c>
      <c r="FA64" s="9">
        <f>IF(ES64&lt;=0,"Pass",IF(ES64&gt;=Parcel!$C$27*Assumptions!$C$27,"Strong",IF(ES64&gt;=Parcel!$C$27,"Works at asking",IF(ES64&gt;=Parcel!$C$27*Assumptions!$C$28,"Negotiate","Pass"))))</f>
        <v/>
      </c>
      <c r="FB64" s="9">
        <f>IF(AM64=0,"",IF(Use_Library!$BH$63="Y",IF(Use_Effective!$AF$63&gt;=3,"High","Medium"),"Low - verify location"))</f>
        <v/>
      </c>
      <c r="FC64" s="9">
        <f>IF(AND(Use_Library!$BH$63="N",AM64=1),Use_Library!$BI$63,"")</f>
        <v/>
      </c>
      <c r="FD64" s="9">
        <f>TRIM(Q64&amp;" "&amp;IF(AND(AM64=0,T64=1),"Nothing fits. ","")&amp;IF(AND(Use_Library!$AZ$63&lt;&gt;"Y",Parcel!$C$19&lt;Use_Library!$AY$63),"Frontage under "&amp;Use_Library!$AY$63&amp;" LF. ","")&amp;IF(Parcel!$C$17&gt;0.15,"Slope over 15%. ","")&amp;IF(AND(AM64=1,AI64&gt;0.5),TEXT(AI64,"0")&amp;" ac not used - resold as raw land. ","")&amp;IF(AND(AM64=1,AC64&lt;1),"Demand caps it at "&amp;TEXT(AK64,"#,##0")&amp;" "&amp;Use_Library!$D$63&amp;". ","")&amp;IF(AND(AM64=1,L64=1),"Rezone required (+"&amp;Location!$C$32&amp;" mo). ","")&amp;IF(AND(AM64=1,BA64=1),"State wastewater permit needed. ","")&amp;IF(AND(AM64=1,AV64=1),"Public water system needed. ","")&amp;AP64&amp;IF(Parcel!$C$16&gt;Assumptions!$C$29,"Floodplain over "&amp;TEXT(Assumptions!$C$29,"0%")&amp;". ","")&amp;IF(AND(AM64=1,EV64&gt;60),"Over 5 years to exit. ",""))</f>
        <v/>
      </c>
      <c r="FE64" s="20">
        <f>IF(AND(Org_Profile!$C$5="My uses",E64=0),-1E+9,ES64)+ROW()/1000000</f>
        <v/>
      </c>
    </row>
    <row r="65">
      <c r="A65" s="4">
        <f>Use_Library!$A$64</f>
        <v/>
      </c>
      <c r="B65" s="9">
        <f>Use_Library!$C$64</f>
        <v/>
      </c>
      <c r="C65" s="9">
        <f>Use_Library!$D$64</f>
        <v/>
      </c>
      <c r="D65" s="9">
        <f>Use_Library!$F$64</f>
        <v/>
      </c>
      <c r="E65" s="15">
        <f>IF(Org_Profile!$C$81="Y",1,0)</f>
        <v/>
      </c>
      <c r="F65" s="14">
        <f>MAX(0,Parcel!$C$37*(1-Use_Library!$N$64-IF(Use_Library!$AB$64="Y",Assumptions!$C$7,0)))</f>
        <v/>
      </c>
      <c r="G65" s="14">
        <f>IF(Use_Library!$M$64&gt;0,MIN(F65,Use_Library!$M$64),F65)</f>
        <v/>
      </c>
      <c r="H65" s="23">
        <f>IF(F65=0,0,G65/F65)</f>
        <v/>
      </c>
      <c r="I65" s="14">
        <f>Parcel!$C$37*H65</f>
        <v/>
      </c>
      <c r="J65" s="9">
        <f>IF(ISNUMBER(SEARCH(","&amp;Use_Library!$F$64&amp;",",","&amp;SUBSTITUTE(Parcel!$C$11," ","")&amp;",")),"Deed restricted",IF(Parcel!$C$46=0,"No zoning",IF(ISNUMBER(SEARCH(","&amp;Use_Library!$F$64&amp;",",","&amp;SUBSTITUTE(Parcel!$C$10," ","")&amp;",")),"By right",IF(OR(TRIM(Parcel!$C$12)="*",ISNUMBER(SEARCH(","&amp;Use_Library!$F$64&amp;",",","&amp;SUBSTITUTE(Parcel!$C$12," ","")&amp;","))),"Rezone required","Prohibited by zoning"))))</f>
        <v/>
      </c>
      <c r="K65" s="15">
        <f>IF(OR(J65="Deed restricted",J65="Prohibited by zoning"),0,1)</f>
        <v/>
      </c>
      <c r="L65" s="15">
        <f>IF(J65="Rezone required",1,0)</f>
        <v/>
      </c>
      <c r="M65" s="15">
        <f>IF(Parcel!$C$20="None",0,IF(AND(Parcel!$C$20="Private easement",Use_Library!$BA$64="Y"),0,1))</f>
        <v/>
      </c>
      <c r="N65" s="15">
        <f>IF(AND(Use_Library!$AZ$64="Y",Parcel!$C$19&lt;Use_Library!$AY$64),0,1)</f>
        <v/>
      </c>
      <c r="O65" s="15">
        <f>IF(AND(Use_Library!$T$64="Y",Parcel!$C$39=0),0,1)</f>
        <v/>
      </c>
      <c r="P65" s="15">
        <f>IF(AND(Use_Library!$U$64="Y",Parcel!$C$38=0),0,1)</f>
        <v/>
      </c>
      <c r="Q65" s="9">
        <f>TRIM(IF(AND(Use_Library!$BB$64&gt;0,Parcel!$C$28&lt;Use_Library!$BB$64),"Traffic under "&amp;TEXT(Use_Library!$BB$64,"#,##0")&amp;" VPD. ","")&amp;IF(AND(Use_Library!$BC$64&gt;0,Parcel!$C$29&lt;Use_Library!$BC$64),"Under "&amp;TEXT(Use_Library!$BC$64,"#,##0")&amp;" households in 3 mi. ","")&amp;IF(AND(Use_Library!$BD$64&gt;0,Parcel!$C$31&gt;Use_Library!$BD$64),"Over "&amp;Use_Library!$BD$64&amp;" mi to highway. ","")&amp;IF(AND(Use_Library!$BE$64="Y",Parcel!$C$32&lt;&gt;"Y"),"Needs a corner. ","")&amp;IF(AND(Use_Library!$BF$64&gt;0,Parcel!$C$33&gt;Use_Library!$BF$64),"Over "&amp;Use_Library!$BF$64&amp;" mi to substation. ","")&amp;IF(AND(Use_Library!$BG$64&gt;0,Parcel!$C$34&gt;Use_Library!$BG$64),"Over "&amp;Use_Library!$BG$64&amp;" mi to a major employer. ",""))</f>
        <v/>
      </c>
      <c r="R65" s="15">
        <f>IF(Q65="",1,0)</f>
        <v/>
      </c>
      <c r="S65" s="15">
        <f>IF(F65&gt;=Use_Library!$L$64,1,0)</f>
        <v/>
      </c>
      <c r="T65" s="15">
        <f>K65*M65*N65*O65*P65*R65*S65</f>
        <v/>
      </c>
      <c r="U65" s="14">
        <f>IF(Use_Library!$G$64&gt;0,I65*Use_Library!$G$64,1E+9)</f>
        <v/>
      </c>
      <c r="V65" s="14">
        <f>IF(Use_Library!$H$64&gt;0,G65*43560/Use_Library!$H$64,1E+9)</f>
        <v/>
      </c>
      <c r="W65" s="14">
        <f>IF(AND(Use_Library!$K$64="Y",Parcel!$C$39=0),G65*(1-Assumptions!$C$8)/IF(Parcel!$C$38=1,Location!$C$25,Location!$C$26),1E+9)</f>
        <v/>
      </c>
      <c r="X65" s="14">
        <f>IF(Use_Library!$I$64&gt;0,Parcel!$C$14*H65/Use_Library!$I$64,1E+9)</f>
        <v/>
      </c>
      <c r="Y65" s="14">
        <f>IF(Use_Library!$J$64&gt;0,Parcel!$C$19/Use_Library!$J$64,1E+9)</f>
        <v/>
      </c>
      <c r="Z65" s="14">
        <f>IF(AND(Parcel!$C$39=0,Use_Library!$K$64="N",Use_Library!$Y$64&gt;0,Use_Library!$Z$64="Y"),G65*Location!$C$27*Parcel!$C$45/Use_Library!$Y$64,1E+9)</f>
        <v/>
      </c>
      <c r="AA65" s="14">
        <f>MIN(U65,V65,W65,X65,Y65,Z65)</f>
        <v/>
      </c>
      <c r="AB65" s="14">
        <f>IF(Use_Library!$O$64&gt;0,IF(Use_Library!$P$64&gt;=10,Parcel!$C$30,Parcel!$C$29)*Use_Library!$O$64*Use_Library!$Q$64,1E+9)</f>
        <v/>
      </c>
      <c r="AC65" s="23">
        <f>IF(OR(AA65&gt;=1E+9,AA65&lt;=0),1,MIN(1,AB65/AA65))</f>
        <v/>
      </c>
      <c r="AD65" s="14">
        <f>G65*AC65</f>
        <v/>
      </c>
      <c r="AE65" s="23">
        <f>IF(F65=0,0,AD65/F65)</f>
        <v/>
      </c>
      <c r="AF65" s="14">
        <f>Parcel!$C$37*AE65</f>
        <v/>
      </c>
      <c r="AG65" s="14">
        <f>AF65*IF(Use_Library!$AB$64="Y",Assumptions!$C$7,0)</f>
        <v/>
      </c>
      <c r="AH65" s="14">
        <f>AF65*(1-Use_Library!$N$64)</f>
        <v/>
      </c>
      <c r="AI65" s="14">
        <f>Parcel!$C$14*(1-AE65)</f>
        <v/>
      </c>
      <c r="AJ65" s="14">
        <f>MIN(AA65,AB65)</f>
        <v/>
      </c>
      <c r="AK65" s="25">
        <f>IF(T65=0,0,IF(AJ65&gt;=1E+9,AD65,IF(Use_Library!$E$64="Y",INT(AJ65+1E-9),AJ65)))</f>
        <v/>
      </c>
      <c r="AL65" s="9">
        <f>IF(M65=0,"No public road access",IF(K65=0,J65,IF(R65=0,"Location fails",IF(N65=0,"Frontage under "&amp;Use_Library!$AY$64&amp;" LF",IF(S65=0,"Too small - needs "&amp;Use_Library!$L$64&amp;" usable ac",IF(O65=0,"Needs public sewer",IF(P65=0,"Needs public water",IF(AJ65&gt;=1E+9,"Usable acres",IF(AB65&lt;=AA65,"Market demand",IF(W65=AA65,"Septic lot size",IF(Z65=AA65,"Septic capacity (gal/day)",IF(X65=AA65,"Min lot size",IF(Y65=AA65,"Road frontage",IF(V65=AA65,"Site area / parking","Density"))))))))))))))</f>
        <v/>
      </c>
      <c r="AM65" s="15">
        <f>IF(AK65&gt;0,1,0)</f>
        <v/>
      </c>
      <c r="AN65" s="15">
        <f>IF(Use_Library!$Z$64="Y",1,0)*AM65</f>
        <v/>
      </c>
      <c r="AO65" s="14">
        <f>IF(Parcel!$C$39=0,MIN(U65,V65,X65,Y65,AB65),0)</f>
        <v/>
      </c>
      <c r="AP65" s="9">
        <f>IF(AND(Parcel!$C$39=0,M65*K65*R65*N65*S65*P65=1,AO65&lt;1E+9,AO65&gt;=MAX(1,AK65)*1.25),"Unlock: sewer or package plant allows ~"&amp;TEXT(INT(AO65),"#,##0")&amp;" "&amp;Use_Library!$D$64&amp;". ","")</f>
        <v/>
      </c>
      <c r="AQ65" s="15">
        <f>AK65*Use_Library!$AC$64*AN65</f>
        <v/>
      </c>
      <c r="AR65" s="15">
        <f>AK65*Use_Library!$AD$64*AN65</f>
        <v/>
      </c>
      <c r="AS65" s="14">
        <f>AK65*Use_Library!$V$64*AN65</f>
        <v/>
      </c>
      <c r="AT65" s="15">
        <f>IF(Parcel!$C$38=1,AQ65+Parcel!$C$40,0)*AN65</f>
        <v/>
      </c>
      <c r="AU65" s="14">
        <f>AS65*Parcel!$C$38</f>
        <v/>
      </c>
      <c r="AV65" s="15">
        <f>IF(AND(Parcel!$C$38=0,Use_Library!$K$64="N",AS65&gt;=Location!$C$30),1,0)*AN65</f>
        <v/>
      </c>
      <c r="AW65" s="15">
        <f>IF(Parcel!$C$39=1,AQ65+Parcel!$C$41,0)*AN65</f>
        <v/>
      </c>
      <c r="AX65" s="14">
        <f>AS65*Parcel!$C$39</f>
        <v/>
      </c>
      <c r="AY65" s="14">
        <f>IF(Parcel!$C$39=0,AK65*Use_Library!$W$64,0)*AN65</f>
        <v/>
      </c>
      <c r="AZ65" s="15">
        <f>IF(Parcel!$C$39=0,AK65*Use_Library!$Y$64,0)*AN65</f>
        <v/>
      </c>
      <c r="BA65" s="15">
        <f>IF(AND(Use_Library!$K$64="N",AZ65&gt;Location!$C$28),1,0)</f>
        <v/>
      </c>
      <c r="BB65" s="14">
        <f>IF(AND(Parcel!$C$38=0,AV65=0),AK65*Use_Library!$X$64,0)*AN65</f>
        <v/>
      </c>
      <c r="BC65" s="14">
        <f>AH65*Parcel!$C$18*Use_Library!$AA$64*AN65</f>
        <v/>
      </c>
      <c r="BD65" s="14">
        <f>AH65*Use_Library!$AA$64*AN65</f>
        <v/>
      </c>
      <c r="BE65" s="15">
        <f>IF(Use_Library!$C$64="For-Sale",IF(Use_Library!$E$64="Y",AK65,1),1)*AM65</f>
        <v/>
      </c>
      <c r="BF65" s="15">
        <f>IF(OR(Use_Library!$F$64="RES-SF",Use_Library!$F$64="RES-ATT",Use_Library!$F$64="RES-MF",Use_Library!$F$64="MH"),1,0)</f>
        <v/>
      </c>
      <c r="BG65" s="20">
        <f>Cost_Library!$J$5*Location!$C$9*AM65</f>
        <v/>
      </c>
      <c r="BH65" s="20">
        <f>BE65*Cost_Library!$J$6*Location!$C$9</f>
        <v/>
      </c>
      <c r="BI65" s="20">
        <f>BD65*Cost_Library!$J$7*Location!$C$9</f>
        <v/>
      </c>
      <c r="BJ65" s="20">
        <f>Cost_Library!$J$8*Location!$C$9*AN65*IF(Use_Library!$AA$64&gt;=0.5,1,0)</f>
        <v/>
      </c>
      <c r="BK65" s="20">
        <f>AY65*Cost_Library!$J$9*Location!$C$9</f>
        <v/>
      </c>
      <c r="BL65" s="20">
        <f>BA65*Cost_Library!$J$10*Location!$C$9</f>
        <v/>
      </c>
      <c r="BM65" s="20">
        <f>Cost_Library!$J$11*Location!$C$9*AM65</f>
        <v/>
      </c>
      <c r="BN65" s="20">
        <f>Cost_Library!$J$12*Location!$C$9*AN65*IF(Use_Library!$AB$64="Y",1,0)</f>
        <v/>
      </c>
      <c r="BO65" s="20">
        <f>Use_Effective!$C$64*AM65</f>
        <v/>
      </c>
      <c r="BP65" s="20">
        <f>L65*Location!$C$31*AM65</f>
        <v/>
      </c>
      <c r="BQ65" s="20">
        <f>Cost_Library!$J$13*Location!$C$9*AM65</f>
        <v/>
      </c>
      <c r="BR65" s="20">
        <f>BC65*Cost_Library!$J$14*Location!$C$9</f>
        <v/>
      </c>
      <c r="BS65" s="20">
        <f>BD65*Cost_Library!$J$15*Location!$C$9*Parcel!$C$43</f>
        <v/>
      </c>
      <c r="BT65" s="20">
        <f>AQ65*Cost_Library!$J$16*Location!$C$9</f>
        <v/>
      </c>
      <c r="BU65" s="20">
        <f>AR65*Cost_Library!$J$17*Location!$C$9</f>
        <v/>
      </c>
      <c r="BV65" s="20">
        <f>AG65*Cost_Library!$J$18*Location!$C$9*AN65</f>
        <v/>
      </c>
      <c r="BW65" s="20">
        <f>BD65*Cost_Library!$J$19*Location!$C$9</f>
        <v/>
      </c>
      <c r="BX65" s="20">
        <f>IF(Use_Library!$AZ$64="Y",1,0)*Cost_Library!$J$20*Location!$C$9*AN65</f>
        <v/>
      </c>
      <c r="BY65" s="20">
        <f>AT65*Cost_Library!$J$21*Location!$C$9</f>
        <v/>
      </c>
      <c r="BZ65" s="20">
        <f>AU65*Cost_Library!$J$22*Location!$C$9</f>
        <v/>
      </c>
      <c r="CA65" s="20">
        <f>AW65*Cost_Library!$J$23*Location!$C$9</f>
        <v/>
      </c>
      <c r="CB65" s="20">
        <f>AX65*Cost_Library!$J$24*Location!$C$9</f>
        <v/>
      </c>
      <c r="CC65" s="20">
        <f>AY65*Cost_Library!$J$25*Location!$C$9*Parcel!$C$44</f>
        <v/>
      </c>
      <c r="CD65" s="20">
        <f>BB65*Cost_Library!$J$26*Location!$C$9</f>
        <v/>
      </c>
      <c r="CE65" s="20">
        <f>AV65*(Cost_Library!$J$27+AS65*Cost_Library!$J$28)*Location!$C$9</f>
        <v/>
      </c>
      <c r="CF65" s="20">
        <f>AQ65*Cost_Library!$J$29*Location!$C$9</f>
        <v/>
      </c>
      <c r="CG65" s="20">
        <f>SUM(BG65:CF65)</f>
        <v/>
      </c>
      <c r="CH65" s="20">
        <f>CG65*Assumptions!$C$9</f>
        <v/>
      </c>
      <c r="CI65" s="20">
        <f>(CG65+CH65)*Org_Profile!$C$17</f>
        <v/>
      </c>
      <c r="CJ65" s="20">
        <f>CG65+CH65+CI65</f>
        <v/>
      </c>
      <c r="CK65" s="20">
        <f>AK65*Use_Effective!$B$64*(1+Org_Profile!$C$17)</f>
        <v/>
      </c>
      <c r="CL65" s="20">
        <f>CK65*(Assumptions!$C$10+Assumptions!$C$11)</f>
        <v/>
      </c>
      <c r="CM65" s="20">
        <f>AK65*Use_Effective!$D$64</f>
        <v/>
      </c>
      <c r="CN65" s="20">
        <f>AK65*Location!$C$21*BF65*AM65</f>
        <v/>
      </c>
      <c r="CO65" s="14">
        <f>Use_Effective!$F$64+L65*Location!$C$32+BA65*Location!$C$29</f>
        <v/>
      </c>
      <c r="CP65" s="14">
        <f>IF(Use_Effective!$P$64&gt;0,IF(Use_Library!$C$64="For-Sale",AK65,AD65)/Use_Effective!$P$64,0)*AM65</f>
        <v/>
      </c>
      <c r="CQ65" s="14">
        <f>IF(AND(Use_Library!$C$64="For-Sale",Use_Effective!$O$64&gt;0),AK65/Use_Effective!$O$64,0)*AM65</f>
        <v/>
      </c>
      <c r="CR65" s="14">
        <f>IF(Use_Library!$C$64="Income",MAX(Use_Library!$AQ$64,IF(Use_Effective!$O$64&gt;0,AK65/Use_Effective!$O$64,0)),0)</f>
        <v/>
      </c>
      <c r="CS65" s="14">
        <f>CO65+CP65</f>
        <v/>
      </c>
      <c r="CT65" s="14">
        <f>CO65+CQ65+CR65</f>
        <v/>
      </c>
      <c r="CU65" s="14">
        <f>CO65+IF(Use_Library!$C$64="Income",CR65,0)</f>
        <v/>
      </c>
      <c r="CV65" s="23">
        <f>Use_Effective!$G$64+Assumptions!$C$25*MAX(0,(CS65-12)/12)</f>
        <v/>
      </c>
      <c r="CW65" s="23">
        <f>Use_Effective!$G$64+Assumptions!$C$25*MAX(0,(CT65-12)/12)</f>
        <v/>
      </c>
      <c r="CX65" s="23">
        <f>Use_Effective!$G$64+Assumptions!$C$25*MAX(0,(CU65-12)/12)</f>
        <v/>
      </c>
      <c r="CY65" s="28">
        <f>1+Location!$C$17+IF(Parcel!$C$26="Y",Location!$C$20,0)</f>
        <v/>
      </c>
      <c r="CZ65" s="28">
        <f>CY65+Location!$C$19*(CO65+CP65/2)/12</f>
        <v/>
      </c>
      <c r="DA65" s="28">
        <f>CY65+Location!$C$19*(CO65+CQ65/2)/12</f>
        <v/>
      </c>
      <c r="DB65" s="28">
        <f>IF(Use_Library!$C$64="Income",DA65,CY65+Location!$C$19*CO65/12)</f>
        <v/>
      </c>
      <c r="DC65" s="28">
        <f>1+Assumptions!$C$15*(Assumptions!$C$16*(CO65+CP65/2)/12*Assumptions!$C$18+Assumptions!$C$17)</f>
        <v/>
      </c>
      <c r="DD65" s="28">
        <f>1+Assumptions!$C$15*(Assumptions!$C$16*((CO65+CQ65/2)/12*Assumptions!$C$18+CR65/12*Assumptions!$C$19)+Assumptions!$C$17)</f>
        <v/>
      </c>
      <c r="DE65" s="28">
        <f>IF(Use_Library!$C$64="Income",DD65,1+Assumptions!$C$15*(Assumptions!$C$16*CO65/12*Assumptions!$C$18+Assumptions!$C$17))</f>
        <v/>
      </c>
      <c r="DF65" s="23">
        <f>Assumptions!$C$13+Location!$C$18</f>
        <v/>
      </c>
      <c r="DG65" s="23">
        <f>Assumptions!$C$12+Location!$C$18</f>
        <v/>
      </c>
      <c r="DH65" s="23">
        <f>Assumptions!$C$14+Location!$C$18</f>
        <v/>
      </c>
      <c r="DI65" s="20">
        <f>AI65*Location!$C$14*(1-DF65)*AM65</f>
        <v/>
      </c>
      <c r="DJ65" s="20">
        <f>IF(Use_Library!$AV$64=1,IF(Use_Library!$C$64="For-Sale",AK65*Use_Effective!$H$64+Parcel!$C$14*AE65*Use_Effective!$J$64,AD65*Use_Effective!$J$64)*(1-DF65)+DI65,0)*AM65</f>
        <v/>
      </c>
      <c r="DK65" s="20">
        <f>(CG65-BU65-CC65-CD65)*(1+Assumptions!$C$9)*(1+Org_Profile!$C$17)</f>
        <v/>
      </c>
      <c r="DL65" s="28">
        <f>CZ65*DC65</f>
        <v/>
      </c>
      <c r="DM65" s="20">
        <f>(Parcel!$C$27*CZ65+DK65)*DC65</f>
        <v/>
      </c>
      <c r="DN65" s="20">
        <f>DJ65-DM65</f>
        <v/>
      </c>
      <c r="DO65" s="38">
        <f>IF(AND(Use_Library!$AV$64=1,AM65=1),MAX(0,((1-CV65)*DJ65-DK65*DC65)/DL65),0)</f>
        <v/>
      </c>
      <c r="DP65" s="20">
        <f>CJ65+CK65+CL65+CM65+CN65</f>
        <v/>
      </c>
      <c r="DQ65" s="28">
        <f>DA65*DD65</f>
        <v/>
      </c>
      <c r="DR65" s="20">
        <f>(Parcel!$C$27*DA65+DP65)*DD65</f>
        <v/>
      </c>
      <c r="DS65" s="20">
        <f>IF(Use_Library!$C$64="Income",AK65*Use_Effective!$K$64,0)</f>
        <v/>
      </c>
      <c r="DT65" s="20">
        <f>DS65*(1+Use_Library!$AL$64)*(1-Use_Effective!$N$64)</f>
        <v/>
      </c>
      <c r="DU65" s="20">
        <f>IF(Use_Library!$C$64="Income",AK65*Use_Effective!$E$64,0)</f>
        <v/>
      </c>
      <c r="DV65" s="20">
        <f>IF(Use_Library!$C$64="Income",Location!$C$15*Location!$C$16*DR65,0)</f>
        <v/>
      </c>
      <c r="DW65" s="20">
        <f>DT65*Use_Library!$AO$64</f>
        <v/>
      </c>
      <c r="DX65" s="20">
        <f>(DU65+DV65)*Use_Library!$AP$64</f>
        <v/>
      </c>
      <c r="DY65" s="20">
        <f>DT65-DU65-DV65-DW65+DX65</f>
        <v/>
      </c>
      <c r="DZ65" s="26">
        <f>Use_Effective!$M$64</f>
        <v/>
      </c>
      <c r="EA65" s="20">
        <f>IF(AND(Use_Library!$C$64="Income",DZ65&gt;0),DY65/DZ65,0)</f>
        <v/>
      </c>
      <c r="EB65" s="39">
        <f>IF(Use_Library!$C$64="Income",-Location!$C$15*Location!$C$16*(1-Use_Library!$AP$64)*DQ65,0)</f>
        <v/>
      </c>
      <c r="EC65" s="23">
        <f>IF(DR65=0,0,DY65/DR65)</f>
        <v/>
      </c>
      <c r="ED65" s="20">
        <f>IF(Use_Library!$AW$64=1,IF(Use_Library!$C$64="Income",EA65*(1-DH65),AK65*Use_Effective!$I$64*(1-DG65))+DI65,0)*AM65</f>
        <v/>
      </c>
      <c r="EE65" s="39">
        <f>IF(AND(Use_Library!$AW$64=1,Use_Library!$C$64="Income",DZ65&gt;0),EB65/DZ65*(1-DH65),0)</f>
        <v/>
      </c>
      <c r="EF65" s="20">
        <f>ED65-DR65</f>
        <v/>
      </c>
      <c r="EG65" s="38">
        <f>IF(AND(Use_Library!$AW$64=1,AM65=1),MAX(0,Parcel!$C$27-((1-CW65)*ED65-DR65)/((1-CW65)*EE65-DQ65)),0)</f>
        <v/>
      </c>
      <c r="EH65" s="20">
        <f>IF(Use_Library!$AX$64=1,IF(Use_Library!$C$64="Income",EA65,IF(DZ65&gt;0,AD65*Use_Effective!$L$64/DZ65,0))+DI65,0)*AM65</f>
        <v/>
      </c>
      <c r="EI65" s="20">
        <f>IF(Use_Library!$C$64="Income",DP65,CJ65)</f>
        <v/>
      </c>
      <c r="EJ65" s="28">
        <f>IF(Use_Library!$C$64="Income",DQ65,DB65*DE65)</f>
        <v/>
      </c>
      <c r="EK65" s="20">
        <f>IF(Use_Library!$C$64="Income",DR65,(Parcel!$C$27*DB65+CJ65)*DE65)</f>
        <v/>
      </c>
      <c r="EL65" s="39">
        <f>IF(AND(Use_Library!$AX$64=1,Use_Library!$C$64="Income",DZ65&gt;0),EB65/DZ65,0)</f>
        <v/>
      </c>
      <c r="EM65" s="20">
        <f>EH65-EK65</f>
        <v/>
      </c>
      <c r="EN65" s="38">
        <f>IF(AND(Use_Library!$AX$64=1,AM65=1),MAX(0,Parcel!$C$27-((1-CX65)*EH65-EK65)/((1-CX65)*EL65-EJ65)),0)</f>
        <v/>
      </c>
      <c r="EO65" s="20">
        <f>IF(Use_Library!$C$64="Income",Assumptions!$C$15*(Parcel!$C$27*DA65+DP65),0)</f>
        <v/>
      </c>
      <c r="EP65" s="20">
        <f>IF(AND(Use_Library!$C$64="Income",DY65&gt;0),MIN(Assumptions!$C$20*EA65,PV(Assumptions!$C$23/12,Assumptions!$C$24*12,-DY65/Assumptions!$C$21/12),DY65/Assumptions!$C$22),0)</f>
        <v/>
      </c>
      <c r="EQ65" s="27">
        <f>IF(EP65=0,0,DY65/(-PMT(Assumptions!$C$23/12,Assumptions!$C$24*12,EP65)*12))</f>
        <v/>
      </c>
      <c r="ER65" s="20">
        <f>EP65-EO65</f>
        <v/>
      </c>
      <c r="ES65" s="19">
        <f>MAX(DO65,EG65,EN65)</f>
        <v/>
      </c>
      <c r="ET65" s="15">
        <f>IF(ES65&lt;=0,0,IF(DO65=ES65,1,IF(EG65=ES65,2,3)))</f>
        <v/>
      </c>
      <c r="EU65" s="9">
        <f>CHOOSE(ET65+1,"None works","Land / pad sale","Build &amp; sell","Build &amp; hold / lease")</f>
        <v/>
      </c>
      <c r="EV65" s="15">
        <f>CHOOSE(ET65+1,0,CS65,CT65,CU65)</f>
        <v/>
      </c>
      <c r="EW65" s="20">
        <f>ES65*(1-Assumptions!$C$26)</f>
        <v/>
      </c>
      <c r="EX65" s="20">
        <f>ES65-Parcel!$C$27</f>
        <v/>
      </c>
      <c r="EY65" s="20">
        <f>IF(Parcel!$C$14=0,0,ES65/Parcel!$C$14)</f>
        <v/>
      </c>
      <c r="EZ65" s="36">
        <f>IF(AK65=0,0,ES65/AK65)</f>
        <v/>
      </c>
      <c r="FA65" s="9">
        <f>IF(ES65&lt;=0,"Pass",IF(ES65&gt;=Parcel!$C$27*Assumptions!$C$27,"Strong",IF(ES65&gt;=Parcel!$C$27,"Works at asking",IF(ES65&gt;=Parcel!$C$27*Assumptions!$C$28,"Negotiate","Pass"))))</f>
        <v/>
      </c>
      <c r="FB65" s="9">
        <f>IF(AM65=0,"",IF(Use_Library!$BH$64="Y",IF(Use_Effective!$AF$64&gt;=3,"High","Medium"),"Low - verify location"))</f>
        <v/>
      </c>
      <c r="FC65" s="9">
        <f>IF(AND(Use_Library!$BH$64="N",AM65=1),Use_Library!$BI$64,"")</f>
        <v/>
      </c>
      <c r="FD65" s="9">
        <f>TRIM(Q65&amp;" "&amp;IF(AND(AM65=0,T65=1),"Nothing fits. ","")&amp;IF(AND(Use_Library!$AZ$64&lt;&gt;"Y",Parcel!$C$19&lt;Use_Library!$AY$64),"Frontage under "&amp;Use_Library!$AY$64&amp;" LF. ","")&amp;IF(Parcel!$C$17&gt;0.15,"Slope over 15%. ","")&amp;IF(AND(AM65=1,AI65&gt;0.5),TEXT(AI65,"0")&amp;" ac not used - resold as raw land. ","")&amp;IF(AND(AM65=1,AC65&lt;1),"Demand caps it at "&amp;TEXT(AK65,"#,##0")&amp;" "&amp;Use_Library!$D$64&amp;". ","")&amp;IF(AND(AM65=1,L65=1),"Rezone required (+"&amp;Location!$C$32&amp;" mo). ","")&amp;IF(AND(AM65=1,BA65=1),"State wastewater permit needed. ","")&amp;IF(AND(AM65=1,AV65=1),"Public water system needed. ","")&amp;AP65&amp;IF(Parcel!$C$16&gt;Assumptions!$C$29,"Floodplain over "&amp;TEXT(Assumptions!$C$29,"0%")&amp;". ","")&amp;IF(AND(AM65=1,EV65&gt;60),"Over 5 years to exit. ",""))</f>
        <v/>
      </c>
      <c r="FE65" s="20">
        <f>IF(AND(Org_Profile!$C$5="My uses",E65=0),-1E+9,ES65)+ROW()/1000000</f>
        <v/>
      </c>
    </row>
    <row r="66">
      <c r="A66" s="4">
        <f>Use_Library!$A$65</f>
        <v/>
      </c>
      <c r="B66" s="9">
        <f>Use_Library!$C$65</f>
        <v/>
      </c>
      <c r="C66" s="9">
        <f>Use_Library!$D$65</f>
        <v/>
      </c>
      <c r="D66" s="9">
        <f>Use_Library!$F$65</f>
        <v/>
      </c>
      <c r="E66" s="15">
        <f>IF(Org_Profile!$C$82="Y",1,0)</f>
        <v/>
      </c>
      <c r="F66" s="14">
        <f>MAX(0,Parcel!$C$37*(1-Use_Library!$N$65-IF(Use_Library!$AB$65="Y",Assumptions!$C$7,0)))</f>
        <v/>
      </c>
      <c r="G66" s="14">
        <f>IF(Use_Library!$M$65&gt;0,MIN(F66,Use_Library!$M$65),F66)</f>
        <v/>
      </c>
      <c r="H66" s="23">
        <f>IF(F66=0,0,G66/F66)</f>
        <v/>
      </c>
      <c r="I66" s="14">
        <f>Parcel!$C$37*H66</f>
        <v/>
      </c>
      <c r="J66" s="9">
        <f>IF(ISNUMBER(SEARCH(","&amp;Use_Library!$F$65&amp;",",","&amp;SUBSTITUTE(Parcel!$C$11," ","")&amp;",")),"Deed restricted",IF(Parcel!$C$46=0,"No zoning",IF(ISNUMBER(SEARCH(","&amp;Use_Library!$F$65&amp;",",","&amp;SUBSTITUTE(Parcel!$C$10," ","")&amp;",")),"By right",IF(OR(TRIM(Parcel!$C$12)="*",ISNUMBER(SEARCH(","&amp;Use_Library!$F$65&amp;",",","&amp;SUBSTITUTE(Parcel!$C$12," ","")&amp;","))),"Rezone required","Prohibited by zoning"))))</f>
        <v/>
      </c>
      <c r="K66" s="15">
        <f>IF(OR(J66="Deed restricted",J66="Prohibited by zoning"),0,1)</f>
        <v/>
      </c>
      <c r="L66" s="15">
        <f>IF(J66="Rezone required",1,0)</f>
        <v/>
      </c>
      <c r="M66" s="15">
        <f>IF(Parcel!$C$20="None",0,IF(AND(Parcel!$C$20="Private easement",Use_Library!$BA$65="Y"),0,1))</f>
        <v/>
      </c>
      <c r="N66" s="15">
        <f>IF(AND(Use_Library!$AZ$65="Y",Parcel!$C$19&lt;Use_Library!$AY$65),0,1)</f>
        <v/>
      </c>
      <c r="O66" s="15">
        <f>IF(AND(Use_Library!$T$65="Y",Parcel!$C$39=0),0,1)</f>
        <v/>
      </c>
      <c r="P66" s="15">
        <f>IF(AND(Use_Library!$U$65="Y",Parcel!$C$38=0),0,1)</f>
        <v/>
      </c>
      <c r="Q66" s="9">
        <f>TRIM(IF(AND(Use_Library!$BB$65&gt;0,Parcel!$C$28&lt;Use_Library!$BB$65),"Traffic under "&amp;TEXT(Use_Library!$BB$65,"#,##0")&amp;" VPD. ","")&amp;IF(AND(Use_Library!$BC$65&gt;0,Parcel!$C$29&lt;Use_Library!$BC$65),"Under "&amp;TEXT(Use_Library!$BC$65,"#,##0")&amp;" households in 3 mi. ","")&amp;IF(AND(Use_Library!$BD$65&gt;0,Parcel!$C$31&gt;Use_Library!$BD$65),"Over "&amp;Use_Library!$BD$65&amp;" mi to highway. ","")&amp;IF(AND(Use_Library!$BE$65="Y",Parcel!$C$32&lt;&gt;"Y"),"Needs a corner. ","")&amp;IF(AND(Use_Library!$BF$65&gt;0,Parcel!$C$33&gt;Use_Library!$BF$65),"Over "&amp;Use_Library!$BF$65&amp;" mi to substation. ","")&amp;IF(AND(Use_Library!$BG$65&gt;0,Parcel!$C$34&gt;Use_Library!$BG$65),"Over "&amp;Use_Library!$BG$65&amp;" mi to a major employer. ",""))</f>
        <v/>
      </c>
      <c r="R66" s="15">
        <f>IF(Q66="",1,0)</f>
        <v/>
      </c>
      <c r="S66" s="15">
        <f>IF(F66&gt;=Use_Library!$L$65,1,0)</f>
        <v/>
      </c>
      <c r="T66" s="15">
        <f>K66*M66*N66*O66*P66*R66*S66</f>
        <v/>
      </c>
      <c r="U66" s="14">
        <f>IF(Use_Library!$G$65&gt;0,I66*Use_Library!$G$65,1E+9)</f>
        <v/>
      </c>
      <c r="V66" s="14">
        <f>IF(Use_Library!$H$65&gt;0,G66*43560/Use_Library!$H$65,1E+9)</f>
        <v/>
      </c>
      <c r="W66" s="14">
        <f>IF(AND(Use_Library!$K$65="Y",Parcel!$C$39=0),G66*(1-Assumptions!$C$8)/IF(Parcel!$C$38=1,Location!$C$25,Location!$C$26),1E+9)</f>
        <v/>
      </c>
      <c r="X66" s="14">
        <f>IF(Use_Library!$I$65&gt;0,Parcel!$C$14*H66/Use_Library!$I$65,1E+9)</f>
        <v/>
      </c>
      <c r="Y66" s="14">
        <f>IF(Use_Library!$J$65&gt;0,Parcel!$C$19/Use_Library!$J$65,1E+9)</f>
        <v/>
      </c>
      <c r="Z66" s="14">
        <f>IF(AND(Parcel!$C$39=0,Use_Library!$K$65="N",Use_Library!$Y$65&gt;0,Use_Library!$Z$65="Y"),G66*Location!$C$27*Parcel!$C$45/Use_Library!$Y$65,1E+9)</f>
        <v/>
      </c>
      <c r="AA66" s="14">
        <f>MIN(U66,V66,W66,X66,Y66,Z66)</f>
        <v/>
      </c>
      <c r="AB66" s="14">
        <f>IF(Use_Library!$O$65&gt;0,IF(Use_Library!$P$65&gt;=10,Parcel!$C$30,Parcel!$C$29)*Use_Library!$O$65*Use_Library!$Q$65,1E+9)</f>
        <v/>
      </c>
      <c r="AC66" s="23">
        <f>IF(OR(AA66&gt;=1E+9,AA66&lt;=0),1,MIN(1,AB66/AA66))</f>
        <v/>
      </c>
      <c r="AD66" s="14">
        <f>G66*AC66</f>
        <v/>
      </c>
      <c r="AE66" s="23">
        <f>IF(F66=0,0,AD66/F66)</f>
        <v/>
      </c>
      <c r="AF66" s="14">
        <f>Parcel!$C$37*AE66</f>
        <v/>
      </c>
      <c r="AG66" s="14">
        <f>AF66*IF(Use_Library!$AB$65="Y",Assumptions!$C$7,0)</f>
        <v/>
      </c>
      <c r="AH66" s="14">
        <f>AF66*(1-Use_Library!$N$65)</f>
        <v/>
      </c>
      <c r="AI66" s="14">
        <f>Parcel!$C$14*(1-AE66)</f>
        <v/>
      </c>
      <c r="AJ66" s="14">
        <f>MIN(AA66,AB66)</f>
        <v/>
      </c>
      <c r="AK66" s="25">
        <f>IF(T66=0,0,IF(AJ66&gt;=1E+9,AD66,IF(Use_Library!$E$65="Y",INT(AJ66+1E-9),AJ66)))</f>
        <v/>
      </c>
      <c r="AL66" s="9">
        <f>IF(M66=0,"No public road access",IF(K66=0,J66,IF(R66=0,"Location fails",IF(N66=0,"Frontage under "&amp;Use_Library!$AY$65&amp;" LF",IF(S66=0,"Too small - needs "&amp;Use_Library!$L$65&amp;" usable ac",IF(O66=0,"Needs public sewer",IF(P66=0,"Needs public water",IF(AJ66&gt;=1E+9,"Usable acres",IF(AB66&lt;=AA66,"Market demand",IF(W66=AA66,"Septic lot size",IF(Z66=AA66,"Septic capacity (gal/day)",IF(X66=AA66,"Min lot size",IF(Y66=AA66,"Road frontage",IF(V66=AA66,"Site area / parking","Density"))))))))))))))</f>
        <v/>
      </c>
      <c r="AM66" s="15">
        <f>IF(AK66&gt;0,1,0)</f>
        <v/>
      </c>
      <c r="AN66" s="15">
        <f>IF(Use_Library!$Z$65="Y",1,0)*AM66</f>
        <v/>
      </c>
      <c r="AO66" s="14">
        <f>IF(Parcel!$C$39=0,MIN(U66,V66,X66,Y66,AB66),0)</f>
        <v/>
      </c>
      <c r="AP66" s="9">
        <f>IF(AND(Parcel!$C$39=0,M66*K66*R66*N66*S66*P66=1,AO66&lt;1E+9,AO66&gt;=MAX(1,AK66)*1.25),"Unlock: sewer or package plant allows ~"&amp;TEXT(INT(AO66),"#,##0")&amp;" "&amp;Use_Library!$D$65&amp;". ","")</f>
        <v/>
      </c>
      <c r="AQ66" s="15">
        <f>AK66*Use_Library!$AC$65*AN66</f>
        <v/>
      </c>
      <c r="AR66" s="15">
        <f>AK66*Use_Library!$AD$65*AN66</f>
        <v/>
      </c>
      <c r="AS66" s="14">
        <f>AK66*Use_Library!$V$65*AN66</f>
        <v/>
      </c>
      <c r="AT66" s="15">
        <f>IF(Parcel!$C$38=1,AQ66+Parcel!$C$40,0)*AN66</f>
        <v/>
      </c>
      <c r="AU66" s="14">
        <f>AS66*Parcel!$C$38</f>
        <v/>
      </c>
      <c r="AV66" s="15">
        <f>IF(AND(Parcel!$C$38=0,Use_Library!$K$65="N",AS66&gt;=Location!$C$30),1,0)*AN66</f>
        <v/>
      </c>
      <c r="AW66" s="15">
        <f>IF(Parcel!$C$39=1,AQ66+Parcel!$C$41,0)*AN66</f>
        <v/>
      </c>
      <c r="AX66" s="14">
        <f>AS66*Parcel!$C$39</f>
        <v/>
      </c>
      <c r="AY66" s="14">
        <f>IF(Parcel!$C$39=0,AK66*Use_Library!$W$65,0)*AN66</f>
        <v/>
      </c>
      <c r="AZ66" s="15">
        <f>IF(Parcel!$C$39=0,AK66*Use_Library!$Y$65,0)*AN66</f>
        <v/>
      </c>
      <c r="BA66" s="15">
        <f>IF(AND(Use_Library!$K$65="N",AZ66&gt;Location!$C$28),1,0)</f>
        <v/>
      </c>
      <c r="BB66" s="14">
        <f>IF(AND(Parcel!$C$38=0,AV66=0),AK66*Use_Library!$X$65,0)*AN66</f>
        <v/>
      </c>
      <c r="BC66" s="14">
        <f>AH66*Parcel!$C$18*Use_Library!$AA$65*AN66</f>
        <v/>
      </c>
      <c r="BD66" s="14">
        <f>AH66*Use_Library!$AA$65*AN66</f>
        <v/>
      </c>
      <c r="BE66" s="15">
        <f>IF(Use_Library!$C$65="For-Sale",IF(Use_Library!$E$65="Y",AK66,1),1)*AM66</f>
        <v/>
      </c>
      <c r="BF66" s="15">
        <f>IF(OR(Use_Library!$F$65="RES-SF",Use_Library!$F$65="RES-ATT",Use_Library!$F$65="RES-MF",Use_Library!$F$65="MH"),1,0)</f>
        <v/>
      </c>
      <c r="BG66" s="20">
        <f>Cost_Library!$J$5*Location!$C$9*AM66</f>
        <v/>
      </c>
      <c r="BH66" s="20">
        <f>BE66*Cost_Library!$J$6*Location!$C$9</f>
        <v/>
      </c>
      <c r="BI66" s="20">
        <f>BD66*Cost_Library!$J$7*Location!$C$9</f>
        <v/>
      </c>
      <c r="BJ66" s="20">
        <f>Cost_Library!$J$8*Location!$C$9*AN66*IF(Use_Library!$AA$65&gt;=0.5,1,0)</f>
        <v/>
      </c>
      <c r="BK66" s="20">
        <f>AY66*Cost_Library!$J$9*Location!$C$9</f>
        <v/>
      </c>
      <c r="BL66" s="20">
        <f>BA66*Cost_Library!$J$10*Location!$C$9</f>
        <v/>
      </c>
      <c r="BM66" s="20">
        <f>Cost_Library!$J$11*Location!$C$9*AM66</f>
        <v/>
      </c>
      <c r="BN66" s="20">
        <f>Cost_Library!$J$12*Location!$C$9*AN66*IF(Use_Library!$AB$65="Y",1,0)</f>
        <v/>
      </c>
      <c r="BO66" s="20">
        <f>Use_Effective!$C$65*AM66</f>
        <v/>
      </c>
      <c r="BP66" s="20">
        <f>L66*Location!$C$31*AM66</f>
        <v/>
      </c>
      <c r="BQ66" s="20">
        <f>Cost_Library!$J$13*Location!$C$9*AM66</f>
        <v/>
      </c>
      <c r="BR66" s="20">
        <f>BC66*Cost_Library!$J$14*Location!$C$9</f>
        <v/>
      </c>
      <c r="BS66" s="20">
        <f>BD66*Cost_Library!$J$15*Location!$C$9*Parcel!$C$43</f>
        <v/>
      </c>
      <c r="BT66" s="20">
        <f>AQ66*Cost_Library!$J$16*Location!$C$9</f>
        <v/>
      </c>
      <c r="BU66" s="20">
        <f>AR66*Cost_Library!$J$17*Location!$C$9</f>
        <v/>
      </c>
      <c r="BV66" s="20">
        <f>AG66*Cost_Library!$J$18*Location!$C$9*AN66</f>
        <v/>
      </c>
      <c r="BW66" s="20">
        <f>BD66*Cost_Library!$J$19*Location!$C$9</f>
        <v/>
      </c>
      <c r="BX66" s="20">
        <f>IF(Use_Library!$AZ$65="Y",1,0)*Cost_Library!$J$20*Location!$C$9*AN66</f>
        <v/>
      </c>
      <c r="BY66" s="20">
        <f>AT66*Cost_Library!$J$21*Location!$C$9</f>
        <v/>
      </c>
      <c r="BZ66" s="20">
        <f>AU66*Cost_Library!$J$22*Location!$C$9</f>
        <v/>
      </c>
      <c r="CA66" s="20">
        <f>AW66*Cost_Library!$J$23*Location!$C$9</f>
        <v/>
      </c>
      <c r="CB66" s="20">
        <f>AX66*Cost_Library!$J$24*Location!$C$9</f>
        <v/>
      </c>
      <c r="CC66" s="20">
        <f>AY66*Cost_Library!$J$25*Location!$C$9*Parcel!$C$44</f>
        <v/>
      </c>
      <c r="CD66" s="20">
        <f>BB66*Cost_Library!$J$26*Location!$C$9</f>
        <v/>
      </c>
      <c r="CE66" s="20">
        <f>AV66*(Cost_Library!$J$27+AS66*Cost_Library!$J$28)*Location!$C$9</f>
        <v/>
      </c>
      <c r="CF66" s="20">
        <f>AQ66*Cost_Library!$J$29*Location!$C$9</f>
        <v/>
      </c>
      <c r="CG66" s="20">
        <f>SUM(BG66:CF66)</f>
        <v/>
      </c>
      <c r="CH66" s="20">
        <f>CG66*Assumptions!$C$9</f>
        <v/>
      </c>
      <c r="CI66" s="20">
        <f>(CG66+CH66)*Org_Profile!$C$17</f>
        <v/>
      </c>
      <c r="CJ66" s="20">
        <f>CG66+CH66+CI66</f>
        <v/>
      </c>
      <c r="CK66" s="20">
        <f>AK66*Use_Effective!$B$65*(1+Org_Profile!$C$17)</f>
        <v/>
      </c>
      <c r="CL66" s="20">
        <f>CK66*(Assumptions!$C$10+Assumptions!$C$11)</f>
        <v/>
      </c>
      <c r="CM66" s="20">
        <f>AK66*Use_Effective!$D$65</f>
        <v/>
      </c>
      <c r="CN66" s="20">
        <f>AK66*Location!$C$21*BF66*AM66</f>
        <v/>
      </c>
      <c r="CO66" s="14">
        <f>Use_Effective!$F$65+L66*Location!$C$32+BA66*Location!$C$29</f>
        <v/>
      </c>
      <c r="CP66" s="14">
        <f>IF(Use_Effective!$P$65&gt;0,IF(Use_Library!$C$65="For-Sale",AK66,AD66)/Use_Effective!$P$65,0)*AM66</f>
        <v/>
      </c>
      <c r="CQ66" s="14">
        <f>IF(AND(Use_Library!$C$65="For-Sale",Use_Effective!$O$65&gt;0),AK66/Use_Effective!$O$65,0)*AM66</f>
        <v/>
      </c>
      <c r="CR66" s="14">
        <f>IF(Use_Library!$C$65="Income",MAX(Use_Library!$AQ$65,IF(Use_Effective!$O$65&gt;0,AK66/Use_Effective!$O$65,0)),0)</f>
        <v/>
      </c>
      <c r="CS66" s="14">
        <f>CO66+CP66</f>
        <v/>
      </c>
      <c r="CT66" s="14">
        <f>CO66+CQ66+CR66</f>
        <v/>
      </c>
      <c r="CU66" s="14">
        <f>CO66+IF(Use_Library!$C$65="Income",CR66,0)</f>
        <v/>
      </c>
      <c r="CV66" s="23">
        <f>Use_Effective!$G$65+Assumptions!$C$25*MAX(0,(CS66-12)/12)</f>
        <v/>
      </c>
      <c r="CW66" s="23">
        <f>Use_Effective!$G$65+Assumptions!$C$25*MAX(0,(CT66-12)/12)</f>
        <v/>
      </c>
      <c r="CX66" s="23">
        <f>Use_Effective!$G$65+Assumptions!$C$25*MAX(0,(CU66-12)/12)</f>
        <v/>
      </c>
      <c r="CY66" s="28">
        <f>1+Location!$C$17+IF(Parcel!$C$26="Y",Location!$C$20,0)</f>
        <v/>
      </c>
      <c r="CZ66" s="28">
        <f>CY66+Location!$C$19*(CO66+CP66/2)/12</f>
        <v/>
      </c>
      <c r="DA66" s="28">
        <f>CY66+Location!$C$19*(CO66+CQ66/2)/12</f>
        <v/>
      </c>
      <c r="DB66" s="28">
        <f>IF(Use_Library!$C$65="Income",DA66,CY66+Location!$C$19*CO66/12)</f>
        <v/>
      </c>
      <c r="DC66" s="28">
        <f>1+Assumptions!$C$15*(Assumptions!$C$16*(CO66+CP66/2)/12*Assumptions!$C$18+Assumptions!$C$17)</f>
        <v/>
      </c>
      <c r="DD66" s="28">
        <f>1+Assumptions!$C$15*(Assumptions!$C$16*((CO66+CQ66/2)/12*Assumptions!$C$18+CR66/12*Assumptions!$C$19)+Assumptions!$C$17)</f>
        <v/>
      </c>
      <c r="DE66" s="28">
        <f>IF(Use_Library!$C$65="Income",DD66,1+Assumptions!$C$15*(Assumptions!$C$16*CO66/12*Assumptions!$C$18+Assumptions!$C$17))</f>
        <v/>
      </c>
      <c r="DF66" s="23">
        <f>Assumptions!$C$13+Location!$C$18</f>
        <v/>
      </c>
      <c r="DG66" s="23">
        <f>Assumptions!$C$12+Location!$C$18</f>
        <v/>
      </c>
      <c r="DH66" s="23">
        <f>Assumptions!$C$14+Location!$C$18</f>
        <v/>
      </c>
      <c r="DI66" s="20">
        <f>AI66*Location!$C$14*(1-DF66)*AM66</f>
        <v/>
      </c>
      <c r="DJ66" s="20">
        <f>IF(Use_Library!$AV$65=1,IF(Use_Library!$C$65="For-Sale",AK66*Use_Effective!$H$65+Parcel!$C$14*AE66*Use_Effective!$J$65,AD66*Use_Effective!$J$65)*(1-DF66)+DI66,0)*AM66</f>
        <v/>
      </c>
      <c r="DK66" s="20">
        <f>(CG66-BU66-CC66-CD66)*(1+Assumptions!$C$9)*(1+Org_Profile!$C$17)</f>
        <v/>
      </c>
      <c r="DL66" s="28">
        <f>CZ66*DC66</f>
        <v/>
      </c>
      <c r="DM66" s="20">
        <f>(Parcel!$C$27*CZ66+DK66)*DC66</f>
        <v/>
      </c>
      <c r="DN66" s="20">
        <f>DJ66-DM66</f>
        <v/>
      </c>
      <c r="DO66" s="38">
        <f>IF(AND(Use_Library!$AV$65=1,AM66=1),MAX(0,((1-CV66)*DJ66-DK66*DC66)/DL66),0)</f>
        <v/>
      </c>
      <c r="DP66" s="20">
        <f>CJ66+CK66+CL66+CM66+CN66</f>
        <v/>
      </c>
      <c r="DQ66" s="28">
        <f>DA66*DD66</f>
        <v/>
      </c>
      <c r="DR66" s="20">
        <f>(Parcel!$C$27*DA66+DP66)*DD66</f>
        <v/>
      </c>
      <c r="DS66" s="20">
        <f>IF(Use_Library!$C$65="Income",AK66*Use_Effective!$K$65,0)</f>
        <v/>
      </c>
      <c r="DT66" s="20">
        <f>DS66*(1+Use_Library!$AL$65)*(1-Use_Effective!$N$65)</f>
        <v/>
      </c>
      <c r="DU66" s="20">
        <f>IF(Use_Library!$C$65="Income",AK66*Use_Effective!$E$65,0)</f>
        <v/>
      </c>
      <c r="DV66" s="20">
        <f>IF(Use_Library!$C$65="Income",Location!$C$15*Location!$C$16*DR66,0)</f>
        <v/>
      </c>
      <c r="DW66" s="20">
        <f>DT66*Use_Library!$AO$65</f>
        <v/>
      </c>
      <c r="DX66" s="20">
        <f>(DU66+DV66)*Use_Library!$AP$65</f>
        <v/>
      </c>
      <c r="DY66" s="20">
        <f>DT66-DU66-DV66-DW66+DX66</f>
        <v/>
      </c>
      <c r="DZ66" s="26">
        <f>Use_Effective!$M$65</f>
        <v/>
      </c>
      <c r="EA66" s="20">
        <f>IF(AND(Use_Library!$C$65="Income",DZ66&gt;0),DY66/DZ66,0)</f>
        <v/>
      </c>
      <c r="EB66" s="39">
        <f>IF(Use_Library!$C$65="Income",-Location!$C$15*Location!$C$16*(1-Use_Library!$AP$65)*DQ66,0)</f>
        <v/>
      </c>
      <c r="EC66" s="23">
        <f>IF(DR66=0,0,DY66/DR66)</f>
        <v/>
      </c>
      <c r="ED66" s="20">
        <f>IF(Use_Library!$AW$65=1,IF(Use_Library!$C$65="Income",EA66*(1-DH66),AK66*Use_Effective!$I$65*(1-DG66))+DI66,0)*AM66</f>
        <v/>
      </c>
      <c r="EE66" s="39">
        <f>IF(AND(Use_Library!$AW$65=1,Use_Library!$C$65="Income",DZ66&gt;0),EB66/DZ66*(1-DH66),0)</f>
        <v/>
      </c>
      <c r="EF66" s="20">
        <f>ED66-DR66</f>
        <v/>
      </c>
      <c r="EG66" s="38">
        <f>IF(AND(Use_Library!$AW$65=1,AM66=1),MAX(0,Parcel!$C$27-((1-CW66)*ED66-DR66)/((1-CW66)*EE66-DQ66)),0)</f>
        <v/>
      </c>
      <c r="EH66" s="20">
        <f>IF(Use_Library!$AX$65=1,IF(Use_Library!$C$65="Income",EA66,IF(DZ66&gt;0,AD66*Use_Effective!$L$65/DZ66,0))+DI66,0)*AM66</f>
        <v/>
      </c>
      <c r="EI66" s="20">
        <f>IF(Use_Library!$C$65="Income",DP66,CJ66)</f>
        <v/>
      </c>
      <c r="EJ66" s="28">
        <f>IF(Use_Library!$C$65="Income",DQ66,DB66*DE66)</f>
        <v/>
      </c>
      <c r="EK66" s="20">
        <f>IF(Use_Library!$C$65="Income",DR66,(Parcel!$C$27*DB66+CJ66)*DE66)</f>
        <v/>
      </c>
      <c r="EL66" s="39">
        <f>IF(AND(Use_Library!$AX$65=1,Use_Library!$C$65="Income",DZ66&gt;0),EB66/DZ66,0)</f>
        <v/>
      </c>
      <c r="EM66" s="20">
        <f>EH66-EK66</f>
        <v/>
      </c>
      <c r="EN66" s="38">
        <f>IF(AND(Use_Library!$AX$65=1,AM66=1),MAX(0,Parcel!$C$27-((1-CX66)*EH66-EK66)/((1-CX66)*EL66-EJ66)),0)</f>
        <v/>
      </c>
      <c r="EO66" s="20">
        <f>IF(Use_Library!$C$65="Income",Assumptions!$C$15*(Parcel!$C$27*DA66+DP66),0)</f>
        <v/>
      </c>
      <c r="EP66" s="20">
        <f>IF(AND(Use_Library!$C$65="Income",DY66&gt;0),MIN(Assumptions!$C$20*EA66,PV(Assumptions!$C$23/12,Assumptions!$C$24*12,-DY66/Assumptions!$C$21/12),DY66/Assumptions!$C$22),0)</f>
        <v/>
      </c>
      <c r="EQ66" s="27">
        <f>IF(EP66=0,0,DY66/(-PMT(Assumptions!$C$23/12,Assumptions!$C$24*12,EP66)*12))</f>
        <v/>
      </c>
      <c r="ER66" s="20">
        <f>EP66-EO66</f>
        <v/>
      </c>
      <c r="ES66" s="19">
        <f>MAX(DO66,EG66,EN66)</f>
        <v/>
      </c>
      <c r="ET66" s="15">
        <f>IF(ES66&lt;=0,0,IF(DO66=ES66,1,IF(EG66=ES66,2,3)))</f>
        <v/>
      </c>
      <c r="EU66" s="9">
        <f>CHOOSE(ET66+1,"None works","Land / pad sale","Build &amp; sell","Build &amp; hold / lease")</f>
        <v/>
      </c>
      <c r="EV66" s="15">
        <f>CHOOSE(ET66+1,0,CS66,CT66,CU66)</f>
        <v/>
      </c>
      <c r="EW66" s="20">
        <f>ES66*(1-Assumptions!$C$26)</f>
        <v/>
      </c>
      <c r="EX66" s="20">
        <f>ES66-Parcel!$C$27</f>
        <v/>
      </c>
      <c r="EY66" s="20">
        <f>IF(Parcel!$C$14=0,0,ES66/Parcel!$C$14)</f>
        <v/>
      </c>
      <c r="EZ66" s="36">
        <f>IF(AK66=0,0,ES66/AK66)</f>
        <v/>
      </c>
      <c r="FA66" s="9">
        <f>IF(ES66&lt;=0,"Pass",IF(ES66&gt;=Parcel!$C$27*Assumptions!$C$27,"Strong",IF(ES66&gt;=Parcel!$C$27,"Works at asking",IF(ES66&gt;=Parcel!$C$27*Assumptions!$C$28,"Negotiate","Pass"))))</f>
        <v/>
      </c>
      <c r="FB66" s="9">
        <f>IF(AM66=0,"",IF(Use_Library!$BH$65="Y",IF(Use_Effective!$AF$65&gt;=3,"High","Medium"),"Low - verify location"))</f>
        <v/>
      </c>
      <c r="FC66" s="9">
        <f>IF(AND(Use_Library!$BH$65="N",AM66=1),Use_Library!$BI$65,"")</f>
        <v/>
      </c>
      <c r="FD66" s="9">
        <f>TRIM(Q66&amp;" "&amp;IF(AND(AM66=0,T66=1),"Nothing fits. ","")&amp;IF(AND(Use_Library!$AZ$65&lt;&gt;"Y",Parcel!$C$19&lt;Use_Library!$AY$65),"Frontage under "&amp;Use_Library!$AY$65&amp;" LF. ","")&amp;IF(Parcel!$C$17&gt;0.15,"Slope over 15%. ","")&amp;IF(AND(AM66=1,AI66&gt;0.5),TEXT(AI66,"0")&amp;" ac not used - resold as raw land. ","")&amp;IF(AND(AM66=1,AC66&lt;1),"Demand caps it at "&amp;TEXT(AK66,"#,##0")&amp;" "&amp;Use_Library!$D$65&amp;". ","")&amp;IF(AND(AM66=1,L66=1),"Rezone required (+"&amp;Location!$C$32&amp;" mo). ","")&amp;IF(AND(AM66=1,BA66=1),"State wastewater permit needed. ","")&amp;IF(AND(AM66=1,AV66=1),"Public water system needed. ","")&amp;AP66&amp;IF(Parcel!$C$16&gt;Assumptions!$C$29,"Floodplain over "&amp;TEXT(Assumptions!$C$29,"0%")&amp;". ","")&amp;IF(AND(AM66=1,EV66&gt;60),"Over 5 years to exit. ",""))</f>
        <v/>
      </c>
      <c r="FE66" s="20">
        <f>IF(AND(Org_Profile!$C$5="My uses",E66=0),-1E+9,ES66)+ROW()/1000000</f>
        <v/>
      </c>
    </row>
    <row r="67">
      <c r="A67" s="4">
        <f>Use_Library!$A$66</f>
        <v/>
      </c>
      <c r="B67" s="9">
        <f>Use_Library!$C$66</f>
        <v/>
      </c>
      <c r="C67" s="9">
        <f>Use_Library!$D$66</f>
        <v/>
      </c>
      <c r="D67" s="9">
        <f>Use_Library!$F$66</f>
        <v/>
      </c>
      <c r="E67" s="15">
        <f>IF(Org_Profile!$C$83="Y",1,0)</f>
        <v/>
      </c>
      <c r="F67" s="14">
        <f>MAX(0,Parcel!$C$37*(1-Use_Library!$N$66-IF(Use_Library!$AB$66="Y",Assumptions!$C$7,0)))</f>
        <v/>
      </c>
      <c r="G67" s="14">
        <f>IF(Use_Library!$M$66&gt;0,MIN(F67,Use_Library!$M$66),F67)</f>
        <v/>
      </c>
      <c r="H67" s="23">
        <f>IF(F67=0,0,G67/F67)</f>
        <v/>
      </c>
      <c r="I67" s="14">
        <f>Parcel!$C$37*H67</f>
        <v/>
      </c>
      <c r="J67" s="9">
        <f>IF(ISNUMBER(SEARCH(","&amp;Use_Library!$F$66&amp;",",","&amp;SUBSTITUTE(Parcel!$C$11," ","")&amp;",")),"Deed restricted",IF(Parcel!$C$46=0,"No zoning",IF(ISNUMBER(SEARCH(","&amp;Use_Library!$F$66&amp;",",","&amp;SUBSTITUTE(Parcel!$C$10," ","")&amp;",")),"By right",IF(OR(TRIM(Parcel!$C$12)="*",ISNUMBER(SEARCH(","&amp;Use_Library!$F$66&amp;",",","&amp;SUBSTITUTE(Parcel!$C$12," ","")&amp;","))),"Rezone required","Prohibited by zoning"))))</f>
        <v/>
      </c>
      <c r="K67" s="15">
        <f>IF(OR(J67="Deed restricted",J67="Prohibited by zoning"),0,1)</f>
        <v/>
      </c>
      <c r="L67" s="15">
        <f>IF(J67="Rezone required",1,0)</f>
        <v/>
      </c>
      <c r="M67" s="15">
        <f>IF(Parcel!$C$20="None",0,IF(AND(Parcel!$C$20="Private easement",Use_Library!$BA$66="Y"),0,1))</f>
        <v/>
      </c>
      <c r="N67" s="15">
        <f>IF(AND(Use_Library!$AZ$66="Y",Parcel!$C$19&lt;Use_Library!$AY$66),0,1)</f>
        <v/>
      </c>
      <c r="O67" s="15">
        <f>IF(AND(Use_Library!$T$66="Y",Parcel!$C$39=0),0,1)</f>
        <v/>
      </c>
      <c r="P67" s="15">
        <f>IF(AND(Use_Library!$U$66="Y",Parcel!$C$38=0),0,1)</f>
        <v/>
      </c>
      <c r="Q67" s="9">
        <f>TRIM(IF(AND(Use_Library!$BB$66&gt;0,Parcel!$C$28&lt;Use_Library!$BB$66),"Traffic under "&amp;TEXT(Use_Library!$BB$66,"#,##0")&amp;" VPD. ","")&amp;IF(AND(Use_Library!$BC$66&gt;0,Parcel!$C$29&lt;Use_Library!$BC$66),"Under "&amp;TEXT(Use_Library!$BC$66,"#,##0")&amp;" households in 3 mi. ","")&amp;IF(AND(Use_Library!$BD$66&gt;0,Parcel!$C$31&gt;Use_Library!$BD$66),"Over "&amp;Use_Library!$BD$66&amp;" mi to highway. ","")&amp;IF(AND(Use_Library!$BE$66="Y",Parcel!$C$32&lt;&gt;"Y"),"Needs a corner. ","")&amp;IF(AND(Use_Library!$BF$66&gt;0,Parcel!$C$33&gt;Use_Library!$BF$66),"Over "&amp;Use_Library!$BF$66&amp;" mi to substation. ","")&amp;IF(AND(Use_Library!$BG$66&gt;0,Parcel!$C$34&gt;Use_Library!$BG$66),"Over "&amp;Use_Library!$BG$66&amp;" mi to a major employer. ",""))</f>
        <v/>
      </c>
      <c r="R67" s="15">
        <f>IF(Q67="",1,0)</f>
        <v/>
      </c>
      <c r="S67" s="15">
        <f>IF(F67&gt;=Use_Library!$L$66,1,0)</f>
        <v/>
      </c>
      <c r="T67" s="15">
        <f>K67*M67*N67*O67*P67*R67*S67</f>
        <v/>
      </c>
      <c r="U67" s="14">
        <f>IF(Use_Library!$G$66&gt;0,I67*Use_Library!$G$66,1E+9)</f>
        <v/>
      </c>
      <c r="V67" s="14">
        <f>IF(Use_Library!$H$66&gt;0,G67*43560/Use_Library!$H$66,1E+9)</f>
        <v/>
      </c>
      <c r="W67" s="14">
        <f>IF(AND(Use_Library!$K$66="Y",Parcel!$C$39=0),G67*(1-Assumptions!$C$8)/IF(Parcel!$C$38=1,Location!$C$25,Location!$C$26),1E+9)</f>
        <v/>
      </c>
      <c r="X67" s="14">
        <f>IF(Use_Library!$I$66&gt;0,Parcel!$C$14*H67/Use_Library!$I$66,1E+9)</f>
        <v/>
      </c>
      <c r="Y67" s="14">
        <f>IF(Use_Library!$J$66&gt;0,Parcel!$C$19/Use_Library!$J$66,1E+9)</f>
        <v/>
      </c>
      <c r="Z67" s="14">
        <f>IF(AND(Parcel!$C$39=0,Use_Library!$K$66="N",Use_Library!$Y$66&gt;0,Use_Library!$Z$66="Y"),G67*Location!$C$27*Parcel!$C$45/Use_Library!$Y$66,1E+9)</f>
        <v/>
      </c>
      <c r="AA67" s="14">
        <f>MIN(U67,V67,W67,X67,Y67,Z67)</f>
        <v/>
      </c>
      <c r="AB67" s="14">
        <f>IF(Use_Library!$O$66&gt;0,IF(Use_Library!$P$66&gt;=10,Parcel!$C$30,Parcel!$C$29)*Use_Library!$O$66*Use_Library!$Q$66,1E+9)</f>
        <v/>
      </c>
      <c r="AC67" s="23">
        <f>IF(OR(AA67&gt;=1E+9,AA67&lt;=0),1,MIN(1,AB67/AA67))</f>
        <v/>
      </c>
      <c r="AD67" s="14">
        <f>G67*AC67</f>
        <v/>
      </c>
      <c r="AE67" s="23">
        <f>IF(F67=0,0,AD67/F67)</f>
        <v/>
      </c>
      <c r="AF67" s="14">
        <f>Parcel!$C$37*AE67</f>
        <v/>
      </c>
      <c r="AG67" s="14">
        <f>AF67*IF(Use_Library!$AB$66="Y",Assumptions!$C$7,0)</f>
        <v/>
      </c>
      <c r="AH67" s="14">
        <f>AF67*(1-Use_Library!$N$66)</f>
        <v/>
      </c>
      <c r="AI67" s="14">
        <f>Parcel!$C$14*(1-AE67)</f>
        <v/>
      </c>
      <c r="AJ67" s="14">
        <f>MIN(AA67,AB67)</f>
        <v/>
      </c>
      <c r="AK67" s="25">
        <f>IF(T67=0,0,IF(AJ67&gt;=1E+9,AD67,IF(Use_Library!$E$66="Y",INT(AJ67+1E-9),AJ67)))</f>
        <v/>
      </c>
      <c r="AL67" s="9">
        <f>IF(M67=0,"No public road access",IF(K67=0,J67,IF(R67=0,"Location fails",IF(N67=0,"Frontage under "&amp;Use_Library!$AY$66&amp;" LF",IF(S67=0,"Too small - needs "&amp;Use_Library!$L$66&amp;" usable ac",IF(O67=0,"Needs public sewer",IF(P67=0,"Needs public water",IF(AJ67&gt;=1E+9,"Usable acres",IF(AB67&lt;=AA67,"Market demand",IF(W67=AA67,"Septic lot size",IF(Z67=AA67,"Septic capacity (gal/day)",IF(X67=AA67,"Min lot size",IF(Y67=AA67,"Road frontage",IF(V67=AA67,"Site area / parking","Density"))))))))))))))</f>
        <v/>
      </c>
      <c r="AM67" s="15">
        <f>IF(AK67&gt;0,1,0)</f>
        <v/>
      </c>
      <c r="AN67" s="15">
        <f>IF(Use_Library!$Z$66="Y",1,0)*AM67</f>
        <v/>
      </c>
      <c r="AO67" s="14">
        <f>IF(Parcel!$C$39=0,MIN(U67,V67,X67,Y67,AB67),0)</f>
        <v/>
      </c>
      <c r="AP67" s="9">
        <f>IF(AND(Parcel!$C$39=0,M67*K67*R67*N67*S67*P67=1,AO67&lt;1E+9,AO67&gt;=MAX(1,AK67)*1.25),"Unlock: sewer or package plant allows ~"&amp;TEXT(INT(AO67),"#,##0")&amp;" "&amp;Use_Library!$D$66&amp;". ","")</f>
        <v/>
      </c>
      <c r="AQ67" s="15">
        <f>AK67*Use_Library!$AC$66*AN67</f>
        <v/>
      </c>
      <c r="AR67" s="15">
        <f>AK67*Use_Library!$AD$66*AN67</f>
        <v/>
      </c>
      <c r="AS67" s="14">
        <f>AK67*Use_Library!$V$66*AN67</f>
        <v/>
      </c>
      <c r="AT67" s="15">
        <f>IF(Parcel!$C$38=1,AQ67+Parcel!$C$40,0)*AN67</f>
        <v/>
      </c>
      <c r="AU67" s="14">
        <f>AS67*Parcel!$C$38</f>
        <v/>
      </c>
      <c r="AV67" s="15">
        <f>IF(AND(Parcel!$C$38=0,Use_Library!$K$66="N",AS67&gt;=Location!$C$30),1,0)*AN67</f>
        <v/>
      </c>
      <c r="AW67" s="15">
        <f>IF(Parcel!$C$39=1,AQ67+Parcel!$C$41,0)*AN67</f>
        <v/>
      </c>
      <c r="AX67" s="14">
        <f>AS67*Parcel!$C$39</f>
        <v/>
      </c>
      <c r="AY67" s="14">
        <f>IF(Parcel!$C$39=0,AK67*Use_Library!$W$66,0)*AN67</f>
        <v/>
      </c>
      <c r="AZ67" s="15">
        <f>IF(Parcel!$C$39=0,AK67*Use_Library!$Y$66,0)*AN67</f>
        <v/>
      </c>
      <c r="BA67" s="15">
        <f>IF(AND(Use_Library!$K$66="N",AZ67&gt;Location!$C$28),1,0)</f>
        <v/>
      </c>
      <c r="BB67" s="14">
        <f>IF(AND(Parcel!$C$38=0,AV67=0),AK67*Use_Library!$X$66,0)*AN67</f>
        <v/>
      </c>
      <c r="BC67" s="14">
        <f>AH67*Parcel!$C$18*Use_Library!$AA$66*AN67</f>
        <v/>
      </c>
      <c r="BD67" s="14">
        <f>AH67*Use_Library!$AA$66*AN67</f>
        <v/>
      </c>
      <c r="BE67" s="15">
        <f>IF(Use_Library!$C$66="For-Sale",IF(Use_Library!$E$66="Y",AK67,1),1)*AM67</f>
        <v/>
      </c>
      <c r="BF67" s="15">
        <f>IF(OR(Use_Library!$F$66="RES-SF",Use_Library!$F$66="RES-ATT",Use_Library!$F$66="RES-MF",Use_Library!$F$66="MH"),1,0)</f>
        <v/>
      </c>
      <c r="BG67" s="20">
        <f>Cost_Library!$J$5*Location!$C$9*AM67</f>
        <v/>
      </c>
      <c r="BH67" s="20">
        <f>BE67*Cost_Library!$J$6*Location!$C$9</f>
        <v/>
      </c>
      <c r="BI67" s="20">
        <f>BD67*Cost_Library!$J$7*Location!$C$9</f>
        <v/>
      </c>
      <c r="BJ67" s="20">
        <f>Cost_Library!$J$8*Location!$C$9*AN67*IF(Use_Library!$AA$66&gt;=0.5,1,0)</f>
        <v/>
      </c>
      <c r="BK67" s="20">
        <f>AY67*Cost_Library!$J$9*Location!$C$9</f>
        <v/>
      </c>
      <c r="BL67" s="20">
        <f>BA67*Cost_Library!$J$10*Location!$C$9</f>
        <v/>
      </c>
      <c r="BM67" s="20">
        <f>Cost_Library!$J$11*Location!$C$9*AM67</f>
        <v/>
      </c>
      <c r="BN67" s="20">
        <f>Cost_Library!$J$12*Location!$C$9*AN67*IF(Use_Library!$AB$66="Y",1,0)</f>
        <v/>
      </c>
      <c r="BO67" s="20">
        <f>Use_Effective!$C$66*AM67</f>
        <v/>
      </c>
      <c r="BP67" s="20">
        <f>L67*Location!$C$31*AM67</f>
        <v/>
      </c>
      <c r="BQ67" s="20">
        <f>Cost_Library!$J$13*Location!$C$9*AM67</f>
        <v/>
      </c>
      <c r="BR67" s="20">
        <f>BC67*Cost_Library!$J$14*Location!$C$9</f>
        <v/>
      </c>
      <c r="BS67" s="20">
        <f>BD67*Cost_Library!$J$15*Location!$C$9*Parcel!$C$43</f>
        <v/>
      </c>
      <c r="BT67" s="20">
        <f>AQ67*Cost_Library!$J$16*Location!$C$9</f>
        <v/>
      </c>
      <c r="BU67" s="20">
        <f>AR67*Cost_Library!$J$17*Location!$C$9</f>
        <v/>
      </c>
      <c r="BV67" s="20">
        <f>AG67*Cost_Library!$J$18*Location!$C$9*AN67</f>
        <v/>
      </c>
      <c r="BW67" s="20">
        <f>BD67*Cost_Library!$J$19*Location!$C$9</f>
        <v/>
      </c>
      <c r="BX67" s="20">
        <f>IF(Use_Library!$AZ$66="Y",1,0)*Cost_Library!$J$20*Location!$C$9*AN67</f>
        <v/>
      </c>
      <c r="BY67" s="20">
        <f>AT67*Cost_Library!$J$21*Location!$C$9</f>
        <v/>
      </c>
      <c r="BZ67" s="20">
        <f>AU67*Cost_Library!$J$22*Location!$C$9</f>
        <v/>
      </c>
      <c r="CA67" s="20">
        <f>AW67*Cost_Library!$J$23*Location!$C$9</f>
        <v/>
      </c>
      <c r="CB67" s="20">
        <f>AX67*Cost_Library!$J$24*Location!$C$9</f>
        <v/>
      </c>
      <c r="CC67" s="20">
        <f>AY67*Cost_Library!$J$25*Location!$C$9*Parcel!$C$44</f>
        <v/>
      </c>
      <c r="CD67" s="20">
        <f>BB67*Cost_Library!$J$26*Location!$C$9</f>
        <v/>
      </c>
      <c r="CE67" s="20">
        <f>AV67*(Cost_Library!$J$27+AS67*Cost_Library!$J$28)*Location!$C$9</f>
        <v/>
      </c>
      <c r="CF67" s="20">
        <f>AQ67*Cost_Library!$J$29*Location!$C$9</f>
        <v/>
      </c>
      <c r="CG67" s="20">
        <f>SUM(BG67:CF67)</f>
        <v/>
      </c>
      <c r="CH67" s="20">
        <f>CG67*Assumptions!$C$9</f>
        <v/>
      </c>
      <c r="CI67" s="20">
        <f>(CG67+CH67)*Org_Profile!$C$17</f>
        <v/>
      </c>
      <c r="CJ67" s="20">
        <f>CG67+CH67+CI67</f>
        <v/>
      </c>
      <c r="CK67" s="20">
        <f>AK67*Use_Effective!$B$66*(1+Org_Profile!$C$17)</f>
        <v/>
      </c>
      <c r="CL67" s="20">
        <f>CK67*(Assumptions!$C$10+Assumptions!$C$11)</f>
        <v/>
      </c>
      <c r="CM67" s="20">
        <f>AK67*Use_Effective!$D$66</f>
        <v/>
      </c>
      <c r="CN67" s="20">
        <f>AK67*Location!$C$21*BF67*AM67</f>
        <v/>
      </c>
      <c r="CO67" s="14">
        <f>Use_Effective!$F$66+L67*Location!$C$32+BA67*Location!$C$29</f>
        <v/>
      </c>
      <c r="CP67" s="14">
        <f>IF(Use_Effective!$P$66&gt;0,IF(Use_Library!$C$66="For-Sale",AK67,AD67)/Use_Effective!$P$66,0)*AM67</f>
        <v/>
      </c>
      <c r="CQ67" s="14">
        <f>IF(AND(Use_Library!$C$66="For-Sale",Use_Effective!$O$66&gt;0),AK67/Use_Effective!$O$66,0)*AM67</f>
        <v/>
      </c>
      <c r="CR67" s="14">
        <f>IF(Use_Library!$C$66="Income",MAX(Use_Library!$AQ$66,IF(Use_Effective!$O$66&gt;0,AK67/Use_Effective!$O$66,0)),0)</f>
        <v/>
      </c>
      <c r="CS67" s="14">
        <f>CO67+CP67</f>
        <v/>
      </c>
      <c r="CT67" s="14">
        <f>CO67+CQ67+CR67</f>
        <v/>
      </c>
      <c r="CU67" s="14">
        <f>CO67+IF(Use_Library!$C$66="Income",CR67,0)</f>
        <v/>
      </c>
      <c r="CV67" s="23">
        <f>Use_Effective!$G$66+Assumptions!$C$25*MAX(0,(CS67-12)/12)</f>
        <v/>
      </c>
      <c r="CW67" s="23">
        <f>Use_Effective!$G$66+Assumptions!$C$25*MAX(0,(CT67-12)/12)</f>
        <v/>
      </c>
      <c r="CX67" s="23">
        <f>Use_Effective!$G$66+Assumptions!$C$25*MAX(0,(CU67-12)/12)</f>
        <v/>
      </c>
      <c r="CY67" s="28">
        <f>1+Location!$C$17+IF(Parcel!$C$26="Y",Location!$C$20,0)</f>
        <v/>
      </c>
      <c r="CZ67" s="28">
        <f>CY67+Location!$C$19*(CO67+CP67/2)/12</f>
        <v/>
      </c>
      <c r="DA67" s="28">
        <f>CY67+Location!$C$19*(CO67+CQ67/2)/12</f>
        <v/>
      </c>
      <c r="DB67" s="28">
        <f>IF(Use_Library!$C$66="Income",DA67,CY67+Location!$C$19*CO67/12)</f>
        <v/>
      </c>
      <c r="DC67" s="28">
        <f>1+Assumptions!$C$15*(Assumptions!$C$16*(CO67+CP67/2)/12*Assumptions!$C$18+Assumptions!$C$17)</f>
        <v/>
      </c>
      <c r="DD67" s="28">
        <f>1+Assumptions!$C$15*(Assumptions!$C$16*((CO67+CQ67/2)/12*Assumptions!$C$18+CR67/12*Assumptions!$C$19)+Assumptions!$C$17)</f>
        <v/>
      </c>
      <c r="DE67" s="28">
        <f>IF(Use_Library!$C$66="Income",DD67,1+Assumptions!$C$15*(Assumptions!$C$16*CO67/12*Assumptions!$C$18+Assumptions!$C$17))</f>
        <v/>
      </c>
      <c r="DF67" s="23">
        <f>Assumptions!$C$13+Location!$C$18</f>
        <v/>
      </c>
      <c r="DG67" s="23">
        <f>Assumptions!$C$12+Location!$C$18</f>
        <v/>
      </c>
      <c r="DH67" s="23">
        <f>Assumptions!$C$14+Location!$C$18</f>
        <v/>
      </c>
      <c r="DI67" s="20">
        <f>AI67*Location!$C$14*(1-DF67)*AM67</f>
        <v/>
      </c>
      <c r="DJ67" s="20">
        <f>IF(Use_Library!$AV$66=1,IF(Use_Library!$C$66="For-Sale",AK67*Use_Effective!$H$66+Parcel!$C$14*AE67*Use_Effective!$J$66,AD67*Use_Effective!$J$66)*(1-DF67)+DI67,0)*AM67</f>
        <v/>
      </c>
      <c r="DK67" s="20">
        <f>(CG67-BU67-CC67-CD67)*(1+Assumptions!$C$9)*(1+Org_Profile!$C$17)</f>
        <v/>
      </c>
      <c r="DL67" s="28">
        <f>CZ67*DC67</f>
        <v/>
      </c>
      <c r="DM67" s="20">
        <f>(Parcel!$C$27*CZ67+DK67)*DC67</f>
        <v/>
      </c>
      <c r="DN67" s="20">
        <f>DJ67-DM67</f>
        <v/>
      </c>
      <c r="DO67" s="38">
        <f>IF(AND(Use_Library!$AV$66=1,AM67=1),MAX(0,((1-CV67)*DJ67-DK67*DC67)/DL67),0)</f>
        <v/>
      </c>
      <c r="DP67" s="20">
        <f>CJ67+CK67+CL67+CM67+CN67</f>
        <v/>
      </c>
      <c r="DQ67" s="28">
        <f>DA67*DD67</f>
        <v/>
      </c>
      <c r="DR67" s="20">
        <f>(Parcel!$C$27*DA67+DP67)*DD67</f>
        <v/>
      </c>
      <c r="DS67" s="20">
        <f>IF(Use_Library!$C$66="Income",AK67*Use_Effective!$K$66,0)</f>
        <v/>
      </c>
      <c r="DT67" s="20">
        <f>DS67*(1+Use_Library!$AL$66)*(1-Use_Effective!$N$66)</f>
        <v/>
      </c>
      <c r="DU67" s="20">
        <f>IF(Use_Library!$C$66="Income",AK67*Use_Effective!$E$66,0)</f>
        <v/>
      </c>
      <c r="DV67" s="20">
        <f>IF(Use_Library!$C$66="Income",Location!$C$15*Location!$C$16*DR67,0)</f>
        <v/>
      </c>
      <c r="DW67" s="20">
        <f>DT67*Use_Library!$AO$66</f>
        <v/>
      </c>
      <c r="DX67" s="20">
        <f>(DU67+DV67)*Use_Library!$AP$66</f>
        <v/>
      </c>
      <c r="DY67" s="20">
        <f>DT67-DU67-DV67-DW67+DX67</f>
        <v/>
      </c>
      <c r="DZ67" s="26">
        <f>Use_Effective!$M$66</f>
        <v/>
      </c>
      <c r="EA67" s="20">
        <f>IF(AND(Use_Library!$C$66="Income",DZ67&gt;0),DY67/DZ67,0)</f>
        <v/>
      </c>
      <c r="EB67" s="39">
        <f>IF(Use_Library!$C$66="Income",-Location!$C$15*Location!$C$16*(1-Use_Library!$AP$66)*DQ67,0)</f>
        <v/>
      </c>
      <c r="EC67" s="23">
        <f>IF(DR67=0,0,DY67/DR67)</f>
        <v/>
      </c>
      <c r="ED67" s="20">
        <f>IF(Use_Library!$AW$66=1,IF(Use_Library!$C$66="Income",EA67*(1-DH67),AK67*Use_Effective!$I$66*(1-DG67))+DI67,0)*AM67</f>
        <v/>
      </c>
      <c r="EE67" s="39">
        <f>IF(AND(Use_Library!$AW$66=1,Use_Library!$C$66="Income",DZ67&gt;0),EB67/DZ67*(1-DH67),0)</f>
        <v/>
      </c>
      <c r="EF67" s="20">
        <f>ED67-DR67</f>
        <v/>
      </c>
      <c r="EG67" s="38">
        <f>IF(AND(Use_Library!$AW$66=1,AM67=1),MAX(0,Parcel!$C$27-((1-CW67)*ED67-DR67)/((1-CW67)*EE67-DQ67)),0)</f>
        <v/>
      </c>
      <c r="EH67" s="20">
        <f>IF(Use_Library!$AX$66=1,IF(Use_Library!$C$66="Income",EA67,IF(DZ67&gt;0,AD67*Use_Effective!$L$66/DZ67,0))+DI67,0)*AM67</f>
        <v/>
      </c>
      <c r="EI67" s="20">
        <f>IF(Use_Library!$C$66="Income",DP67,CJ67)</f>
        <v/>
      </c>
      <c r="EJ67" s="28">
        <f>IF(Use_Library!$C$66="Income",DQ67,DB67*DE67)</f>
        <v/>
      </c>
      <c r="EK67" s="20">
        <f>IF(Use_Library!$C$66="Income",DR67,(Parcel!$C$27*DB67+CJ67)*DE67)</f>
        <v/>
      </c>
      <c r="EL67" s="39">
        <f>IF(AND(Use_Library!$AX$66=1,Use_Library!$C$66="Income",DZ67&gt;0),EB67/DZ67,0)</f>
        <v/>
      </c>
      <c r="EM67" s="20">
        <f>EH67-EK67</f>
        <v/>
      </c>
      <c r="EN67" s="38">
        <f>IF(AND(Use_Library!$AX$66=1,AM67=1),MAX(0,Parcel!$C$27-((1-CX67)*EH67-EK67)/((1-CX67)*EL67-EJ67)),0)</f>
        <v/>
      </c>
      <c r="EO67" s="20">
        <f>IF(Use_Library!$C$66="Income",Assumptions!$C$15*(Parcel!$C$27*DA67+DP67),0)</f>
        <v/>
      </c>
      <c r="EP67" s="20">
        <f>IF(AND(Use_Library!$C$66="Income",DY67&gt;0),MIN(Assumptions!$C$20*EA67,PV(Assumptions!$C$23/12,Assumptions!$C$24*12,-DY67/Assumptions!$C$21/12),DY67/Assumptions!$C$22),0)</f>
        <v/>
      </c>
      <c r="EQ67" s="27">
        <f>IF(EP67=0,0,DY67/(-PMT(Assumptions!$C$23/12,Assumptions!$C$24*12,EP67)*12))</f>
        <v/>
      </c>
      <c r="ER67" s="20">
        <f>EP67-EO67</f>
        <v/>
      </c>
      <c r="ES67" s="19">
        <f>MAX(DO67,EG67,EN67)</f>
        <v/>
      </c>
      <c r="ET67" s="15">
        <f>IF(ES67&lt;=0,0,IF(DO67=ES67,1,IF(EG67=ES67,2,3)))</f>
        <v/>
      </c>
      <c r="EU67" s="9">
        <f>CHOOSE(ET67+1,"None works","Land / pad sale","Build &amp; sell","Build &amp; hold / lease")</f>
        <v/>
      </c>
      <c r="EV67" s="15">
        <f>CHOOSE(ET67+1,0,CS67,CT67,CU67)</f>
        <v/>
      </c>
      <c r="EW67" s="20">
        <f>ES67*(1-Assumptions!$C$26)</f>
        <v/>
      </c>
      <c r="EX67" s="20">
        <f>ES67-Parcel!$C$27</f>
        <v/>
      </c>
      <c r="EY67" s="20">
        <f>IF(Parcel!$C$14=0,0,ES67/Parcel!$C$14)</f>
        <v/>
      </c>
      <c r="EZ67" s="36">
        <f>IF(AK67=0,0,ES67/AK67)</f>
        <v/>
      </c>
      <c r="FA67" s="9">
        <f>IF(ES67&lt;=0,"Pass",IF(ES67&gt;=Parcel!$C$27*Assumptions!$C$27,"Strong",IF(ES67&gt;=Parcel!$C$27,"Works at asking",IF(ES67&gt;=Parcel!$C$27*Assumptions!$C$28,"Negotiate","Pass"))))</f>
        <v/>
      </c>
      <c r="FB67" s="9">
        <f>IF(AM67=0,"",IF(Use_Library!$BH$66="Y",IF(Use_Effective!$AF$66&gt;=3,"High","Medium"),"Low - verify location"))</f>
        <v/>
      </c>
      <c r="FC67" s="9">
        <f>IF(AND(Use_Library!$BH$66="N",AM67=1),Use_Library!$BI$66,"")</f>
        <v/>
      </c>
      <c r="FD67" s="9">
        <f>TRIM(Q67&amp;" "&amp;IF(AND(AM67=0,T67=1),"Nothing fits. ","")&amp;IF(AND(Use_Library!$AZ$66&lt;&gt;"Y",Parcel!$C$19&lt;Use_Library!$AY$66),"Frontage under "&amp;Use_Library!$AY$66&amp;" LF. ","")&amp;IF(Parcel!$C$17&gt;0.15,"Slope over 15%. ","")&amp;IF(AND(AM67=1,AI67&gt;0.5),TEXT(AI67,"0")&amp;" ac not used - resold as raw land. ","")&amp;IF(AND(AM67=1,AC67&lt;1),"Demand caps it at "&amp;TEXT(AK67,"#,##0")&amp;" "&amp;Use_Library!$D$66&amp;". ","")&amp;IF(AND(AM67=1,L67=1),"Rezone required (+"&amp;Location!$C$32&amp;" mo). ","")&amp;IF(AND(AM67=1,BA67=1),"State wastewater permit needed. ","")&amp;IF(AND(AM67=1,AV67=1),"Public water system needed. ","")&amp;AP67&amp;IF(Parcel!$C$16&gt;Assumptions!$C$29,"Floodplain over "&amp;TEXT(Assumptions!$C$29,"0%")&amp;". ","")&amp;IF(AND(AM67=1,EV67&gt;60),"Over 5 years to exit. ",""))</f>
        <v/>
      </c>
      <c r="FE67" s="20">
        <f>IF(AND(Org_Profile!$C$5="My uses",E67=0),-1E+9,ES67)+ROW()/1000000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4" customWidth="1" min="3" max="3"/>
    <col width="60" customWidth="1" min="4" max="4"/>
  </cols>
  <sheetData>
    <row r="1">
      <c r="A1" s="1" t="inlineStr">
        <is>
          <t>Global Assumptions</t>
        </is>
      </c>
    </row>
    <row r="2">
      <c r="A2" s="2" t="inlineStr">
        <is>
          <t>Org-level settings that do not vary by location. Location-specific values (tax, closing, transfer tax, septic rules, raw land) live on Regions.</t>
        </is>
      </c>
    </row>
    <row r="4">
      <c r="B4" s="8" t="inlineStr">
        <is>
          <t>Assumption</t>
        </is>
      </c>
      <c r="C4" s="8" t="inlineStr">
        <is>
          <t>Value</t>
        </is>
      </c>
      <c r="D4" s="8" t="inlineStr">
        <is>
          <t>Notes</t>
        </is>
      </c>
    </row>
    <row r="5">
      <c r="B5" s="9" t="inlineStr">
        <is>
          <t>Max water main extension before wells</t>
        </is>
      </c>
      <c r="C5" s="12" t="n">
        <v>2640</v>
      </c>
      <c r="D5" s="2" t="inlineStr">
        <is>
          <t>LF</t>
        </is>
      </c>
    </row>
    <row r="6">
      <c r="B6" s="9" t="inlineStr">
        <is>
          <t>Max sewer main extension before septic</t>
        </is>
      </c>
      <c r="C6" s="12" t="n">
        <v>1320</v>
      </c>
      <c r="D6" s="2" t="inlineStr">
        <is>
          <t>LF</t>
        </is>
      </c>
    </row>
    <row r="7">
      <c r="B7" s="9" t="inlineStr">
        <is>
          <t>Detention % of net</t>
        </is>
      </c>
      <c r="C7" s="11" t="n">
        <v>0.04</v>
      </c>
      <c r="D7" s="2" t="inlineStr">
        <is>
          <t>Confirm with drainage study</t>
        </is>
      </c>
    </row>
    <row r="8">
      <c r="B8" s="9" t="inlineStr">
        <is>
          <t>ROW share of lot area (septic lot rule)</t>
        </is>
      </c>
      <c r="C8" s="11" t="n">
        <v>0.15</v>
      </c>
      <c r="D8" s="2" t="inlineStr"/>
    </row>
    <row r="9">
      <c r="B9" s="9" t="inlineStr">
        <is>
          <t>Horizontal contingency</t>
        </is>
      </c>
      <c r="C9" s="11" t="n">
        <v>0.1</v>
      </c>
      <c r="D9" s="2" t="inlineStr">
        <is>
          <t>% of horizontal costs</t>
        </is>
      </c>
    </row>
    <row r="10">
      <c r="B10" s="9" t="inlineStr">
        <is>
          <t>Vertical soft costs (A&amp;E, permits, dev fee)</t>
        </is>
      </c>
      <c r="C10" s="11" t="n">
        <v>0.08</v>
      </c>
      <c r="D10" s="2" t="inlineStr">
        <is>
          <t>% of vertical</t>
        </is>
      </c>
    </row>
    <row r="11">
      <c r="B11" s="9" t="inlineStr">
        <is>
          <t>Vertical contingency</t>
        </is>
      </c>
      <c r="C11" s="11" t="n">
        <v>0.05</v>
      </c>
      <c r="D11" s="2" t="inlineStr">
        <is>
          <t>% of vertical</t>
        </is>
      </c>
    </row>
    <row r="12">
      <c r="B12" s="9" t="inlineStr">
        <is>
          <t>Selling costs - homes / condos</t>
        </is>
      </c>
      <c r="C12" s="11" t="n">
        <v>0.06</v>
      </c>
      <c r="D12" s="2" t="inlineStr">
        <is>
          <t>Plus the location's transfer tax</t>
        </is>
      </c>
    </row>
    <row r="13">
      <c r="B13" s="9" t="inlineStr">
        <is>
          <t>Selling costs - lots / land / pads</t>
        </is>
      </c>
      <c r="C13" s="11" t="n">
        <v>0.04</v>
      </c>
      <c r="D13" s="2" t="inlineStr">
        <is>
          <t>Plus the location's transfer tax</t>
        </is>
      </c>
    </row>
    <row r="14">
      <c r="B14" s="9" t="inlineStr">
        <is>
          <t>Sale costs - stabilized income property</t>
        </is>
      </c>
      <c r="C14" s="11" t="n">
        <v>0.02</v>
      </c>
      <c r="D14" s="2" t="inlineStr">
        <is>
          <t>Plus the location's transfer tax</t>
        </is>
      </c>
    </row>
    <row r="15">
      <c r="B15" s="9" t="inlineStr">
        <is>
          <t>Development loan-to-cost</t>
        </is>
      </c>
      <c r="C15" s="11" t="n">
        <v>0.65</v>
      </c>
      <c r="D15" s="2" t="inlineStr"/>
    </row>
    <row r="16">
      <c r="B16" s="9" t="inlineStr">
        <is>
          <t>Development loan rate</t>
        </is>
      </c>
      <c r="C16" s="11" t="n">
        <v>0.09</v>
      </c>
      <c r="D16" s="2" t="inlineStr"/>
    </row>
    <row r="17">
      <c r="B17" s="9" t="inlineStr">
        <is>
          <t>Development loan points</t>
        </is>
      </c>
      <c r="C17" s="11" t="n">
        <v>0.01</v>
      </c>
      <c r="D17" s="2" t="inlineStr"/>
    </row>
    <row r="18">
      <c r="B18" s="9" t="inlineStr">
        <is>
          <t>Average balance drawn during construction</t>
        </is>
      </c>
      <c r="C18" s="11" t="n">
        <v>0.55</v>
      </c>
      <c r="D18" s="2" t="inlineStr"/>
    </row>
    <row r="19">
      <c r="B19" s="9" t="inlineStr">
        <is>
          <t>Share of lease-up interest not covered by ramping NOI</t>
        </is>
      </c>
      <c r="C19" s="11" t="n">
        <v>0.5</v>
      </c>
      <c r="D19" s="2" t="inlineStr">
        <is>
          <t>Income uses only</t>
        </is>
      </c>
    </row>
    <row r="20">
      <c r="B20" s="9" t="inlineStr">
        <is>
          <t>Permanent loan max LTV</t>
        </is>
      </c>
      <c r="C20" s="11" t="n">
        <v>0.7</v>
      </c>
      <c r="D20" s="2" t="inlineStr"/>
    </row>
    <row r="21">
      <c r="B21" s="9" t="inlineStr">
        <is>
          <t>Permanent loan min DSCR</t>
        </is>
      </c>
      <c r="C21" s="40" t="n">
        <v>1.25</v>
      </c>
      <c r="D21" s="2" t="inlineStr"/>
    </row>
    <row r="22">
      <c r="B22" s="9" t="inlineStr">
        <is>
          <t>Permanent loan min debt yield</t>
        </is>
      </c>
      <c r="C22" s="11" t="n">
        <v>0.09</v>
      </c>
      <c r="D22" s="2" t="inlineStr"/>
    </row>
    <row r="23">
      <c r="B23" s="9" t="inlineStr">
        <is>
          <t>Permanent loan rate</t>
        </is>
      </c>
      <c r="C23" s="11" t="n">
        <v>0.068</v>
      </c>
      <c r="D23" s="2" t="inlineStr"/>
    </row>
    <row r="24">
      <c r="B24" s="9" t="inlineStr">
        <is>
          <t>Permanent loan amortization</t>
        </is>
      </c>
      <c r="C24" s="12" t="n">
        <v>30</v>
      </c>
      <c r="D24" s="2" t="inlineStr">
        <is>
          <t>years</t>
        </is>
      </c>
    </row>
    <row r="25">
      <c r="B25" s="9" t="inlineStr">
        <is>
          <t>Extra required margin per year beyond 12 months</t>
        </is>
      </c>
      <c r="C25" s="11" t="n">
        <v>0.05</v>
      </c>
      <c r="D25" s="2" t="inlineStr">
        <is>
          <t>Puts a 3-year build-out on equal footing with a 1-year flip</t>
        </is>
      </c>
    </row>
    <row r="26">
      <c r="B26" s="9" t="inlineStr">
        <is>
          <t>Opening offer discount below max</t>
        </is>
      </c>
      <c r="C26" s="11" t="n">
        <v>0.15</v>
      </c>
      <c r="D26" s="2" t="inlineStr"/>
    </row>
    <row r="27">
      <c r="B27" s="9" t="inlineStr">
        <is>
          <t>Verdict 'Strong' when max offer &gt;= asking x</t>
        </is>
      </c>
      <c r="C27" s="40" t="n">
        <v>1.15</v>
      </c>
      <c r="D27" s="2" t="inlineStr"/>
    </row>
    <row r="28">
      <c r="B28" s="9" t="inlineStr">
        <is>
          <t>Verdict 'Negotiate' when max offer &gt;= asking x</t>
        </is>
      </c>
      <c r="C28" s="40" t="n">
        <v>0.8</v>
      </c>
      <c r="D28" s="2" t="inlineStr">
        <is>
          <t>Below this = Pass</t>
        </is>
      </c>
    </row>
    <row r="29">
      <c r="B29" s="9" t="inlineStr">
        <is>
          <t>Flag when floodplain share exceeds</t>
        </is>
      </c>
      <c r="C29" s="11" t="n">
        <v>0.3</v>
      </c>
      <c r="D29" s="2" t="inlineStr"/>
    </row>
    <row r="30">
      <c r="B30" s="9" t="inlineStr">
        <is>
          <t>Learning: weight of the default (pseudo-records)</t>
        </is>
      </c>
      <c r="C30" s="10" t="n">
        <v>3</v>
      </c>
      <c r="D30" s="2" t="inlineStr">
        <is>
          <t>Org numbers need ~3 good records to outweigh the default</t>
        </is>
      </c>
    </row>
    <row r="31">
      <c r="B31" s="9" t="inlineStr">
        <is>
          <t>Learning: record half-life</t>
        </is>
      </c>
      <c r="C31" s="10" t="n">
        <v>3</v>
      </c>
      <c r="D31" s="2" t="inlineStr">
        <is>
          <t>years; older records count less</t>
        </is>
      </c>
    </row>
    <row r="32">
      <c r="B32" s="9" t="inlineStr">
        <is>
          <t>Cost escalation per year (to bring old records to today)</t>
        </is>
      </c>
      <c r="C32" s="11" t="n">
        <v>0.04</v>
      </c>
      <c r="D32" s="2" t="inlineStr"/>
    </row>
    <row r="33">
      <c r="B33" s="9" t="inlineStr">
        <is>
          <t>Valuation date</t>
        </is>
      </c>
      <c r="C33" s="41" t="n">
        <v>46324</v>
      </c>
      <c r="D33" s="2" t="inlineStr">
        <is>
          <t>Fixed date (not TODAY) so tests are repeatable</t>
        </is>
      </c>
    </row>
    <row r="34">
      <c r="B34" s="9" t="inlineStr">
        <is>
          <t>Pooled benchmark minimum records</t>
        </is>
      </c>
      <c r="C34" s="12" t="n">
        <v>5</v>
      </c>
      <c r="D34" s="2" t="inlineStr"/>
    </row>
    <row r="35">
      <c r="B35" s="9" t="inlineStr">
        <is>
          <t>Pooled benchmark minimum orgs</t>
        </is>
      </c>
      <c r="C35" s="12" t="n">
        <v>3</v>
      </c>
      <c r="D35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1" t="inlineStr">
        <is>
          <t>Cost Library - horizontal unit costs (reference basis)</t>
        </is>
      </c>
    </row>
    <row r="2">
      <c r="A2" s="2" t="inlineStr">
        <is>
          <t>Low/Base/High are Landova defaults. The org's own records (Cost_Records) pull the value toward their experience as they accumulate. The engine multiplies by the location cost index.</t>
        </is>
      </c>
    </row>
    <row r="4" ht="32" customHeight="1">
      <c r="A4" s="8" t="inlineStr">
        <is>
          <t>Code</t>
        </is>
      </c>
      <c r="B4" s="8" t="inlineStr">
        <is>
          <t>Line item</t>
        </is>
      </c>
      <c r="C4" s="8" t="inlineStr">
        <is>
          <t>Unit</t>
        </is>
      </c>
      <c r="D4" s="8" t="inlineStr">
        <is>
          <t>Low</t>
        </is>
      </c>
      <c r="E4" s="8" t="inlineStr">
        <is>
          <t>Base</t>
        </is>
      </c>
      <c r="F4" s="8" t="inlineStr">
        <is>
          <t>High</t>
        </is>
      </c>
      <c r="G4" s="8" t="inlineStr">
        <is>
          <t>Scenario value</t>
        </is>
      </c>
      <c r="H4" s="8" t="inlineStr">
        <is>
          <t>Org effective records</t>
        </is>
      </c>
      <c r="I4" s="8" t="inlineStr">
        <is>
          <t>Learned value</t>
        </is>
      </c>
      <c r="J4" s="8" t="inlineStr">
        <is>
          <t>Used</t>
        </is>
      </c>
      <c r="K4" s="8" t="inlineStr">
        <is>
          <t>Source</t>
        </is>
      </c>
    </row>
    <row r="5">
      <c r="A5" s="9" t="inlineStr">
        <is>
          <t>02-100</t>
        </is>
      </c>
      <c r="B5" s="9" t="inlineStr">
        <is>
          <t>Boundary &amp; topo survey</t>
        </is>
      </c>
      <c r="C5" s="9" t="inlineStr">
        <is>
          <t>LS</t>
        </is>
      </c>
      <c r="D5" s="13" t="n">
        <v>4000</v>
      </c>
      <c r="E5" s="13" t="n">
        <v>6500</v>
      </c>
      <c r="F5" s="13" t="n">
        <v>10000</v>
      </c>
      <c r="G5" s="20">
        <f>INDEX(D5:F5,Parcel!$C$42)</f>
        <v/>
      </c>
      <c r="H5" s="14">
        <f>SUMPRODUCT((Cost_Records!$A$5:$A$504=Org_Profile!$C$4)*(Cost_Records!$B$5:$B$504=A5)*Cost_Records!$J$5:$J$504)</f>
        <v/>
      </c>
      <c r="I5" s="20">
        <f>(SUMPRODUCT((Cost_Records!$A$5:$A$504=Org_Profile!$C$4)*(Cost_Records!$B$5:$B$504=A5)*Cost_Records!$J$5:$J$504*Cost_Records!$I$5:$I$504)+Assumptions!$C$30*G5)/(H5+Assumptions!$C$30)</f>
        <v/>
      </c>
      <c r="J5" s="22">
        <f>I5</f>
        <v/>
      </c>
      <c r="K5" s="2">
        <f>IF(H5&gt;0,"Org-learned ("&amp;TEXT(H5,"0.0")&amp;" eff. records)","Library - "&amp;Parcel!$C$13)</f>
        <v/>
      </c>
    </row>
    <row r="6">
      <c r="A6" s="9" t="inlineStr">
        <is>
          <t>02-110</t>
        </is>
      </c>
      <c r="B6" s="9" t="inlineStr">
        <is>
          <t>Platting / lot surveys</t>
        </is>
      </c>
      <c r="C6" s="9" t="inlineStr">
        <is>
          <t>per lot</t>
        </is>
      </c>
      <c r="D6" s="13" t="n">
        <v>600</v>
      </c>
      <c r="E6" s="13" t="n">
        <v>900</v>
      </c>
      <c r="F6" s="13" t="n">
        <v>1400</v>
      </c>
      <c r="G6" s="20">
        <f>INDEX(D6:F6,Parcel!$C$42)</f>
        <v/>
      </c>
      <c r="H6" s="14">
        <f>SUMPRODUCT((Cost_Records!$A$5:$A$504=Org_Profile!$C$4)*(Cost_Records!$B$5:$B$504=A6)*Cost_Records!$J$5:$J$504)</f>
        <v/>
      </c>
      <c r="I6" s="20">
        <f>(SUMPRODUCT((Cost_Records!$A$5:$A$504=Org_Profile!$C$4)*(Cost_Records!$B$5:$B$504=A6)*Cost_Records!$J$5:$J$504*Cost_Records!$I$5:$I$504)+Assumptions!$C$30*G6)/(H6+Assumptions!$C$30)</f>
        <v/>
      </c>
      <c r="J6" s="22">
        <f>I6</f>
        <v/>
      </c>
      <c r="K6" s="2">
        <f>IF(H6&gt;0,"Org-learned ("&amp;TEXT(H6,"0.0")&amp;" eff. records)","Library - "&amp;Parcel!$C$13)</f>
        <v/>
      </c>
    </row>
    <row r="7">
      <c r="A7" s="9" t="inlineStr">
        <is>
          <t>02-200</t>
        </is>
      </c>
      <c r="B7" s="9" t="inlineStr">
        <is>
          <t>Civil engineering</t>
        </is>
      </c>
      <c r="C7" s="9" t="inlineStr">
        <is>
          <t>per disturbed ac</t>
        </is>
      </c>
      <c r="D7" s="13" t="n">
        <v>3000</v>
      </c>
      <c r="E7" s="13" t="n">
        <v>5000</v>
      </c>
      <c r="F7" s="13" t="n">
        <v>8000</v>
      </c>
      <c r="G7" s="20">
        <f>INDEX(D7:F7,Parcel!$C$42)</f>
        <v/>
      </c>
      <c r="H7" s="14">
        <f>SUMPRODUCT((Cost_Records!$A$5:$A$504=Org_Profile!$C$4)*(Cost_Records!$B$5:$B$504=A7)*Cost_Records!$J$5:$J$504)</f>
        <v/>
      </c>
      <c r="I7" s="20">
        <f>(SUMPRODUCT((Cost_Records!$A$5:$A$504=Org_Profile!$C$4)*(Cost_Records!$B$5:$B$504=A7)*Cost_Records!$J$5:$J$504*Cost_Records!$I$5:$I$504)+Assumptions!$C$30*G7)/(H7+Assumptions!$C$30)</f>
        <v/>
      </c>
      <c r="J7" s="22">
        <f>I7</f>
        <v/>
      </c>
      <c r="K7" s="2">
        <f>IF(H7&gt;0,"Org-learned ("&amp;TEXT(H7,"0.0")&amp;" eff. records)","Library - "&amp;Parcel!$C$13)</f>
        <v/>
      </c>
    </row>
    <row r="8">
      <c r="A8" s="9" t="inlineStr">
        <is>
          <t>02-300</t>
        </is>
      </c>
      <c r="B8" s="9" t="inlineStr">
        <is>
          <t>Geotechnical report</t>
        </is>
      </c>
      <c r="C8" s="9" t="inlineStr">
        <is>
          <t>LS</t>
        </is>
      </c>
      <c r="D8" s="13" t="n">
        <v>3000</v>
      </c>
      <c r="E8" s="13" t="n">
        <v>5000</v>
      </c>
      <c r="F8" s="13" t="n">
        <v>9000</v>
      </c>
      <c r="G8" s="20">
        <f>INDEX(D8:F8,Parcel!$C$42)</f>
        <v/>
      </c>
      <c r="H8" s="14">
        <f>SUMPRODUCT((Cost_Records!$A$5:$A$504=Org_Profile!$C$4)*(Cost_Records!$B$5:$B$504=A8)*Cost_Records!$J$5:$J$504)</f>
        <v/>
      </c>
      <c r="I8" s="20">
        <f>(SUMPRODUCT((Cost_Records!$A$5:$A$504=Org_Profile!$C$4)*(Cost_Records!$B$5:$B$504=A8)*Cost_Records!$J$5:$J$504*Cost_Records!$I$5:$I$504)+Assumptions!$C$30*G8)/(H8+Assumptions!$C$30)</f>
        <v/>
      </c>
      <c r="J8" s="22">
        <f>I8</f>
        <v/>
      </c>
      <c r="K8" s="2">
        <f>IF(H8&gt;0,"Org-learned ("&amp;TEXT(H8,"0.0")&amp;" eff. records)","Library - "&amp;Parcel!$C$13)</f>
        <v/>
      </c>
    </row>
    <row r="9">
      <c r="A9" s="9" t="inlineStr">
        <is>
          <t>02-310</t>
        </is>
      </c>
      <c r="B9" s="9" t="inlineStr">
        <is>
          <t>Septic site evaluations</t>
        </is>
      </c>
      <c r="C9" s="9" t="inlineStr">
        <is>
          <t>per system</t>
        </is>
      </c>
      <c r="D9" s="13" t="n">
        <v>350</v>
      </c>
      <c r="E9" s="13" t="n">
        <v>500</v>
      </c>
      <c r="F9" s="13" t="n">
        <v>800</v>
      </c>
      <c r="G9" s="20">
        <f>INDEX(D9:F9,Parcel!$C$42)</f>
        <v/>
      </c>
      <c r="H9" s="14">
        <f>SUMPRODUCT((Cost_Records!$A$5:$A$504=Org_Profile!$C$4)*(Cost_Records!$B$5:$B$504=A9)*Cost_Records!$J$5:$J$504)</f>
        <v/>
      </c>
      <c r="I9" s="20">
        <f>(SUMPRODUCT((Cost_Records!$A$5:$A$504=Org_Profile!$C$4)*(Cost_Records!$B$5:$B$504=A9)*Cost_Records!$J$5:$J$504*Cost_Records!$I$5:$I$504)+Assumptions!$C$30*G9)/(H9+Assumptions!$C$30)</f>
        <v/>
      </c>
      <c r="J9" s="22">
        <f>I9</f>
        <v/>
      </c>
      <c r="K9" s="2">
        <f>IF(H9&gt;0,"Org-learned ("&amp;TEXT(H9,"0.0")&amp;" eff. records)","Library - "&amp;Parcel!$C$13)</f>
        <v/>
      </c>
    </row>
    <row r="10">
      <c r="A10" s="9" t="inlineStr">
        <is>
          <t>02-320</t>
        </is>
      </c>
      <c r="B10" s="9" t="inlineStr">
        <is>
          <t>Large wastewater permit (state)</t>
        </is>
      </c>
      <c r="C10" s="9" t="inlineStr">
        <is>
          <t>LS</t>
        </is>
      </c>
      <c r="D10" s="13" t="n">
        <v>15000</v>
      </c>
      <c r="E10" s="13" t="n">
        <v>30000</v>
      </c>
      <c r="F10" s="13" t="n">
        <v>60000</v>
      </c>
      <c r="G10" s="20">
        <f>INDEX(D10:F10,Parcel!$C$42)</f>
        <v/>
      </c>
      <c r="H10" s="14">
        <f>SUMPRODUCT((Cost_Records!$A$5:$A$504=Org_Profile!$C$4)*(Cost_Records!$B$5:$B$504=A10)*Cost_Records!$J$5:$J$504)</f>
        <v/>
      </c>
      <c r="I10" s="20">
        <f>(SUMPRODUCT((Cost_Records!$A$5:$A$504=Org_Profile!$C$4)*(Cost_Records!$B$5:$B$504=A10)*Cost_Records!$J$5:$J$504*Cost_Records!$I$5:$I$504)+Assumptions!$C$30*G10)/(H10+Assumptions!$C$30)</f>
        <v/>
      </c>
      <c r="J10" s="22">
        <f>I10</f>
        <v/>
      </c>
      <c r="K10" s="2">
        <f>IF(H10&gt;0,"Org-learned ("&amp;TEXT(H10,"0.0")&amp;" eff. records)","Library - "&amp;Parcel!$C$13)</f>
        <v/>
      </c>
    </row>
    <row r="11">
      <c r="A11" s="9" t="inlineStr">
        <is>
          <t>02-400</t>
        </is>
      </c>
      <c r="B11" s="9" t="inlineStr">
        <is>
          <t>Phase I environmental</t>
        </is>
      </c>
      <c r="C11" s="9" t="inlineStr">
        <is>
          <t>LS</t>
        </is>
      </c>
      <c r="D11" s="13" t="n">
        <v>2000</v>
      </c>
      <c r="E11" s="13" t="n">
        <v>2800</v>
      </c>
      <c r="F11" s="13" t="n">
        <v>4000</v>
      </c>
      <c r="G11" s="20">
        <f>INDEX(D11:F11,Parcel!$C$42)</f>
        <v/>
      </c>
      <c r="H11" s="14">
        <f>SUMPRODUCT((Cost_Records!$A$5:$A$504=Org_Profile!$C$4)*(Cost_Records!$B$5:$B$504=A11)*Cost_Records!$J$5:$J$504)</f>
        <v/>
      </c>
      <c r="I11" s="20">
        <f>(SUMPRODUCT((Cost_Records!$A$5:$A$504=Org_Profile!$C$4)*(Cost_Records!$B$5:$B$504=A11)*Cost_Records!$J$5:$J$504*Cost_Records!$I$5:$I$504)+Assumptions!$C$30*G11)/(H11+Assumptions!$C$30)</f>
        <v/>
      </c>
      <c r="J11" s="22">
        <f>I11</f>
        <v/>
      </c>
      <c r="K11" s="2">
        <f>IF(H11&gt;0,"Org-learned ("&amp;TEXT(H11,"0.0")&amp;" eff. records)","Library - "&amp;Parcel!$C$13)</f>
        <v/>
      </c>
    </row>
    <row r="12">
      <c r="A12" s="9" t="inlineStr">
        <is>
          <t>02-500</t>
        </is>
      </c>
      <c r="B12" s="9" t="inlineStr">
        <is>
          <t>Drainage study</t>
        </is>
      </c>
      <c r="C12" s="9" t="inlineStr">
        <is>
          <t>LS</t>
        </is>
      </c>
      <c r="D12" s="13" t="n">
        <v>4000</v>
      </c>
      <c r="E12" s="13" t="n">
        <v>7500</v>
      </c>
      <c r="F12" s="13" t="n">
        <v>15000</v>
      </c>
      <c r="G12" s="20">
        <f>INDEX(D12:F12,Parcel!$C$42)</f>
        <v/>
      </c>
      <c r="H12" s="14">
        <f>SUMPRODUCT((Cost_Records!$A$5:$A$504=Org_Profile!$C$4)*(Cost_Records!$B$5:$B$504=A12)*Cost_Records!$J$5:$J$504)</f>
        <v/>
      </c>
      <c r="I12" s="20">
        <f>(SUMPRODUCT((Cost_Records!$A$5:$A$504=Org_Profile!$C$4)*(Cost_Records!$B$5:$B$504=A12)*Cost_Records!$J$5:$J$504*Cost_Records!$I$5:$I$504)+Assumptions!$C$30*G12)/(H12+Assumptions!$C$30)</f>
        <v/>
      </c>
      <c r="J12" s="22">
        <f>I12</f>
        <v/>
      </c>
      <c r="K12" s="2">
        <f>IF(H12&gt;0,"Org-learned ("&amp;TEXT(H12,"0.0")&amp;" eff. records)","Library - "&amp;Parcel!$C$13)</f>
        <v/>
      </c>
    </row>
    <row r="13">
      <c r="A13" s="9" t="inlineStr">
        <is>
          <t>02-700</t>
        </is>
      </c>
      <c r="B13" s="9" t="inlineStr">
        <is>
          <t>Legal, title &amp; entity</t>
        </is>
      </c>
      <c r="C13" s="9" t="inlineStr">
        <is>
          <t>LS</t>
        </is>
      </c>
      <c r="D13" s="13" t="n">
        <v>5000</v>
      </c>
      <c r="E13" s="13" t="n">
        <v>10000</v>
      </c>
      <c r="F13" s="13" t="n">
        <v>20000</v>
      </c>
      <c r="G13" s="20">
        <f>INDEX(D13:F13,Parcel!$C$42)</f>
        <v/>
      </c>
      <c r="H13" s="14">
        <f>SUMPRODUCT((Cost_Records!$A$5:$A$504=Org_Profile!$C$4)*(Cost_Records!$B$5:$B$504=A13)*Cost_Records!$J$5:$J$504)</f>
        <v/>
      </c>
      <c r="I13" s="20">
        <f>(SUMPRODUCT((Cost_Records!$A$5:$A$504=Org_Profile!$C$4)*(Cost_Records!$B$5:$B$504=A13)*Cost_Records!$J$5:$J$504*Cost_Records!$I$5:$I$504)+Assumptions!$C$30*G13)/(H13+Assumptions!$C$30)</f>
        <v/>
      </c>
      <c r="J13" s="22">
        <f>I13</f>
        <v/>
      </c>
      <c r="K13" s="2">
        <f>IF(H13&gt;0,"Org-learned ("&amp;TEXT(H13,"0.0")&amp;" eff. records)","Library - "&amp;Parcel!$C$13)</f>
        <v/>
      </c>
    </row>
    <row r="14">
      <c r="A14" s="9" t="inlineStr">
        <is>
          <t>03-100</t>
        </is>
      </c>
      <c r="B14" s="9" t="inlineStr">
        <is>
          <t>Clearing &amp; grubbing</t>
        </is>
      </c>
      <c r="C14" s="9" t="inlineStr">
        <is>
          <t>per ac</t>
        </is>
      </c>
      <c r="D14" s="13" t="n">
        <v>2500</v>
      </c>
      <c r="E14" s="13" t="n">
        <v>4000</v>
      </c>
      <c r="F14" s="13" t="n">
        <v>6500</v>
      </c>
      <c r="G14" s="20">
        <f>INDEX(D14:F14,Parcel!$C$42)</f>
        <v/>
      </c>
      <c r="H14" s="14">
        <f>SUMPRODUCT((Cost_Records!$A$5:$A$504=Org_Profile!$C$4)*(Cost_Records!$B$5:$B$504=A14)*Cost_Records!$J$5:$J$504)</f>
        <v/>
      </c>
      <c r="I14" s="20">
        <f>(SUMPRODUCT((Cost_Records!$A$5:$A$504=Org_Profile!$C$4)*(Cost_Records!$B$5:$B$504=A14)*Cost_Records!$J$5:$J$504*Cost_Records!$I$5:$I$504)+Assumptions!$C$30*G14)/(H14+Assumptions!$C$30)</f>
        <v/>
      </c>
      <c r="J14" s="22">
        <f>I14</f>
        <v/>
      </c>
      <c r="K14" s="2">
        <f>IF(H14&gt;0,"Org-learned ("&amp;TEXT(H14,"0.0")&amp;" eff. records)","Library - "&amp;Parcel!$C$13)</f>
        <v/>
      </c>
    </row>
    <row r="15">
      <c r="A15" s="9" t="inlineStr">
        <is>
          <t>03-200</t>
        </is>
      </c>
      <c r="B15" s="9" t="inlineStr">
        <is>
          <t>Mass grading</t>
        </is>
      </c>
      <c r="C15" s="9" t="inlineStr">
        <is>
          <t>per ac</t>
        </is>
      </c>
      <c r="D15" s="13" t="n">
        <v>3000</v>
      </c>
      <c r="E15" s="13" t="n">
        <v>5000</v>
      </c>
      <c r="F15" s="13" t="n">
        <v>8000</v>
      </c>
      <c r="G15" s="20">
        <f>INDEX(D15:F15,Parcel!$C$42)</f>
        <v/>
      </c>
      <c r="H15" s="14">
        <f>SUMPRODUCT((Cost_Records!$A$5:$A$504=Org_Profile!$C$4)*(Cost_Records!$B$5:$B$504=A15)*Cost_Records!$J$5:$J$504)</f>
        <v/>
      </c>
      <c r="I15" s="20">
        <f>(SUMPRODUCT((Cost_Records!$A$5:$A$504=Org_Profile!$C$4)*(Cost_Records!$B$5:$B$504=A15)*Cost_Records!$J$5:$J$504*Cost_Records!$I$5:$I$504)+Assumptions!$C$30*G15)/(H15+Assumptions!$C$30)</f>
        <v/>
      </c>
      <c r="J15" s="22">
        <f>I15</f>
        <v/>
      </c>
      <c r="K15" s="2">
        <f>IF(H15&gt;0,"Org-learned ("&amp;TEXT(H15,"0.0")&amp;" eff. records)","Library - "&amp;Parcel!$C$13)</f>
        <v/>
      </c>
    </row>
    <row r="16">
      <c r="A16" s="9" t="inlineStr">
        <is>
          <t>03-300</t>
        </is>
      </c>
      <c r="B16" s="9" t="inlineStr">
        <is>
          <t>Internal roads / drives</t>
        </is>
      </c>
      <c r="C16" s="9" t="inlineStr">
        <is>
          <t>per LF</t>
        </is>
      </c>
      <c r="D16" s="13" t="n">
        <v>110</v>
      </c>
      <c r="E16" s="13" t="n">
        <v>150</v>
      </c>
      <c r="F16" s="13" t="n">
        <v>210</v>
      </c>
      <c r="G16" s="20">
        <f>INDEX(D16:F16,Parcel!$C$42)</f>
        <v/>
      </c>
      <c r="H16" s="14">
        <f>SUMPRODUCT((Cost_Records!$A$5:$A$504=Org_Profile!$C$4)*(Cost_Records!$B$5:$B$504=A16)*Cost_Records!$J$5:$J$504)</f>
        <v/>
      </c>
      <c r="I16" s="20">
        <f>(SUMPRODUCT((Cost_Records!$A$5:$A$504=Org_Profile!$C$4)*(Cost_Records!$B$5:$B$504=A16)*Cost_Records!$J$5:$J$504*Cost_Records!$I$5:$I$504)+Assumptions!$C$30*G16)/(H16+Assumptions!$C$30)</f>
        <v/>
      </c>
      <c r="J16" s="22">
        <f>I16</f>
        <v/>
      </c>
      <c r="K16" s="2">
        <f>IF(H16&gt;0,"Org-learned ("&amp;TEXT(H16,"0.0")&amp;" eff. records)","Library - "&amp;Parcel!$C$13)</f>
        <v/>
      </c>
    </row>
    <row r="17">
      <c r="A17" s="9" t="inlineStr">
        <is>
          <t>03-350</t>
        </is>
      </c>
      <c r="B17" s="9" t="inlineStr">
        <is>
          <t>Parking / paving / hardscape</t>
        </is>
      </c>
      <c r="C17" s="9" t="inlineStr">
        <is>
          <t>per SF</t>
        </is>
      </c>
      <c r="D17" s="35" t="n">
        <v>4.5</v>
      </c>
      <c r="E17" s="35" t="n">
        <v>6</v>
      </c>
      <c r="F17" s="35" t="n">
        <v>8</v>
      </c>
      <c r="G17" s="36">
        <f>INDEX(D17:F17,Parcel!$C$42)</f>
        <v/>
      </c>
      <c r="H17" s="14">
        <f>SUMPRODUCT((Cost_Records!$A$5:$A$504=Org_Profile!$C$4)*(Cost_Records!$B$5:$B$504=A17)*Cost_Records!$J$5:$J$504)</f>
        <v/>
      </c>
      <c r="I17" s="36">
        <f>(SUMPRODUCT((Cost_Records!$A$5:$A$504=Org_Profile!$C$4)*(Cost_Records!$B$5:$B$504=A17)*Cost_Records!$J$5:$J$504*Cost_Records!$I$5:$I$504)+Assumptions!$C$30*G17)/(H17+Assumptions!$C$30)</f>
        <v/>
      </c>
      <c r="J17" s="42">
        <f>I17</f>
        <v/>
      </c>
      <c r="K17" s="2">
        <f>IF(H17&gt;0,"Org-learned ("&amp;TEXT(H17,"0.0")&amp;" eff. records)","Library - "&amp;Parcel!$C$13)</f>
        <v/>
      </c>
    </row>
    <row r="18">
      <c r="A18" s="9" t="inlineStr">
        <is>
          <t>03-400</t>
        </is>
      </c>
      <c r="B18" s="9" t="inlineStr">
        <is>
          <t>Detention pond</t>
        </is>
      </c>
      <c r="C18" s="9" t="inlineStr">
        <is>
          <t>per ac</t>
        </is>
      </c>
      <c r="D18" s="13" t="n">
        <v>35000</v>
      </c>
      <c r="E18" s="13" t="n">
        <v>55000</v>
      </c>
      <c r="F18" s="13" t="n">
        <v>85000</v>
      </c>
      <c r="G18" s="20">
        <f>INDEX(D18:F18,Parcel!$C$42)</f>
        <v/>
      </c>
      <c r="H18" s="14">
        <f>SUMPRODUCT((Cost_Records!$A$5:$A$504=Org_Profile!$C$4)*(Cost_Records!$B$5:$B$504=A18)*Cost_Records!$J$5:$J$504)</f>
        <v/>
      </c>
      <c r="I18" s="20">
        <f>(SUMPRODUCT((Cost_Records!$A$5:$A$504=Org_Profile!$C$4)*(Cost_Records!$B$5:$B$504=A18)*Cost_Records!$J$5:$J$504*Cost_Records!$I$5:$I$504)+Assumptions!$C$30*G18)/(H18+Assumptions!$C$30)</f>
        <v/>
      </c>
      <c r="J18" s="22">
        <f>I18</f>
        <v/>
      </c>
      <c r="K18" s="2">
        <f>IF(H18&gt;0,"Org-learned ("&amp;TEXT(H18,"0.0")&amp;" eff. records)","Library - "&amp;Parcel!$C$13)</f>
        <v/>
      </c>
    </row>
    <row r="19">
      <c r="A19" s="9" t="inlineStr">
        <is>
          <t>03-500</t>
        </is>
      </c>
      <c r="B19" s="9" t="inlineStr">
        <is>
          <t>Erosion control / SWPPP</t>
        </is>
      </c>
      <c r="C19" s="9" t="inlineStr">
        <is>
          <t>per disturbed ac</t>
        </is>
      </c>
      <c r="D19" s="13" t="n">
        <v>400</v>
      </c>
      <c r="E19" s="13" t="n">
        <v>700</v>
      </c>
      <c r="F19" s="13" t="n">
        <v>1100</v>
      </c>
      <c r="G19" s="20">
        <f>INDEX(D19:F19,Parcel!$C$42)</f>
        <v/>
      </c>
      <c r="H19" s="14">
        <f>SUMPRODUCT((Cost_Records!$A$5:$A$504=Org_Profile!$C$4)*(Cost_Records!$B$5:$B$504=A19)*Cost_Records!$J$5:$J$504)</f>
        <v/>
      </c>
      <c r="I19" s="20">
        <f>(SUMPRODUCT((Cost_Records!$A$5:$A$504=Org_Profile!$C$4)*(Cost_Records!$B$5:$B$504=A19)*Cost_Records!$J$5:$J$504*Cost_Records!$I$5:$I$504)+Assumptions!$C$30*G19)/(H19+Assumptions!$C$30)</f>
        <v/>
      </c>
      <c r="J19" s="22">
        <f>I19</f>
        <v/>
      </c>
      <c r="K19" s="2">
        <f>IF(H19&gt;0,"Org-learned ("&amp;TEXT(H19,"0.0")&amp;" eff. records)","Library - "&amp;Parcel!$C$13)</f>
        <v/>
      </c>
    </row>
    <row r="20">
      <c r="A20" s="9" t="inlineStr">
        <is>
          <t>03-600</t>
        </is>
      </c>
      <c r="B20" s="9" t="inlineStr">
        <is>
          <t>Driveway permit / turn lane</t>
        </is>
      </c>
      <c r="C20" s="9" t="inlineStr">
        <is>
          <t>LS</t>
        </is>
      </c>
      <c r="D20" s="13" t="n">
        <v>15000</v>
      </c>
      <c r="E20" s="13" t="n">
        <v>40000</v>
      </c>
      <c r="F20" s="13" t="n">
        <v>120000</v>
      </c>
      <c r="G20" s="20">
        <f>INDEX(D20:F20,Parcel!$C$42)</f>
        <v/>
      </c>
      <c r="H20" s="14">
        <f>SUMPRODUCT((Cost_Records!$A$5:$A$504=Org_Profile!$C$4)*(Cost_Records!$B$5:$B$504=A20)*Cost_Records!$J$5:$J$504)</f>
        <v/>
      </c>
      <c r="I20" s="20">
        <f>(SUMPRODUCT((Cost_Records!$A$5:$A$504=Org_Profile!$C$4)*(Cost_Records!$B$5:$B$504=A20)*Cost_Records!$J$5:$J$504*Cost_Records!$I$5:$I$504)+Assumptions!$C$30*G20)/(H20+Assumptions!$C$30)</f>
        <v/>
      </c>
      <c r="J20" s="22">
        <f>I20</f>
        <v/>
      </c>
      <c r="K20" s="2">
        <f>IF(H20&gt;0,"Org-learned ("&amp;TEXT(H20,"0.0")&amp;" eff. records)","Library - "&amp;Parcel!$C$13)</f>
        <v/>
      </c>
    </row>
    <row r="21">
      <c r="A21" s="9" t="inlineStr">
        <is>
          <t>04-100</t>
        </is>
      </c>
      <c r="B21" s="9" t="inlineStr">
        <is>
          <t>Water line</t>
        </is>
      </c>
      <c r="C21" s="9" t="inlineStr">
        <is>
          <t>per LF</t>
        </is>
      </c>
      <c r="D21" s="13" t="n">
        <v>35</v>
      </c>
      <c r="E21" s="13" t="n">
        <v>50</v>
      </c>
      <c r="F21" s="13" t="n">
        <v>75</v>
      </c>
      <c r="G21" s="20">
        <f>INDEX(D21:F21,Parcel!$C$42)</f>
        <v/>
      </c>
      <c r="H21" s="14">
        <f>SUMPRODUCT((Cost_Records!$A$5:$A$504=Org_Profile!$C$4)*(Cost_Records!$B$5:$B$504=A21)*Cost_Records!$J$5:$J$504)</f>
        <v/>
      </c>
      <c r="I21" s="20">
        <f>(SUMPRODUCT((Cost_Records!$A$5:$A$504=Org_Profile!$C$4)*(Cost_Records!$B$5:$B$504=A21)*Cost_Records!$J$5:$J$504*Cost_Records!$I$5:$I$504)+Assumptions!$C$30*G21)/(H21+Assumptions!$C$30)</f>
        <v/>
      </c>
      <c r="J21" s="22">
        <f>I21</f>
        <v/>
      </c>
      <c r="K21" s="2">
        <f>IF(H21&gt;0,"Org-learned ("&amp;TEXT(H21,"0.0")&amp;" eff. records)","Library - "&amp;Parcel!$C$13)</f>
        <v/>
      </c>
    </row>
    <row r="22">
      <c r="A22" s="9" t="inlineStr">
        <is>
          <t>04-110</t>
        </is>
      </c>
      <c r="B22" s="9" t="inlineStr">
        <is>
          <t>Water taps &amp; meters</t>
        </is>
      </c>
      <c r="C22" s="9" t="inlineStr">
        <is>
          <t>per tap</t>
        </is>
      </c>
      <c r="D22" s="13" t="n">
        <v>1500</v>
      </c>
      <c r="E22" s="13" t="n">
        <v>2500</v>
      </c>
      <c r="F22" s="13" t="n">
        <v>4000</v>
      </c>
      <c r="G22" s="20">
        <f>INDEX(D22:F22,Parcel!$C$42)</f>
        <v/>
      </c>
      <c r="H22" s="14">
        <f>SUMPRODUCT((Cost_Records!$A$5:$A$504=Org_Profile!$C$4)*(Cost_Records!$B$5:$B$504=A22)*Cost_Records!$J$5:$J$504)</f>
        <v/>
      </c>
      <c r="I22" s="20">
        <f>(SUMPRODUCT((Cost_Records!$A$5:$A$504=Org_Profile!$C$4)*(Cost_Records!$B$5:$B$504=A22)*Cost_Records!$J$5:$J$504*Cost_Records!$I$5:$I$504)+Assumptions!$C$30*G22)/(H22+Assumptions!$C$30)</f>
        <v/>
      </c>
      <c r="J22" s="22">
        <f>I22</f>
        <v/>
      </c>
      <c r="K22" s="2">
        <f>IF(H22&gt;0,"Org-learned ("&amp;TEXT(H22,"0.0")&amp;" eff. records)","Library - "&amp;Parcel!$C$13)</f>
        <v/>
      </c>
    </row>
    <row r="23">
      <c r="A23" s="9" t="inlineStr">
        <is>
          <t>04-200</t>
        </is>
      </c>
      <c r="B23" s="9" t="inlineStr">
        <is>
          <t>Sewer line</t>
        </is>
      </c>
      <c r="C23" s="9" t="inlineStr">
        <is>
          <t>per LF</t>
        </is>
      </c>
      <c r="D23" s="13" t="n">
        <v>60</v>
      </c>
      <c r="E23" s="13" t="n">
        <v>85</v>
      </c>
      <c r="F23" s="13" t="n">
        <v>120</v>
      </c>
      <c r="G23" s="20">
        <f>INDEX(D23:F23,Parcel!$C$42)</f>
        <v/>
      </c>
      <c r="H23" s="14">
        <f>SUMPRODUCT((Cost_Records!$A$5:$A$504=Org_Profile!$C$4)*(Cost_Records!$B$5:$B$504=A23)*Cost_Records!$J$5:$J$504)</f>
        <v/>
      </c>
      <c r="I23" s="20">
        <f>(SUMPRODUCT((Cost_Records!$A$5:$A$504=Org_Profile!$C$4)*(Cost_Records!$B$5:$B$504=A23)*Cost_Records!$J$5:$J$504*Cost_Records!$I$5:$I$504)+Assumptions!$C$30*G23)/(H23+Assumptions!$C$30)</f>
        <v/>
      </c>
      <c r="J23" s="22">
        <f>I23</f>
        <v/>
      </c>
      <c r="K23" s="2">
        <f>IF(H23&gt;0,"Org-learned ("&amp;TEXT(H23,"0.0")&amp;" eff. records)","Library - "&amp;Parcel!$C$13)</f>
        <v/>
      </c>
    </row>
    <row r="24">
      <c r="A24" s="9" t="inlineStr">
        <is>
          <t>04-210</t>
        </is>
      </c>
      <c r="B24" s="9" t="inlineStr">
        <is>
          <t>Sewer taps / impact fees</t>
        </is>
      </c>
      <c r="C24" s="9" t="inlineStr">
        <is>
          <t>per tap</t>
        </is>
      </c>
      <c r="D24" s="13" t="n">
        <v>1500</v>
      </c>
      <c r="E24" s="13" t="n">
        <v>3000</v>
      </c>
      <c r="F24" s="13" t="n">
        <v>5000</v>
      </c>
      <c r="G24" s="20">
        <f>INDEX(D24:F24,Parcel!$C$42)</f>
        <v/>
      </c>
      <c r="H24" s="14">
        <f>SUMPRODUCT((Cost_Records!$A$5:$A$504=Org_Profile!$C$4)*(Cost_Records!$B$5:$B$504=A24)*Cost_Records!$J$5:$J$504)</f>
        <v/>
      </c>
      <c r="I24" s="20">
        <f>(SUMPRODUCT((Cost_Records!$A$5:$A$504=Org_Profile!$C$4)*(Cost_Records!$B$5:$B$504=A24)*Cost_Records!$J$5:$J$504*Cost_Records!$I$5:$I$504)+Assumptions!$C$30*G24)/(H24+Assumptions!$C$30)</f>
        <v/>
      </c>
      <c r="J24" s="22">
        <f>I24</f>
        <v/>
      </c>
      <c r="K24" s="2">
        <f>IF(H24&gt;0,"Org-learned ("&amp;TEXT(H24,"0.0")&amp;" eff. records)","Library - "&amp;Parcel!$C$13)</f>
        <v/>
      </c>
    </row>
    <row r="25">
      <c r="A25" s="9" t="inlineStr">
        <is>
          <t>04-300</t>
        </is>
      </c>
      <c r="B25" s="9" t="inlineStr">
        <is>
          <t>On-site septic systems</t>
        </is>
      </c>
      <c r="C25" s="9" t="inlineStr">
        <is>
          <t>per system</t>
        </is>
      </c>
      <c r="D25" s="13" t="n">
        <v>8000</v>
      </c>
      <c r="E25" s="13" t="n">
        <v>11000</v>
      </c>
      <c r="F25" s="13" t="n">
        <v>16000</v>
      </c>
      <c r="G25" s="20">
        <f>INDEX(D25:F25,Parcel!$C$42)</f>
        <v/>
      </c>
      <c r="H25" s="14">
        <f>SUMPRODUCT((Cost_Records!$A$5:$A$504=Org_Profile!$C$4)*(Cost_Records!$B$5:$B$504=A25)*Cost_Records!$J$5:$J$504)</f>
        <v/>
      </c>
      <c r="I25" s="20">
        <f>(SUMPRODUCT((Cost_Records!$A$5:$A$504=Org_Profile!$C$4)*(Cost_Records!$B$5:$B$504=A25)*Cost_Records!$J$5:$J$504*Cost_Records!$I$5:$I$504)+Assumptions!$C$30*G25)/(H25+Assumptions!$C$30)</f>
        <v/>
      </c>
      <c r="J25" s="22">
        <f>I25</f>
        <v/>
      </c>
      <c r="K25" s="2">
        <f>IF(H25&gt;0,"Org-learned ("&amp;TEXT(H25,"0.0")&amp;" eff. records)","Library - "&amp;Parcel!$C$13)</f>
        <v/>
      </c>
    </row>
    <row r="26">
      <c r="A26" s="9" t="inlineStr">
        <is>
          <t>04-310</t>
        </is>
      </c>
      <c r="B26" s="9" t="inlineStr">
        <is>
          <t>Private water wells</t>
        </is>
      </c>
      <c r="C26" s="9" t="inlineStr">
        <is>
          <t>per well</t>
        </is>
      </c>
      <c r="D26" s="13" t="n">
        <v>9000</v>
      </c>
      <c r="E26" s="13" t="n">
        <v>13000</v>
      </c>
      <c r="F26" s="13" t="n">
        <v>20000</v>
      </c>
      <c r="G26" s="20">
        <f>INDEX(D26:F26,Parcel!$C$42)</f>
        <v/>
      </c>
      <c r="H26" s="14">
        <f>SUMPRODUCT((Cost_Records!$A$5:$A$504=Org_Profile!$C$4)*(Cost_Records!$B$5:$B$504=A26)*Cost_Records!$J$5:$J$504)</f>
        <v/>
      </c>
      <c r="I26" s="20">
        <f>(SUMPRODUCT((Cost_Records!$A$5:$A$504=Org_Profile!$C$4)*(Cost_Records!$B$5:$B$504=A26)*Cost_Records!$J$5:$J$504*Cost_Records!$I$5:$I$504)+Assumptions!$C$30*G26)/(H26+Assumptions!$C$30)</f>
        <v/>
      </c>
      <c r="J26" s="22">
        <f>I26</f>
        <v/>
      </c>
      <c r="K26" s="2">
        <f>IF(H26&gt;0,"Org-learned ("&amp;TEXT(H26,"0.0")&amp;" eff. records)","Library - "&amp;Parcel!$C$13)</f>
        <v/>
      </c>
    </row>
    <row r="27">
      <c r="A27" s="9" t="inlineStr">
        <is>
          <t>04-320</t>
        </is>
      </c>
      <c r="B27" s="9" t="inlineStr">
        <is>
          <t>Public water system (well, storage, treatment)</t>
        </is>
      </c>
      <c r="C27" s="9" t="inlineStr">
        <is>
          <t>LS</t>
        </is>
      </c>
      <c r="D27" s="13" t="n">
        <v>150000</v>
      </c>
      <c r="E27" s="13" t="n">
        <v>250000</v>
      </c>
      <c r="F27" s="13" t="n">
        <v>400000</v>
      </c>
      <c r="G27" s="20">
        <f>INDEX(D27:F27,Parcel!$C$42)</f>
        <v/>
      </c>
      <c r="H27" s="14">
        <f>SUMPRODUCT((Cost_Records!$A$5:$A$504=Org_Profile!$C$4)*(Cost_Records!$B$5:$B$504=A27)*Cost_Records!$J$5:$J$504)</f>
        <v/>
      </c>
      <c r="I27" s="20">
        <f>(SUMPRODUCT((Cost_Records!$A$5:$A$504=Org_Profile!$C$4)*(Cost_Records!$B$5:$B$504=A27)*Cost_Records!$J$5:$J$504*Cost_Records!$I$5:$I$504)+Assumptions!$C$30*G27)/(H27+Assumptions!$C$30)</f>
        <v/>
      </c>
      <c r="J27" s="22">
        <f>I27</f>
        <v/>
      </c>
      <c r="K27" s="2">
        <f>IF(H27&gt;0,"Org-learned ("&amp;TEXT(H27,"0.0")&amp;" eff. records)","Library - "&amp;Parcel!$C$13)</f>
        <v/>
      </c>
    </row>
    <row r="28">
      <c r="A28" s="9" t="inlineStr">
        <is>
          <t>04-330</t>
        </is>
      </c>
      <c r="B28" s="9" t="inlineStr">
        <is>
          <t>Public water system distribution</t>
        </is>
      </c>
      <c r="C28" s="9" t="inlineStr">
        <is>
          <t>per connection</t>
        </is>
      </c>
      <c r="D28" s="13" t="n">
        <v>1500</v>
      </c>
      <c r="E28" s="13" t="n">
        <v>2500</v>
      </c>
      <c r="F28" s="13" t="n">
        <v>4000</v>
      </c>
      <c r="G28" s="20">
        <f>INDEX(D28:F28,Parcel!$C$42)</f>
        <v/>
      </c>
      <c r="H28" s="14">
        <f>SUMPRODUCT((Cost_Records!$A$5:$A$504=Org_Profile!$C$4)*(Cost_Records!$B$5:$B$504=A28)*Cost_Records!$J$5:$J$504)</f>
        <v/>
      </c>
      <c r="I28" s="20">
        <f>(SUMPRODUCT((Cost_Records!$A$5:$A$504=Org_Profile!$C$4)*(Cost_Records!$B$5:$B$504=A28)*Cost_Records!$J$5:$J$504*Cost_Records!$I$5:$I$504)+Assumptions!$C$30*G28)/(H28+Assumptions!$C$30)</f>
        <v/>
      </c>
      <c r="J28" s="22">
        <f>I28</f>
        <v/>
      </c>
      <c r="K28" s="2">
        <f>IF(H28&gt;0,"Org-learned ("&amp;TEXT(H28,"0.0")&amp;" eff. records)","Library - "&amp;Parcel!$C$13)</f>
        <v/>
      </c>
    </row>
    <row r="29">
      <c r="A29" s="9" t="inlineStr">
        <is>
          <t>04-400</t>
        </is>
      </c>
      <c r="B29" s="9" t="inlineStr">
        <is>
          <t>Electric extension</t>
        </is>
      </c>
      <c r="C29" s="9" t="inlineStr">
        <is>
          <t>per LF</t>
        </is>
      </c>
      <c r="D29" s="13" t="n">
        <v>15</v>
      </c>
      <c r="E29" s="13" t="n">
        <v>25</v>
      </c>
      <c r="F29" s="13" t="n">
        <v>40</v>
      </c>
      <c r="G29" s="20">
        <f>INDEX(D29:F29,Parcel!$C$42)</f>
        <v/>
      </c>
      <c r="H29" s="14">
        <f>SUMPRODUCT((Cost_Records!$A$5:$A$504=Org_Profile!$C$4)*(Cost_Records!$B$5:$B$504=A29)*Cost_Records!$J$5:$J$504)</f>
        <v/>
      </c>
      <c r="I29" s="20">
        <f>(SUMPRODUCT((Cost_Records!$A$5:$A$504=Org_Profile!$C$4)*(Cost_Records!$B$5:$B$504=A29)*Cost_Records!$J$5:$J$504*Cost_Records!$I$5:$I$504)+Assumptions!$C$30*G29)/(H29+Assumptions!$C$30)</f>
        <v/>
      </c>
      <c r="J29" s="22">
        <f>I29</f>
        <v/>
      </c>
      <c r="K29" s="2">
        <f>IF(H29&gt;0,"Org-learned ("&amp;TEXT(H29,"0.0")&amp;" eff. records)","Library - "&amp;Parcel!$C$13)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11" customWidth="1" min="5" max="5"/>
    <col width="12" customWidth="1" min="6" max="6"/>
    <col width="12" customWidth="1" min="7" max="7"/>
    <col width="12" customWidth="1" min="8" max="8"/>
    <col width="14" customWidth="1" min="9" max="9"/>
    <col width="9" customWidth="1" min="10" max="10"/>
    <col width="30" customWidth="1" min="11" max="11"/>
  </cols>
  <sheetData>
    <row r="1">
      <c r="A1" s="1" t="inlineStr">
        <is>
          <t>Cost Records - every observed unit cost, normalized</t>
        </is>
      </c>
    </row>
    <row r="2">
      <c r="A2" s="2" t="inlineStr">
        <is>
          <t>One row per unit cost from uploads, bids and actuals. Normalized = raw / location cost index x escalation to the valuation date. Example rows.</t>
        </is>
      </c>
    </row>
    <row r="4" ht="32" customHeight="1">
      <c r="A4" s="8" t="inlineStr">
        <is>
          <t>Org</t>
        </is>
      </c>
      <c r="B4" s="8" t="inlineStr">
        <is>
          <t>Cost code</t>
        </is>
      </c>
      <c r="C4" s="8" t="inlineStr">
        <is>
          <t>Raw unit cost</t>
        </is>
      </c>
      <c r="D4" s="8" t="inlineStr">
        <is>
          <t>Deal region key</t>
        </is>
      </c>
      <c r="E4" s="8" t="inlineStr">
        <is>
          <t>As of</t>
        </is>
      </c>
      <c r="F4" s="8" t="inlineStr">
        <is>
          <t>Data quality</t>
        </is>
      </c>
      <c r="G4" s="8" t="inlineStr">
        <is>
          <t>Location cost index</t>
        </is>
      </c>
      <c r="H4" s="8" t="inlineStr">
        <is>
          <t>Escalation to today</t>
        </is>
      </c>
      <c r="I4" s="8" t="inlineStr">
        <is>
          <t>Normalized unit cost</t>
        </is>
      </c>
      <c r="J4" s="8" t="inlineStr">
        <is>
          <t>Weight</t>
        </is>
      </c>
      <c r="K4" s="8" t="inlineStr">
        <is>
          <t>Source file / deal</t>
        </is>
      </c>
    </row>
    <row r="5">
      <c r="A5" s="43" t="inlineStr">
        <is>
          <t>Ridge Stone Homes</t>
        </is>
      </c>
      <c r="B5" s="43" t="inlineStr">
        <is>
          <t>03-200</t>
        </is>
      </c>
      <c r="C5" s="44" t="n">
        <v>5600</v>
      </c>
      <c r="D5" s="43" t="inlineStr">
        <is>
          <t>TX|Grayson</t>
        </is>
      </c>
      <c r="E5" s="45" t="n">
        <v>45809</v>
      </c>
      <c r="F5" s="43" t="inlineStr">
        <is>
          <t>Actual</t>
        </is>
      </c>
      <c r="G5" s="16">
        <f>IF(C5="","",IF(IFERROR(INDEX(Regions!$D$5:$D$400,MATCH(D5,Regions!$A$5:$A$400,0))&lt;&gt;"",FALSE),INDEX(Regions!$D$5:$D$400,MATCH(D5,Regions!$A$5:$A$400,0)),IF(IFERROR(INDEX(Regions!$D$5:$D$400,MATCH(LEFT(D5,2),Regions!$A$5:$A$400,0))&lt;&gt;"",FALSE),INDEX(Regions!$D$5:$D$400,MATCH(LEFT(D5,2),Regions!$A$5:$A$400,0)),INDEX(Regions!$D$5:$D$400,MATCH("US",Regions!$A$5:$A$400,0)))))</f>
        <v/>
      </c>
      <c r="H5" s="28">
        <f>IF(C5="","",(1+Assumptions!$C$32)^((Assumptions!$C$33-E5)/365.25))</f>
        <v/>
      </c>
      <c r="I5" s="36">
        <f>IF(C5="",0,C5/G5*H5)</f>
        <v/>
      </c>
      <c r="J5" s="28">
        <f>IF(C5="",0,IFERROR(INDEX(Lookups!$Z$5:$Z$8,MATCH(F5,Lookups!$Y$5:$Y$8,0)),0.3)*0.5^((Assumptions!$C$33-E5)/365.25/Assumptions!$C$31))</f>
        <v/>
      </c>
      <c r="K5" s="43" t="inlineStr">
        <is>
          <t>Short Road actuals</t>
        </is>
      </c>
    </row>
    <row r="6">
      <c r="A6" s="43" t="inlineStr">
        <is>
          <t>Ridge Stone Homes</t>
        </is>
      </c>
      <c r="B6" s="43" t="inlineStr">
        <is>
          <t>04-300</t>
        </is>
      </c>
      <c r="C6" s="44" t="n">
        <v>10500</v>
      </c>
      <c r="D6" s="43" t="inlineStr">
        <is>
          <t>TX|Grayson</t>
        </is>
      </c>
      <c r="E6" s="45" t="n">
        <v>45809</v>
      </c>
      <c r="F6" s="43" t="inlineStr">
        <is>
          <t>Actual</t>
        </is>
      </c>
      <c r="G6" s="16">
        <f>IF(C6="","",IF(IFERROR(INDEX(Regions!$D$5:$D$400,MATCH(D6,Regions!$A$5:$A$400,0))&lt;&gt;"",FALSE),INDEX(Regions!$D$5:$D$400,MATCH(D6,Regions!$A$5:$A$400,0)),IF(IFERROR(INDEX(Regions!$D$5:$D$400,MATCH(LEFT(D6,2),Regions!$A$5:$A$400,0))&lt;&gt;"",FALSE),INDEX(Regions!$D$5:$D$400,MATCH(LEFT(D6,2),Regions!$A$5:$A$400,0)),INDEX(Regions!$D$5:$D$400,MATCH("US",Regions!$A$5:$A$400,0)))))</f>
        <v/>
      </c>
      <c r="H6" s="28">
        <f>IF(C6="","",(1+Assumptions!$C$32)^((Assumptions!$C$33-E6)/365.25))</f>
        <v/>
      </c>
      <c r="I6" s="36">
        <f>IF(C6="",0,C6/G6*H6)</f>
        <v/>
      </c>
      <c r="J6" s="28">
        <f>IF(C6="",0,IFERROR(INDEX(Lookups!$Z$5:$Z$8,MATCH(F6,Lookups!$Y$5:$Y$8,0)),0.3)*0.5^((Assumptions!$C$33-E6)/365.25/Assumptions!$C$31))</f>
        <v/>
      </c>
      <c r="K6" s="43" t="inlineStr">
        <is>
          <t>Short Road actuals</t>
        </is>
      </c>
    </row>
    <row r="7">
      <c r="A7" s="43" t="inlineStr">
        <is>
          <t>Ridge Stone Homes</t>
        </is>
      </c>
      <c r="B7" s="43" t="inlineStr">
        <is>
          <t>04-300</t>
        </is>
      </c>
      <c r="C7" s="44" t="n">
        <v>11800</v>
      </c>
      <c r="D7" s="43" t="inlineStr">
        <is>
          <t>TX|Fannin</t>
        </is>
      </c>
      <c r="E7" s="45" t="n">
        <v>46082</v>
      </c>
      <c r="F7" s="43" t="inlineStr">
        <is>
          <t>Bid</t>
        </is>
      </c>
      <c r="G7" s="16">
        <f>IF(C7="","",IF(IFERROR(INDEX(Regions!$D$5:$D$400,MATCH(D7,Regions!$A$5:$A$400,0))&lt;&gt;"",FALSE),INDEX(Regions!$D$5:$D$400,MATCH(D7,Regions!$A$5:$A$400,0)),IF(IFERROR(INDEX(Regions!$D$5:$D$400,MATCH(LEFT(D7,2),Regions!$A$5:$A$400,0))&lt;&gt;"",FALSE),INDEX(Regions!$D$5:$D$400,MATCH(LEFT(D7,2),Regions!$A$5:$A$400,0)),INDEX(Regions!$D$5:$D$400,MATCH("US",Regions!$A$5:$A$400,0)))))</f>
        <v/>
      </c>
      <c r="H7" s="28">
        <f>IF(C7="","",(1+Assumptions!$C$32)^((Assumptions!$C$33-E7)/365.25))</f>
        <v/>
      </c>
      <c r="I7" s="36">
        <f>IF(C7="",0,C7/G7*H7)</f>
        <v/>
      </c>
      <c r="J7" s="28">
        <f>IF(C7="",0,IFERROR(INDEX(Lookups!$Z$5:$Z$8,MATCH(F7,Lookups!$Y$5:$Y$8,0)),0.3)*0.5^((Assumptions!$C$33-E7)/365.25/Assumptions!$C$31))</f>
        <v/>
      </c>
      <c r="K7" s="43" t="inlineStr">
        <is>
          <t>Wright Road septic bid</t>
        </is>
      </c>
    </row>
    <row r="8">
      <c r="A8" s="43" t="inlineStr">
        <is>
          <t>Ridge Stone Homes</t>
        </is>
      </c>
      <c r="B8" s="43" t="inlineStr">
        <is>
          <t>03-300</t>
        </is>
      </c>
      <c r="C8" s="44" t="n">
        <v>140</v>
      </c>
      <c r="D8" s="43" t="inlineStr">
        <is>
          <t>TX|Grayson</t>
        </is>
      </c>
      <c r="E8" s="45" t="n">
        <v>46054</v>
      </c>
      <c r="F8" s="43" t="inlineStr">
        <is>
          <t>Bid</t>
        </is>
      </c>
      <c r="G8" s="16">
        <f>IF(C8="","",IF(IFERROR(INDEX(Regions!$D$5:$D$400,MATCH(D8,Regions!$A$5:$A$400,0))&lt;&gt;"",FALSE),INDEX(Regions!$D$5:$D$400,MATCH(D8,Regions!$A$5:$A$400,0)),IF(IFERROR(INDEX(Regions!$D$5:$D$400,MATCH(LEFT(D8,2),Regions!$A$5:$A$400,0))&lt;&gt;"",FALSE),INDEX(Regions!$D$5:$D$400,MATCH(LEFT(D8,2),Regions!$A$5:$A$400,0)),INDEX(Regions!$D$5:$D$400,MATCH("US",Regions!$A$5:$A$400,0)))))</f>
        <v/>
      </c>
      <c r="H8" s="28">
        <f>IF(C8="","",(1+Assumptions!$C$32)^((Assumptions!$C$33-E8)/365.25))</f>
        <v/>
      </c>
      <c r="I8" s="36">
        <f>IF(C8="",0,C8/G8*H8)</f>
        <v/>
      </c>
      <c r="J8" s="28">
        <f>IF(C8="",0,IFERROR(INDEX(Lookups!$Z$5:$Z$8,MATCH(F8,Lookups!$Y$5:$Y$8,0)),0.3)*0.5^((Assumptions!$C$33-E8)/365.25/Assumptions!$C$31))</f>
        <v/>
      </c>
      <c r="K8" s="43" t="inlineStr">
        <is>
          <t>Sears Rd paving bid</t>
        </is>
      </c>
    </row>
    <row r="9">
      <c r="A9" s="43" t="inlineStr">
        <is>
          <t>Other Org LLC</t>
        </is>
      </c>
      <c r="B9" s="43" t="inlineStr">
        <is>
          <t>03-200</t>
        </is>
      </c>
      <c r="C9" s="44" t="n">
        <v>7400</v>
      </c>
      <c r="D9" s="43" t="inlineStr">
        <is>
          <t>TX|Collin</t>
        </is>
      </c>
      <c r="E9" s="45" t="n">
        <v>46037</v>
      </c>
      <c r="F9" s="43" t="inlineStr">
        <is>
          <t>Bid</t>
        </is>
      </c>
      <c r="G9" s="16">
        <f>IF(C9="","",IF(IFERROR(INDEX(Regions!$D$5:$D$400,MATCH(D9,Regions!$A$5:$A$400,0))&lt;&gt;"",FALSE),INDEX(Regions!$D$5:$D$400,MATCH(D9,Regions!$A$5:$A$400,0)),IF(IFERROR(INDEX(Regions!$D$5:$D$400,MATCH(LEFT(D9,2),Regions!$A$5:$A$400,0))&lt;&gt;"",FALSE),INDEX(Regions!$D$5:$D$400,MATCH(LEFT(D9,2),Regions!$A$5:$A$400,0)),INDEX(Regions!$D$5:$D$400,MATCH("US",Regions!$A$5:$A$400,0)))))</f>
        <v/>
      </c>
      <c r="H9" s="28">
        <f>IF(C9="","",(1+Assumptions!$C$32)^((Assumptions!$C$33-E9)/365.25))</f>
        <v/>
      </c>
      <c r="I9" s="36">
        <f>IF(C9="",0,C9/G9*H9)</f>
        <v/>
      </c>
      <c r="J9" s="28">
        <f>IF(C9="",0,IFERROR(INDEX(Lookups!$Z$5:$Z$8,MATCH(F9,Lookups!$Y$5:$Y$8,0)),0.3)*0.5^((Assumptions!$C$33-E9)/365.25/Assumptions!$C$31))</f>
        <v/>
      </c>
      <c r="K9" s="43" t="inlineStr">
        <is>
          <t>Not this org - ignored</t>
        </is>
      </c>
    </row>
    <row r="10">
      <c r="G10" s="16">
        <f>IF(C10="","",IF(IFERROR(INDEX(Regions!$D$5:$D$400,MATCH(D10,Regions!$A$5:$A$400,0))&lt;&gt;"",FALSE),INDEX(Regions!$D$5:$D$400,MATCH(D10,Regions!$A$5:$A$400,0)),IF(IFERROR(INDEX(Regions!$D$5:$D$400,MATCH(LEFT(D10,2),Regions!$A$5:$A$400,0))&lt;&gt;"",FALSE),INDEX(Regions!$D$5:$D$400,MATCH(LEFT(D10,2),Regions!$A$5:$A$400,0)),INDEX(Regions!$D$5:$D$400,MATCH("US",Regions!$A$5:$A$400,0)))))</f>
        <v/>
      </c>
      <c r="H10" s="28">
        <f>IF(C10="","",(1+Assumptions!$C$32)^((Assumptions!$C$33-E10)/365.25))</f>
        <v/>
      </c>
      <c r="I10" s="36">
        <f>IF(C10="",0,C10/G10*H10)</f>
        <v/>
      </c>
      <c r="J10" s="28">
        <f>IF(C10="",0,IFERROR(INDEX(Lookups!$Z$5:$Z$8,MATCH(F10,Lookups!$Y$5:$Y$8,0)),0.3)*0.5^((Assumptions!$C$33-E10)/365.25/Assumptions!$C$31))</f>
        <v/>
      </c>
    </row>
    <row r="11">
      <c r="G11" s="16">
        <f>IF(C11="","",IF(IFERROR(INDEX(Regions!$D$5:$D$400,MATCH(D11,Regions!$A$5:$A$400,0))&lt;&gt;"",FALSE),INDEX(Regions!$D$5:$D$400,MATCH(D11,Regions!$A$5:$A$400,0)),IF(IFERROR(INDEX(Regions!$D$5:$D$400,MATCH(LEFT(D11,2),Regions!$A$5:$A$400,0))&lt;&gt;"",FALSE),INDEX(Regions!$D$5:$D$400,MATCH(LEFT(D11,2),Regions!$A$5:$A$400,0)),INDEX(Regions!$D$5:$D$400,MATCH("US",Regions!$A$5:$A$400,0)))))</f>
        <v/>
      </c>
      <c r="H11" s="28">
        <f>IF(C11="","",(1+Assumptions!$C$32)^((Assumptions!$C$33-E11)/365.25))</f>
        <v/>
      </c>
      <c r="I11" s="36">
        <f>IF(C11="",0,C11/G11*H11)</f>
        <v/>
      </c>
      <c r="J11" s="28">
        <f>IF(C11="",0,IFERROR(INDEX(Lookups!$Z$5:$Z$8,MATCH(F11,Lookups!$Y$5:$Y$8,0)),0.3)*0.5^((Assumptions!$C$33-E11)/365.25/Assumptions!$C$31))</f>
        <v/>
      </c>
    </row>
    <row r="12">
      <c r="G12" s="16">
        <f>IF(C12="","",IF(IFERROR(INDEX(Regions!$D$5:$D$400,MATCH(D12,Regions!$A$5:$A$400,0))&lt;&gt;"",FALSE),INDEX(Regions!$D$5:$D$400,MATCH(D12,Regions!$A$5:$A$400,0)),IF(IFERROR(INDEX(Regions!$D$5:$D$400,MATCH(LEFT(D12,2),Regions!$A$5:$A$400,0))&lt;&gt;"",FALSE),INDEX(Regions!$D$5:$D$400,MATCH(LEFT(D12,2),Regions!$A$5:$A$400,0)),INDEX(Regions!$D$5:$D$400,MATCH("US",Regions!$A$5:$A$400,0)))))</f>
        <v/>
      </c>
      <c r="H12" s="28">
        <f>IF(C12="","",(1+Assumptions!$C$32)^((Assumptions!$C$33-E12)/365.25))</f>
        <v/>
      </c>
      <c r="I12" s="36">
        <f>IF(C12="",0,C12/G12*H12)</f>
        <v/>
      </c>
      <c r="J12" s="28">
        <f>IF(C12="",0,IFERROR(INDEX(Lookups!$Z$5:$Z$8,MATCH(F12,Lookups!$Y$5:$Y$8,0)),0.3)*0.5^((Assumptions!$C$33-E12)/365.25/Assumptions!$C$31))</f>
        <v/>
      </c>
    </row>
    <row r="13">
      <c r="G13" s="16">
        <f>IF(C13="","",IF(IFERROR(INDEX(Regions!$D$5:$D$400,MATCH(D13,Regions!$A$5:$A$400,0))&lt;&gt;"",FALSE),INDEX(Regions!$D$5:$D$400,MATCH(D13,Regions!$A$5:$A$400,0)),IF(IFERROR(INDEX(Regions!$D$5:$D$400,MATCH(LEFT(D13,2),Regions!$A$5:$A$400,0))&lt;&gt;"",FALSE),INDEX(Regions!$D$5:$D$400,MATCH(LEFT(D13,2),Regions!$A$5:$A$400,0)),INDEX(Regions!$D$5:$D$400,MATCH("US",Regions!$A$5:$A$400,0)))))</f>
        <v/>
      </c>
      <c r="H13" s="28">
        <f>IF(C13="","",(1+Assumptions!$C$32)^((Assumptions!$C$33-E13)/365.25))</f>
        <v/>
      </c>
      <c r="I13" s="36">
        <f>IF(C13="",0,C13/G13*H13)</f>
        <v/>
      </c>
      <c r="J13" s="28">
        <f>IF(C13="",0,IFERROR(INDEX(Lookups!$Z$5:$Z$8,MATCH(F13,Lookups!$Y$5:$Y$8,0)),0.3)*0.5^((Assumptions!$C$33-E13)/365.25/Assumptions!$C$31))</f>
        <v/>
      </c>
    </row>
    <row r="14">
      <c r="G14" s="16">
        <f>IF(C14="","",IF(IFERROR(INDEX(Regions!$D$5:$D$400,MATCH(D14,Regions!$A$5:$A$400,0))&lt;&gt;"",FALSE),INDEX(Regions!$D$5:$D$400,MATCH(D14,Regions!$A$5:$A$400,0)),IF(IFERROR(INDEX(Regions!$D$5:$D$400,MATCH(LEFT(D14,2),Regions!$A$5:$A$400,0))&lt;&gt;"",FALSE),INDEX(Regions!$D$5:$D$400,MATCH(LEFT(D14,2),Regions!$A$5:$A$400,0)),INDEX(Regions!$D$5:$D$400,MATCH("US",Regions!$A$5:$A$400,0)))))</f>
        <v/>
      </c>
      <c r="H14" s="28">
        <f>IF(C14="","",(1+Assumptions!$C$32)^((Assumptions!$C$33-E14)/365.25))</f>
        <v/>
      </c>
      <c r="I14" s="36">
        <f>IF(C14="",0,C14/G14*H14)</f>
        <v/>
      </c>
      <c r="J14" s="28">
        <f>IF(C14="",0,IFERROR(INDEX(Lookups!$Z$5:$Z$8,MATCH(F14,Lookups!$Y$5:$Y$8,0)),0.3)*0.5^((Assumptions!$C$33-E14)/365.25/Assumptions!$C$31))</f>
        <v/>
      </c>
    </row>
    <row r="15">
      <c r="G15" s="16">
        <f>IF(C15="","",IF(IFERROR(INDEX(Regions!$D$5:$D$400,MATCH(D15,Regions!$A$5:$A$400,0))&lt;&gt;"",FALSE),INDEX(Regions!$D$5:$D$400,MATCH(D15,Regions!$A$5:$A$400,0)),IF(IFERROR(INDEX(Regions!$D$5:$D$400,MATCH(LEFT(D15,2),Regions!$A$5:$A$400,0))&lt;&gt;"",FALSE),INDEX(Regions!$D$5:$D$400,MATCH(LEFT(D15,2),Regions!$A$5:$A$400,0)),INDEX(Regions!$D$5:$D$400,MATCH("US",Regions!$A$5:$A$400,0)))))</f>
        <v/>
      </c>
      <c r="H15" s="28">
        <f>IF(C15="","",(1+Assumptions!$C$32)^((Assumptions!$C$33-E15)/365.25))</f>
        <v/>
      </c>
      <c r="I15" s="36">
        <f>IF(C15="",0,C15/G15*H15)</f>
        <v/>
      </c>
      <c r="J15" s="28">
        <f>IF(C15="",0,IFERROR(INDEX(Lookups!$Z$5:$Z$8,MATCH(F15,Lookups!$Y$5:$Y$8,0)),0.3)*0.5^((Assumptions!$C$33-E15)/365.25/Assumptions!$C$31))</f>
        <v/>
      </c>
    </row>
    <row r="16">
      <c r="G16" s="16">
        <f>IF(C16="","",IF(IFERROR(INDEX(Regions!$D$5:$D$400,MATCH(D16,Regions!$A$5:$A$400,0))&lt;&gt;"",FALSE),INDEX(Regions!$D$5:$D$400,MATCH(D16,Regions!$A$5:$A$400,0)),IF(IFERROR(INDEX(Regions!$D$5:$D$400,MATCH(LEFT(D16,2),Regions!$A$5:$A$400,0))&lt;&gt;"",FALSE),INDEX(Regions!$D$5:$D$400,MATCH(LEFT(D16,2),Regions!$A$5:$A$400,0)),INDEX(Regions!$D$5:$D$400,MATCH("US",Regions!$A$5:$A$400,0)))))</f>
        <v/>
      </c>
      <c r="H16" s="28">
        <f>IF(C16="","",(1+Assumptions!$C$32)^((Assumptions!$C$33-E16)/365.25))</f>
        <v/>
      </c>
      <c r="I16" s="36">
        <f>IF(C16="",0,C16/G16*H16)</f>
        <v/>
      </c>
      <c r="J16" s="28">
        <f>IF(C16="",0,IFERROR(INDEX(Lookups!$Z$5:$Z$8,MATCH(F16,Lookups!$Y$5:$Y$8,0)),0.3)*0.5^((Assumptions!$C$33-E16)/365.25/Assumptions!$C$31))</f>
        <v/>
      </c>
    </row>
    <row r="17">
      <c r="G17" s="16">
        <f>IF(C17="","",IF(IFERROR(INDEX(Regions!$D$5:$D$400,MATCH(D17,Regions!$A$5:$A$400,0))&lt;&gt;"",FALSE),INDEX(Regions!$D$5:$D$400,MATCH(D17,Regions!$A$5:$A$400,0)),IF(IFERROR(INDEX(Regions!$D$5:$D$400,MATCH(LEFT(D17,2),Regions!$A$5:$A$400,0))&lt;&gt;"",FALSE),INDEX(Regions!$D$5:$D$400,MATCH(LEFT(D17,2),Regions!$A$5:$A$400,0)),INDEX(Regions!$D$5:$D$400,MATCH("US",Regions!$A$5:$A$400,0)))))</f>
        <v/>
      </c>
      <c r="H17" s="28">
        <f>IF(C17="","",(1+Assumptions!$C$32)^((Assumptions!$C$33-E17)/365.25))</f>
        <v/>
      </c>
      <c r="I17" s="36">
        <f>IF(C17="",0,C17/G17*H17)</f>
        <v/>
      </c>
      <c r="J17" s="28">
        <f>IF(C17="",0,IFERROR(INDEX(Lookups!$Z$5:$Z$8,MATCH(F17,Lookups!$Y$5:$Y$8,0)),0.3)*0.5^((Assumptions!$C$33-E17)/365.25/Assumptions!$C$31))</f>
        <v/>
      </c>
    </row>
    <row r="18">
      <c r="G18" s="16">
        <f>IF(C18="","",IF(IFERROR(INDEX(Regions!$D$5:$D$400,MATCH(D18,Regions!$A$5:$A$400,0))&lt;&gt;"",FALSE),INDEX(Regions!$D$5:$D$400,MATCH(D18,Regions!$A$5:$A$400,0)),IF(IFERROR(INDEX(Regions!$D$5:$D$400,MATCH(LEFT(D18,2),Regions!$A$5:$A$400,0))&lt;&gt;"",FALSE),INDEX(Regions!$D$5:$D$400,MATCH(LEFT(D18,2),Regions!$A$5:$A$400,0)),INDEX(Regions!$D$5:$D$400,MATCH("US",Regions!$A$5:$A$400,0)))))</f>
        <v/>
      </c>
      <c r="H18" s="28">
        <f>IF(C18="","",(1+Assumptions!$C$32)^((Assumptions!$C$33-E18)/365.25))</f>
        <v/>
      </c>
      <c r="I18" s="36">
        <f>IF(C18="",0,C18/G18*H18)</f>
        <v/>
      </c>
      <c r="J18" s="28">
        <f>IF(C18="",0,IFERROR(INDEX(Lookups!$Z$5:$Z$8,MATCH(F18,Lookups!$Y$5:$Y$8,0)),0.3)*0.5^((Assumptions!$C$33-E18)/365.25/Assumptions!$C$31))</f>
        <v/>
      </c>
    </row>
    <row r="19">
      <c r="G19" s="16">
        <f>IF(C19="","",IF(IFERROR(INDEX(Regions!$D$5:$D$400,MATCH(D19,Regions!$A$5:$A$400,0))&lt;&gt;"",FALSE),INDEX(Regions!$D$5:$D$400,MATCH(D19,Regions!$A$5:$A$400,0)),IF(IFERROR(INDEX(Regions!$D$5:$D$400,MATCH(LEFT(D19,2),Regions!$A$5:$A$400,0))&lt;&gt;"",FALSE),INDEX(Regions!$D$5:$D$400,MATCH(LEFT(D19,2),Regions!$A$5:$A$400,0)),INDEX(Regions!$D$5:$D$400,MATCH("US",Regions!$A$5:$A$400,0)))))</f>
        <v/>
      </c>
      <c r="H19" s="28">
        <f>IF(C19="","",(1+Assumptions!$C$32)^((Assumptions!$C$33-E19)/365.25))</f>
        <v/>
      </c>
      <c r="I19" s="36">
        <f>IF(C19="",0,C19/G19*H19)</f>
        <v/>
      </c>
      <c r="J19" s="28">
        <f>IF(C19="",0,IFERROR(INDEX(Lookups!$Z$5:$Z$8,MATCH(F19,Lookups!$Y$5:$Y$8,0)),0.3)*0.5^((Assumptions!$C$33-E19)/365.25/Assumptions!$C$31))</f>
        <v/>
      </c>
    </row>
    <row r="20">
      <c r="G20" s="16">
        <f>IF(C20="","",IF(IFERROR(INDEX(Regions!$D$5:$D$400,MATCH(D20,Regions!$A$5:$A$400,0))&lt;&gt;"",FALSE),INDEX(Regions!$D$5:$D$400,MATCH(D20,Regions!$A$5:$A$400,0)),IF(IFERROR(INDEX(Regions!$D$5:$D$400,MATCH(LEFT(D20,2),Regions!$A$5:$A$400,0))&lt;&gt;"",FALSE),INDEX(Regions!$D$5:$D$400,MATCH(LEFT(D20,2),Regions!$A$5:$A$400,0)),INDEX(Regions!$D$5:$D$400,MATCH("US",Regions!$A$5:$A$400,0)))))</f>
        <v/>
      </c>
      <c r="H20" s="28">
        <f>IF(C20="","",(1+Assumptions!$C$32)^((Assumptions!$C$33-E20)/365.25))</f>
        <v/>
      </c>
      <c r="I20" s="36">
        <f>IF(C20="",0,C20/G20*H20)</f>
        <v/>
      </c>
      <c r="J20" s="28">
        <f>IF(C20="",0,IFERROR(INDEX(Lookups!$Z$5:$Z$8,MATCH(F20,Lookups!$Y$5:$Y$8,0)),0.3)*0.5^((Assumptions!$C$33-E20)/365.25/Assumptions!$C$31))</f>
        <v/>
      </c>
    </row>
    <row r="21">
      <c r="G21" s="16">
        <f>IF(C21="","",IF(IFERROR(INDEX(Regions!$D$5:$D$400,MATCH(D21,Regions!$A$5:$A$400,0))&lt;&gt;"",FALSE),INDEX(Regions!$D$5:$D$400,MATCH(D21,Regions!$A$5:$A$400,0)),IF(IFERROR(INDEX(Regions!$D$5:$D$400,MATCH(LEFT(D21,2),Regions!$A$5:$A$400,0))&lt;&gt;"",FALSE),INDEX(Regions!$D$5:$D$400,MATCH(LEFT(D21,2),Regions!$A$5:$A$400,0)),INDEX(Regions!$D$5:$D$400,MATCH("US",Regions!$A$5:$A$400,0)))))</f>
        <v/>
      </c>
      <c r="H21" s="28">
        <f>IF(C21="","",(1+Assumptions!$C$32)^((Assumptions!$C$33-E21)/365.25))</f>
        <v/>
      </c>
      <c r="I21" s="36">
        <f>IF(C21="",0,C21/G21*H21)</f>
        <v/>
      </c>
      <c r="J21" s="28">
        <f>IF(C21="",0,IFERROR(INDEX(Lookups!$Z$5:$Z$8,MATCH(F21,Lookups!$Y$5:$Y$8,0)),0.3)*0.5^((Assumptions!$C$33-E21)/365.25/Assumptions!$C$31))</f>
        <v/>
      </c>
    </row>
    <row r="22">
      <c r="G22" s="16">
        <f>IF(C22="","",IF(IFERROR(INDEX(Regions!$D$5:$D$400,MATCH(D22,Regions!$A$5:$A$400,0))&lt;&gt;"",FALSE),INDEX(Regions!$D$5:$D$400,MATCH(D22,Regions!$A$5:$A$400,0)),IF(IFERROR(INDEX(Regions!$D$5:$D$400,MATCH(LEFT(D22,2),Regions!$A$5:$A$400,0))&lt;&gt;"",FALSE),INDEX(Regions!$D$5:$D$400,MATCH(LEFT(D22,2),Regions!$A$5:$A$400,0)),INDEX(Regions!$D$5:$D$400,MATCH("US",Regions!$A$5:$A$400,0)))))</f>
        <v/>
      </c>
      <c r="H22" s="28">
        <f>IF(C22="","",(1+Assumptions!$C$32)^((Assumptions!$C$33-E22)/365.25))</f>
        <v/>
      </c>
      <c r="I22" s="36">
        <f>IF(C22="",0,C22/G22*H22)</f>
        <v/>
      </c>
      <c r="J22" s="28">
        <f>IF(C22="",0,IFERROR(INDEX(Lookups!$Z$5:$Z$8,MATCH(F22,Lookups!$Y$5:$Y$8,0)),0.3)*0.5^((Assumptions!$C$33-E22)/365.25/Assumptions!$C$31))</f>
        <v/>
      </c>
    </row>
    <row r="23">
      <c r="G23" s="16">
        <f>IF(C23="","",IF(IFERROR(INDEX(Regions!$D$5:$D$400,MATCH(D23,Regions!$A$5:$A$400,0))&lt;&gt;"",FALSE),INDEX(Regions!$D$5:$D$400,MATCH(D23,Regions!$A$5:$A$400,0)),IF(IFERROR(INDEX(Regions!$D$5:$D$400,MATCH(LEFT(D23,2),Regions!$A$5:$A$400,0))&lt;&gt;"",FALSE),INDEX(Regions!$D$5:$D$400,MATCH(LEFT(D23,2),Regions!$A$5:$A$400,0)),INDEX(Regions!$D$5:$D$400,MATCH("US",Regions!$A$5:$A$400,0)))))</f>
        <v/>
      </c>
      <c r="H23" s="28">
        <f>IF(C23="","",(1+Assumptions!$C$32)^((Assumptions!$C$33-E23)/365.25))</f>
        <v/>
      </c>
      <c r="I23" s="36">
        <f>IF(C23="",0,C23/G23*H23)</f>
        <v/>
      </c>
      <c r="J23" s="28">
        <f>IF(C23="",0,IFERROR(INDEX(Lookups!$Z$5:$Z$8,MATCH(F23,Lookups!$Y$5:$Y$8,0)),0.3)*0.5^((Assumptions!$C$33-E23)/365.25/Assumptions!$C$31))</f>
        <v/>
      </c>
    </row>
    <row r="24">
      <c r="G24" s="16">
        <f>IF(C24="","",IF(IFERROR(INDEX(Regions!$D$5:$D$400,MATCH(D24,Regions!$A$5:$A$400,0))&lt;&gt;"",FALSE),INDEX(Regions!$D$5:$D$400,MATCH(D24,Regions!$A$5:$A$400,0)),IF(IFERROR(INDEX(Regions!$D$5:$D$400,MATCH(LEFT(D24,2),Regions!$A$5:$A$400,0))&lt;&gt;"",FALSE),INDEX(Regions!$D$5:$D$400,MATCH(LEFT(D24,2),Regions!$A$5:$A$400,0)),INDEX(Regions!$D$5:$D$400,MATCH("US",Regions!$A$5:$A$400,0)))))</f>
        <v/>
      </c>
      <c r="H24" s="28">
        <f>IF(C24="","",(1+Assumptions!$C$32)^((Assumptions!$C$33-E24)/365.25))</f>
        <v/>
      </c>
      <c r="I24" s="36">
        <f>IF(C24="",0,C24/G24*H24)</f>
        <v/>
      </c>
      <c r="J24" s="28">
        <f>IF(C24="",0,IFERROR(INDEX(Lookups!$Z$5:$Z$8,MATCH(F24,Lookups!$Y$5:$Y$8,0)),0.3)*0.5^((Assumptions!$C$33-E24)/365.25/Assumptions!$C$31))</f>
        <v/>
      </c>
    </row>
    <row r="25">
      <c r="G25" s="16">
        <f>IF(C25="","",IF(IFERROR(INDEX(Regions!$D$5:$D$400,MATCH(D25,Regions!$A$5:$A$400,0))&lt;&gt;"",FALSE),INDEX(Regions!$D$5:$D$400,MATCH(D25,Regions!$A$5:$A$400,0)),IF(IFERROR(INDEX(Regions!$D$5:$D$400,MATCH(LEFT(D25,2),Regions!$A$5:$A$400,0))&lt;&gt;"",FALSE),INDEX(Regions!$D$5:$D$400,MATCH(LEFT(D25,2),Regions!$A$5:$A$400,0)),INDEX(Regions!$D$5:$D$400,MATCH("US",Regions!$A$5:$A$400,0)))))</f>
        <v/>
      </c>
      <c r="H25" s="28">
        <f>IF(C25="","",(1+Assumptions!$C$32)^((Assumptions!$C$33-E25)/365.25))</f>
        <v/>
      </c>
      <c r="I25" s="36">
        <f>IF(C25="",0,C25/G25*H25)</f>
        <v/>
      </c>
      <c r="J25" s="28">
        <f>IF(C25="",0,IFERROR(INDEX(Lookups!$Z$5:$Z$8,MATCH(F25,Lookups!$Y$5:$Y$8,0)),0.3)*0.5^((Assumptions!$C$33-E25)/365.25/Assumptions!$C$31))</f>
        <v/>
      </c>
    </row>
    <row r="26">
      <c r="G26" s="16">
        <f>IF(C26="","",IF(IFERROR(INDEX(Regions!$D$5:$D$400,MATCH(D26,Regions!$A$5:$A$400,0))&lt;&gt;"",FALSE),INDEX(Regions!$D$5:$D$400,MATCH(D26,Regions!$A$5:$A$400,0)),IF(IFERROR(INDEX(Regions!$D$5:$D$400,MATCH(LEFT(D26,2),Regions!$A$5:$A$400,0))&lt;&gt;"",FALSE),INDEX(Regions!$D$5:$D$400,MATCH(LEFT(D26,2),Regions!$A$5:$A$400,0)),INDEX(Regions!$D$5:$D$400,MATCH("US",Regions!$A$5:$A$400,0)))))</f>
        <v/>
      </c>
      <c r="H26" s="28">
        <f>IF(C26="","",(1+Assumptions!$C$32)^((Assumptions!$C$33-E26)/365.25))</f>
        <v/>
      </c>
      <c r="I26" s="36">
        <f>IF(C26="",0,C26/G26*H26)</f>
        <v/>
      </c>
      <c r="J26" s="28">
        <f>IF(C26="",0,IFERROR(INDEX(Lookups!$Z$5:$Z$8,MATCH(F26,Lookups!$Y$5:$Y$8,0)),0.3)*0.5^((Assumptions!$C$33-E26)/365.25/Assumptions!$C$31))</f>
        <v/>
      </c>
    </row>
    <row r="27">
      <c r="G27" s="16">
        <f>IF(C27="","",IF(IFERROR(INDEX(Regions!$D$5:$D$400,MATCH(D27,Regions!$A$5:$A$400,0))&lt;&gt;"",FALSE),INDEX(Regions!$D$5:$D$400,MATCH(D27,Regions!$A$5:$A$400,0)),IF(IFERROR(INDEX(Regions!$D$5:$D$400,MATCH(LEFT(D27,2),Regions!$A$5:$A$400,0))&lt;&gt;"",FALSE),INDEX(Regions!$D$5:$D$400,MATCH(LEFT(D27,2),Regions!$A$5:$A$400,0)),INDEX(Regions!$D$5:$D$400,MATCH("US",Regions!$A$5:$A$400,0)))))</f>
        <v/>
      </c>
      <c r="H27" s="28">
        <f>IF(C27="","",(1+Assumptions!$C$32)^((Assumptions!$C$33-E27)/365.25))</f>
        <v/>
      </c>
      <c r="I27" s="36">
        <f>IF(C27="",0,C27/G27*H27)</f>
        <v/>
      </c>
      <c r="J27" s="28">
        <f>IF(C27="",0,IFERROR(INDEX(Lookups!$Z$5:$Z$8,MATCH(F27,Lookups!$Y$5:$Y$8,0)),0.3)*0.5^((Assumptions!$C$33-E27)/365.25/Assumptions!$C$31))</f>
        <v/>
      </c>
    </row>
    <row r="28">
      <c r="G28" s="16">
        <f>IF(C28="","",IF(IFERROR(INDEX(Regions!$D$5:$D$400,MATCH(D28,Regions!$A$5:$A$400,0))&lt;&gt;"",FALSE),INDEX(Regions!$D$5:$D$400,MATCH(D28,Regions!$A$5:$A$400,0)),IF(IFERROR(INDEX(Regions!$D$5:$D$400,MATCH(LEFT(D28,2),Regions!$A$5:$A$400,0))&lt;&gt;"",FALSE),INDEX(Regions!$D$5:$D$400,MATCH(LEFT(D28,2),Regions!$A$5:$A$400,0)),INDEX(Regions!$D$5:$D$400,MATCH("US",Regions!$A$5:$A$400,0)))))</f>
        <v/>
      </c>
      <c r="H28" s="28">
        <f>IF(C28="","",(1+Assumptions!$C$32)^((Assumptions!$C$33-E28)/365.25))</f>
        <v/>
      </c>
      <c r="I28" s="36">
        <f>IF(C28="",0,C28/G28*H28)</f>
        <v/>
      </c>
      <c r="J28" s="28">
        <f>IF(C28="",0,IFERROR(INDEX(Lookups!$Z$5:$Z$8,MATCH(F28,Lookups!$Y$5:$Y$8,0)),0.3)*0.5^((Assumptions!$C$33-E28)/365.25/Assumptions!$C$31))</f>
        <v/>
      </c>
    </row>
    <row r="29">
      <c r="G29" s="16">
        <f>IF(C29="","",IF(IFERROR(INDEX(Regions!$D$5:$D$400,MATCH(D29,Regions!$A$5:$A$400,0))&lt;&gt;"",FALSE),INDEX(Regions!$D$5:$D$400,MATCH(D29,Regions!$A$5:$A$400,0)),IF(IFERROR(INDEX(Regions!$D$5:$D$400,MATCH(LEFT(D29,2),Regions!$A$5:$A$400,0))&lt;&gt;"",FALSE),INDEX(Regions!$D$5:$D$400,MATCH(LEFT(D29,2),Regions!$A$5:$A$400,0)),INDEX(Regions!$D$5:$D$400,MATCH("US",Regions!$A$5:$A$400,0)))))</f>
        <v/>
      </c>
      <c r="H29" s="28">
        <f>IF(C29="","",(1+Assumptions!$C$32)^((Assumptions!$C$33-E29)/365.25))</f>
        <v/>
      </c>
      <c r="I29" s="36">
        <f>IF(C29="",0,C29/G29*H29)</f>
        <v/>
      </c>
      <c r="J29" s="28">
        <f>IF(C29="",0,IFERROR(INDEX(Lookups!$Z$5:$Z$8,MATCH(F29,Lookups!$Y$5:$Y$8,0)),0.3)*0.5^((Assumptions!$C$33-E29)/365.25/Assumptions!$C$31))</f>
        <v/>
      </c>
    </row>
    <row r="30">
      <c r="G30" s="16">
        <f>IF(C30="","",IF(IFERROR(INDEX(Regions!$D$5:$D$400,MATCH(D30,Regions!$A$5:$A$400,0))&lt;&gt;"",FALSE),INDEX(Regions!$D$5:$D$400,MATCH(D30,Regions!$A$5:$A$400,0)),IF(IFERROR(INDEX(Regions!$D$5:$D$400,MATCH(LEFT(D30,2),Regions!$A$5:$A$400,0))&lt;&gt;"",FALSE),INDEX(Regions!$D$5:$D$400,MATCH(LEFT(D30,2),Regions!$A$5:$A$400,0)),INDEX(Regions!$D$5:$D$400,MATCH("US",Regions!$A$5:$A$400,0)))))</f>
        <v/>
      </c>
      <c r="H30" s="28">
        <f>IF(C30="","",(1+Assumptions!$C$32)^((Assumptions!$C$33-E30)/365.25))</f>
        <v/>
      </c>
      <c r="I30" s="36">
        <f>IF(C30="",0,C30/G30*H30)</f>
        <v/>
      </c>
      <c r="J30" s="28">
        <f>IF(C30="",0,IFERROR(INDEX(Lookups!$Z$5:$Z$8,MATCH(F30,Lookups!$Y$5:$Y$8,0)),0.3)*0.5^((Assumptions!$C$33-E30)/365.25/Assumptions!$C$31))</f>
        <v/>
      </c>
    </row>
    <row r="31">
      <c r="G31" s="16">
        <f>IF(C31="","",IF(IFERROR(INDEX(Regions!$D$5:$D$400,MATCH(D31,Regions!$A$5:$A$400,0))&lt;&gt;"",FALSE),INDEX(Regions!$D$5:$D$400,MATCH(D31,Regions!$A$5:$A$400,0)),IF(IFERROR(INDEX(Regions!$D$5:$D$400,MATCH(LEFT(D31,2),Regions!$A$5:$A$400,0))&lt;&gt;"",FALSE),INDEX(Regions!$D$5:$D$400,MATCH(LEFT(D31,2),Regions!$A$5:$A$400,0)),INDEX(Regions!$D$5:$D$400,MATCH("US",Regions!$A$5:$A$400,0)))))</f>
        <v/>
      </c>
      <c r="H31" s="28">
        <f>IF(C31="","",(1+Assumptions!$C$32)^((Assumptions!$C$33-E31)/365.25))</f>
        <v/>
      </c>
      <c r="I31" s="36">
        <f>IF(C31="",0,C31/G31*H31)</f>
        <v/>
      </c>
      <c r="J31" s="28">
        <f>IF(C31="",0,IFERROR(INDEX(Lookups!$Z$5:$Z$8,MATCH(F31,Lookups!$Y$5:$Y$8,0)),0.3)*0.5^((Assumptions!$C$33-E31)/365.25/Assumptions!$C$31))</f>
        <v/>
      </c>
    </row>
    <row r="32">
      <c r="G32" s="16">
        <f>IF(C32="","",IF(IFERROR(INDEX(Regions!$D$5:$D$400,MATCH(D32,Regions!$A$5:$A$400,0))&lt;&gt;"",FALSE),INDEX(Regions!$D$5:$D$400,MATCH(D32,Regions!$A$5:$A$400,0)),IF(IFERROR(INDEX(Regions!$D$5:$D$400,MATCH(LEFT(D32,2),Regions!$A$5:$A$400,0))&lt;&gt;"",FALSE),INDEX(Regions!$D$5:$D$400,MATCH(LEFT(D32,2),Regions!$A$5:$A$400,0)),INDEX(Regions!$D$5:$D$400,MATCH("US",Regions!$A$5:$A$400,0)))))</f>
        <v/>
      </c>
      <c r="H32" s="28">
        <f>IF(C32="","",(1+Assumptions!$C$32)^((Assumptions!$C$33-E32)/365.25))</f>
        <v/>
      </c>
      <c r="I32" s="36">
        <f>IF(C32="",0,C32/G32*H32)</f>
        <v/>
      </c>
      <c r="J32" s="28">
        <f>IF(C32="",0,IFERROR(INDEX(Lookups!$Z$5:$Z$8,MATCH(F32,Lookups!$Y$5:$Y$8,0)),0.3)*0.5^((Assumptions!$C$33-E32)/365.25/Assumptions!$C$31))</f>
        <v/>
      </c>
    </row>
    <row r="33">
      <c r="G33" s="16">
        <f>IF(C33="","",IF(IFERROR(INDEX(Regions!$D$5:$D$400,MATCH(D33,Regions!$A$5:$A$400,0))&lt;&gt;"",FALSE),INDEX(Regions!$D$5:$D$400,MATCH(D33,Regions!$A$5:$A$400,0)),IF(IFERROR(INDEX(Regions!$D$5:$D$400,MATCH(LEFT(D33,2),Regions!$A$5:$A$400,0))&lt;&gt;"",FALSE),INDEX(Regions!$D$5:$D$400,MATCH(LEFT(D33,2),Regions!$A$5:$A$400,0)),INDEX(Regions!$D$5:$D$400,MATCH("US",Regions!$A$5:$A$400,0)))))</f>
        <v/>
      </c>
      <c r="H33" s="28">
        <f>IF(C33="","",(1+Assumptions!$C$32)^((Assumptions!$C$33-E33)/365.25))</f>
        <v/>
      </c>
      <c r="I33" s="36">
        <f>IF(C33="",0,C33/G33*H33)</f>
        <v/>
      </c>
      <c r="J33" s="28">
        <f>IF(C33="",0,IFERROR(INDEX(Lookups!$Z$5:$Z$8,MATCH(F33,Lookups!$Y$5:$Y$8,0)),0.3)*0.5^((Assumptions!$C$33-E33)/365.25/Assumptions!$C$31))</f>
        <v/>
      </c>
    </row>
    <row r="34">
      <c r="G34" s="16">
        <f>IF(C34="","",IF(IFERROR(INDEX(Regions!$D$5:$D$400,MATCH(D34,Regions!$A$5:$A$400,0))&lt;&gt;"",FALSE),INDEX(Regions!$D$5:$D$400,MATCH(D34,Regions!$A$5:$A$400,0)),IF(IFERROR(INDEX(Regions!$D$5:$D$400,MATCH(LEFT(D34,2),Regions!$A$5:$A$400,0))&lt;&gt;"",FALSE),INDEX(Regions!$D$5:$D$400,MATCH(LEFT(D34,2),Regions!$A$5:$A$400,0)),INDEX(Regions!$D$5:$D$400,MATCH("US",Regions!$A$5:$A$400,0)))))</f>
        <v/>
      </c>
      <c r="H34" s="28">
        <f>IF(C34="","",(1+Assumptions!$C$32)^((Assumptions!$C$33-E34)/365.25))</f>
        <v/>
      </c>
      <c r="I34" s="36">
        <f>IF(C34="",0,C34/G34*H34)</f>
        <v/>
      </c>
      <c r="J34" s="28">
        <f>IF(C34="",0,IFERROR(INDEX(Lookups!$Z$5:$Z$8,MATCH(F34,Lookups!$Y$5:$Y$8,0)),0.3)*0.5^((Assumptions!$C$33-E34)/365.25/Assumptions!$C$31))</f>
        <v/>
      </c>
    </row>
    <row r="35">
      <c r="G35" s="16">
        <f>IF(C35="","",IF(IFERROR(INDEX(Regions!$D$5:$D$400,MATCH(D35,Regions!$A$5:$A$400,0))&lt;&gt;"",FALSE),INDEX(Regions!$D$5:$D$400,MATCH(D35,Regions!$A$5:$A$400,0)),IF(IFERROR(INDEX(Regions!$D$5:$D$400,MATCH(LEFT(D35,2),Regions!$A$5:$A$400,0))&lt;&gt;"",FALSE),INDEX(Regions!$D$5:$D$400,MATCH(LEFT(D35,2),Regions!$A$5:$A$400,0)),INDEX(Regions!$D$5:$D$400,MATCH("US",Regions!$A$5:$A$400,0)))))</f>
        <v/>
      </c>
      <c r="H35" s="28">
        <f>IF(C35="","",(1+Assumptions!$C$32)^((Assumptions!$C$33-E35)/365.25))</f>
        <v/>
      </c>
      <c r="I35" s="36">
        <f>IF(C35="",0,C35/G35*H35)</f>
        <v/>
      </c>
      <c r="J35" s="28">
        <f>IF(C35="",0,IFERROR(INDEX(Lookups!$Z$5:$Z$8,MATCH(F35,Lookups!$Y$5:$Y$8,0)),0.3)*0.5^((Assumptions!$C$33-E35)/365.25/Assumptions!$C$31))</f>
        <v/>
      </c>
    </row>
    <row r="36">
      <c r="G36" s="16">
        <f>IF(C36="","",IF(IFERROR(INDEX(Regions!$D$5:$D$400,MATCH(D36,Regions!$A$5:$A$400,0))&lt;&gt;"",FALSE),INDEX(Regions!$D$5:$D$400,MATCH(D36,Regions!$A$5:$A$400,0)),IF(IFERROR(INDEX(Regions!$D$5:$D$400,MATCH(LEFT(D36,2),Regions!$A$5:$A$400,0))&lt;&gt;"",FALSE),INDEX(Regions!$D$5:$D$400,MATCH(LEFT(D36,2),Regions!$A$5:$A$400,0)),INDEX(Regions!$D$5:$D$400,MATCH("US",Regions!$A$5:$A$400,0)))))</f>
        <v/>
      </c>
      <c r="H36" s="28">
        <f>IF(C36="","",(1+Assumptions!$C$32)^((Assumptions!$C$33-E36)/365.25))</f>
        <v/>
      </c>
      <c r="I36" s="36">
        <f>IF(C36="",0,C36/G36*H36)</f>
        <v/>
      </c>
      <c r="J36" s="28">
        <f>IF(C36="",0,IFERROR(INDEX(Lookups!$Z$5:$Z$8,MATCH(F36,Lookups!$Y$5:$Y$8,0)),0.3)*0.5^((Assumptions!$C$33-E36)/365.25/Assumptions!$C$31))</f>
        <v/>
      </c>
    </row>
    <row r="37">
      <c r="G37" s="16">
        <f>IF(C37="","",IF(IFERROR(INDEX(Regions!$D$5:$D$400,MATCH(D37,Regions!$A$5:$A$400,0))&lt;&gt;"",FALSE),INDEX(Regions!$D$5:$D$400,MATCH(D37,Regions!$A$5:$A$400,0)),IF(IFERROR(INDEX(Regions!$D$5:$D$400,MATCH(LEFT(D37,2),Regions!$A$5:$A$400,0))&lt;&gt;"",FALSE),INDEX(Regions!$D$5:$D$400,MATCH(LEFT(D37,2),Regions!$A$5:$A$400,0)),INDEX(Regions!$D$5:$D$400,MATCH("US",Regions!$A$5:$A$400,0)))))</f>
        <v/>
      </c>
      <c r="H37" s="28">
        <f>IF(C37="","",(1+Assumptions!$C$32)^((Assumptions!$C$33-E37)/365.25))</f>
        <v/>
      </c>
      <c r="I37" s="36">
        <f>IF(C37="",0,C37/G37*H37)</f>
        <v/>
      </c>
      <c r="J37" s="28">
        <f>IF(C37="",0,IFERROR(INDEX(Lookups!$Z$5:$Z$8,MATCH(F37,Lookups!$Y$5:$Y$8,0)),0.3)*0.5^((Assumptions!$C$33-E37)/365.25/Assumptions!$C$31))</f>
        <v/>
      </c>
    </row>
    <row r="38">
      <c r="G38" s="16">
        <f>IF(C38="","",IF(IFERROR(INDEX(Regions!$D$5:$D$400,MATCH(D38,Regions!$A$5:$A$400,0))&lt;&gt;"",FALSE),INDEX(Regions!$D$5:$D$400,MATCH(D38,Regions!$A$5:$A$400,0)),IF(IFERROR(INDEX(Regions!$D$5:$D$400,MATCH(LEFT(D38,2),Regions!$A$5:$A$400,0))&lt;&gt;"",FALSE),INDEX(Regions!$D$5:$D$400,MATCH(LEFT(D38,2),Regions!$A$5:$A$400,0)),INDEX(Regions!$D$5:$D$400,MATCH("US",Regions!$A$5:$A$400,0)))))</f>
        <v/>
      </c>
      <c r="H38" s="28">
        <f>IF(C38="","",(1+Assumptions!$C$32)^((Assumptions!$C$33-E38)/365.25))</f>
        <v/>
      </c>
      <c r="I38" s="36">
        <f>IF(C38="",0,C38/G38*H38)</f>
        <v/>
      </c>
      <c r="J38" s="28">
        <f>IF(C38="",0,IFERROR(INDEX(Lookups!$Z$5:$Z$8,MATCH(F38,Lookups!$Y$5:$Y$8,0)),0.3)*0.5^((Assumptions!$C$33-E38)/365.25/Assumptions!$C$31))</f>
        <v/>
      </c>
    </row>
    <row r="39">
      <c r="G39" s="16">
        <f>IF(C39="","",IF(IFERROR(INDEX(Regions!$D$5:$D$400,MATCH(D39,Regions!$A$5:$A$400,0))&lt;&gt;"",FALSE),INDEX(Regions!$D$5:$D$400,MATCH(D39,Regions!$A$5:$A$400,0)),IF(IFERROR(INDEX(Regions!$D$5:$D$400,MATCH(LEFT(D39,2),Regions!$A$5:$A$400,0))&lt;&gt;"",FALSE),INDEX(Regions!$D$5:$D$400,MATCH(LEFT(D39,2),Regions!$A$5:$A$400,0)),INDEX(Regions!$D$5:$D$400,MATCH("US",Regions!$A$5:$A$400,0)))))</f>
        <v/>
      </c>
      <c r="H39" s="28">
        <f>IF(C39="","",(1+Assumptions!$C$32)^((Assumptions!$C$33-E39)/365.25))</f>
        <v/>
      </c>
      <c r="I39" s="36">
        <f>IF(C39="",0,C39/G39*H39)</f>
        <v/>
      </c>
      <c r="J39" s="28">
        <f>IF(C39="",0,IFERROR(INDEX(Lookups!$Z$5:$Z$8,MATCH(F39,Lookups!$Y$5:$Y$8,0)),0.3)*0.5^((Assumptions!$C$33-E39)/365.25/Assumptions!$C$31))</f>
        <v/>
      </c>
    </row>
    <row r="40">
      <c r="G40" s="16">
        <f>IF(C40="","",IF(IFERROR(INDEX(Regions!$D$5:$D$400,MATCH(D40,Regions!$A$5:$A$400,0))&lt;&gt;"",FALSE),INDEX(Regions!$D$5:$D$400,MATCH(D40,Regions!$A$5:$A$400,0)),IF(IFERROR(INDEX(Regions!$D$5:$D$400,MATCH(LEFT(D40,2),Regions!$A$5:$A$400,0))&lt;&gt;"",FALSE),INDEX(Regions!$D$5:$D$400,MATCH(LEFT(D40,2),Regions!$A$5:$A$400,0)),INDEX(Regions!$D$5:$D$400,MATCH("US",Regions!$A$5:$A$400,0)))))</f>
        <v/>
      </c>
      <c r="H40" s="28">
        <f>IF(C40="","",(1+Assumptions!$C$32)^((Assumptions!$C$33-E40)/365.25))</f>
        <v/>
      </c>
      <c r="I40" s="36">
        <f>IF(C40="",0,C40/G40*H40)</f>
        <v/>
      </c>
      <c r="J40" s="28">
        <f>IF(C40="",0,IFERROR(INDEX(Lookups!$Z$5:$Z$8,MATCH(F40,Lookups!$Y$5:$Y$8,0)),0.3)*0.5^((Assumptions!$C$33-E40)/365.25/Assumptions!$C$31))</f>
        <v/>
      </c>
    </row>
    <row r="41">
      <c r="G41" s="16">
        <f>IF(C41="","",IF(IFERROR(INDEX(Regions!$D$5:$D$400,MATCH(D41,Regions!$A$5:$A$400,0))&lt;&gt;"",FALSE),INDEX(Regions!$D$5:$D$400,MATCH(D41,Regions!$A$5:$A$400,0)),IF(IFERROR(INDEX(Regions!$D$5:$D$400,MATCH(LEFT(D41,2),Regions!$A$5:$A$400,0))&lt;&gt;"",FALSE),INDEX(Regions!$D$5:$D$400,MATCH(LEFT(D41,2),Regions!$A$5:$A$400,0)),INDEX(Regions!$D$5:$D$400,MATCH("US",Regions!$A$5:$A$400,0)))))</f>
        <v/>
      </c>
      <c r="H41" s="28">
        <f>IF(C41="","",(1+Assumptions!$C$32)^((Assumptions!$C$33-E41)/365.25))</f>
        <v/>
      </c>
      <c r="I41" s="36">
        <f>IF(C41="",0,C41/G41*H41)</f>
        <v/>
      </c>
      <c r="J41" s="28">
        <f>IF(C41="",0,IFERROR(INDEX(Lookups!$Z$5:$Z$8,MATCH(F41,Lookups!$Y$5:$Y$8,0)),0.3)*0.5^((Assumptions!$C$33-E41)/365.25/Assumptions!$C$31))</f>
        <v/>
      </c>
    </row>
    <row r="42">
      <c r="G42" s="16">
        <f>IF(C42="","",IF(IFERROR(INDEX(Regions!$D$5:$D$400,MATCH(D42,Regions!$A$5:$A$400,0))&lt;&gt;"",FALSE),INDEX(Regions!$D$5:$D$400,MATCH(D42,Regions!$A$5:$A$400,0)),IF(IFERROR(INDEX(Regions!$D$5:$D$400,MATCH(LEFT(D42,2),Regions!$A$5:$A$400,0))&lt;&gt;"",FALSE),INDEX(Regions!$D$5:$D$400,MATCH(LEFT(D42,2),Regions!$A$5:$A$400,0)),INDEX(Regions!$D$5:$D$400,MATCH("US",Regions!$A$5:$A$400,0)))))</f>
        <v/>
      </c>
      <c r="H42" s="28">
        <f>IF(C42="","",(1+Assumptions!$C$32)^((Assumptions!$C$33-E42)/365.25))</f>
        <v/>
      </c>
      <c r="I42" s="36">
        <f>IF(C42="",0,C42/G42*H42)</f>
        <v/>
      </c>
      <c r="J42" s="28">
        <f>IF(C42="",0,IFERROR(INDEX(Lookups!$Z$5:$Z$8,MATCH(F42,Lookups!$Y$5:$Y$8,0)),0.3)*0.5^((Assumptions!$C$33-E42)/365.25/Assumptions!$C$31))</f>
        <v/>
      </c>
    </row>
    <row r="43">
      <c r="G43" s="16">
        <f>IF(C43="","",IF(IFERROR(INDEX(Regions!$D$5:$D$400,MATCH(D43,Regions!$A$5:$A$400,0))&lt;&gt;"",FALSE),INDEX(Regions!$D$5:$D$400,MATCH(D43,Regions!$A$5:$A$400,0)),IF(IFERROR(INDEX(Regions!$D$5:$D$400,MATCH(LEFT(D43,2),Regions!$A$5:$A$400,0))&lt;&gt;"",FALSE),INDEX(Regions!$D$5:$D$400,MATCH(LEFT(D43,2),Regions!$A$5:$A$400,0)),INDEX(Regions!$D$5:$D$400,MATCH("US",Regions!$A$5:$A$400,0)))))</f>
        <v/>
      </c>
      <c r="H43" s="28">
        <f>IF(C43="","",(1+Assumptions!$C$32)^((Assumptions!$C$33-E43)/365.25))</f>
        <v/>
      </c>
      <c r="I43" s="36">
        <f>IF(C43="",0,C43/G43*H43)</f>
        <v/>
      </c>
      <c r="J43" s="28">
        <f>IF(C43="",0,IFERROR(INDEX(Lookups!$Z$5:$Z$8,MATCH(F43,Lookups!$Y$5:$Y$8,0)),0.3)*0.5^((Assumptions!$C$33-E43)/365.25/Assumptions!$C$31))</f>
        <v/>
      </c>
    </row>
    <row r="44">
      <c r="G44" s="16">
        <f>IF(C44="","",IF(IFERROR(INDEX(Regions!$D$5:$D$400,MATCH(D44,Regions!$A$5:$A$400,0))&lt;&gt;"",FALSE),INDEX(Regions!$D$5:$D$400,MATCH(D44,Regions!$A$5:$A$400,0)),IF(IFERROR(INDEX(Regions!$D$5:$D$400,MATCH(LEFT(D44,2),Regions!$A$5:$A$400,0))&lt;&gt;"",FALSE),INDEX(Regions!$D$5:$D$400,MATCH(LEFT(D44,2),Regions!$A$5:$A$400,0)),INDEX(Regions!$D$5:$D$400,MATCH("US",Regions!$A$5:$A$400,0)))))</f>
        <v/>
      </c>
      <c r="H44" s="28">
        <f>IF(C44="","",(1+Assumptions!$C$32)^((Assumptions!$C$33-E44)/365.25))</f>
        <v/>
      </c>
      <c r="I44" s="36">
        <f>IF(C44="",0,C44/G44*H44)</f>
        <v/>
      </c>
      <c r="J44" s="28">
        <f>IF(C44="",0,IFERROR(INDEX(Lookups!$Z$5:$Z$8,MATCH(F44,Lookups!$Y$5:$Y$8,0)),0.3)*0.5^((Assumptions!$C$33-E44)/365.25/Assumptions!$C$31))</f>
        <v/>
      </c>
    </row>
    <row r="45">
      <c r="G45" s="16">
        <f>IF(C45="","",IF(IFERROR(INDEX(Regions!$D$5:$D$400,MATCH(D45,Regions!$A$5:$A$400,0))&lt;&gt;"",FALSE),INDEX(Regions!$D$5:$D$400,MATCH(D45,Regions!$A$5:$A$400,0)),IF(IFERROR(INDEX(Regions!$D$5:$D$400,MATCH(LEFT(D45,2),Regions!$A$5:$A$400,0))&lt;&gt;"",FALSE),INDEX(Regions!$D$5:$D$400,MATCH(LEFT(D45,2),Regions!$A$5:$A$400,0)),INDEX(Regions!$D$5:$D$400,MATCH("US",Regions!$A$5:$A$400,0)))))</f>
        <v/>
      </c>
      <c r="H45" s="28">
        <f>IF(C45="","",(1+Assumptions!$C$32)^((Assumptions!$C$33-E45)/365.25))</f>
        <v/>
      </c>
      <c r="I45" s="36">
        <f>IF(C45="",0,C45/G45*H45)</f>
        <v/>
      </c>
      <c r="J45" s="28">
        <f>IF(C45="",0,IFERROR(INDEX(Lookups!$Z$5:$Z$8,MATCH(F45,Lookups!$Y$5:$Y$8,0)),0.3)*0.5^((Assumptions!$C$33-E45)/365.25/Assumptions!$C$31))</f>
        <v/>
      </c>
    </row>
    <row r="46">
      <c r="G46" s="16">
        <f>IF(C46="","",IF(IFERROR(INDEX(Regions!$D$5:$D$400,MATCH(D46,Regions!$A$5:$A$400,0))&lt;&gt;"",FALSE),INDEX(Regions!$D$5:$D$400,MATCH(D46,Regions!$A$5:$A$400,0)),IF(IFERROR(INDEX(Regions!$D$5:$D$400,MATCH(LEFT(D46,2),Regions!$A$5:$A$400,0))&lt;&gt;"",FALSE),INDEX(Regions!$D$5:$D$400,MATCH(LEFT(D46,2),Regions!$A$5:$A$400,0)),INDEX(Regions!$D$5:$D$400,MATCH("US",Regions!$A$5:$A$400,0)))))</f>
        <v/>
      </c>
      <c r="H46" s="28">
        <f>IF(C46="","",(1+Assumptions!$C$32)^((Assumptions!$C$33-E46)/365.25))</f>
        <v/>
      </c>
      <c r="I46" s="36">
        <f>IF(C46="",0,C46/G46*H46)</f>
        <v/>
      </c>
      <c r="J46" s="28">
        <f>IF(C46="",0,IFERROR(INDEX(Lookups!$Z$5:$Z$8,MATCH(F46,Lookups!$Y$5:$Y$8,0)),0.3)*0.5^((Assumptions!$C$33-E46)/365.25/Assumptions!$C$31))</f>
        <v/>
      </c>
    </row>
    <row r="47">
      <c r="G47" s="16">
        <f>IF(C47="","",IF(IFERROR(INDEX(Regions!$D$5:$D$400,MATCH(D47,Regions!$A$5:$A$400,0))&lt;&gt;"",FALSE),INDEX(Regions!$D$5:$D$400,MATCH(D47,Regions!$A$5:$A$400,0)),IF(IFERROR(INDEX(Regions!$D$5:$D$400,MATCH(LEFT(D47,2),Regions!$A$5:$A$400,0))&lt;&gt;"",FALSE),INDEX(Regions!$D$5:$D$400,MATCH(LEFT(D47,2),Regions!$A$5:$A$400,0)),INDEX(Regions!$D$5:$D$400,MATCH("US",Regions!$A$5:$A$400,0)))))</f>
        <v/>
      </c>
      <c r="H47" s="28">
        <f>IF(C47="","",(1+Assumptions!$C$32)^((Assumptions!$C$33-E47)/365.25))</f>
        <v/>
      </c>
      <c r="I47" s="36">
        <f>IF(C47="",0,C47/G47*H47)</f>
        <v/>
      </c>
      <c r="J47" s="28">
        <f>IF(C47="",0,IFERROR(INDEX(Lookups!$Z$5:$Z$8,MATCH(F47,Lookups!$Y$5:$Y$8,0)),0.3)*0.5^((Assumptions!$C$33-E47)/365.25/Assumptions!$C$31))</f>
        <v/>
      </c>
    </row>
    <row r="48">
      <c r="G48" s="16">
        <f>IF(C48="","",IF(IFERROR(INDEX(Regions!$D$5:$D$400,MATCH(D48,Regions!$A$5:$A$400,0))&lt;&gt;"",FALSE),INDEX(Regions!$D$5:$D$400,MATCH(D48,Regions!$A$5:$A$400,0)),IF(IFERROR(INDEX(Regions!$D$5:$D$400,MATCH(LEFT(D48,2),Regions!$A$5:$A$400,0))&lt;&gt;"",FALSE),INDEX(Regions!$D$5:$D$400,MATCH(LEFT(D48,2),Regions!$A$5:$A$400,0)),INDEX(Regions!$D$5:$D$400,MATCH("US",Regions!$A$5:$A$400,0)))))</f>
        <v/>
      </c>
      <c r="H48" s="28">
        <f>IF(C48="","",(1+Assumptions!$C$32)^((Assumptions!$C$33-E48)/365.25))</f>
        <v/>
      </c>
      <c r="I48" s="36">
        <f>IF(C48="",0,C48/G48*H48)</f>
        <v/>
      </c>
      <c r="J48" s="28">
        <f>IF(C48="",0,IFERROR(INDEX(Lookups!$Z$5:$Z$8,MATCH(F48,Lookups!$Y$5:$Y$8,0)),0.3)*0.5^((Assumptions!$C$33-E48)/365.25/Assumptions!$C$31))</f>
        <v/>
      </c>
    </row>
    <row r="49">
      <c r="G49" s="16">
        <f>IF(C49="","",IF(IFERROR(INDEX(Regions!$D$5:$D$400,MATCH(D49,Regions!$A$5:$A$400,0))&lt;&gt;"",FALSE),INDEX(Regions!$D$5:$D$400,MATCH(D49,Regions!$A$5:$A$400,0)),IF(IFERROR(INDEX(Regions!$D$5:$D$400,MATCH(LEFT(D49,2),Regions!$A$5:$A$400,0))&lt;&gt;"",FALSE),INDEX(Regions!$D$5:$D$400,MATCH(LEFT(D49,2),Regions!$A$5:$A$400,0)),INDEX(Regions!$D$5:$D$400,MATCH("US",Regions!$A$5:$A$400,0)))))</f>
        <v/>
      </c>
      <c r="H49" s="28">
        <f>IF(C49="","",(1+Assumptions!$C$32)^((Assumptions!$C$33-E49)/365.25))</f>
        <v/>
      </c>
      <c r="I49" s="36">
        <f>IF(C49="",0,C49/G49*H49)</f>
        <v/>
      </c>
      <c r="J49" s="28">
        <f>IF(C49="",0,IFERROR(INDEX(Lookups!$Z$5:$Z$8,MATCH(F49,Lookups!$Y$5:$Y$8,0)),0.3)*0.5^((Assumptions!$C$33-E49)/365.25/Assumptions!$C$31))</f>
        <v/>
      </c>
    </row>
    <row r="50">
      <c r="G50" s="16">
        <f>IF(C50="","",IF(IFERROR(INDEX(Regions!$D$5:$D$400,MATCH(D50,Regions!$A$5:$A$400,0))&lt;&gt;"",FALSE),INDEX(Regions!$D$5:$D$400,MATCH(D50,Regions!$A$5:$A$400,0)),IF(IFERROR(INDEX(Regions!$D$5:$D$400,MATCH(LEFT(D50,2),Regions!$A$5:$A$400,0))&lt;&gt;"",FALSE),INDEX(Regions!$D$5:$D$400,MATCH(LEFT(D50,2),Regions!$A$5:$A$400,0)),INDEX(Regions!$D$5:$D$400,MATCH("US",Regions!$A$5:$A$400,0)))))</f>
        <v/>
      </c>
      <c r="H50" s="28">
        <f>IF(C50="","",(1+Assumptions!$C$32)^((Assumptions!$C$33-E50)/365.25))</f>
        <v/>
      </c>
      <c r="I50" s="36">
        <f>IF(C50="",0,C50/G50*H50)</f>
        <v/>
      </c>
      <c r="J50" s="28">
        <f>IF(C50="",0,IFERROR(INDEX(Lookups!$Z$5:$Z$8,MATCH(F50,Lookups!$Y$5:$Y$8,0)),0.3)*0.5^((Assumptions!$C$33-E50)/365.25/Assumptions!$C$31))</f>
        <v/>
      </c>
    </row>
    <row r="51">
      <c r="G51" s="16">
        <f>IF(C51="","",IF(IFERROR(INDEX(Regions!$D$5:$D$400,MATCH(D51,Regions!$A$5:$A$400,0))&lt;&gt;"",FALSE),INDEX(Regions!$D$5:$D$400,MATCH(D51,Regions!$A$5:$A$400,0)),IF(IFERROR(INDEX(Regions!$D$5:$D$400,MATCH(LEFT(D51,2),Regions!$A$5:$A$400,0))&lt;&gt;"",FALSE),INDEX(Regions!$D$5:$D$400,MATCH(LEFT(D51,2),Regions!$A$5:$A$400,0)),INDEX(Regions!$D$5:$D$400,MATCH("US",Regions!$A$5:$A$400,0)))))</f>
        <v/>
      </c>
      <c r="H51" s="28">
        <f>IF(C51="","",(1+Assumptions!$C$32)^((Assumptions!$C$33-E51)/365.25))</f>
        <v/>
      </c>
      <c r="I51" s="36">
        <f>IF(C51="",0,C51/G51*H51)</f>
        <v/>
      </c>
      <c r="J51" s="28">
        <f>IF(C51="",0,IFERROR(INDEX(Lookups!$Z$5:$Z$8,MATCH(F51,Lookups!$Y$5:$Y$8,0)),0.3)*0.5^((Assumptions!$C$33-E51)/365.25/Assumptions!$C$31))</f>
        <v/>
      </c>
    </row>
    <row r="52">
      <c r="G52" s="16">
        <f>IF(C52="","",IF(IFERROR(INDEX(Regions!$D$5:$D$400,MATCH(D52,Regions!$A$5:$A$400,0))&lt;&gt;"",FALSE),INDEX(Regions!$D$5:$D$400,MATCH(D52,Regions!$A$5:$A$400,0)),IF(IFERROR(INDEX(Regions!$D$5:$D$400,MATCH(LEFT(D52,2),Regions!$A$5:$A$400,0))&lt;&gt;"",FALSE),INDEX(Regions!$D$5:$D$400,MATCH(LEFT(D52,2),Regions!$A$5:$A$400,0)),INDEX(Regions!$D$5:$D$400,MATCH("US",Regions!$A$5:$A$400,0)))))</f>
        <v/>
      </c>
      <c r="H52" s="28">
        <f>IF(C52="","",(1+Assumptions!$C$32)^((Assumptions!$C$33-E52)/365.25))</f>
        <v/>
      </c>
      <c r="I52" s="36">
        <f>IF(C52="",0,C52/G52*H52)</f>
        <v/>
      </c>
      <c r="J52" s="28">
        <f>IF(C52="",0,IFERROR(INDEX(Lookups!$Z$5:$Z$8,MATCH(F52,Lookups!$Y$5:$Y$8,0)),0.3)*0.5^((Assumptions!$C$33-E52)/365.25/Assumptions!$C$31))</f>
        <v/>
      </c>
    </row>
    <row r="53">
      <c r="G53" s="16">
        <f>IF(C53="","",IF(IFERROR(INDEX(Regions!$D$5:$D$400,MATCH(D53,Regions!$A$5:$A$400,0))&lt;&gt;"",FALSE),INDEX(Regions!$D$5:$D$400,MATCH(D53,Regions!$A$5:$A$400,0)),IF(IFERROR(INDEX(Regions!$D$5:$D$400,MATCH(LEFT(D53,2),Regions!$A$5:$A$400,0))&lt;&gt;"",FALSE),INDEX(Regions!$D$5:$D$400,MATCH(LEFT(D53,2),Regions!$A$5:$A$400,0)),INDEX(Regions!$D$5:$D$400,MATCH("US",Regions!$A$5:$A$400,0)))))</f>
        <v/>
      </c>
      <c r="H53" s="28">
        <f>IF(C53="","",(1+Assumptions!$C$32)^((Assumptions!$C$33-E53)/365.25))</f>
        <v/>
      </c>
      <c r="I53" s="36">
        <f>IF(C53="",0,C53/G53*H53)</f>
        <v/>
      </c>
      <c r="J53" s="28">
        <f>IF(C53="",0,IFERROR(INDEX(Lookups!$Z$5:$Z$8,MATCH(F53,Lookups!$Y$5:$Y$8,0)),0.3)*0.5^((Assumptions!$C$33-E53)/365.25/Assumptions!$C$31))</f>
        <v/>
      </c>
    </row>
    <row r="54">
      <c r="G54" s="16">
        <f>IF(C54="","",IF(IFERROR(INDEX(Regions!$D$5:$D$400,MATCH(D54,Regions!$A$5:$A$400,0))&lt;&gt;"",FALSE),INDEX(Regions!$D$5:$D$400,MATCH(D54,Regions!$A$5:$A$400,0)),IF(IFERROR(INDEX(Regions!$D$5:$D$400,MATCH(LEFT(D54,2),Regions!$A$5:$A$400,0))&lt;&gt;"",FALSE),INDEX(Regions!$D$5:$D$400,MATCH(LEFT(D54,2),Regions!$A$5:$A$400,0)),INDEX(Regions!$D$5:$D$400,MATCH("US",Regions!$A$5:$A$400,0)))))</f>
        <v/>
      </c>
      <c r="H54" s="28">
        <f>IF(C54="","",(1+Assumptions!$C$32)^((Assumptions!$C$33-E54)/365.25))</f>
        <v/>
      </c>
      <c r="I54" s="36">
        <f>IF(C54="",0,C54/G54*H54)</f>
        <v/>
      </c>
      <c r="J54" s="28">
        <f>IF(C54="",0,IFERROR(INDEX(Lookups!$Z$5:$Z$8,MATCH(F54,Lookups!$Y$5:$Y$8,0)),0.3)*0.5^((Assumptions!$C$33-E54)/365.25/Assumptions!$C$31))</f>
        <v/>
      </c>
    </row>
    <row r="55">
      <c r="G55" s="16">
        <f>IF(C55="","",IF(IFERROR(INDEX(Regions!$D$5:$D$400,MATCH(D55,Regions!$A$5:$A$400,0))&lt;&gt;"",FALSE),INDEX(Regions!$D$5:$D$400,MATCH(D55,Regions!$A$5:$A$400,0)),IF(IFERROR(INDEX(Regions!$D$5:$D$400,MATCH(LEFT(D55,2),Regions!$A$5:$A$400,0))&lt;&gt;"",FALSE),INDEX(Regions!$D$5:$D$400,MATCH(LEFT(D55,2),Regions!$A$5:$A$400,0)),INDEX(Regions!$D$5:$D$400,MATCH("US",Regions!$A$5:$A$400,0)))))</f>
        <v/>
      </c>
      <c r="H55" s="28">
        <f>IF(C55="","",(1+Assumptions!$C$32)^((Assumptions!$C$33-E55)/365.25))</f>
        <v/>
      </c>
      <c r="I55" s="36">
        <f>IF(C55="",0,C55/G55*H55)</f>
        <v/>
      </c>
      <c r="J55" s="28">
        <f>IF(C55="",0,IFERROR(INDEX(Lookups!$Z$5:$Z$8,MATCH(F55,Lookups!$Y$5:$Y$8,0)),0.3)*0.5^((Assumptions!$C$33-E55)/365.25/Assumptions!$C$31))</f>
        <v/>
      </c>
    </row>
    <row r="56">
      <c r="G56" s="16">
        <f>IF(C56="","",IF(IFERROR(INDEX(Regions!$D$5:$D$400,MATCH(D56,Regions!$A$5:$A$400,0))&lt;&gt;"",FALSE),INDEX(Regions!$D$5:$D$400,MATCH(D56,Regions!$A$5:$A$400,0)),IF(IFERROR(INDEX(Regions!$D$5:$D$400,MATCH(LEFT(D56,2),Regions!$A$5:$A$400,0))&lt;&gt;"",FALSE),INDEX(Regions!$D$5:$D$400,MATCH(LEFT(D56,2),Regions!$A$5:$A$400,0)),INDEX(Regions!$D$5:$D$400,MATCH("US",Regions!$A$5:$A$400,0)))))</f>
        <v/>
      </c>
      <c r="H56" s="28">
        <f>IF(C56="","",(1+Assumptions!$C$32)^((Assumptions!$C$33-E56)/365.25))</f>
        <v/>
      </c>
      <c r="I56" s="36">
        <f>IF(C56="",0,C56/G56*H56)</f>
        <v/>
      </c>
      <c r="J56" s="28">
        <f>IF(C56="",0,IFERROR(INDEX(Lookups!$Z$5:$Z$8,MATCH(F56,Lookups!$Y$5:$Y$8,0)),0.3)*0.5^((Assumptions!$C$33-E56)/365.25/Assumptions!$C$31))</f>
        <v/>
      </c>
    </row>
    <row r="57">
      <c r="G57" s="16">
        <f>IF(C57="","",IF(IFERROR(INDEX(Regions!$D$5:$D$400,MATCH(D57,Regions!$A$5:$A$400,0))&lt;&gt;"",FALSE),INDEX(Regions!$D$5:$D$400,MATCH(D57,Regions!$A$5:$A$400,0)),IF(IFERROR(INDEX(Regions!$D$5:$D$400,MATCH(LEFT(D57,2),Regions!$A$5:$A$400,0))&lt;&gt;"",FALSE),INDEX(Regions!$D$5:$D$400,MATCH(LEFT(D57,2),Regions!$A$5:$A$400,0)),INDEX(Regions!$D$5:$D$400,MATCH("US",Regions!$A$5:$A$400,0)))))</f>
        <v/>
      </c>
      <c r="H57" s="28">
        <f>IF(C57="","",(1+Assumptions!$C$32)^((Assumptions!$C$33-E57)/365.25))</f>
        <v/>
      </c>
      <c r="I57" s="36">
        <f>IF(C57="",0,C57/G57*H57)</f>
        <v/>
      </c>
      <c r="J57" s="28">
        <f>IF(C57="",0,IFERROR(INDEX(Lookups!$Z$5:$Z$8,MATCH(F57,Lookups!$Y$5:$Y$8,0)),0.3)*0.5^((Assumptions!$C$33-E57)/365.25/Assumptions!$C$31))</f>
        <v/>
      </c>
    </row>
    <row r="58">
      <c r="G58" s="16">
        <f>IF(C58="","",IF(IFERROR(INDEX(Regions!$D$5:$D$400,MATCH(D58,Regions!$A$5:$A$400,0))&lt;&gt;"",FALSE),INDEX(Regions!$D$5:$D$400,MATCH(D58,Regions!$A$5:$A$400,0)),IF(IFERROR(INDEX(Regions!$D$5:$D$400,MATCH(LEFT(D58,2),Regions!$A$5:$A$400,0))&lt;&gt;"",FALSE),INDEX(Regions!$D$5:$D$400,MATCH(LEFT(D58,2),Regions!$A$5:$A$400,0)),INDEX(Regions!$D$5:$D$400,MATCH("US",Regions!$A$5:$A$400,0)))))</f>
        <v/>
      </c>
      <c r="H58" s="28">
        <f>IF(C58="","",(1+Assumptions!$C$32)^((Assumptions!$C$33-E58)/365.25))</f>
        <v/>
      </c>
      <c r="I58" s="36">
        <f>IF(C58="",0,C58/G58*H58)</f>
        <v/>
      </c>
      <c r="J58" s="28">
        <f>IF(C58="",0,IFERROR(INDEX(Lookups!$Z$5:$Z$8,MATCH(F58,Lookups!$Y$5:$Y$8,0)),0.3)*0.5^((Assumptions!$C$33-E58)/365.25/Assumptions!$C$31))</f>
        <v/>
      </c>
    </row>
    <row r="59">
      <c r="G59" s="16">
        <f>IF(C59="","",IF(IFERROR(INDEX(Regions!$D$5:$D$400,MATCH(D59,Regions!$A$5:$A$400,0))&lt;&gt;"",FALSE),INDEX(Regions!$D$5:$D$400,MATCH(D59,Regions!$A$5:$A$400,0)),IF(IFERROR(INDEX(Regions!$D$5:$D$400,MATCH(LEFT(D59,2),Regions!$A$5:$A$400,0))&lt;&gt;"",FALSE),INDEX(Regions!$D$5:$D$400,MATCH(LEFT(D59,2),Regions!$A$5:$A$400,0)),INDEX(Regions!$D$5:$D$400,MATCH("US",Regions!$A$5:$A$400,0)))))</f>
        <v/>
      </c>
      <c r="H59" s="28">
        <f>IF(C59="","",(1+Assumptions!$C$32)^((Assumptions!$C$33-E59)/365.25))</f>
        <v/>
      </c>
      <c r="I59" s="36">
        <f>IF(C59="",0,C59/G59*H59)</f>
        <v/>
      </c>
      <c r="J59" s="28">
        <f>IF(C59="",0,IFERROR(INDEX(Lookups!$Z$5:$Z$8,MATCH(F59,Lookups!$Y$5:$Y$8,0)),0.3)*0.5^((Assumptions!$C$33-E59)/365.25/Assumptions!$C$31))</f>
        <v/>
      </c>
    </row>
    <row r="60">
      <c r="G60" s="16">
        <f>IF(C60="","",IF(IFERROR(INDEX(Regions!$D$5:$D$400,MATCH(D60,Regions!$A$5:$A$400,0))&lt;&gt;"",FALSE),INDEX(Regions!$D$5:$D$400,MATCH(D60,Regions!$A$5:$A$400,0)),IF(IFERROR(INDEX(Regions!$D$5:$D$400,MATCH(LEFT(D60,2),Regions!$A$5:$A$400,0))&lt;&gt;"",FALSE),INDEX(Regions!$D$5:$D$400,MATCH(LEFT(D60,2),Regions!$A$5:$A$400,0)),INDEX(Regions!$D$5:$D$400,MATCH("US",Regions!$A$5:$A$400,0)))))</f>
        <v/>
      </c>
      <c r="H60" s="28">
        <f>IF(C60="","",(1+Assumptions!$C$32)^((Assumptions!$C$33-E60)/365.25))</f>
        <v/>
      </c>
      <c r="I60" s="36">
        <f>IF(C60="",0,C60/G60*H60)</f>
        <v/>
      </c>
      <c r="J60" s="28">
        <f>IF(C60="",0,IFERROR(INDEX(Lookups!$Z$5:$Z$8,MATCH(F60,Lookups!$Y$5:$Y$8,0)),0.3)*0.5^((Assumptions!$C$33-E60)/365.25/Assumptions!$C$31))</f>
        <v/>
      </c>
    </row>
    <row r="61">
      <c r="G61" s="16">
        <f>IF(C61="","",IF(IFERROR(INDEX(Regions!$D$5:$D$400,MATCH(D61,Regions!$A$5:$A$400,0))&lt;&gt;"",FALSE),INDEX(Regions!$D$5:$D$400,MATCH(D61,Regions!$A$5:$A$400,0)),IF(IFERROR(INDEX(Regions!$D$5:$D$400,MATCH(LEFT(D61,2),Regions!$A$5:$A$400,0))&lt;&gt;"",FALSE),INDEX(Regions!$D$5:$D$400,MATCH(LEFT(D61,2),Regions!$A$5:$A$400,0)),INDEX(Regions!$D$5:$D$400,MATCH("US",Regions!$A$5:$A$400,0)))))</f>
        <v/>
      </c>
      <c r="H61" s="28">
        <f>IF(C61="","",(1+Assumptions!$C$32)^((Assumptions!$C$33-E61)/365.25))</f>
        <v/>
      </c>
      <c r="I61" s="36">
        <f>IF(C61="",0,C61/G61*H61)</f>
        <v/>
      </c>
      <c r="J61" s="28">
        <f>IF(C61="",0,IFERROR(INDEX(Lookups!$Z$5:$Z$8,MATCH(F61,Lookups!$Y$5:$Y$8,0)),0.3)*0.5^((Assumptions!$C$33-E61)/365.25/Assumptions!$C$31))</f>
        <v/>
      </c>
    </row>
    <row r="62">
      <c r="G62" s="16">
        <f>IF(C62="","",IF(IFERROR(INDEX(Regions!$D$5:$D$400,MATCH(D62,Regions!$A$5:$A$400,0))&lt;&gt;"",FALSE),INDEX(Regions!$D$5:$D$400,MATCH(D62,Regions!$A$5:$A$400,0)),IF(IFERROR(INDEX(Regions!$D$5:$D$400,MATCH(LEFT(D62,2),Regions!$A$5:$A$400,0))&lt;&gt;"",FALSE),INDEX(Regions!$D$5:$D$400,MATCH(LEFT(D62,2),Regions!$A$5:$A$400,0)),INDEX(Regions!$D$5:$D$400,MATCH("US",Regions!$A$5:$A$400,0)))))</f>
        <v/>
      </c>
      <c r="H62" s="28">
        <f>IF(C62="","",(1+Assumptions!$C$32)^((Assumptions!$C$33-E62)/365.25))</f>
        <v/>
      </c>
      <c r="I62" s="36">
        <f>IF(C62="",0,C62/G62*H62)</f>
        <v/>
      </c>
      <c r="J62" s="28">
        <f>IF(C62="",0,IFERROR(INDEX(Lookups!$Z$5:$Z$8,MATCH(F62,Lookups!$Y$5:$Y$8,0)),0.3)*0.5^((Assumptions!$C$33-E62)/365.25/Assumptions!$C$31))</f>
        <v/>
      </c>
    </row>
    <row r="63">
      <c r="G63" s="16">
        <f>IF(C63="","",IF(IFERROR(INDEX(Regions!$D$5:$D$400,MATCH(D63,Regions!$A$5:$A$400,0))&lt;&gt;"",FALSE),INDEX(Regions!$D$5:$D$400,MATCH(D63,Regions!$A$5:$A$400,0)),IF(IFERROR(INDEX(Regions!$D$5:$D$400,MATCH(LEFT(D63,2),Regions!$A$5:$A$400,0))&lt;&gt;"",FALSE),INDEX(Regions!$D$5:$D$400,MATCH(LEFT(D63,2),Regions!$A$5:$A$400,0)),INDEX(Regions!$D$5:$D$400,MATCH("US",Regions!$A$5:$A$400,0)))))</f>
        <v/>
      </c>
      <c r="H63" s="28">
        <f>IF(C63="","",(1+Assumptions!$C$32)^((Assumptions!$C$33-E63)/365.25))</f>
        <v/>
      </c>
      <c r="I63" s="36">
        <f>IF(C63="",0,C63/G63*H63)</f>
        <v/>
      </c>
      <c r="J63" s="28">
        <f>IF(C63="",0,IFERROR(INDEX(Lookups!$Z$5:$Z$8,MATCH(F63,Lookups!$Y$5:$Y$8,0)),0.3)*0.5^((Assumptions!$C$33-E63)/365.25/Assumptions!$C$31))</f>
        <v/>
      </c>
    </row>
    <row r="64">
      <c r="G64" s="16">
        <f>IF(C64="","",IF(IFERROR(INDEX(Regions!$D$5:$D$400,MATCH(D64,Regions!$A$5:$A$400,0))&lt;&gt;"",FALSE),INDEX(Regions!$D$5:$D$400,MATCH(D64,Regions!$A$5:$A$400,0)),IF(IFERROR(INDEX(Regions!$D$5:$D$400,MATCH(LEFT(D64,2),Regions!$A$5:$A$400,0))&lt;&gt;"",FALSE),INDEX(Regions!$D$5:$D$400,MATCH(LEFT(D64,2),Regions!$A$5:$A$400,0)),INDEX(Regions!$D$5:$D$400,MATCH("US",Regions!$A$5:$A$400,0)))))</f>
        <v/>
      </c>
      <c r="H64" s="28">
        <f>IF(C64="","",(1+Assumptions!$C$32)^((Assumptions!$C$33-E64)/365.25))</f>
        <v/>
      </c>
      <c r="I64" s="36">
        <f>IF(C64="",0,C64/G64*H64)</f>
        <v/>
      </c>
      <c r="J64" s="28">
        <f>IF(C64="",0,IFERROR(INDEX(Lookups!$Z$5:$Z$8,MATCH(F64,Lookups!$Y$5:$Y$8,0)),0.3)*0.5^((Assumptions!$C$33-E64)/365.25/Assumptions!$C$31))</f>
        <v/>
      </c>
    </row>
    <row r="65">
      <c r="G65" s="16">
        <f>IF(C65="","",IF(IFERROR(INDEX(Regions!$D$5:$D$400,MATCH(D65,Regions!$A$5:$A$400,0))&lt;&gt;"",FALSE),INDEX(Regions!$D$5:$D$400,MATCH(D65,Regions!$A$5:$A$400,0)),IF(IFERROR(INDEX(Regions!$D$5:$D$400,MATCH(LEFT(D65,2),Regions!$A$5:$A$400,0))&lt;&gt;"",FALSE),INDEX(Regions!$D$5:$D$400,MATCH(LEFT(D65,2),Regions!$A$5:$A$400,0)),INDEX(Regions!$D$5:$D$400,MATCH("US",Regions!$A$5:$A$400,0)))))</f>
        <v/>
      </c>
      <c r="H65" s="28">
        <f>IF(C65="","",(1+Assumptions!$C$32)^((Assumptions!$C$33-E65)/365.25))</f>
        <v/>
      </c>
      <c r="I65" s="36">
        <f>IF(C65="",0,C65/G65*H65)</f>
        <v/>
      </c>
      <c r="J65" s="28">
        <f>IF(C65="",0,IFERROR(INDEX(Lookups!$Z$5:$Z$8,MATCH(F65,Lookups!$Y$5:$Y$8,0)),0.3)*0.5^((Assumptions!$C$33-E65)/365.25/Assumptions!$C$31))</f>
        <v/>
      </c>
    </row>
    <row r="66">
      <c r="G66" s="16">
        <f>IF(C66="","",IF(IFERROR(INDEX(Regions!$D$5:$D$400,MATCH(D66,Regions!$A$5:$A$400,0))&lt;&gt;"",FALSE),INDEX(Regions!$D$5:$D$400,MATCH(D66,Regions!$A$5:$A$400,0)),IF(IFERROR(INDEX(Regions!$D$5:$D$400,MATCH(LEFT(D66,2),Regions!$A$5:$A$400,0))&lt;&gt;"",FALSE),INDEX(Regions!$D$5:$D$400,MATCH(LEFT(D66,2),Regions!$A$5:$A$400,0)),INDEX(Regions!$D$5:$D$400,MATCH("US",Regions!$A$5:$A$400,0)))))</f>
        <v/>
      </c>
      <c r="H66" s="28">
        <f>IF(C66="","",(1+Assumptions!$C$32)^((Assumptions!$C$33-E66)/365.25))</f>
        <v/>
      </c>
      <c r="I66" s="36">
        <f>IF(C66="",0,C66/G66*H66)</f>
        <v/>
      </c>
      <c r="J66" s="28">
        <f>IF(C66="",0,IFERROR(INDEX(Lookups!$Z$5:$Z$8,MATCH(F66,Lookups!$Y$5:$Y$8,0)),0.3)*0.5^((Assumptions!$C$33-E66)/365.25/Assumptions!$C$31))</f>
        <v/>
      </c>
    </row>
    <row r="67">
      <c r="G67" s="16">
        <f>IF(C67="","",IF(IFERROR(INDEX(Regions!$D$5:$D$400,MATCH(D67,Regions!$A$5:$A$400,0))&lt;&gt;"",FALSE),INDEX(Regions!$D$5:$D$400,MATCH(D67,Regions!$A$5:$A$400,0)),IF(IFERROR(INDEX(Regions!$D$5:$D$400,MATCH(LEFT(D67,2),Regions!$A$5:$A$400,0))&lt;&gt;"",FALSE),INDEX(Regions!$D$5:$D$400,MATCH(LEFT(D67,2),Regions!$A$5:$A$400,0)),INDEX(Regions!$D$5:$D$400,MATCH("US",Regions!$A$5:$A$400,0)))))</f>
        <v/>
      </c>
      <c r="H67" s="28">
        <f>IF(C67="","",(1+Assumptions!$C$32)^((Assumptions!$C$33-E67)/365.25))</f>
        <v/>
      </c>
      <c r="I67" s="36">
        <f>IF(C67="",0,C67/G67*H67)</f>
        <v/>
      </c>
      <c r="J67" s="28">
        <f>IF(C67="",0,IFERROR(INDEX(Lookups!$Z$5:$Z$8,MATCH(F67,Lookups!$Y$5:$Y$8,0)),0.3)*0.5^((Assumptions!$C$33-E67)/365.25/Assumptions!$C$31))</f>
        <v/>
      </c>
    </row>
    <row r="68">
      <c r="G68" s="16">
        <f>IF(C68="","",IF(IFERROR(INDEX(Regions!$D$5:$D$400,MATCH(D68,Regions!$A$5:$A$400,0))&lt;&gt;"",FALSE),INDEX(Regions!$D$5:$D$400,MATCH(D68,Regions!$A$5:$A$400,0)),IF(IFERROR(INDEX(Regions!$D$5:$D$400,MATCH(LEFT(D68,2),Regions!$A$5:$A$400,0))&lt;&gt;"",FALSE),INDEX(Regions!$D$5:$D$400,MATCH(LEFT(D68,2),Regions!$A$5:$A$400,0)),INDEX(Regions!$D$5:$D$400,MATCH("US",Regions!$A$5:$A$400,0)))))</f>
        <v/>
      </c>
      <c r="H68" s="28">
        <f>IF(C68="","",(1+Assumptions!$C$32)^((Assumptions!$C$33-E68)/365.25))</f>
        <v/>
      </c>
      <c r="I68" s="36">
        <f>IF(C68="",0,C68/G68*H68)</f>
        <v/>
      </c>
      <c r="J68" s="28">
        <f>IF(C68="",0,IFERROR(INDEX(Lookups!$Z$5:$Z$8,MATCH(F68,Lookups!$Y$5:$Y$8,0)),0.3)*0.5^((Assumptions!$C$33-E68)/365.25/Assumptions!$C$31))</f>
        <v/>
      </c>
    </row>
    <row r="69">
      <c r="G69" s="16">
        <f>IF(C69="","",IF(IFERROR(INDEX(Regions!$D$5:$D$400,MATCH(D69,Regions!$A$5:$A$400,0))&lt;&gt;"",FALSE),INDEX(Regions!$D$5:$D$400,MATCH(D69,Regions!$A$5:$A$400,0)),IF(IFERROR(INDEX(Regions!$D$5:$D$400,MATCH(LEFT(D69,2),Regions!$A$5:$A$400,0))&lt;&gt;"",FALSE),INDEX(Regions!$D$5:$D$400,MATCH(LEFT(D69,2),Regions!$A$5:$A$400,0)),INDEX(Regions!$D$5:$D$400,MATCH("US",Regions!$A$5:$A$400,0)))))</f>
        <v/>
      </c>
      <c r="H69" s="28">
        <f>IF(C69="","",(1+Assumptions!$C$32)^((Assumptions!$C$33-E69)/365.25))</f>
        <v/>
      </c>
      <c r="I69" s="36">
        <f>IF(C69="",0,C69/G69*H69)</f>
        <v/>
      </c>
      <c r="J69" s="28">
        <f>IF(C69="",0,IFERROR(INDEX(Lookups!$Z$5:$Z$8,MATCH(F69,Lookups!$Y$5:$Y$8,0)),0.3)*0.5^((Assumptions!$C$33-E69)/365.25/Assumptions!$C$31))</f>
        <v/>
      </c>
    </row>
    <row r="70">
      <c r="G70" s="16">
        <f>IF(C70="","",IF(IFERROR(INDEX(Regions!$D$5:$D$400,MATCH(D70,Regions!$A$5:$A$400,0))&lt;&gt;"",FALSE),INDEX(Regions!$D$5:$D$400,MATCH(D70,Regions!$A$5:$A$400,0)),IF(IFERROR(INDEX(Regions!$D$5:$D$400,MATCH(LEFT(D70,2),Regions!$A$5:$A$400,0))&lt;&gt;"",FALSE),INDEX(Regions!$D$5:$D$400,MATCH(LEFT(D70,2),Regions!$A$5:$A$400,0)),INDEX(Regions!$D$5:$D$400,MATCH("US",Regions!$A$5:$A$400,0)))))</f>
        <v/>
      </c>
      <c r="H70" s="28">
        <f>IF(C70="","",(1+Assumptions!$C$32)^((Assumptions!$C$33-E70)/365.25))</f>
        <v/>
      </c>
      <c r="I70" s="36">
        <f>IF(C70="",0,C70/G70*H70)</f>
        <v/>
      </c>
      <c r="J70" s="28">
        <f>IF(C70="",0,IFERROR(INDEX(Lookups!$Z$5:$Z$8,MATCH(F70,Lookups!$Y$5:$Y$8,0)),0.3)*0.5^((Assumptions!$C$33-E70)/365.25/Assumptions!$C$31))</f>
        <v/>
      </c>
    </row>
    <row r="71">
      <c r="G71" s="16">
        <f>IF(C71="","",IF(IFERROR(INDEX(Regions!$D$5:$D$400,MATCH(D71,Regions!$A$5:$A$400,0))&lt;&gt;"",FALSE),INDEX(Regions!$D$5:$D$400,MATCH(D71,Regions!$A$5:$A$400,0)),IF(IFERROR(INDEX(Regions!$D$5:$D$400,MATCH(LEFT(D71,2),Regions!$A$5:$A$400,0))&lt;&gt;"",FALSE),INDEX(Regions!$D$5:$D$400,MATCH(LEFT(D71,2),Regions!$A$5:$A$400,0)),INDEX(Regions!$D$5:$D$400,MATCH("US",Regions!$A$5:$A$400,0)))))</f>
        <v/>
      </c>
      <c r="H71" s="28">
        <f>IF(C71="","",(1+Assumptions!$C$32)^((Assumptions!$C$33-E71)/365.25))</f>
        <v/>
      </c>
      <c r="I71" s="36">
        <f>IF(C71="",0,C71/G71*H71)</f>
        <v/>
      </c>
      <c r="J71" s="28">
        <f>IF(C71="",0,IFERROR(INDEX(Lookups!$Z$5:$Z$8,MATCH(F71,Lookups!$Y$5:$Y$8,0)),0.3)*0.5^((Assumptions!$C$33-E71)/365.25/Assumptions!$C$31))</f>
        <v/>
      </c>
    </row>
    <row r="72">
      <c r="G72" s="16">
        <f>IF(C72="","",IF(IFERROR(INDEX(Regions!$D$5:$D$400,MATCH(D72,Regions!$A$5:$A$400,0))&lt;&gt;"",FALSE),INDEX(Regions!$D$5:$D$400,MATCH(D72,Regions!$A$5:$A$400,0)),IF(IFERROR(INDEX(Regions!$D$5:$D$400,MATCH(LEFT(D72,2),Regions!$A$5:$A$400,0))&lt;&gt;"",FALSE),INDEX(Regions!$D$5:$D$400,MATCH(LEFT(D72,2),Regions!$A$5:$A$400,0)),INDEX(Regions!$D$5:$D$400,MATCH("US",Regions!$A$5:$A$400,0)))))</f>
        <v/>
      </c>
      <c r="H72" s="28">
        <f>IF(C72="","",(1+Assumptions!$C$32)^((Assumptions!$C$33-E72)/365.25))</f>
        <v/>
      </c>
      <c r="I72" s="36">
        <f>IF(C72="",0,C72/G72*H72)</f>
        <v/>
      </c>
      <c r="J72" s="28">
        <f>IF(C72="",0,IFERROR(INDEX(Lookups!$Z$5:$Z$8,MATCH(F72,Lookups!$Y$5:$Y$8,0)),0.3)*0.5^((Assumptions!$C$33-E72)/365.25/Assumptions!$C$31))</f>
        <v/>
      </c>
    </row>
    <row r="73">
      <c r="G73" s="16">
        <f>IF(C73="","",IF(IFERROR(INDEX(Regions!$D$5:$D$400,MATCH(D73,Regions!$A$5:$A$400,0))&lt;&gt;"",FALSE),INDEX(Regions!$D$5:$D$400,MATCH(D73,Regions!$A$5:$A$400,0)),IF(IFERROR(INDEX(Regions!$D$5:$D$400,MATCH(LEFT(D73,2),Regions!$A$5:$A$400,0))&lt;&gt;"",FALSE),INDEX(Regions!$D$5:$D$400,MATCH(LEFT(D73,2),Regions!$A$5:$A$400,0)),INDEX(Regions!$D$5:$D$400,MATCH("US",Regions!$A$5:$A$400,0)))))</f>
        <v/>
      </c>
      <c r="H73" s="28">
        <f>IF(C73="","",(1+Assumptions!$C$32)^((Assumptions!$C$33-E73)/365.25))</f>
        <v/>
      </c>
      <c r="I73" s="36">
        <f>IF(C73="",0,C73/G73*H73)</f>
        <v/>
      </c>
      <c r="J73" s="28">
        <f>IF(C73="",0,IFERROR(INDEX(Lookups!$Z$5:$Z$8,MATCH(F73,Lookups!$Y$5:$Y$8,0)),0.3)*0.5^((Assumptions!$C$33-E73)/365.25/Assumptions!$C$31))</f>
        <v/>
      </c>
    </row>
    <row r="74">
      <c r="G74" s="16">
        <f>IF(C74="","",IF(IFERROR(INDEX(Regions!$D$5:$D$400,MATCH(D74,Regions!$A$5:$A$400,0))&lt;&gt;"",FALSE),INDEX(Regions!$D$5:$D$400,MATCH(D74,Regions!$A$5:$A$400,0)),IF(IFERROR(INDEX(Regions!$D$5:$D$400,MATCH(LEFT(D74,2),Regions!$A$5:$A$400,0))&lt;&gt;"",FALSE),INDEX(Regions!$D$5:$D$400,MATCH(LEFT(D74,2),Regions!$A$5:$A$400,0)),INDEX(Regions!$D$5:$D$400,MATCH("US",Regions!$A$5:$A$400,0)))))</f>
        <v/>
      </c>
      <c r="H74" s="28">
        <f>IF(C74="","",(1+Assumptions!$C$32)^((Assumptions!$C$33-E74)/365.25))</f>
        <v/>
      </c>
      <c r="I74" s="36">
        <f>IF(C74="",0,C74/G74*H74)</f>
        <v/>
      </c>
      <c r="J74" s="28">
        <f>IF(C74="",0,IFERROR(INDEX(Lookups!$Z$5:$Z$8,MATCH(F74,Lookups!$Y$5:$Y$8,0)),0.3)*0.5^((Assumptions!$C$33-E74)/365.25/Assumptions!$C$31))</f>
        <v/>
      </c>
    </row>
    <row r="75">
      <c r="G75" s="16">
        <f>IF(C75="","",IF(IFERROR(INDEX(Regions!$D$5:$D$400,MATCH(D75,Regions!$A$5:$A$400,0))&lt;&gt;"",FALSE),INDEX(Regions!$D$5:$D$400,MATCH(D75,Regions!$A$5:$A$400,0)),IF(IFERROR(INDEX(Regions!$D$5:$D$400,MATCH(LEFT(D75,2),Regions!$A$5:$A$400,0))&lt;&gt;"",FALSE),INDEX(Regions!$D$5:$D$400,MATCH(LEFT(D75,2),Regions!$A$5:$A$400,0)),INDEX(Regions!$D$5:$D$400,MATCH("US",Regions!$A$5:$A$400,0)))))</f>
        <v/>
      </c>
      <c r="H75" s="28">
        <f>IF(C75="","",(1+Assumptions!$C$32)^((Assumptions!$C$33-E75)/365.25))</f>
        <v/>
      </c>
      <c r="I75" s="36">
        <f>IF(C75="",0,C75/G75*H75)</f>
        <v/>
      </c>
      <c r="J75" s="28">
        <f>IF(C75="",0,IFERROR(INDEX(Lookups!$Z$5:$Z$8,MATCH(F75,Lookups!$Y$5:$Y$8,0)),0.3)*0.5^((Assumptions!$C$33-E75)/365.25/Assumptions!$C$31))</f>
        <v/>
      </c>
    </row>
    <row r="76">
      <c r="G76" s="16">
        <f>IF(C76="","",IF(IFERROR(INDEX(Regions!$D$5:$D$400,MATCH(D76,Regions!$A$5:$A$400,0))&lt;&gt;"",FALSE),INDEX(Regions!$D$5:$D$400,MATCH(D76,Regions!$A$5:$A$400,0)),IF(IFERROR(INDEX(Regions!$D$5:$D$400,MATCH(LEFT(D76,2),Regions!$A$5:$A$400,0))&lt;&gt;"",FALSE),INDEX(Regions!$D$5:$D$400,MATCH(LEFT(D76,2),Regions!$A$5:$A$400,0)),INDEX(Regions!$D$5:$D$400,MATCH("US",Regions!$A$5:$A$400,0)))))</f>
        <v/>
      </c>
      <c r="H76" s="28">
        <f>IF(C76="","",(1+Assumptions!$C$32)^((Assumptions!$C$33-E76)/365.25))</f>
        <v/>
      </c>
      <c r="I76" s="36">
        <f>IF(C76="",0,C76/G76*H76)</f>
        <v/>
      </c>
      <c r="J76" s="28">
        <f>IF(C76="",0,IFERROR(INDEX(Lookups!$Z$5:$Z$8,MATCH(F76,Lookups!$Y$5:$Y$8,0)),0.3)*0.5^((Assumptions!$C$33-E76)/365.25/Assumptions!$C$31))</f>
        <v/>
      </c>
    </row>
    <row r="77">
      <c r="G77" s="16">
        <f>IF(C77="","",IF(IFERROR(INDEX(Regions!$D$5:$D$400,MATCH(D77,Regions!$A$5:$A$400,0))&lt;&gt;"",FALSE),INDEX(Regions!$D$5:$D$400,MATCH(D77,Regions!$A$5:$A$400,0)),IF(IFERROR(INDEX(Regions!$D$5:$D$400,MATCH(LEFT(D77,2),Regions!$A$5:$A$400,0))&lt;&gt;"",FALSE),INDEX(Regions!$D$5:$D$400,MATCH(LEFT(D77,2),Regions!$A$5:$A$400,0)),INDEX(Regions!$D$5:$D$400,MATCH("US",Regions!$A$5:$A$400,0)))))</f>
        <v/>
      </c>
      <c r="H77" s="28">
        <f>IF(C77="","",(1+Assumptions!$C$32)^((Assumptions!$C$33-E77)/365.25))</f>
        <v/>
      </c>
      <c r="I77" s="36">
        <f>IF(C77="",0,C77/G77*H77)</f>
        <v/>
      </c>
      <c r="J77" s="28">
        <f>IF(C77="",0,IFERROR(INDEX(Lookups!$Z$5:$Z$8,MATCH(F77,Lookups!$Y$5:$Y$8,0)),0.3)*0.5^((Assumptions!$C$33-E77)/365.25/Assumptions!$C$31))</f>
        <v/>
      </c>
    </row>
    <row r="78">
      <c r="G78" s="16">
        <f>IF(C78="","",IF(IFERROR(INDEX(Regions!$D$5:$D$400,MATCH(D78,Regions!$A$5:$A$400,0))&lt;&gt;"",FALSE),INDEX(Regions!$D$5:$D$400,MATCH(D78,Regions!$A$5:$A$400,0)),IF(IFERROR(INDEX(Regions!$D$5:$D$400,MATCH(LEFT(D78,2),Regions!$A$5:$A$400,0))&lt;&gt;"",FALSE),INDEX(Regions!$D$5:$D$400,MATCH(LEFT(D78,2),Regions!$A$5:$A$400,0)),INDEX(Regions!$D$5:$D$400,MATCH("US",Regions!$A$5:$A$400,0)))))</f>
        <v/>
      </c>
      <c r="H78" s="28">
        <f>IF(C78="","",(1+Assumptions!$C$32)^((Assumptions!$C$33-E78)/365.25))</f>
        <v/>
      </c>
      <c r="I78" s="36">
        <f>IF(C78="",0,C78/G78*H78)</f>
        <v/>
      </c>
      <c r="J78" s="28">
        <f>IF(C78="",0,IFERROR(INDEX(Lookups!$Z$5:$Z$8,MATCH(F78,Lookups!$Y$5:$Y$8,0)),0.3)*0.5^((Assumptions!$C$33-E78)/365.25/Assumptions!$C$31))</f>
        <v/>
      </c>
    </row>
    <row r="79">
      <c r="G79" s="16">
        <f>IF(C79="","",IF(IFERROR(INDEX(Regions!$D$5:$D$400,MATCH(D79,Regions!$A$5:$A$400,0))&lt;&gt;"",FALSE),INDEX(Regions!$D$5:$D$400,MATCH(D79,Regions!$A$5:$A$400,0)),IF(IFERROR(INDEX(Regions!$D$5:$D$400,MATCH(LEFT(D79,2),Regions!$A$5:$A$400,0))&lt;&gt;"",FALSE),INDEX(Regions!$D$5:$D$400,MATCH(LEFT(D79,2),Regions!$A$5:$A$400,0)),INDEX(Regions!$D$5:$D$400,MATCH("US",Regions!$A$5:$A$400,0)))))</f>
        <v/>
      </c>
      <c r="H79" s="28">
        <f>IF(C79="","",(1+Assumptions!$C$32)^((Assumptions!$C$33-E79)/365.25))</f>
        <v/>
      </c>
      <c r="I79" s="36">
        <f>IF(C79="",0,C79/G79*H79)</f>
        <v/>
      </c>
      <c r="J79" s="28">
        <f>IF(C79="",0,IFERROR(INDEX(Lookups!$Z$5:$Z$8,MATCH(F79,Lookups!$Y$5:$Y$8,0)),0.3)*0.5^((Assumptions!$C$33-E79)/365.25/Assumptions!$C$31))</f>
        <v/>
      </c>
    </row>
    <row r="80">
      <c r="G80" s="16">
        <f>IF(C80="","",IF(IFERROR(INDEX(Regions!$D$5:$D$400,MATCH(D80,Regions!$A$5:$A$400,0))&lt;&gt;"",FALSE),INDEX(Regions!$D$5:$D$400,MATCH(D80,Regions!$A$5:$A$400,0)),IF(IFERROR(INDEX(Regions!$D$5:$D$400,MATCH(LEFT(D80,2),Regions!$A$5:$A$400,0))&lt;&gt;"",FALSE),INDEX(Regions!$D$5:$D$400,MATCH(LEFT(D80,2),Regions!$A$5:$A$400,0)),INDEX(Regions!$D$5:$D$400,MATCH("US",Regions!$A$5:$A$400,0)))))</f>
        <v/>
      </c>
      <c r="H80" s="28">
        <f>IF(C80="","",(1+Assumptions!$C$32)^((Assumptions!$C$33-E80)/365.25))</f>
        <v/>
      </c>
      <c r="I80" s="36">
        <f>IF(C80="",0,C80/G80*H80)</f>
        <v/>
      </c>
      <c r="J80" s="28">
        <f>IF(C80="",0,IFERROR(INDEX(Lookups!$Z$5:$Z$8,MATCH(F80,Lookups!$Y$5:$Y$8,0)),0.3)*0.5^((Assumptions!$C$33-E80)/365.25/Assumptions!$C$31))</f>
        <v/>
      </c>
    </row>
    <row r="81">
      <c r="G81" s="16">
        <f>IF(C81="","",IF(IFERROR(INDEX(Regions!$D$5:$D$400,MATCH(D81,Regions!$A$5:$A$400,0))&lt;&gt;"",FALSE),INDEX(Regions!$D$5:$D$400,MATCH(D81,Regions!$A$5:$A$400,0)),IF(IFERROR(INDEX(Regions!$D$5:$D$400,MATCH(LEFT(D81,2),Regions!$A$5:$A$400,0))&lt;&gt;"",FALSE),INDEX(Regions!$D$5:$D$400,MATCH(LEFT(D81,2),Regions!$A$5:$A$400,0)),INDEX(Regions!$D$5:$D$400,MATCH("US",Regions!$A$5:$A$400,0)))))</f>
        <v/>
      </c>
      <c r="H81" s="28">
        <f>IF(C81="","",(1+Assumptions!$C$32)^((Assumptions!$C$33-E81)/365.25))</f>
        <v/>
      </c>
      <c r="I81" s="36">
        <f>IF(C81="",0,C81/G81*H81)</f>
        <v/>
      </c>
      <c r="J81" s="28">
        <f>IF(C81="",0,IFERROR(INDEX(Lookups!$Z$5:$Z$8,MATCH(F81,Lookups!$Y$5:$Y$8,0)),0.3)*0.5^((Assumptions!$C$33-E81)/365.25/Assumptions!$C$31))</f>
        <v/>
      </c>
    </row>
    <row r="82">
      <c r="G82" s="16">
        <f>IF(C82="","",IF(IFERROR(INDEX(Regions!$D$5:$D$400,MATCH(D82,Regions!$A$5:$A$400,0))&lt;&gt;"",FALSE),INDEX(Regions!$D$5:$D$400,MATCH(D82,Regions!$A$5:$A$400,0)),IF(IFERROR(INDEX(Regions!$D$5:$D$400,MATCH(LEFT(D82,2),Regions!$A$5:$A$400,0))&lt;&gt;"",FALSE),INDEX(Regions!$D$5:$D$400,MATCH(LEFT(D82,2),Regions!$A$5:$A$400,0)),INDEX(Regions!$D$5:$D$400,MATCH("US",Regions!$A$5:$A$400,0)))))</f>
        <v/>
      </c>
      <c r="H82" s="28">
        <f>IF(C82="","",(1+Assumptions!$C$32)^((Assumptions!$C$33-E82)/365.25))</f>
        <v/>
      </c>
      <c r="I82" s="36">
        <f>IF(C82="",0,C82/G82*H82)</f>
        <v/>
      </c>
      <c r="J82" s="28">
        <f>IF(C82="",0,IFERROR(INDEX(Lookups!$Z$5:$Z$8,MATCH(F82,Lookups!$Y$5:$Y$8,0)),0.3)*0.5^((Assumptions!$C$33-E82)/365.25/Assumptions!$C$31))</f>
        <v/>
      </c>
    </row>
    <row r="83">
      <c r="G83" s="16">
        <f>IF(C83="","",IF(IFERROR(INDEX(Regions!$D$5:$D$400,MATCH(D83,Regions!$A$5:$A$400,0))&lt;&gt;"",FALSE),INDEX(Regions!$D$5:$D$400,MATCH(D83,Regions!$A$5:$A$400,0)),IF(IFERROR(INDEX(Regions!$D$5:$D$400,MATCH(LEFT(D83,2),Regions!$A$5:$A$400,0))&lt;&gt;"",FALSE),INDEX(Regions!$D$5:$D$400,MATCH(LEFT(D83,2),Regions!$A$5:$A$400,0)),INDEX(Regions!$D$5:$D$400,MATCH("US",Regions!$A$5:$A$400,0)))))</f>
        <v/>
      </c>
      <c r="H83" s="28">
        <f>IF(C83="","",(1+Assumptions!$C$32)^((Assumptions!$C$33-E83)/365.25))</f>
        <v/>
      </c>
      <c r="I83" s="36">
        <f>IF(C83="",0,C83/G83*H83)</f>
        <v/>
      </c>
      <c r="J83" s="28">
        <f>IF(C83="",0,IFERROR(INDEX(Lookups!$Z$5:$Z$8,MATCH(F83,Lookups!$Y$5:$Y$8,0)),0.3)*0.5^((Assumptions!$C$33-E83)/365.25/Assumptions!$C$31))</f>
        <v/>
      </c>
    </row>
    <row r="84">
      <c r="G84" s="16">
        <f>IF(C84="","",IF(IFERROR(INDEX(Regions!$D$5:$D$400,MATCH(D84,Regions!$A$5:$A$400,0))&lt;&gt;"",FALSE),INDEX(Regions!$D$5:$D$400,MATCH(D84,Regions!$A$5:$A$400,0)),IF(IFERROR(INDEX(Regions!$D$5:$D$400,MATCH(LEFT(D84,2),Regions!$A$5:$A$400,0))&lt;&gt;"",FALSE),INDEX(Regions!$D$5:$D$400,MATCH(LEFT(D84,2),Regions!$A$5:$A$400,0)),INDEX(Regions!$D$5:$D$400,MATCH("US",Regions!$A$5:$A$400,0)))))</f>
        <v/>
      </c>
      <c r="H84" s="28">
        <f>IF(C84="","",(1+Assumptions!$C$32)^((Assumptions!$C$33-E84)/365.25))</f>
        <v/>
      </c>
      <c r="I84" s="36">
        <f>IF(C84="",0,C84/G84*H84)</f>
        <v/>
      </c>
      <c r="J84" s="28">
        <f>IF(C84="",0,IFERROR(INDEX(Lookups!$Z$5:$Z$8,MATCH(F84,Lookups!$Y$5:$Y$8,0)),0.3)*0.5^((Assumptions!$C$33-E84)/365.25/Assumptions!$C$31))</f>
        <v/>
      </c>
    </row>
    <row r="85">
      <c r="G85" s="16">
        <f>IF(C85="","",IF(IFERROR(INDEX(Regions!$D$5:$D$400,MATCH(D85,Regions!$A$5:$A$400,0))&lt;&gt;"",FALSE),INDEX(Regions!$D$5:$D$400,MATCH(D85,Regions!$A$5:$A$400,0)),IF(IFERROR(INDEX(Regions!$D$5:$D$400,MATCH(LEFT(D85,2),Regions!$A$5:$A$400,0))&lt;&gt;"",FALSE),INDEX(Regions!$D$5:$D$400,MATCH(LEFT(D85,2),Regions!$A$5:$A$400,0)),INDEX(Regions!$D$5:$D$400,MATCH("US",Regions!$A$5:$A$400,0)))))</f>
        <v/>
      </c>
      <c r="H85" s="28">
        <f>IF(C85="","",(1+Assumptions!$C$32)^((Assumptions!$C$33-E85)/365.25))</f>
        <v/>
      </c>
      <c r="I85" s="36">
        <f>IF(C85="",0,C85/G85*H85)</f>
        <v/>
      </c>
      <c r="J85" s="28">
        <f>IF(C85="",0,IFERROR(INDEX(Lookups!$Z$5:$Z$8,MATCH(F85,Lookups!$Y$5:$Y$8,0)),0.3)*0.5^((Assumptions!$C$33-E85)/365.25/Assumptions!$C$31))</f>
        <v/>
      </c>
    </row>
    <row r="86">
      <c r="G86" s="16">
        <f>IF(C86="","",IF(IFERROR(INDEX(Regions!$D$5:$D$400,MATCH(D86,Regions!$A$5:$A$400,0))&lt;&gt;"",FALSE),INDEX(Regions!$D$5:$D$400,MATCH(D86,Regions!$A$5:$A$400,0)),IF(IFERROR(INDEX(Regions!$D$5:$D$400,MATCH(LEFT(D86,2),Regions!$A$5:$A$400,0))&lt;&gt;"",FALSE),INDEX(Regions!$D$5:$D$400,MATCH(LEFT(D86,2),Regions!$A$5:$A$400,0)),INDEX(Regions!$D$5:$D$400,MATCH("US",Regions!$A$5:$A$400,0)))))</f>
        <v/>
      </c>
      <c r="H86" s="28">
        <f>IF(C86="","",(1+Assumptions!$C$32)^((Assumptions!$C$33-E86)/365.25))</f>
        <v/>
      </c>
      <c r="I86" s="36">
        <f>IF(C86="",0,C86/G86*H86)</f>
        <v/>
      </c>
      <c r="J86" s="28">
        <f>IF(C86="",0,IFERROR(INDEX(Lookups!$Z$5:$Z$8,MATCH(F86,Lookups!$Y$5:$Y$8,0)),0.3)*0.5^((Assumptions!$C$33-E86)/365.25/Assumptions!$C$31))</f>
        <v/>
      </c>
    </row>
    <row r="87">
      <c r="G87" s="16">
        <f>IF(C87="","",IF(IFERROR(INDEX(Regions!$D$5:$D$400,MATCH(D87,Regions!$A$5:$A$400,0))&lt;&gt;"",FALSE),INDEX(Regions!$D$5:$D$400,MATCH(D87,Regions!$A$5:$A$400,0)),IF(IFERROR(INDEX(Regions!$D$5:$D$400,MATCH(LEFT(D87,2),Regions!$A$5:$A$400,0))&lt;&gt;"",FALSE),INDEX(Regions!$D$5:$D$400,MATCH(LEFT(D87,2),Regions!$A$5:$A$400,0)),INDEX(Regions!$D$5:$D$400,MATCH("US",Regions!$A$5:$A$400,0)))))</f>
        <v/>
      </c>
      <c r="H87" s="28">
        <f>IF(C87="","",(1+Assumptions!$C$32)^((Assumptions!$C$33-E87)/365.25))</f>
        <v/>
      </c>
      <c r="I87" s="36">
        <f>IF(C87="",0,C87/G87*H87)</f>
        <v/>
      </c>
      <c r="J87" s="28">
        <f>IF(C87="",0,IFERROR(INDEX(Lookups!$Z$5:$Z$8,MATCH(F87,Lookups!$Y$5:$Y$8,0)),0.3)*0.5^((Assumptions!$C$33-E87)/365.25/Assumptions!$C$31))</f>
        <v/>
      </c>
    </row>
    <row r="88">
      <c r="G88" s="16">
        <f>IF(C88="","",IF(IFERROR(INDEX(Regions!$D$5:$D$400,MATCH(D88,Regions!$A$5:$A$400,0))&lt;&gt;"",FALSE),INDEX(Regions!$D$5:$D$400,MATCH(D88,Regions!$A$5:$A$400,0)),IF(IFERROR(INDEX(Regions!$D$5:$D$400,MATCH(LEFT(D88,2),Regions!$A$5:$A$400,0))&lt;&gt;"",FALSE),INDEX(Regions!$D$5:$D$400,MATCH(LEFT(D88,2),Regions!$A$5:$A$400,0)),INDEX(Regions!$D$5:$D$400,MATCH("US",Regions!$A$5:$A$400,0)))))</f>
        <v/>
      </c>
      <c r="H88" s="28">
        <f>IF(C88="","",(1+Assumptions!$C$32)^((Assumptions!$C$33-E88)/365.25))</f>
        <v/>
      </c>
      <c r="I88" s="36">
        <f>IF(C88="",0,C88/G88*H88)</f>
        <v/>
      </c>
      <c r="J88" s="28">
        <f>IF(C88="",0,IFERROR(INDEX(Lookups!$Z$5:$Z$8,MATCH(F88,Lookups!$Y$5:$Y$8,0)),0.3)*0.5^((Assumptions!$C$33-E88)/365.25/Assumptions!$C$31))</f>
        <v/>
      </c>
    </row>
    <row r="89">
      <c r="G89" s="16">
        <f>IF(C89="","",IF(IFERROR(INDEX(Regions!$D$5:$D$400,MATCH(D89,Regions!$A$5:$A$400,0))&lt;&gt;"",FALSE),INDEX(Regions!$D$5:$D$400,MATCH(D89,Regions!$A$5:$A$400,0)),IF(IFERROR(INDEX(Regions!$D$5:$D$400,MATCH(LEFT(D89,2),Regions!$A$5:$A$400,0))&lt;&gt;"",FALSE),INDEX(Regions!$D$5:$D$400,MATCH(LEFT(D89,2),Regions!$A$5:$A$400,0)),INDEX(Regions!$D$5:$D$400,MATCH("US",Regions!$A$5:$A$400,0)))))</f>
        <v/>
      </c>
      <c r="H89" s="28">
        <f>IF(C89="","",(1+Assumptions!$C$32)^((Assumptions!$C$33-E89)/365.25))</f>
        <v/>
      </c>
      <c r="I89" s="36">
        <f>IF(C89="",0,C89/G89*H89)</f>
        <v/>
      </c>
      <c r="J89" s="28">
        <f>IF(C89="",0,IFERROR(INDEX(Lookups!$Z$5:$Z$8,MATCH(F89,Lookups!$Y$5:$Y$8,0)),0.3)*0.5^((Assumptions!$C$33-E89)/365.25/Assumptions!$C$31))</f>
        <v/>
      </c>
    </row>
    <row r="90">
      <c r="G90" s="16">
        <f>IF(C90="","",IF(IFERROR(INDEX(Regions!$D$5:$D$400,MATCH(D90,Regions!$A$5:$A$400,0))&lt;&gt;"",FALSE),INDEX(Regions!$D$5:$D$400,MATCH(D90,Regions!$A$5:$A$400,0)),IF(IFERROR(INDEX(Regions!$D$5:$D$400,MATCH(LEFT(D90,2),Regions!$A$5:$A$400,0))&lt;&gt;"",FALSE),INDEX(Regions!$D$5:$D$400,MATCH(LEFT(D90,2),Regions!$A$5:$A$400,0)),INDEX(Regions!$D$5:$D$400,MATCH("US",Regions!$A$5:$A$400,0)))))</f>
        <v/>
      </c>
      <c r="H90" s="28">
        <f>IF(C90="","",(1+Assumptions!$C$32)^((Assumptions!$C$33-E90)/365.25))</f>
        <v/>
      </c>
      <c r="I90" s="36">
        <f>IF(C90="",0,C90/G90*H90)</f>
        <v/>
      </c>
      <c r="J90" s="28">
        <f>IF(C90="",0,IFERROR(INDEX(Lookups!$Z$5:$Z$8,MATCH(F90,Lookups!$Y$5:$Y$8,0)),0.3)*0.5^((Assumptions!$C$33-E90)/365.25/Assumptions!$C$31))</f>
        <v/>
      </c>
    </row>
    <row r="91">
      <c r="G91" s="16">
        <f>IF(C91="","",IF(IFERROR(INDEX(Regions!$D$5:$D$400,MATCH(D91,Regions!$A$5:$A$400,0))&lt;&gt;"",FALSE),INDEX(Regions!$D$5:$D$400,MATCH(D91,Regions!$A$5:$A$400,0)),IF(IFERROR(INDEX(Regions!$D$5:$D$400,MATCH(LEFT(D91,2),Regions!$A$5:$A$400,0))&lt;&gt;"",FALSE),INDEX(Regions!$D$5:$D$400,MATCH(LEFT(D91,2),Regions!$A$5:$A$400,0)),INDEX(Regions!$D$5:$D$400,MATCH("US",Regions!$A$5:$A$400,0)))))</f>
        <v/>
      </c>
      <c r="H91" s="28">
        <f>IF(C91="","",(1+Assumptions!$C$32)^((Assumptions!$C$33-E91)/365.25))</f>
        <v/>
      </c>
      <c r="I91" s="36">
        <f>IF(C91="",0,C91/G91*H91)</f>
        <v/>
      </c>
      <c r="J91" s="28">
        <f>IF(C91="",0,IFERROR(INDEX(Lookups!$Z$5:$Z$8,MATCH(F91,Lookups!$Y$5:$Y$8,0)),0.3)*0.5^((Assumptions!$C$33-E91)/365.25/Assumptions!$C$31))</f>
        <v/>
      </c>
    </row>
    <row r="92">
      <c r="G92" s="16">
        <f>IF(C92="","",IF(IFERROR(INDEX(Regions!$D$5:$D$400,MATCH(D92,Regions!$A$5:$A$400,0))&lt;&gt;"",FALSE),INDEX(Regions!$D$5:$D$400,MATCH(D92,Regions!$A$5:$A$400,0)),IF(IFERROR(INDEX(Regions!$D$5:$D$400,MATCH(LEFT(D92,2),Regions!$A$5:$A$400,0))&lt;&gt;"",FALSE),INDEX(Regions!$D$5:$D$400,MATCH(LEFT(D92,2),Regions!$A$5:$A$400,0)),INDEX(Regions!$D$5:$D$400,MATCH("US",Regions!$A$5:$A$400,0)))))</f>
        <v/>
      </c>
      <c r="H92" s="28">
        <f>IF(C92="","",(1+Assumptions!$C$32)^((Assumptions!$C$33-E92)/365.25))</f>
        <v/>
      </c>
      <c r="I92" s="36">
        <f>IF(C92="",0,C92/G92*H92)</f>
        <v/>
      </c>
      <c r="J92" s="28">
        <f>IF(C92="",0,IFERROR(INDEX(Lookups!$Z$5:$Z$8,MATCH(F92,Lookups!$Y$5:$Y$8,0)),0.3)*0.5^((Assumptions!$C$33-E92)/365.25/Assumptions!$C$31))</f>
        <v/>
      </c>
    </row>
    <row r="93">
      <c r="G93" s="16">
        <f>IF(C93="","",IF(IFERROR(INDEX(Regions!$D$5:$D$400,MATCH(D93,Regions!$A$5:$A$400,0))&lt;&gt;"",FALSE),INDEX(Regions!$D$5:$D$400,MATCH(D93,Regions!$A$5:$A$400,0)),IF(IFERROR(INDEX(Regions!$D$5:$D$400,MATCH(LEFT(D93,2),Regions!$A$5:$A$400,0))&lt;&gt;"",FALSE),INDEX(Regions!$D$5:$D$400,MATCH(LEFT(D93,2),Regions!$A$5:$A$400,0)),INDEX(Regions!$D$5:$D$400,MATCH("US",Regions!$A$5:$A$400,0)))))</f>
        <v/>
      </c>
      <c r="H93" s="28">
        <f>IF(C93="","",(1+Assumptions!$C$32)^((Assumptions!$C$33-E93)/365.25))</f>
        <v/>
      </c>
      <c r="I93" s="36">
        <f>IF(C93="",0,C93/G93*H93)</f>
        <v/>
      </c>
      <c r="J93" s="28">
        <f>IF(C93="",0,IFERROR(INDEX(Lookups!$Z$5:$Z$8,MATCH(F93,Lookups!$Y$5:$Y$8,0)),0.3)*0.5^((Assumptions!$C$33-E93)/365.25/Assumptions!$C$31))</f>
        <v/>
      </c>
    </row>
    <row r="94">
      <c r="G94" s="16">
        <f>IF(C94="","",IF(IFERROR(INDEX(Regions!$D$5:$D$400,MATCH(D94,Regions!$A$5:$A$400,0))&lt;&gt;"",FALSE),INDEX(Regions!$D$5:$D$400,MATCH(D94,Regions!$A$5:$A$400,0)),IF(IFERROR(INDEX(Regions!$D$5:$D$400,MATCH(LEFT(D94,2),Regions!$A$5:$A$400,0))&lt;&gt;"",FALSE),INDEX(Regions!$D$5:$D$400,MATCH(LEFT(D94,2),Regions!$A$5:$A$400,0)),INDEX(Regions!$D$5:$D$400,MATCH("US",Regions!$A$5:$A$400,0)))))</f>
        <v/>
      </c>
      <c r="H94" s="28">
        <f>IF(C94="","",(1+Assumptions!$C$32)^((Assumptions!$C$33-E94)/365.25))</f>
        <v/>
      </c>
      <c r="I94" s="36">
        <f>IF(C94="",0,C94/G94*H94)</f>
        <v/>
      </c>
      <c r="J94" s="28">
        <f>IF(C94="",0,IFERROR(INDEX(Lookups!$Z$5:$Z$8,MATCH(F94,Lookups!$Y$5:$Y$8,0)),0.3)*0.5^((Assumptions!$C$33-E94)/365.25/Assumptions!$C$31))</f>
        <v/>
      </c>
    </row>
    <row r="95">
      <c r="G95" s="16">
        <f>IF(C95="","",IF(IFERROR(INDEX(Regions!$D$5:$D$400,MATCH(D95,Regions!$A$5:$A$400,0))&lt;&gt;"",FALSE),INDEX(Regions!$D$5:$D$400,MATCH(D95,Regions!$A$5:$A$400,0)),IF(IFERROR(INDEX(Regions!$D$5:$D$400,MATCH(LEFT(D95,2),Regions!$A$5:$A$400,0))&lt;&gt;"",FALSE),INDEX(Regions!$D$5:$D$400,MATCH(LEFT(D95,2),Regions!$A$5:$A$400,0)),INDEX(Regions!$D$5:$D$400,MATCH("US",Regions!$A$5:$A$400,0)))))</f>
        <v/>
      </c>
      <c r="H95" s="28">
        <f>IF(C95="","",(1+Assumptions!$C$32)^((Assumptions!$C$33-E95)/365.25))</f>
        <v/>
      </c>
      <c r="I95" s="36">
        <f>IF(C95="",0,C95/G95*H95)</f>
        <v/>
      </c>
      <c r="J95" s="28">
        <f>IF(C95="",0,IFERROR(INDEX(Lookups!$Z$5:$Z$8,MATCH(F95,Lookups!$Y$5:$Y$8,0)),0.3)*0.5^((Assumptions!$C$33-E95)/365.25/Assumptions!$C$31))</f>
        <v/>
      </c>
    </row>
    <row r="96">
      <c r="G96" s="16">
        <f>IF(C96="","",IF(IFERROR(INDEX(Regions!$D$5:$D$400,MATCH(D96,Regions!$A$5:$A$400,0))&lt;&gt;"",FALSE),INDEX(Regions!$D$5:$D$400,MATCH(D96,Regions!$A$5:$A$400,0)),IF(IFERROR(INDEX(Regions!$D$5:$D$400,MATCH(LEFT(D96,2),Regions!$A$5:$A$400,0))&lt;&gt;"",FALSE),INDEX(Regions!$D$5:$D$400,MATCH(LEFT(D96,2),Regions!$A$5:$A$400,0)),INDEX(Regions!$D$5:$D$400,MATCH("US",Regions!$A$5:$A$400,0)))))</f>
        <v/>
      </c>
      <c r="H96" s="28">
        <f>IF(C96="","",(1+Assumptions!$C$32)^((Assumptions!$C$33-E96)/365.25))</f>
        <v/>
      </c>
      <c r="I96" s="36">
        <f>IF(C96="",0,C96/G96*H96)</f>
        <v/>
      </c>
      <c r="J96" s="28">
        <f>IF(C96="",0,IFERROR(INDEX(Lookups!$Z$5:$Z$8,MATCH(F96,Lookups!$Y$5:$Y$8,0)),0.3)*0.5^((Assumptions!$C$33-E96)/365.25/Assumptions!$C$31))</f>
        <v/>
      </c>
    </row>
    <row r="97">
      <c r="G97" s="16">
        <f>IF(C97="","",IF(IFERROR(INDEX(Regions!$D$5:$D$400,MATCH(D97,Regions!$A$5:$A$400,0))&lt;&gt;"",FALSE),INDEX(Regions!$D$5:$D$400,MATCH(D97,Regions!$A$5:$A$400,0)),IF(IFERROR(INDEX(Regions!$D$5:$D$400,MATCH(LEFT(D97,2),Regions!$A$5:$A$400,0))&lt;&gt;"",FALSE),INDEX(Regions!$D$5:$D$400,MATCH(LEFT(D97,2),Regions!$A$5:$A$400,0)),INDEX(Regions!$D$5:$D$400,MATCH("US",Regions!$A$5:$A$400,0)))))</f>
        <v/>
      </c>
      <c r="H97" s="28">
        <f>IF(C97="","",(1+Assumptions!$C$32)^((Assumptions!$C$33-E97)/365.25))</f>
        <v/>
      </c>
      <c r="I97" s="36">
        <f>IF(C97="",0,C97/G97*H97)</f>
        <v/>
      </c>
      <c r="J97" s="28">
        <f>IF(C97="",0,IFERROR(INDEX(Lookups!$Z$5:$Z$8,MATCH(F97,Lookups!$Y$5:$Y$8,0)),0.3)*0.5^((Assumptions!$C$33-E97)/365.25/Assumptions!$C$31))</f>
        <v/>
      </c>
    </row>
    <row r="98">
      <c r="G98" s="16">
        <f>IF(C98="","",IF(IFERROR(INDEX(Regions!$D$5:$D$400,MATCH(D98,Regions!$A$5:$A$400,0))&lt;&gt;"",FALSE),INDEX(Regions!$D$5:$D$400,MATCH(D98,Regions!$A$5:$A$400,0)),IF(IFERROR(INDEX(Regions!$D$5:$D$400,MATCH(LEFT(D98,2),Regions!$A$5:$A$400,0))&lt;&gt;"",FALSE),INDEX(Regions!$D$5:$D$400,MATCH(LEFT(D98,2),Regions!$A$5:$A$400,0)),INDEX(Regions!$D$5:$D$400,MATCH("US",Regions!$A$5:$A$400,0)))))</f>
        <v/>
      </c>
      <c r="H98" s="28">
        <f>IF(C98="","",(1+Assumptions!$C$32)^((Assumptions!$C$33-E98)/365.25))</f>
        <v/>
      </c>
      <c r="I98" s="36">
        <f>IF(C98="",0,C98/G98*H98)</f>
        <v/>
      </c>
      <c r="J98" s="28">
        <f>IF(C98="",0,IFERROR(INDEX(Lookups!$Z$5:$Z$8,MATCH(F98,Lookups!$Y$5:$Y$8,0)),0.3)*0.5^((Assumptions!$C$33-E98)/365.25/Assumptions!$C$31))</f>
        <v/>
      </c>
    </row>
    <row r="99">
      <c r="G99" s="16">
        <f>IF(C99="","",IF(IFERROR(INDEX(Regions!$D$5:$D$400,MATCH(D99,Regions!$A$5:$A$400,0))&lt;&gt;"",FALSE),INDEX(Regions!$D$5:$D$400,MATCH(D99,Regions!$A$5:$A$400,0)),IF(IFERROR(INDEX(Regions!$D$5:$D$400,MATCH(LEFT(D99,2),Regions!$A$5:$A$400,0))&lt;&gt;"",FALSE),INDEX(Regions!$D$5:$D$400,MATCH(LEFT(D99,2),Regions!$A$5:$A$400,0)),INDEX(Regions!$D$5:$D$400,MATCH("US",Regions!$A$5:$A$400,0)))))</f>
        <v/>
      </c>
      <c r="H99" s="28">
        <f>IF(C99="","",(1+Assumptions!$C$32)^((Assumptions!$C$33-E99)/365.25))</f>
        <v/>
      </c>
      <c r="I99" s="36">
        <f>IF(C99="",0,C99/G99*H99)</f>
        <v/>
      </c>
      <c r="J99" s="28">
        <f>IF(C99="",0,IFERROR(INDEX(Lookups!$Z$5:$Z$8,MATCH(F99,Lookups!$Y$5:$Y$8,0)),0.3)*0.5^((Assumptions!$C$33-E99)/365.25/Assumptions!$C$31))</f>
        <v/>
      </c>
    </row>
    <row r="100">
      <c r="G100" s="16">
        <f>IF(C100="","",IF(IFERROR(INDEX(Regions!$D$5:$D$400,MATCH(D100,Regions!$A$5:$A$400,0))&lt;&gt;"",FALSE),INDEX(Regions!$D$5:$D$400,MATCH(D100,Regions!$A$5:$A$400,0)),IF(IFERROR(INDEX(Regions!$D$5:$D$400,MATCH(LEFT(D100,2),Regions!$A$5:$A$400,0))&lt;&gt;"",FALSE),INDEX(Regions!$D$5:$D$400,MATCH(LEFT(D100,2),Regions!$A$5:$A$400,0)),INDEX(Regions!$D$5:$D$400,MATCH("US",Regions!$A$5:$A$400,0)))))</f>
        <v/>
      </c>
      <c r="H100" s="28">
        <f>IF(C100="","",(1+Assumptions!$C$32)^((Assumptions!$C$33-E100)/365.25))</f>
        <v/>
      </c>
      <c r="I100" s="36">
        <f>IF(C100="",0,C100/G100*H100)</f>
        <v/>
      </c>
      <c r="J100" s="28">
        <f>IF(C100="",0,IFERROR(INDEX(Lookups!$Z$5:$Z$8,MATCH(F100,Lookups!$Y$5:$Y$8,0)),0.3)*0.5^((Assumptions!$C$33-E100)/365.25/Assumptions!$C$31))</f>
        <v/>
      </c>
    </row>
    <row r="101">
      <c r="G101" s="16">
        <f>IF(C101="","",IF(IFERROR(INDEX(Regions!$D$5:$D$400,MATCH(D101,Regions!$A$5:$A$400,0))&lt;&gt;"",FALSE),INDEX(Regions!$D$5:$D$400,MATCH(D101,Regions!$A$5:$A$400,0)),IF(IFERROR(INDEX(Regions!$D$5:$D$400,MATCH(LEFT(D101,2),Regions!$A$5:$A$400,0))&lt;&gt;"",FALSE),INDEX(Regions!$D$5:$D$400,MATCH(LEFT(D101,2),Regions!$A$5:$A$400,0)),INDEX(Regions!$D$5:$D$400,MATCH("US",Regions!$A$5:$A$400,0)))))</f>
        <v/>
      </c>
      <c r="H101" s="28">
        <f>IF(C101="","",(1+Assumptions!$C$32)^((Assumptions!$C$33-E101)/365.25))</f>
        <v/>
      </c>
      <c r="I101" s="36">
        <f>IF(C101="",0,C101/G101*H101)</f>
        <v/>
      </c>
      <c r="J101" s="28">
        <f>IF(C101="",0,IFERROR(INDEX(Lookups!$Z$5:$Z$8,MATCH(F101,Lookups!$Y$5:$Y$8,0)),0.3)*0.5^((Assumptions!$C$33-E101)/365.25/Assumptions!$C$31))</f>
        <v/>
      </c>
    </row>
    <row r="102">
      <c r="G102" s="16">
        <f>IF(C102="","",IF(IFERROR(INDEX(Regions!$D$5:$D$400,MATCH(D102,Regions!$A$5:$A$400,0))&lt;&gt;"",FALSE),INDEX(Regions!$D$5:$D$400,MATCH(D102,Regions!$A$5:$A$400,0)),IF(IFERROR(INDEX(Regions!$D$5:$D$400,MATCH(LEFT(D102,2),Regions!$A$5:$A$400,0))&lt;&gt;"",FALSE),INDEX(Regions!$D$5:$D$400,MATCH(LEFT(D102,2),Regions!$A$5:$A$400,0)),INDEX(Regions!$D$5:$D$400,MATCH("US",Regions!$A$5:$A$400,0)))))</f>
        <v/>
      </c>
      <c r="H102" s="28">
        <f>IF(C102="","",(1+Assumptions!$C$32)^((Assumptions!$C$33-E102)/365.25))</f>
        <v/>
      </c>
      <c r="I102" s="36">
        <f>IF(C102="",0,C102/G102*H102)</f>
        <v/>
      </c>
      <c r="J102" s="28">
        <f>IF(C102="",0,IFERROR(INDEX(Lookups!$Z$5:$Z$8,MATCH(F102,Lookups!$Y$5:$Y$8,0)),0.3)*0.5^((Assumptions!$C$33-E102)/365.25/Assumptions!$C$31))</f>
        <v/>
      </c>
    </row>
    <row r="103">
      <c r="G103" s="16">
        <f>IF(C103="","",IF(IFERROR(INDEX(Regions!$D$5:$D$400,MATCH(D103,Regions!$A$5:$A$400,0))&lt;&gt;"",FALSE),INDEX(Regions!$D$5:$D$400,MATCH(D103,Regions!$A$5:$A$400,0)),IF(IFERROR(INDEX(Regions!$D$5:$D$400,MATCH(LEFT(D103,2),Regions!$A$5:$A$400,0))&lt;&gt;"",FALSE),INDEX(Regions!$D$5:$D$400,MATCH(LEFT(D103,2),Regions!$A$5:$A$400,0)),INDEX(Regions!$D$5:$D$400,MATCH("US",Regions!$A$5:$A$400,0)))))</f>
        <v/>
      </c>
      <c r="H103" s="28">
        <f>IF(C103="","",(1+Assumptions!$C$32)^((Assumptions!$C$33-E103)/365.25))</f>
        <v/>
      </c>
      <c r="I103" s="36">
        <f>IF(C103="",0,C103/G103*H103)</f>
        <v/>
      </c>
      <c r="J103" s="28">
        <f>IF(C103="",0,IFERROR(INDEX(Lookups!$Z$5:$Z$8,MATCH(F103,Lookups!$Y$5:$Y$8,0)),0.3)*0.5^((Assumptions!$C$33-E103)/365.25/Assumptions!$C$31))</f>
        <v/>
      </c>
    </row>
    <row r="104">
      <c r="G104" s="16">
        <f>IF(C104="","",IF(IFERROR(INDEX(Regions!$D$5:$D$400,MATCH(D104,Regions!$A$5:$A$400,0))&lt;&gt;"",FALSE),INDEX(Regions!$D$5:$D$400,MATCH(D104,Regions!$A$5:$A$400,0)),IF(IFERROR(INDEX(Regions!$D$5:$D$400,MATCH(LEFT(D104,2),Regions!$A$5:$A$400,0))&lt;&gt;"",FALSE),INDEX(Regions!$D$5:$D$400,MATCH(LEFT(D104,2),Regions!$A$5:$A$400,0)),INDEX(Regions!$D$5:$D$400,MATCH("US",Regions!$A$5:$A$400,0)))))</f>
        <v/>
      </c>
      <c r="H104" s="28">
        <f>IF(C104="","",(1+Assumptions!$C$32)^((Assumptions!$C$33-E104)/365.25))</f>
        <v/>
      </c>
      <c r="I104" s="36">
        <f>IF(C104="",0,C104/G104*H104)</f>
        <v/>
      </c>
      <c r="J104" s="28">
        <f>IF(C104="",0,IFERROR(INDEX(Lookups!$Z$5:$Z$8,MATCH(F104,Lookups!$Y$5:$Y$8,0)),0.3)*0.5^((Assumptions!$C$33-E104)/365.25/Assumptions!$C$31))</f>
        <v/>
      </c>
    </row>
    <row r="105">
      <c r="G105" s="16">
        <f>IF(C105="","",IF(IFERROR(INDEX(Regions!$D$5:$D$400,MATCH(D105,Regions!$A$5:$A$400,0))&lt;&gt;"",FALSE),INDEX(Regions!$D$5:$D$400,MATCH(D105,Regions!$A$5:$A$400,0)),IF(IFERROR(INDEX(Regions!$D$5:$D$400,MATCH(LEFT(D105,2),Regions!$A$5:$A$400,0))&lt;&gt;"",FALSE),INDEX(Regions!$D$5:$D$400,MATCH(LEFT(D105,2),Regions!$A$5:$A$400,0)),INDEX(Regions!$D$5:$D$400,MATCH("US",Regions!$A$5:$A$400,0)))))</f>
        <v/>
      </c>
      <c r="H105" s="28">
        <f>IF(C105="","",(1+Assumptions!$C$32)^((Assumptions!$C$33-E105)/365.25))</f>
        <v/>
      </c>
      <c r="I105" s="36">
        <f>IF(C105="",0,C105/G105*H105)</f>
        <v/>
      </c>
      <c r="J105" s="28">
        <f>IF(C105="",0,IFERROR(INDEX(Lookups!$Z$5:$Z$8,MATCH(F105,Lookups!$Y$5:$Y$8,0)),0.3)*0.5^((Assumptions!$C$33-E105)/365.25/Assumptions!$C$31))</f>
        <v/>
      </c>
    </row>
    <row r="106">
      <c r="G106" s="16">
        <f>IF(C106="","",IF(IFERROR(INDEX(Regions!$D$5:$D$400,MATCH(D106,Regions!$A$5:$A$400,0))&lt;&gt;"",FALSE),INDEX(Regions!$D$5:$D$400,MATCH(D106,Regions!$A$5:$A$400,0)),IF(IFERROR(INDEX(Regions!$D$5:$D$400,MATCH(LEFT(D106,2),Regions!$A$5:$A$400,0))&lt;&gt;"",FALSE),INDEX(Regions!$D$5:$D$400,MATCH(LEFT(D106,2),Regions!$A$5:$A$400,0)),INDEX(Regions!$D$5:$D$400,MATCH("US",Regions!$A$5:$A$400,0)))))</f>
        <v/>
      </c>
      <c r="H106" s="28">
        <f>IF(C106="","",(1+Assumptions!$C$32)^((Assumptions!$C$33-E106)/365.25))</f>
        <v/>
      </c>
      <c r="I106" s="36">
        <f>IF(C106="",0,C106/G106*H106)</f>
        <v/>
      </c>
      <c r="J106" s="28">
        <f>IF(C106="",0,IFERROR(INDEX(Lookups!$Z$5:$Z$8,MATCH(F106,Lookups!$Y$5:$Y$8,0)),0.3)*0.5^((Assumptions!$C$33-E106)/365.25/Assumptions!$C$31))</f>
        <v/>
      </c>
    </row>
    <row r="107">
      <c r="G107" s="16">
        <f>IF(C107="","",IF(IFERROR(INDEX(Regions!$D$5:$D$400,MATCH(D107,Regions!$A$5:$A$400,0))&lt;&gt;"",FALSE),INDEX(Regions!$D$5:$D$400,MATCH(D107,Regions!$A$5:$A$400,0)),IF(IFERROR(INDEX(Regions!$D$5:$D$400,MATCH(LEFT(D107,2),Regions!$A$5:$A$400,0))&lt;&gt;"",FALSE),INDEX(Regions!$D$5:$D$400,MATCH(LEFT(D107,2),Regions!$A$5:$A$400,0)),INDEX(Regions!$D$5:$D$400,MATCH("US",Regions!$A$5:$A$400,0)))))</f>
        <v/>
      </c>
      <c r="H107" s="28">
        <f>IF(C107="","",(1+Assumptions!$C$32)^((Assumptions!$C$33-E107)/365.25))</f>
        <v/>
      </c>
      <c r="I107" s="36">
        <f>IF(C107="",0,C107/G107*H107)</f>
        <v/>
      </c>
      <c r="J107" s="28">
        <f>IF(C107="",0,IFERROR(INDEX(Lookups!$Z$5:$Z$8,MATCH(F107,Lookups!$Y$5:$Y$8,0)),0.3)*0.5^((Assumptions!$C$33-E107)/365.25/Assumptions!$C$31))</f>
        <v/>
      </c>
    </row>
    <row r="108">
      <c r="G108" s="16">
        <f>IF(C108="","",IF(IFERROR(INDEX(Regions!$D$5:$D$400,MATCH(D108,Regions!$A$5:$A$400,0))&lt;&gt;"",FALSE),INDEX(Regions!$D$5:$D$400,MATCH(D108,Regions!$A$5:$A$400,0)),IF(IFERROR(INDEX(Regions!$D$5:$D$400,MATCH(LEFT(D108,2),Regions!$A$5:$A$400,0))&lt;&gt;"",FALSE),INDEX(Regions!$D$5:$D$400,MATCH(LEFT(D108,2),Regions!$A$5:$A$400,0)),INDEX(Regions!$D$5:$D$400,MATCH("US",Regions!$A$5:$A$400,0)))))</f>
        <v/>
      </c>
      <c r="H108" s="28">
        <f>IF(C108="","",(1+Assumptions!$C$32)^((Assumptions!$C$33-E108)/365.25))</f>
        <v/>
      </c>
      <c r="I108" s="36">
        <f>IF(C108="",0,C108/G108*H108)</f>
        <v/>
      </c>
      <c r="J108" s="28">
        <f>IF(C108="",0,IFERROR(INDEX(Lookups!$Z$5:$Z$8,MATCH(F108,Lookups!$Y$5:$Y$8,0)),0.3)*0.5^((Assumptions!$C$33-E108)/365.25/Assumptions!$C$31))</f>
        <v/>
      </c>
    </row>
    <row r="109">
      <c r="G109" s="16">
        <f>IF(C109="","",IF(IFERROR(INDEX(Regions!$D$5:$D$400,MATCH(D109,Regions!$A$5:$A$400,0))&lt;&gt;"",FALSE),INDEX(Regions!$D$5:$D$400,MATCH(D109,Regions!$A$5:$A$400,0)),IF(IFERROR(INDEX(Regions!$D$5:$D$400,MATCH(LEFT(D109,2),Regions!$A$5:$A$400,0))&lt;&gt;"",FALSE),INDEX(Regions!$D$5:$D$400,MATCH(LEFT(D109,2),Regions!$A$5:$A$400,0)),INDEX(Regions!$D$5:$D$400,MATCH("US",Regions!$A$5:$A$400,0)))))</f>
        <v/>
      </c>
      <c r="H109" s="28">
        <f>IF(C109="","",(1+Assumptions!$C$32)^((Assumptions!$C$33-E109)/365.25))</f>
        <v/>
      </c>
      <c r="I109" s="36">
        <f>IF(C109="",0,C109/G109*H109)</f>
        <v/>
      </c>
      <c r="J109" s="28">
        <f>IF(C109="",0,IFERROR(INDEX(Lookups!$Z$5:$Z$8,MATCH(F109,Lookups!$Y$5:$Y$8,0)),0.3)*0.5^((Assumptions!$C$33-E109)/365.25/Assumptions!$C$31))</f>
        <v/>
      </c>
    </row>
    <row r="110">
      <c r="G110" s="16">
        <f>IF(C110="","",IF(IFERROR(INDEX(Regions!$D$5:$D$400,MATCH(D110,Regions!$A$5:$A$400,0))&lt;&gt;"",FALSE),INDEX(Regions!$D$5:$D$400,MATCH(D110,Regions!$A$5:$A$400,0)),IF(IFERROR(INDEX(Regions!$D$5:$D$400,MATCH(LEFT(D110,2),Regions!$A$5:$A$400,0))&lt;&gt;"",FALSE),INDEX(Regions!$D$5:$D$400,MATCH(LEFT(D110,2),Regions!$A$5:$A$400,0)),INDEX(Regions!$D$5:$D$400,MATCH("US",Regions!$A$5:$A$400,0)))))</f>
        <v/>
      </c>
      <c r="H110" s="28">
        <f>IF(C110="","",(1+Assumptions!$C$32)^((Assumptions!$C$33-E110)/365.25))</f>
        <v/>
      </c>
      <c r="I110" s="36">
        <f>IF(C110="",0,C110/G110*H110)</f>
        <v/>
      </c>
      <c r="J110" s="28">
        <f>IF(C110="",0,IFERROR(INDEX(Lookups!$Z$5:$Z$8,MATCH(F110,Lookups!$Y$5:$Y$8,0)),0.3)*0.5^((Assumptions!$C$33-E110)/365.25/Assumptions!$C$31))</f>
        <v/>
      </c>
    </row>
    <row r="111">
      <c r="G111" s="16">
        <f>IF(C111="","",IF(IFERROR(INDEX(Regions!$D$5:$D$400,MATCH(D111,Regions!$A$5:$A$400,0))&lt;&gt;"",FALSE),INDEX(Regions!$D$5:$D$400,MATCH(D111,Regions!$A$5:$A$400,0)),IF(IFERROR(INDEX(Regions!$D$5:$D$400,MATCH(LEFT(D111,2),Regions!$A$5:$A$400,0))&lt;&gt;"",FALSE),INDEX(Regions!$D$5:$D$400,MATCH(LEFT(D111,2),Regions!$A$5:$A$400,0)),INDEX(Regions!$D$5:$D$400,MATCH("US",Regions!$A$5:$A$400,0)))))</f>
        <v/>
      </c>
      <c r="H111" s="28">
        <f>IF(C111="","",(1+Assumptions!$C$32)^((Assumptions!$C$33-E111)/365.25))</f>
        <v/>
      </c>
      <c r="I111" s="36">
        <f>IF(C111="",0,C111/G111*H111)</f>
        <v/>
      </c>
      <c r="J111" s="28">
        <f>IF(C111="",0,IFERROR(INDEX(Lookups!$Z$5:$Z$8,MATCH(F111,Lookups!$Y$5:$Y$8,0)),0.3)*0.5^((Assumptions!$C$33-E111)/365.25/Assumptions!$C$31))</f>
        <v/>
      </c>
    </row>
    <row r="112">
      <c r="G112" s="16">
        <f>IF(C112="","",IF(IFERROR(INDEX(Regions!$D$5:$D$400,MATCH(D112,Regions!$A$5:$A$400,0))&lt;&gt;"",FALSE),INDEX(Regions!$D$5:$D$400,MATCH(D112,Regions!$A$5:$A$400,0)),IF(IFERROR(INDEX(Regions!$D$5:$D$400,MATCH(LEFT(D112,2),Regions!$A$5:$A$400,0))&lt;&gt;"",FALSE),INDEX(Regions!$D$5:$D$400,MATCH(LEFT(D112,2),Regions!$A$5:$A$400,0)),INDEX(Regions!$D$5:$D$400,MATCH("US",Regions!$A$5:$A$400,0)))))</f>
        <v/>
      </c>
      <c r="H112" s="28">
        <f>IF(C112="","",(1+Assumptions!$C$32)^((Assumptions!$C$33-E112)/365.25))</f>
        <v/>
      </c>
      <c r="I112" s="36">
        <f>IF(C112="",0,C112/G112*H112)</f>
        <v/>
      </c>
      <c r="J112" s="28">
        <f>IF(C112="",0,IFERROR(INDEX(Lookups!$Z$5:$Z$8,MATCH(F112,Lookups!$Y$5:$Y$8,0)),0.3)*0.5^((Assumptions!$C$33-E112)/365.25/Assumptions!$C$31))</f>
        <v/>
      </c>
    </row>
    <row r="113">
      <c r="G113" s="16">
        <f>IF(C113="","",IF(IFERROR(INDEX(Regions!$D$5:$D$400,MATCH(D113,Regions!$A$5:$A$400,0))&lt;&gt;"",FALSE),INDEX(Regions!$D$5:$D$400,MATCH(D113,Regions!$A$5:$A$400,0)),IF(IFERROR(INDEX(Regions!$D$5:$D$400,MATCH(LEFT(D113,2),Regions!$A$5:$A$400,0))&lt;&gt;"",FALSE),INDEX(Regions!$D$5:$D$400,MATCH(LEFT(D113,2),Regions!$A$5:$A$400,0)),INDEX(Regions!$D$5:$D$400,MATCH("US",Regions!$A$5:$A$400,0)))))</f>
        <v/>
      </c>
      <c r="H113" s="28">
        <f>IF(C113="","",(1+Assumptions!$C$32)^((Assumptions!$C$33-E113)/365.25))</f>
        <v/>
      </c>
      <c r="I113" s="36">
        <f>IF(C113="",0,C113/G113*H113)</f>
        <v/>
      </c>
      <c r="J113" s="28">
        <f>IF(C113="",0,IFERROR(INDEX(Lookups!$Z$5:$Z$8,MATCH(F113,Lookups!$Y$5:$Y$8,0)),0.3)*0.5^((Assumptions!$C$33-E113)/365.25/Assumptions!$C$31))</f>
        <v/>
      </c>
    </row>
    <row r="114">
      <c r="G114" s="16">
        <f>IF(C114="","",IF(IFERROR(INDEX(Regions!$D$5:$D$400,MATCH(D114,Regions!$A$5:$A$400,0))&lt;&gt;"",FALSE),INDEX(Regions!$D$5:$D$400,MATCH(D114,Regions!$A$5:$A$400,0)),IF(IFERROR(INDEX(Regions!$D$5:$D$400,MATCH(LEFT(D114,2),Regions!$A$5:$A$400,0))&lt;&gt;"",FALSE),INDEX(Regions!$D$5:$D$400,MATCH(LEFT(D114,2),Regions!$A$5:$A$400,0)),INDEX(Regions!$D$5:$D$400,MATCH("US",Regions!$A$5:$A$400,0)))))</f>
        <v/>
      </c>
      <c r="H114" s="28">
        <f>IF(C114="","",(1+Assumptions!$C$32)^((Assumptions!$C$33-E114)/365.25))</f>
        <v/>
      </c>
      <c r="I114" s="36">
        <f>IF(C114="",0,C114/G114*H114)</f>
        <v/>
      </c>
      <c r="J114" s="28">
        <f>IF(C114="",0,IFERROR(INDEX(Lookups!$Z$5:$Z$8,MATCH(F114,Lookups!$Y$5:$Y$8,0)),0.3)*0.5^((Assumptions!$C$33-E114)/365.25/Assumptions!$C$31))</f>
        <v/>
      </c>
    </row>
    <row r="115">
      <c r="G115" s="16">
        <f>IF(C115="","",IF(IFERROR(INDEX(Regions!$D$5:$D$400,MATCH(D115,Regions!$A$5:$A$400,0))&lt;&gt;"",FALSE),INDEX(Regions!$D$5:$D$400,MATCH(D115,Regions!$A$5:$A$400,0)),IF(IFERROR(INDEX(Regions!$D$5:$D$400,MATCH(LEFT(D115,2),Regions!$A$5:$A$400,0))&lt;&gt;"",FALSE),INDEX(Regions!$D$5:$D$400,MATCH(LEFT(D115,2),Regions!$A$5:$A$400,0)),INDEX(Regions!$D$5:$D$400,MATCH("US",Regions!$A$5:$A$400,0)))))</f>
        <v/>
      </c>
      <c r="H115" s="28">
        <f>IF(C115="","",(1+Assumptions!$C$32)^((Assumptions!$C$33-E115)/365.25))</f>
        <v/>
      </c>
      <c r="I115" s="36">
        <f>IF(C115="",0,C115/G115*H115)</f>
        <v/>
      </c>
      <c r="J115" s="28">
        <f>IF(C115="",0,IFERROR(INDEX(Lookups!$Z$5:$Z$8,MATCH(F115,Lookups!$Y$5:$Y$8,0)),0.3)*0.5^((Assumptions!$C$33-E115)/365.25/Assumptions!$C$31))</f>
        <v/>
      </c>
    </row>
    <row r="116">
      <c r="G116" s="16">
        <f>IF(C116="","",IF(IFERROR(INDEX(Regions!$D$5:$D$400,MATCH(D116,Regions!$A$5:$A$400,0))&lt;&gt;"",FALSE),INDEX(Regions!$D$5:$D$400,MATCH(D116,Regions!$A$5:$A$400,0)),IF(IFERROR(INDEX(Regions!$D$5:$D$400,MATCH(LEFT(D116,2),Regions!$A$5:$A$400,0))&lt;&gt;"",FALSE),INDEX(Regions!$D$5:$D$400,MATCH(LEFT(D116,2),Regions!$A$5:$A$400,0)),INDEX(Regions!$D$5:$D$400,MATCH("US",Regions!$A$5:$A$400,0)))))</f>
        <v/>
      </c>
      <c r="H116" s="28">
        <f>IF(C116="","",(1+Assumptions!$C$32)^((Assumptions!$C$33-E116)/365.25))</f>
        <v/>
      </c>
      <c r="I116" s="36">
        <f>IF(C116="",0,C116/G116*H116)</f>
        <v/>
      </c>
      <c r="J116" s="28">
        <f>IF(C116="",0,IFERROR(INDEX(Lookups!$Z$5:$Z$8,MATCH(F116,Lookups!$Y$5:$Y$8,0)),0.3)*0.5^((Assumptions!$C$33-E116)/365.25/Assumptions!$C$31))</f>
        <v/>
      </c>
    </row>
    <row r="117">
      <c r="G117" s="16">
        <f>IF(C117="","",IF(IFERROR(INDEX(Regions!$D$5:$D$400,MATCH(D117,Regions!$A$5:$A$400,0))&lt;&gt;"",FALSE),INDEX(Regions!$D$5:$D$400,MATCH(D117,Regions!$A$5:$A$400,0)),IF(IFERROR(INDEX(Regions!$D$5:$D$400,MATCH(LEFT(D117,2),Regions!$A$5:$A$400,0))&lt;&gt;"",FALSE),INDEX(Regions!$D$5:$D$400,MATCH(LEFT(D117,2),Regions!$A$5:$A$400,0)),INDEX(Regions!$D$5:$D$400,MATCH("US",Regions!$A$5:$A$400,0)))))</f>
        <v/>
      </c>
      <c r="H117" s="28">
        <f>IF(C117="","",(1+Assumptions!$C$32)^((Assumptions!$C$33-E117)/365.25))</f>
        <v/>
      </c>
      <c r="I117" s="36">
        <f>IF(C117="",0,C117/G117*H117)</f>
        <v/>
      </c>
      <c r="J117" s="28">
        <f>IF(C117="",0,IFERROR(INDEX(Lookups!$Z$5:$Z$8,MATCH(F117,Lookups!$Y$5:$Y$8,0)),0.3)*0.5^((Assumptions!$C$33-E117)/365.25/Assumptions!$C$31))</f>
        <v/>
      </c>
    </row>
    <row r="118">
      <c r="G118" s="16">
        <f>IF(C118="","",IF(IFERROR(INDEX(Regions!$D$5:$D$400,MATCH(D118,Regions!$A$5:$A$400,0))&lt;&gt;"",FALSE),INDEX(Regions!$D$5:$D$400,MATCH(D118,Regions!$A$5:$A$400,0)),IF(IFERROR(INDEX(Regions!$D$5:$D$400,MATCH(LEFT(D118,2),Regions!$A$5:$A$400,0))&lt;&gt;"",FALSE),INDEX(Regions!$D$5:$D$400,MATCH(LEFT(D118,2),Regions!$A$5:$A$400,0)),INDEX(Regions!$D$5:$D$400,MATCH("US",Regions!$A$5:$A$400,0)))))</f>
        <v/>
      </c>
      <c r="H118" s="28">
        <f>IF(C118="","",(1+Assumptions!$C$32)^((Assumptions!$C$33-E118)/365.25))</f>
        <v/>
      </c>
      <c r="I118" s="36">
        <f>IF(C118="",0,C118/G118*H118)</f>
        <v/>
      </c>
      <c r="J118" s="28">
        <f>IF(C118="",0,IFERROR(INDEX(Lookups!$Z$5:$Z$8,MATCH(F118,Lookups!$Y$5:$Y$8,0)),0.3)*0.5^((Assumptions!$C$33-E118)/365.25/Assumptions!$C$31))</f>
        <v/>
      </c>
    </row>
    <row r="119">
      <c r="G119" s="16">
        <f>IF(C119="","",IF(IFERROR(INDEX(Regions!$D$5:$D$400,MATCH(D119,Regions!$A$5:$A$400,0))&lt;&gt;"",FALSE),INDEX(Regions!$D$5:$D$400,MATCH(D119,Regions!$A$5:$A$400,0)),IF(IFERROR(INDEX(Regions!$D$5:$D$400,MATCH(LEFT(D119,2),Regions!$A$5:$A$400,0))&lt;&gt;"",FALSE),INDEX(Regions!$D$5:$D$400,MATCH(LEFT(D119,2),Regions!$A$5:$A$400,0)),INDEX(Regions!$D$5:$D$400,MATCH("US",Regions!$A$5:$A$400,0)))))</f>
        <v/>
      </c>
      <c r="H119" s="28">
        <f>IF(C119="","",(1+Assumptions!$C$32)^((Assumptions!$C$33-E119)/365.25))</f>
        <v/>
      </c>
      <c r="I119" s="36">
        <f>IF(C119="",0,C119/G119*H119)</f>
        <v/>
      </c>
      <c r="J119" s="28">
        <f>IF(C119="",0,IFERROR(INDEX(Lookups!$Z$5:$Z$8,MATCH(F119,Lookups!$Y$5:$Y$8,0)),0.3)*0.5^((Assumptions!$C$33-E119)/365.25/Assumptions!$C$31))</f>
        <v/>
      </c>
    </row>
    <row r="120">
      <c r="G120" s="16">
        <f>IF(C120="","",IF(IFERROR(INDEX(Regions!$D$5:$D$400,MATCH(D120,Regions!$A$5:$A$400,0))&lt;&gt;"",FALSE),INDEX(Regions!$D$5:$D$400,MATCH(D120,Regions!$A$5:$A$400,0)),IF(IFERROR(INDEX(Regions!$D$5:$D$400,MATCH(LEFT(D120,2),Regions!$A$5:$A$400,0))&lt;&gt;"",FALSE),INDEX(Regions!$D$5:$D$400,MATCH(LEFT(D120,2),Regions!$A$5:$A$400,0)),INDEX(Regions!$D$5:$D$400,MATCH("US",Regions!$A$5:$A$400,0)))))</f>
        <v/>
      </c>
      <c r="H120" s="28">
        <f>IF(C120="","",(1+Assumptions!$C$32)^((Assumptions!$C$33-E120)/365.25))</f>
        <v/>
      </c>
      <c r="I120" s="36">
        <f>IF(C120="",0,C120/G120*H120)</f>
        <v/>
      </c>
      <c r="J120" s="28">
        <f>IF(C120="",0,IFERROR(INDEX(Lookups!$Z$5:$Z$8,MATCH(F120,Lookups!$Y$5:$Y$8,0)),0.3)*0.5^((Assumptions!$C$33-E120)/365.25/Assumptions!$C$31))</f>
        <v/>
      </c>
    </row>
    <row r="121">
      <c r="G121" s="16">
        <f>IF(C121="","",IF(IFERROR(INDEX(Regions!$D$5:$D$400,MATCH(D121,Regions!$A$5:$A$400,0))&lt;&gt;"",FALSE),INDEX(Regions!$D$5:$D$400,MATCH(D121,Regions!$A$5:$A$400,0)),IF(IFERROR(INDEX(Regions!$D$5:$D$400,MATCH(LEFT(D121,2),Regions!$A$5:$A$400,0))&lt;&gt;"",FALSE),INDEX(Regions!$D$5:$D$400,MATCH(LEFT(D121,2),Regions!$A$5:$A$400,0)),INDEX(Regions!$D$5:$D$400,MATCH("US",Regions!$A$5:$A$400,0)))))</f>
        <v/>
      </c>
      <c r="H121" s="28">
        <f>IF(C121="","",(1+Assumptions!$C$32)^((Assumptions!$C$33-E121)/365.25))</f>
        <v/>
      </c>
      <c r="I121" s="36">
        <f>IF(C121="",0,C121/G121*H121)</f>
        <v/>
      </c>
      <c r="J121" s="28">
        <f>IF(C121="",0,IFERROR(INDEX(Lookups!$Z$5:$Z$8,MATCH(F121,Lookups!$Y$5:$Y$8,0)),0.3)*0.5^((Assumptions!$C$33-E121)/365.25/Assumptions!$C$31))</f>
        <v/>
      </c>
    </row>
    <row r="122">
      <c r="G122" s="16">
        <f>IF(C122="","",IF(IFERROR(INDEX(Regions!$D$5:$D$400,MATCH(D122,Regions!$A$5:$A$400,0))&lt;&gt;"",FALSE),INDEX(Regions!$D$5:$D$400,MATCH(D122,Regions!$A$5:$A$400,0)),IF(IFERROR(INDEX(Regions!$D$5:$D$400,MATCH(LEFT(D122,2),Regions!$A$5:$A$400,0))&lt;&gt;"",FALSE),INDEX(Regions!$D$5:$D$400,MATCH(LEFT(D122,2),Regions!$A$5:$A$400,0)),INDEX(Regions!$D$5:$D$400,MATCH("US",Regions!$A$5:$A$400,0)))))</f>
        <v/>
      </c>
      <c r="H122" s="28">
        <f>IF(C122="","",(1+Assumptions!$C$32)^((Assumptions!$C$33-E122)/365.25))</f>
        <v/>
      </c>
      <c r="I122" s="36">
        <f>IF(C122="",0,C122/G122*H122)</f>
        <v/>
      </c>
      <c r="J122" s="28">
        <f>IF(C122="",0,IFERROR(INDEX(Lookups!$Z$5:$Z$8,MATCH(F122,Lookups!$Y$5:$Y$8,0)),0.3)*0.5^((Assumptions!$C$33-E122)/365.25/Assumptions!$C$31))</f>
        <v/>
      </c>
    </row>
    <row r="123">
      <c r="G123" s="16">
        <f>IF(C123="","",IF(IFERROR(INDEX(Regions!$D$5:$D$400,MATCH(D123,Regions!$A$5:$A$400,0))&lt;&gt;"",FALSE),INDEX(Regions!$D$5:$D$400,MATCH(D123,Regions!$A$5:$A$400,0)),IF(IFERROR(INDEX(Regions!$D$5:$D$400,MATCH(LEFT(D123,2),Regions!$A$5:$A$400,0))&lt;&gt;"",FALSE),INDEX(Regions!$D$5:$D$400,MATCH(LEFT(D123,2),Regions!$A$5:$A$400,0)),INDEX(Regions!$D$5:$D$400,MATCH("US",Regions!$A$5:$A$400,0)))))</f>
        <v/>
      </c>
      <c r="H123" s="28">
        <f>IF(C123="","",(1+Assumptions!$C$32)^((Assumptions!$C$33-E123)/365.25))</f>
        <v/>
      </c>
      <c r="I123" s="36">
        <f>IF(C123="",0,C123/G123*H123)</f>
        <v/>
      </c>
      <c r="J123" s="28">
        <f>IF(C123="",0,IFERROR(INDEX(Lookups!$Z$5:$Z$8,MATCH(F123,Lookups!$Y$5:$Y$8,0)),0.3)*0.5^((Assumptions!$C$33-E123)/365.25/Assumptions!$C$31))</f>
        <v/>
      </c>
    </row>
    <row r="124">
      <c r="G124" s="16">
        <f>IF(C124="","",IF(IFERROR(INDEX(Regions!$D$5:$D$400,MATCH(D124,Regions!$A$5:$A$400,0))&lt;&gt;"",FALSE),INDEX(Regions!$D$5:$D$400,MATCH(D124,Regions!$A$5:$A$400,0)),IF(IFERROR(INDEX(Regions!$D$5:$D$400,MATCH(LEFT(D124,2),Regions!$A$5:$A$400,0))&lt;&gt;"",FALSE),INDEX(Regions!$D$5:$D$400,MATCH(LEFT(D124,2),Regions!$A$5:$A$400,0)),INDEX(Regions!$D$5:$D$400,MATCH("US",Regions!$A$5:$A$400,0)))))</f>
        <v/>
      </c>
      <c r="H124" s="28">
        <f>IF(C124="","",(1+Assumptions!$C$32)^((Assumptions!$C$33-E124)/365.25))</f>
        <v/>
      </c>
      <c r="I124" s="36">
        <f>IF(C124="",0,C124/G124*H124)</f>
        <v/>
      </c>
      <c r="J124" s="28">
        <f>IF(C124="",0,IFERROR(INDEX(Lookups!$Z$5:$Z$8,MATCH(F124,Lookups!$Y$5:$Y$8,0)),0.3)*0.5^((Assumptions!$C$33-E124)/365.25/Assumptions!$C$31))</f>
        <v/>
      </c>
    </row>
    <row r="125">
      <c r="G125" s="16">
        <f>IF(C125="","",IF(IFERROR(INDEX(Regions!$D$5:$D$400,MATCH(D125,Regions!$A$5:$A$400,0))&lt;&gt;"",FALSE),INDEX(Regions!$D$5:$D$400,MATCH(D125,Regions!$A$5:$A$400,0)),IF(IFERROR(INDEX(Regions!$D$5:$D$400,MATCH(LEFT(D125,2),Regions!$A$5:$A$400,0))&lt;&gt;"",FALSE),INDEX(Regions!$D$5:$D$400,MATCH(LEFT(D125,2),Regions!$A$5:$A$400,0)),INDEX(Regions!$D$5:$D$400,MATCH("US",Regions!$A$5:$A$400,0)))))</f>
        <v/>
      </c>
      <c r="H125" s="28">
        <f>IF(C125="","",(1+Assumptions!$C$32)^((Assumptions!$C$33-E125)/365.25))</f>
        <v/>
      </c>
      <c r="I125" s="36">
        <f>IF(C125="",0,C125/G125*H125)</f>
        <v/>
      </c>
      <c r="J125" s="28">
        <f>IF(C125="",0,IFERROR(INDEX(Lookups!$Z$5:$Z$8,MATCH(F125,Lookups!$Y$5:$Y$8,0)),0.3)*0.5^((Assumptions!$C$33-E125)/365.25/Assumptions!$C$31))</f>
        <v/>
      </c>
    </row>
    <row r="126">
      <c r="G126" s="16">
        <f>IF(C126="","",IF(IFERROR(INDEX(Regions!$D$5:$D$400,MATCH(D126,Regions!$A$5:$A$400,0))&lt;&gt;"",FALSE),INDEX(Regions!$D$5:$D$400,MATCH(D126,Regions!$A$5:$A$400,0)),IF(IFERROR(INDEX(Regions!$D$5:$D$400,MATCH(LEFT(D126,2),Regions!$A$5:$A$400,0))&lt;&gt;"",FALSE),INDEX(Regions!$D$5:$D$400,MATCH(LEFT(D126,2),Regions!$A$5:$A$400,0)),INDEX(Regions!$D$5:$D$400,MATCH("US",Regions!$A$5:$A$400,0)))))</f>
        <v/>
      </c>
      <c r="H126" s="28">
        <f>IF(C126="","",(1+Assumptions!$C$32)^((Assumptions!$C$33-E126)/365.25))</f>
        <v/>
      </c>
      <c r="I126" s="36">
        <f>IF(C126="",0,C126/G126*H126)</f>
        <v/>
      </c>
      <c r="J126" s="28">
        <f>IF(C126="",0,IFERROR(INDEX(Lookups!$Z$5:$Z$8,MATCH(F126,Lookups!$Y$5:$Y$8,0)),0.3)*0.5^((Assumptions!$C$33-E126)/365.25/Assumptions!$C$31))</f>
        <v/>
      </c>
    </row>
    <row r="127">
      <c r="G127" s="16">
        <f>IF(C127="","",IF(IFERROR(INDEX(Regions!$D$5:$D$400,MATCH(D127,Regions!$A$5:$A$400,0))&lt;&gt;"",FALSE),INDEX(Regions!$D$5:$D$400,MATCH(D127,Regions!$A$5:$A$400,0)),IF(IFERROR(INDEX(Regions!$D$5:$D$400,MATCH(LEFT(D127,2),Regions!$A$5:$A$400,0))&lt;&gt;"",FALSE),INDEX(Regions!$D$5:$D$400,MATCH(LEFT(D127,2),Regions!$A$5:$A$400,0)),INDEX(Regions!$D$5:$D$400,MATCH("US",Regions!$A$5:$A$400,0)))))</f>
        <v/>
      </c>
      <c r="H127" s="28">
        <f>IF(C127="","",(1+Assumptions!$C$32)^((Assumptions!$C$33-E127)/365.25))</f>
        <v/>
      </c>
      <c r="I127" s="36">
        <f>IF(C127="",0,C127/G127*H127)</f>
        <v/>
      </c>
      <c r="J127" s="28">
        <f>IF(C127="",0,IFERROR(INDEX(Lookups!$Z$5:$Z$8,MATCH(F127,Lookups!$Y$5:$Y$8,0)),0.3)*0.5^((Assumptions!$C$33-E127)/365.25/Assumptions!$C$31))</f>
        <v/>
      </c>
    </row>
    <row r="128">
      <c r="G128" s="16">
        <f>IF(C128="","",IF(IFERROR(INDEX(Regions!$D$5:$D$400,MATCH(D128,Regions!$A$5:$A$400,0))&lt;&gt;"",FALSE),INDEX(Regions!$D$5:$D$400,MATCH(D128,Regions!$A$5:$A$400,0)),IF(IFERROR(INDEX(Regions!$D$5:$D$400,MATCH(LEFT(D128,2),Regions!$A$5:$A$400,0))&lt;&gt;"",FALSE),INDEX(Regions!$D$5:$D$400,MATCH(LEFT(D128,2),Regions!$A$5:$A$400,0)),INDEX(Regions!$D$5:$D$400,MATCH("US",Regions!$A$5:$A$400,0)))))</f>
        <v/>
      </c>
      <c r="H128" s="28">
        <f>IF(C128="","",(1+Assumptions!$C$32)^((Assumptions!$C$33-E128)/365.25))</f>
        <v/>
      </c>
      <c r="I128" s="36">
        <f>IF(C128="",0,C128/G128*H128)</f>
        <v/>
      </c>
      <c r="J128" s="28">
        <f>IF(C128="",0,IFERROR(INDEX(Lookups!$Z$5:$Z$8,MATCH(F128,Lookups!$Y$5:$Y$8,0)),0.3)*0.5^((Assumptions!$C$33-E128)/365.25/Assumptions!$C$31))</f>
        <v/>
      </c>
    </row>
    <row r="129">
      <c r="G129" s="16">
        <f>IF(C129="","",IF(IFERROR(INDEX(Regions!$D$5:$D$400,MATCH(D129,Regions!$A$5:$A$400,0))&lt;&gt;"",FALSE),INDEX(Regions!$D$5:$D$400,MATCH(D129,Regions!$A$5:$A$400,0)),IF(IFERROR(INDEX(Regions!$D$5:$D$400,MATCH(LEFT(D129,2),Regions!$A$5:$A$400,0))&lt;&gt;"",FALSE),INDEX(Regions!$D$5:$D$400,MATCH(LEFT(D129,2),Regions!$A$5:$A$400,0)),INDEX(Regions!$D$5:$D$400,MATCH("US",Regions!$A$5:$A$400,0)))))</f>
        <v/>
      </c>
      <c r="H129" s="28">
        <f>IF(C129="","",(1+Assumptions!$C$32)^((Assumptions!$C$33-E129)/365.25))</f>
        <v/>
      </c>
      <c r="I129" s="36">
        <f>IF(C129="",0,C129/G129*H129)</f>
        <v/>
      </c>
      <c r="J129" s="28">
        <f>IF(C129="",0,IFERROR(INDEX(Lookups!$Z$5:$Z$8,MATCH(F129,Lookups!$Y$5:$Y$8,0)),0.3)*0.5^((Assumptions!$C$33-E129)/365.25/Assumptions!$C$31))</f>
        <v/>
      </c>
    </row>
    <row r="130">
      <c r="G130" s="16">
        <f>IF(C130="","",IF(IFERROR(INDEX(Regions!$D$5:$D$400,MATCH(D130,Regions!$A$5:$A$400,0))&lt;&gt;"",FALSE),INDEX(Regions!$D$5:$D$400,MATCH(D130,Regions!$A$5:$A$400,0)),IF(IFERROR(INDEX(Regions!$D$5:$D$400,MATCH(LEFT(D130,2),Regions!$A$5:$A$400,0))&lt;&gt;"",FALSE),INDEX(Regions!$D$5:$D$400,MATCH(LEFT(D130,2),Regions!$A$5:$A$400,0)),INDEX(Regions!$D$5:$D$400,MATCH("US",Regions!$A$5:$A$400,0)))))</f>
        <v/>
      </c>
      <c r="H130" s="28">
        <f>IF(C130="","",(1+Assumptions!$C$32)^((Assumptions!$C$33-E130)/365.25))</f>
        <v/>
      </c>
      <c r="I130" s="36">
        <f>IF(C130="",0,C130/G130*H130)</f>
        <v/>
      </c>
      <c r="J130" s="28">
        <f>IF(C130="",0,IFERROR(INDEX(Lookups!$Z$5:$Z$8,MATCH(F130,Lookups!$Y$5:$Y$8,0)),0.3)*0.5^((Assumptions!$C$33-E130)/365.25/Assumptions!$C$31))</f>
        <v/>
      </c>
    </row>
    <row r="131">
      <c r="G131" s="16">
        <f>IF(C131="","",IF(IFERROR(INDEX(Regions!$D$5:$D$400,MATCH(D131,Regions!$A$5:$A$400,0))&lt;&gt;"",FALSE),INDEX(Regions!$D$5:$D$400,MATCH(D131,Regions!$A$5:$A$400,0)),IF(IFERROR(INDEX(Regions!$D$5:$D$400,MATCH(LEFT(D131,2),Regions!$A$5:$A$400,0))&lt;&gt;"",FALSE),INDEX(Regions!$D$5:$D$400,MATCH(LEFT(D131,2),Regions!$A$5:$A$400,0)),INDEX(Regions!$D$5:$D$400,MATCH("US",Regions!$A$5:$A$400,0)))))</f>
        <v/>
      </c>
      <c r="H131" s="28">
        <f>IF(C131="","",(1+Assumptions!$C$32)^((Assumptions!$C$33-E131)/365.25))</f>
        <v/>
      </c>
      <c r="I131" s="36">
        <f>IF(C131="",0,C131/G131*H131)</f>
        <v/>
      </c>
      <c r="J131" s="28">
        <f>IF(C131="",0,IFERROR(INDEX(Lookups!$Z$5:$Z$8,MATCH(F131,Lookups!$Y$5:$Y$8,0)),0.3)*0.5^((Assumptions!$C$33-E131)/365.25/Assumptions!$C$31))</f>
        <v/>
      </c>
    </row>
    <row r="132">
      <c r="G132" s="16">
        <f>IF(C132="","",IF(IFERROR(INDEX(Regions!$D$5:$D$400,MATCH(D132,Regions!$A$5:$A$400,0))&lt;&gt;"",FALSE),INDEX(Regions!$D$5:$D$400,MATCH(D132,Regions!$A$5:$A$400,0)),IF(IFERROR(INDEX(Regions!$D$5:$D$400,MATCH(LEFT(D132,2),Regions!$A$5:$A$400,0))&lt;&gt;"",FALSE),INDEX(Regions!$D$5:$D$400,MATCH(LEFT(D132,2),Regions!$A$5:$A$400,0)),INDEX(Regions!$D$5:$D$400,MATCH("US",Regions!$A$5:$A$400,0)))))</f>
        <v/>
      </c>
      <c r="H132" s="28">
        <f>IF(C132="","",(1+Assumptions!$C$32)^((Assumptions!$C$33-E132)/365.25))</f>
        <v/>
      </c>
      <c r="I132" s="36">
        <f>IF(C132="",0,C132/G132*H132)</f>
        <v/>
      </c>
      <c r="J132" s="28">
        <f>IF(C132="",0,IFERROR(INDEX(Lookups!$Z$5:$Z$8,MATCH(F132,Lookups!$Y$5:$Y$8,0)),0.3)*0.5^((Assumptions!$C$33-E132)/365.25/Assumptions!$C$31))</f>
        <v/>
      </c>
    </row>
    <row r="133">
      <c r="G133" s="16">
        <f>IF(C133="","",IF(IFERROR(INDEX(Regions!$D$5:$D$400,MATCH(D133,Regions!$A$5:$A$400,0))&lt;&gt;"",FALSE),INDEX(Regions!$D$5:$D$400,MATCH(D133,Regions!$A$5:$A$400,0)),IF(IFERROR(INDEX(Regions!$D$5:$D$400,MATCH(LEFT(D133,2),Regions!$A$5:$A$400,0))&lt;&gt;"",FALSE),INDEX(Regions!$D$5:$D$400,MATCH(LEFT(D133,2),Regions!$A$5:$A$400,0)),INDEX(Regions!$D$5:$D$400,MATCH("US",Regions!$A$5:$A$400,0)))))</f>
        <v/>
      </c>
      <c r="H133" s="28">
        <f>IF(C133="","",(1+Assumptions!$C$32)^((Assumptions!$C$33-E133)/365.25))</f>
        <v/>
      </c>
      <c r="I133" s="36">
        <f>IF(C133="",0,C133/G133*H133)</f>
        <v/>
      </c>
      <c r="J133" s="28">
        <f>IF(C133="",0,IFERROR(INDEX(Lookups!$Z$5:$Z$8,MATCH(F133,Lookups!$Y$5:$Y$8,0)),0.3)*0.5^((Assumptions!$C$33-E133)/365.25/Assumptions!$C$31))</f>
        <v/>
      </c>
    </row>
    <row r="134">
      <c r="G134" s="16">
        <f>IF(C134="","",IF(IFERROR(INDEX(Regions!$D$5:$D$400,MATCH(D134,Regions!$A$5:$A$400,0))&lt;&gt;"",FALSE),INDEX(Regions!$D$5:$D$400,MATCH(D134,Regions!$A$5:$A$400,0)),IF(IFERROR(INDEX(Regions!$D$5:$D$400,MATCH(LEFT(D134,2),Regions!$A$5:$A$400,0))&lt;&gt;"",FALSE),INDEX(Regions!$D$5:$D$400,MATCH(LEFT(D134,2),Regions!$A$5:$A$400,0)),INDEX(Regions!$D$5:$D$400,MATCH("US",Regions!$A$5:$A$400,0)))))</f>
        <v/>
      </c>
      <c r="H134" s="28">
        <f>IF(C134="","",(1+Assumptions!$C$32)^((Assumptions!$C$33-E134)/365.25))</f>
        <v/>
      </c>
      <c r="I134" s="36">
        <f>IF(C134="",0,C134/G134*H134)</f>
        <v/>
      </c>
      <c r="J134" s="28">
        <f>IF(C134="",0,IFERROR(INDEX(Lookups!$Z$5:$Z$8,MATCH(F134,Lookups!$Y$5:$Y$8,0)),0.3)*0.5^((Assumptions!$C$33-E134)/365.25/Assumptions!$C$31))</f>
        <v/>
      </c>
    </row>
    <row r="135">
      <c r="G135" s="16">
        <f>IF(C135="","",IF(IFERROR(INDEX(Regions!$D$5:$D$400,MATCH(D135,Regions!$A$5:$A$400,0))&lt;&gt;"",FALSE),INDEX(Regions!$D$5:$D$400,MATCH(D135,Regions!$A$5:$A$400,0)),IF(IFERROR(INDEX(Regions!$D$5:$D$400,MATCH(LEFT(D135,2),Regions!$A$5:$A$400,0))&lt;&gt;"",FALSE),INDEX(Regions!$D$5:$D$400,MATCH(LEFT(D135,2),Regions!$A$5:$A$400,0)),INDEX(Regions!$D$5:$D$400,MATCH("US",Regions!$A$5:$A$400,0)))))</f>
        <v/>
      </c>
      <c r="H135" s="28">
        <f>IF(C135="","",(1+Assumptions!$C$32)^((Assumptions!$C$33-E135)/365.25))</f>
        <v/>
      </c>
      <c r="I135" s="36">
        <f>IF(C135="",0,C135/G135*H135)</f>
        <v/>
      </c>
      <c r="J135" s="28">
        <f>IF(C135="",0,IFERROR(INDEX(Lookups!$Z$5:$Z$8,MATCH(F135,Lookups!$Y$5:$Y$8,0)),0.3)*0.5^((Assumptions!$C$33-E135)/365.25/Assumptions!$C$31))</f>
        <v/>
      </c>
    </row>
    <row r="136">
      <c r="G136" s="16">
        <f>IF(C136="","",IF(IFERROR(INDEX(Regions!$D$5:$D$400,MATCH(D136,Regions!$A$5:$A$400,0))&lt;&gt;"",FALSE),INDEX(Regions!$D$5:$D$400,MATCH(D136,Regions!$A$5:$A$400,0)),IF(IFERROR(INDEX(Regions!$D$5:$D$400,MATCH(LEFT(D136,2),Regions!$A$5:$A$400,0))&lt;&gt;"",FALSE),INDEX(Regions!$D$5:$D$400,MATCH(LEFT(D136,2),Regions!$A$5:$A$400,0)),INDEX(Regions!$D$5:$D$400,MATCH("US",Regions!$A$5:$A$400,0)))))</f>
        <v/>
      </c>
      <c r="H136" s="28">
        <f>IF(C136="","",(1+Assumptions!$C$32)^((Assumptions!$C$33-E136)/365.25))</f>
        <v/>
      </c>
      <c r="I136" s="36">
        <f>IF(C136="",0,C136/G136*H136)</f>
        <v/>
      </c>
      <c r="J136" s="28">
        <f>IF(C136="",0,IFERROR(INDEX(Lookups!$Z$5:$Z$8,MATCH(F136,Lookups!$Y$5:$Y$8,0)),0.3)*0.5^((Assumptions!$C$33-E136)/365.25/Assumptions!$C$31))</f>
        <v/>
      </c>
    </row>
    <row r="137">
      <c r="G137" s="16">
        <f>IF(C137="","",IF(IFERROR(INDEX(Regions!$D$5:$D$400,MATCH(D137,Regions!$A$5:$A$400,0))&lt;&gt;"",FALSE),INDEX(Regions!$D$5:$D$400,MATCH(D137,Regions!$A$5:$A$400,0)),IF(IFERROR(INDEX(Regions!$D$5:$D$400,MATCH(LEFT(D137,2),Regions!$A$5:$A$400,0))&lt;&gt;"",FALSE),INDEX(Regions!$D$5:$D$400,MATCH(LEFT(D137,2),Regions!$A$5:$A$400,0)),INDEX(Regions!$D$5:$D$400,MATCH("US",Regions!$A$5:$A$400,0)))))</f>
        <v/>
      </c>
      <c r="H137" s="28">
        <f>IF(C137="","",(1+Assumptions!$C$32)^((Assumptions!$C$33-E137)/365.25))</f>
        <v/>
      </c>
      <c r="I137" s="36">
        <f>IF(C137="",0,C137/G137*H137)</f>
        <v/>
      </c>
      <c r="J137" s="28">
        <f>IF(C137="",0,IFERROR(INDEX(Lookups!$Z$5:$Z$8,MATCH(F137,Lookups!$Y$5:$Y$8,0)),0.3)*0.5^((Assumptions!$C$33-E137)/365.25/Assumptions!$C$31))</f>
        <v/>
      </c>
    </row>
    <row r="138">
      <c r="G138" s="16">
        <f>IF(C138="","",IF(IFERROR(INDEX(Regions!$D$5:$D$400,MATCH(D138,Regions!$A$5:$A$400,0))&lt;&gt;"",FALSE),INDEX(Regions!$D$5:$D$400,MATCH(D138,Regions!$A$5:$A$400,0)),IF(IFERROR(INDEX(Regions!$D$5:$D$400,MATCH(LEFT(D138,2),Regions!$A$5:$A$400,0))&lt;&gt;"",FALSE),INDEX(Regions!$D$5:$D$400,MATCH(LEFT(D138,2),Regions!$A$5:$A$400,0)),INDEX(Regions!$D$5:$D$400,MATCH("US",Regions!$A$5:$A$400,0)))))</f>
        <v/>
      </c>
      <c r="H138" s="28">
        <f>IF(C138="","",(1+Assumptions!$C$32)^((Assumptions!$C$33-E138)/365.25))</f>
        <v/>
      </c>
      <c r="I138" s="36">
        <f>IF(C138="",0,C138/G138*H138)</f>
        <v/>
      </c>
      <c r="J138" s="28">
        <f>IF(C138="",0,IFERROR(INDEX(Lookups!$Z$5:$Z$8,MATCH(F138,Lookups!$Y$5:$Y$8,0)),0.3)*0.5^((Assumptions!$C$33-E138)/365.25/Assumptions!$C$31))</f>
        <v/>
      </c>
    </row>
    <row r="139">
      <c r="G139" s="16">
        <f>IF(C139="","",IF(IFERROR(INDEX(Regions!$D$5:$D$400,MATCH(D139,Regions!$A$5:$A$400,0))&lt;&gt;"",FALSE),INDEX(Regions!$D$5:$D$400,MATCH(D139,Regions!$A$5:$A$400,0)),IF(IFERROR(INDEX(Regions!$D$5:$D$400,MATCH(LEFT(D139,2),Regions!$A$5:$A$400,0))&lt;&gt;"",FALSE),INDEX(Regions!$D$5:$D$400,MATCH(LEFT(D139,2),Regions!$A$5:$A$400,0)),INDEX(Regions!$D$5:$D$400,MATCH("US",Regions!$A$5:$A$400,0)))))</f>
        <v/>
      </c>
      <c r="H139" s="28">
        <f>IF(C139="","",(1+Assumptions!$C$32)^((Assumptions!$C$33-E139)/365.25))</f>
        <v/>
      </c>
      <c r="I139" s="36">
        <f>IF(C139="",0,C139/G139*H139)</f>
        <v/>
      </c>
      <c r="J139" s="28">
        <f>IF(C139="",0,IFERROR(INDEX(Lookups!$Z$5:$Z$8,MATCH(F139,Lookups!$Y$5:$Y$8,0)),0.3)*0.5^((Assumptions!$C$33-E139)/365.25/Assumptions!$C$31))</f>
        <v/>
      </c>
    </row>
    <row r="140">
      <c r="G140" s="16">
        <f>IF(C140="","",IF(IFERROR(INDEX(Regions!$D$5:$D$400,MATCH(D140,Regions!$A$5:$A$400,0))&lt;&gt;"",FALSE),INDEX(Regions!$D$5:$D$400,MATCH(D140,Regions!$A$5:$A$400,0)),IF(IFERROR(INDEX(Regions!$D$5:$D$400,MATCH(LEFT(D140,2),Regions!$A$5:$A$400,0))&lt;&gt;"",FALSE),INDEX(Regions!$D$5:$D$400,MATCH(LEFT(D140,2),Regions!$A$5:$A$400,0)),INDEX(Regions!$D$5:$D$400,MATCH("US",Regions!$A$5:$A$400,0)))))</f>
        <v/>
      </c>
      <c r="H140" s="28">
        <f>IF(C140="","",(1+Assumptions!$C$32)^((Assumptions!$C$33-E140)/365.25))</f>
        <v/>
      </c>
      <c r="I140" s="36">
        <f>IF(C140="",0,C140/G140*H140)</f>
        <v/>
      </c>
      <c r="J140" s="28">
        <f>IF(C140="",0,IFERROR(INDEX(Lookups!$Z$5:$Z$8,MATCH(F140,Lookups!$Y$5:$Y$8,0)),0.3)*0.5^((Assumptions!$C$33-E140)/365.25/Assumptions!$C$31))</f>
        <v/>
      </c>
    </row>
    <row r="141">
      <c r="G141" s="16">
        <f>IF(C141="","",IF(IFERROR(INDEX(Regions!$D$5:$D$400,MATCH(D141,Regions!$A$5:$A$400,0))&lt;&gt;"",FALSE),INDEX(Regions!$D$5:$D$400,MATCH(D141,Regions!$A$5:$A$400,0)),IF(IFERROR(INDEX(Regions!$D$5:$D$400,MATCH(LEFT(D141,2),Regions!$A$5:$A$400,0))&lt;&gt;"",FALSE),INDEX(Regions!$D$5:$D$400,MATCH(LEFT(D141,2),Regions!$A$5:$A$400,0)),INDEX(Regions!$D$5:$D$400,MATCH("US",Regions!$A$5:$A$400,0)))))</f>
        <v/>
      </c>
      <c r="H141" s="28">
        <f>IF(C141="","",(1+Assumptions!$C$32)^((Assumptions!$C$33-E141)/365.25))</f>
        <v/>
      </c>
      <c r="I141" s="36">
        <f>IF(C141="",0,C141/G141*H141)</f>
        <v/>
      </c>
      <c r="J141" s="28">
        <f>IF(C141="",0,IFERROR(INDEX(Lookups!$Z$5:$Z$8,MATCH(F141,Lookups!$Y$5:$Y$8,0)),0.3)*0.5^((Assumptions!$C$33-E141)/365.25/Assumptions!$C$31))</f>
        <v/>
      </c>
    </row>
    <row r="142">
      <c r="G142" s="16">
        <f>IF(C142="","",IF(IFERROR(INDEX(Regions!$D$5:$D$400,MATCH(D142,Regions!$A$5:$A$400,0))&lt;&gt;"",FALSE),INDEX(Regions!$D$5:$D$400,MATCH(D142,Regions!$A$5:$A$400,0)),IF(IFERROR(INDEX(Regions!$D$5:$D$400,MATCH(LEFT(D142,2),Regions!$A$5:$A$400,0))&lt;&gt;"",FALSE),INDEX(Regions!$D$5:$D$400,MATCH(LEFT(D142,2),Regions!$A$5:$A$400,0)),INDEX(Regions!$D$5:$D$400,MATCH("US",Regions!$A$5:$A$400,0)))))</f>
        <v/>
      </c>
      <c r="H142" s="28">
        <f>IF(C142="","",(1+Assumptions!$C$32)^((Assumptions!$C$33-E142)/365.25))</f>
        <v/>
      </c>
      <c r="I142" s="36">
        <f>IF(C142="",0,C142/G142*H142)</f>
        <v/>
      </c>
      <c r="J142" s="28">
        <f>IF(C142="",0,IFERROR(INDEX(Lookups!$Z$5:$Z$8,MATCH(F142,Lookups!$Y$5:$Y$8,0)),0.3)*0.5^((Assumptions!$C$33-E142)/365.25/Assumptions!$C$31))</f>
        <v/>
      </c>
    </row>
    <row r="143">
      <c r="G143" s="16">
        <f>IF(C143="","",IF(IFERROR(INDEX(Regions!$D$5:$D$400,MATCH(D143,Regions!$A$5:$A$400,0))&lt;&gt;"",FALSE),INDEX(Regions!$D$5:$D$400,MATCH(D143,Regions!$A$5:$A$400,0)),IF(IFERROR(INDEX(Regions!$D$5:$D$400,MATCH(LEFT(D143,2),Regions!$A$5:$A$400,0))&lt;&gt;"",FALSE),INDEX(Regions!$D$5:$D$400,MATCH(LEFT(D143,2),Regions!$A$5:$A$400,0)),INDEX(Regions!$D$5:$D$400,MATCH("US",Regions!$A$5:$A$400,0)))))</f>
        <v/>
      </c>
      <c r="H143" s="28">
        <f>IF(C143="","",(1+Assumptions!$C$32)^((Assumptions!$C$33-E143)/365.25))</f>
        <v/>
      </c>
      <c r="I143" s="36">
        <f>IF(C143="",0,C143/G143*H143)</f>
        <v/>
      </c>
      <c r="J143" s="28">
        <f>IF(C143="",0,IFERROR(INDEX(Lookups!$Z$5:$Z$8,MATCH(F143,Lookups!$Y$5:$Y$8,0)),0.3)*0.5^((Assumptions!$C$33-E143)/365.25/Assumptions!$C$31))</f>
        <v/>
      </c>
    </row>
    <row r="144">
      <c r="G144" s="16">
        <f>IF(C144="","",IF(IFERROR(INDEX(Regions!$D$5:$D$400,MATCH(D144,Regions!$A$5:$A$400,0))&lt;&gt;"",FALSE),INDEX(Regions!$D$5:$D$400,MATCH(D144,Regions!$A$5:$A$400,0)),IF(IFERROR(INDEX(Regions!$D$5:$D$400,MATCH(LEFT(D144,2),Regions!$A$5:$A$400,0))&lt;&gt;"",FALSE),INDEX(Regions!$D$5:$D$400,MATCH(LEFT(D144,2),Regions!$A$5:$A$400,0)),INDEX(Regions!$D$5:$D$400,MATCH("US",Regions!$A$5:$A$400,0)))))</f>
        <v/>
      </c>
      <c r="H144" s="28">
        <f>IF(C144="","",(1+Assumptions!$C$32)^((Assumptions!$C$33-E144)/365.25))</f>
        <v/>
      </c>
      <c r="I144" s="36">
        <f>IF(C144="",0,C144/G144*H144)</f>
        <v/>
      </c>
      <c r="J144" s="28">
        <f>IF(C144="",0,IFERROR(INDEX(Lookups!$Z$5:$Z$8,MATCH(F144,Lookups!$Y$5:$Y$8,0)),0.3)*0.5^((Assumptions!$C$33-E144)/365.25/Assumptions!$C$31))</f>
        <v/>
      </c>
    </row>
    <row r="145">
      <c r="G145" s="16">
        <f>IF(C145="","",IF(IFERROR(INDEX(Regions!$D$5:$D$400,MATCH(D145,Regions!$A$5:$A$400,0))&lt;&gt;"",FALSE),INDEX(Regions!$D$5:$D$400,MATCH(D145,Regions!$A$5:$A$400,0)),IF(IFERROR(INDEX(Regions!$D$5:$D$400,MATCH(LEFT(D145,2),Regions!$A$5:$A$400,0))&lt;&gt;"",FALSE),INDEX(Regions!$D$5:$D$400,MATCH(LEFT(D145,2),Regions!$A$5:$A$400,0)),INDEX(Regions!$D$5:$D$400,MATCH("US",Regions!$A$5:$A$400,0)))))</f>
        <v/>
      </c>
      <c r="H145" s="28">
        <f>IF(C145="","",(1+Assumptions!$C$32)^((Assumptions!$C$33-E145)/365.25))</f>
        <v/>
      </c>
      <c r="I145" s="36">
        <f>IF(C145="",0,C145/G145*H145)</f>
        <v/>
      </c>
      <c r="J145" s="28">
        <f>IF(C145="",0,IFERROR(INDEX(Lookups!$Z$5:$Z$8,MATCH(F145,Lookups!$Y$5:$Y$8,0)),0.3)*0.5^((Assumptions!$C$33-E145)/365.25/Assumptions!$C$31))</f>
        <v/>
      </c>
    </row>
    <row r="146">
      <c r="G146" s="16">
        <f>IF(C146="","",IF(IFERROR(INDEX(Regions!$D$5:$D$400,MATCH(D146,Regions!$A$5:$A$400,0))&lt;&gt;"",FALSE),INDEX(Regions!$D$5:$D$400,MATCH(D146,Regions!$A$5:$A$400,0)),IF(IFERROR(INDEX(Regions!$D$5:$D$400,MATCH(LEFT(D146,2),Regions!$A$5:$A$400,0))&lt;&gt;"",FALSE),INDEX(Regions!$D$5:$D$400,MATCH(LEFT(D146,2),Regions!$A$5:$A$400,0)),INDEX(Regions!$D$5:$D$400,MATCH("US",Regions!$A$5:$A$400,0)))))</f>
        <v/>
      </c>
      <c r="H146" s="28">
        <f>IF(C146="","",(1+Assumptions!$C$32)^((Assumptions!$C$33-E146)/365.25))</f>
        <v/>
      </c>
      <c r="I146" s="36">
        <f>IF(C146="",0,C146/G146*H146)</f>
        <v/>
      </c>
      <c r="J146" s="28">
        <f>IF(C146="",0,IFERROR(INDEX(Lookups!$Z$5:$Z$8,MATCH(F146,Lookups!$Y$5:$Y$8,0)),0.3)*0.5^((Assumptions!$C$33-E146)/365.25/Assumptions!$C$31))</f>
        <v/>
      </c>
    </row>
    <row r="147">
      <c r="G147" s="16">
        <f>IF(C147="","",IF(IFERROR(INDEX(Regions!$D$5:$D$400,MATCH(D147,Regions!$A$5:$A$400,0))&lt;&gt;"",FALSE),INDEX(Regions!$D$5:$D$400,MATCH(D147,Regions!$A$5:$A$400,0)),IF(IFERROR(INDEX(Regions!$D$5:$D$400,MATCH(LEFT(D147,2),Regions!$A$5:$A$400,0))&lt;&gt;"",FALSE),INDEX(Regions!$D$5:$D$400,MATCH(LEFT(D147,2),Regions!$A$5:$A$400,0)),INDEX(Regions!$D$5:$D$400,MATCH("US",Regions!$A$5:$A$400,0)))))</f>
        <v/>
      </c>
      <c r="H147" s="28">
        <f>IF(C147="","",(1+Assumptions!$C$32)^((Assumptions!$C$33-E147)/365.25))</f>
        <v/>
      </c>
      <c r="I147" s="36">
        <f>IF(C147="",0,C147/G147*H147)</f>
        <v/>
      </c>
      <c r="J147" s="28">
        <f>IF(C147="",0,IFERROR(INDEX(Lookups!$Z$5:$Z$8,MATCH(F147,Lookups!$Y$5:$Y$8,0)),0.3)*0.5^((Assumptions!$C$33-E147)/365.25/Assumptions!$C$31))</f>
        <v/>
      </c>
    </row>
    <row r="148">
      <c r="G148" s="16">
        <f>IF(C148="","",IF(IFERROR(INDEX(Regions!$D$5:$D$400,MATCH(D148,Regions!$A$5:$A$400,0))&lt;&gt;"",FALSE),INDEX(Regions!$D$5:$D$400,MATCH(D148,Regions!$A$5:$A$400,0)),IF(IFERROR(INDEX(Regions!$D$5:$D$400,MATCH(LEFT(D148,2),Regions!$A$5:$A$400,0))&lt;&gt;"",FALSE),INDEX(Regions!$D$5:$D$400,MATCH(LEFT(D148,2),Regions!$A$5:$A$400,0)),INDEX(Regions!$D$5:$D$400,MATCH("US",Regions!$A$5:$A$400,0)))))</f>
        <v/>
      </c>
      <c r="H148" s="28">
        <f>IF(C148="","",(1+Assumptions!$C$32)^((Assumptions!$C$33-E148)/365.25))</f>
        <v/>
      </c>
      <c r="I148" s="36">
        <f>IF(C148="",0,C148/G148*H148)</f>
        <v/>
      </c>
      <c r="J148" s="28">
        <f>IF(C148="",0,IFERROR(INDEX(Lookups!$Z$5:$Z$8,MATCH(F148,Lookups!$Y$5:$Y$8,0)),0.3)*0.5^((Assumptions!$C$33-E148)/365.25/Assumptions!$C$31))</f>
        <v/>
      </c>
    </row>
    <row r="149">
      <c r="G149" s="16">
        <f>IF(C149="","",IF(IFERROR(INDEX(Regions!$D$5:$D$400,MATCH(D149,Regions!$A$5:$A$400,0))&lt;&gt;"",FALSE),INDEX(Regions!$D$5:$D$400,MATCH(D149,Regions!$A$5:$A$400,0)),IF(IFERROR(INDEX(Regions!$D$5:$D$400,MATCH(LEFT(D149,2),Regions!$A$5:$A$400,0))&lt;&gt;"",FALSE),INDEX(Regions!$D$5:$D$400,MATCH(LEFT(D149,2),Regions!$A$5:$A$400,0)),INDEX(Regions!$D$5:$D$400,MATCH("US",Regions!$A$5:$A$400,0)))))</f>
        <v/>
      </c>
      <c r="H149" s="28">
        <f>IF(C149="","",(1+Assumptions!$C$32)^((Assumptions!$C$33-E149)/365.25))</f>
        <v/>
      </c>
      <c r="I149" s="36">
        <f>IF(C149="",0,C149/G149*H149)</f>
        <v/>
      </c>
      <c r="J149" s="28">
        <f>IF(C149="",0,IFERROR(INDEX(Lookups!$Z$5:$Z$8,MATCH(F149,Lookups!$Y$5:$Y$8,0)),0.3)*0.5^((Assumptions!$C$33-E149)/365.25/Assumptions!$C$31))</f>
        <v/>
      </c>
    </row>
    <row r="150">
      <c r="G150" s="16">
        <f>IF(C150="","",IF(IFERROR(INDEX(Regions!$D$5:$D$400,MATCH(D150,Regions!$A$5:$A$400,0))&lt;&gt;"",FALSE),INDEX(Regions!$D$5:$D$400,MATCH(D150,Regions!$A$5:$A$400,0)),IF(IFERROR(INDEX(Regions!$D$5:$D$400,MATCH(LEFT(D150,2),Regions!$A$5:$A$400,0))&lt;&gt;"",FALSE),INDEX(Regions!$D$5:$D$400,MATCH(LEFT(D150,2),Regions!$A$5:$A$400,0)),INDEX(Regions!$D$5:$D$400,MATCH("US",Regions!$A$5:$A$400,0)))))</f>
        <v/>
      </c>
      <c r="H150" s="28">
        <f>IF(C150="","",(1+Assumptions!$C$32)^((Assumptions!$C$33-E150)/365.25))</f>
        <v/>
      </c>
      <c r="I150" s="36">
        <f>IF(C150="",0,C150/G150*H150)</f>
        <v/>
      </c>
      <c r="J150" s="28">
        <f>IF(C150="",0,IFERROR(INDEX(Lookups!$Z$5:$Z$8,MATCH(F150,Lookups!$Y$5:$Y$8,0)),0.3)*0.5^((Assumptions!$C$33-E150)/365.25/Assumptions!$C$31))</f>
        <v/>
      </c>
    </row>
    <row r="151">
      <c r="G151" s="16">
        <f>IF(C151="","",IF(IFERROR(INDEX(Regions!$D$5:$D$400,MATCH(D151,Regions!$A$5:$A$400,0))&lt;&gt;"",FALSE),INDEX(Regions!$D$5:$D$400,MATCH(D151,Regions!$A$5:$A$400,0)),IF(IFERROR(INDEX(Regions!$D$5:$D$400,MATCH(LEFT(D151,2),Regions!$A$5:$A$400,0))&lt;&gt;"",FALSE),INDEX(Regions!$D$5:$D$400,MATCH(LEFT(D151,2),Regions!$A$5:$A$400,0)),INDEX(Regions!$D$5:$D$400,MATCH("US",Regions!$A$5:$A$400,0)))))</f>
        <v/>
      </c>
      <c r="H151" s="28">
        <f>IF(C151="","",(1+Assumptions!$C$32)^((Assumptions!$C$33-E151)/365.25))</f>
        <v/>
      </c>
      <c r="I151" s="36">
        <f>IF(C151="",0,C151/G151*H151)</f>
        <v/>
      </c>
      <c r="J151" s="28">
        <f>IF(C151="",0,IFERROR(INDEX(Lookups!$Z$5:$Z$8,MATCH(F151,Lookups!$Y$5:$Y$8,0)),0.3)*0.5^((Assumptions!$C$33-E151)/365.25/Assumptions!$C$31))</f>
        <v/>
      </c>
    </row>
    <row r="152">
      <c r="G152" s="16">
        <f>IF(C152="","",IF(IFERROR(INDEX(Regions!$D$5:$D$400,MATCH(D152,Regions!$A$5:$A$400,0))&lt;&gt;"",FALSE),INDEX(Regions!$D$5:$D$400,MATCH(D152,Regions!$A$5:$A$400,0)),IF(IFERROR(INDEX(Regions!$D$5:$D$400,MATCH(LEFT(D152,2),Regions!$A$5:$A$400,0))&lt;&gt;"",FALSE),INDEX(Regions!$D$5:$D$400,MATCH(LEFT(D152,2),Regions!$A$5:$A$400,0)),INDEX(Regions!$D$5:$D$400,MATCH("US",Regions!$A$5:$A$400,0)))))</f>
        <v/>
      </c>
      <c r="H152" s="28">
        <f>IF(C152="","",(1+Assumptions!$C$32)^((Assumptions!$C$33-E152)/365.25))</f>
        <v/>
      </c>
      <c r="I152" s="36">
        <f>IF(C152="",0,C152/G152*H152)</f>
        <v/>
      </c>
      <c r="J152" s="28">
        <f>IF(C152="",0,IFERROR(INDEX(Lookups!$Z$5:$Z$8,MATCH(F152,Lookups!$Y$5:$Y$8,0)),0.3)*0.5^((Assumptions!$C$33-E152)/365.25/Assumptions!$C$31))</f>
        <v/>
      </c>
    </row>
    <row r="153">
      <c r="G153" s="16">
        <f>IF(C153="","",IF(IFERROR(INDEX(Regions!$D$5:$D$400,MATCH(D153,Regions!$A$5:$A$400,0))&lt;&gt;"",FALSE),INDEX(Regions!$D$5:$D$400,MATCH(D153,Regions!$A$5:$A$400,0)),IF(IFERROR(INDEX(Regions!$D$5:$D$400,MATCH(LEFT(D153,2),Regions!$A$5:$A$400,0))&lt;&gt;"",FALSE),INDEX(Regions!$D$5:$D$400,MATCH(LEFT(D153,2),Regions!$A$5:$A$400,0)),INDEX(Regions!$D$5:$D$400,MATCH("US",Regions!$A$5:$A$400,0)))))</f>
        <v/>
      </c>
      <c r="H153" s="28">
        <f>IF(C153="","",(1+Assumptions!$C$32)^((Assumptions!$C$33-E153)/365.25))</f>
        <v/>
      </c>
      <c r="I153" s="36">
        <f>IF(C153="",0,C153/G153*H153)</f>
        <v/>
      </c>
      <c r="J153" s="28">
        <f>IF(C153="",0,IFERROR(INDEX(Lookups!$Z$5:$Z$8,MATCH(F153,Lookups!$Y$5:$Y$8,0)),0.3)*0.5^((Assumptions!$C$33-E153)/365.25/Assumptions!$C$31))</f>
        <v/>
      </c>
    </row>
    <row r="154">
      <c r="G154" s="16">
        <f>IF(C154="","",IF(IFERROR(INDEX(Regions!$D$5:$D$400,MATCH(D154,Regions!$A$5:$A$400,0))&lt;&gt;"",FALSE),INDEX(Regions!$D$5:$D$400,MATCH(D154,Regions!$A$5:$A$400,0)),IF(IFERROR(INDEX(Regions!$D$5:$D$400,MATCH(LEFT(D154,2),Regions!$A$5:$A$400,0))&lt;&gt;"",FALSE),INDEX(Regions!$D$5:$D$400,MATCH(LEFT(D154,2),Regions!$A$5:$A$400,0)),INDEX(Regions!$D$5:$D$400,MATCH("US",Regions!$A$5:$A$400,0)))))</f>
        <v/>
      </c>
      <c r="H154" s="28">
        <f>IF(C154="","",(1+Assumptions!$C$32)^((Assumptions!$C$33-E154)/365.25))</f>
        <v/>
      </c>
      <c r="I154" s="36">
        <f>IF(C154="",0,C154/G154*H154)</f>
        <v/>
      </c>
      <c r="J154" s="28">
        <f>IF(C154="",0,IFERROR(INDEX(Lookups!$Z$5:$Z$8,MATCH(F154,Lookups!$Y$5:$Y$8,0)),0.3)*0.5^((Assumptions!$C$33-E154)/365.25/Assumptions!$C$31))</f>
        <v/>
      </c>
    </row>
    <row r="155">
      <c r="G155" s="16">
        <f>IF(C155="","",IF(IFERROR(INDEX(Regions!$D$5:$D$400,MATCH(D155,Regions!$A$5:$A$400,0))&lt;&gt;"",FALSE),INDEX(Regions!$D$5:$D$400,MATCH(D155,Regions!$A$5:$A$400,0)),IF(IFERROR(INDEX(Regions!$D$5:$D$400,MATCH(LEFT(D155,2),Regions!$A$5:$A$400,0))&lt;&gt;"",FALSE),INDEX(Regions!$D$5:$D$400,MATCH(LEFT(D155,2),Regions!$A$5:$A$400,0)),INDEX(Regions!$D$5:$D$400,MATCH("US",Regions!$A$5:$A$400,0)))))</f>
        <v/>
      </c>
      <c r="H155" s="28">
        <f>IF(C155="","",(1+Assumptions!$C$32)^((Assumptions!$C$33-E155)/365.25))</f>
        <v/>
      </c>
      <c r="I155" s="36">
        <f>IF(C155="",0,C155/G155*H155)</f>
        <v/>
      </c>
      <c r="J155" s="28">
        <f>IF(C155="",0,IFERROR(INDEX(Lookups!$Z$5:$Z$8,MATCH(F155,Lookups!$Y$5:$Y$8,0)),0.3)*0.5^((Assumptions!$C$33-E155)/365.25/Assumptions!$C$31))</f>
        <v/>
      </c>
    </row>
    <row r="156">
      <c r="G156" s="16">
        <f>IF(C156="","",IF(IFERROR(INDEX(Regions!$D$5:$D$400,MATCH(D156,Regions!$A$5:$A$400,0))&lt;&gt;"",FALSE),INDEX(Regions!$D$5:$D$400,MATCH(D156,Regions!$A$5:$A$400,0)),IF(IFERROR(INDEX(Regions!$D$5:$D$400,MATCH(LEFT(D156,2),Regions!$A$5:$A$400,0))&lt;&gt;"",FALSE),INDEX(Regions!$D$5:$D$400,MATCH(LEFT(D156,2),Regions!$A$5:$A$400,0)),INDEX(Regions!$D$5:$D$400,MATCH("US",Regions!$A$5:$A$400,0)))))</f>
        <v/>
      </c>
      <c r="H156" s="28">
        <f>IF(C156="","",(1+Assumptions!$C$32)^((Assumptions!$C$33-E156)/365.25))</f>
        <v/>
      </c>
      <c r="I156" s="36">
        <f>IF(C156="",0,C156/G156*H156)</f>
        <v/>
      </c>
      <c r="J156" s="28">
        <f>IF(C156="",0,IFERROR(INDEX(Lookups!$Z$5:$Z$8,MATCH(F156,Lookups!$Y$5:$Y$8,0)),0.3)*0.5^((Assumptions!$C$33-E156)/365.25/Assumptions!$C$31))</f>
        <v/>
      </c>
    </row>
    <row r="157">
      <c r="G157" s="16">
        <f>IF(C157="","",IF(IFERROR(INDEX(Regions!$D$5:$D$400,MATCH(D157,Regions!$A$5:$A$400,0))&lt;&gt;"",FALSE),INDEX(Regions!$D$5:$D$400,MATCH(D157,Regions!$A$5:$A$400,0)),IF(IFERROR(INDEX(Regions!$D$5:$D$400,MATCH(LEFT(D157,2),Regions!$A$5:$A$400,0))&lt;&gt;"",FALSE),INDEX(Regions!$D$5:$D$400,MATCH(LEFT(D157,2),Regions!$A$5:$A$400,0)),INDEX(Regions!$D$5:$D$400,MATCH("US",Regions!$A$5:$A$400,0)))))</f>
        <v/>
      </c>
      <c r="H157" s="28">
        <f>IF(C157="","",(1+Assumptions!$C$32)^((Assumptions!$C$33-E157)/365.25))</f>
        <v/>
      </c>
      <c r="I157" s="36">
        <f>IF(C157="",0,C157/G157*H157)</f>
        <v/>
      </c>
      <c r="J157" s="28">
        <f>IF(C157="",0,IFERROR(INDEX(Lookups!$Z$5:$Z$8,MATCH(F157,Lookups!$Y$5:$Y$8,0)),0.3)*0.5^((Assumptions!$C$33-E157)/365.25/Assumptions!$C$31))</f>
        <v/>
      </c>
    </row>
    <row r="158">
      <c r="G158" s="16">
        <f>IF(C158="","",IF(IFERROR(INDEX(Regions!$D$5:$D$400,MATCH(D158,Regions!$A$5:$A$400,0))&lt;&gt;"",FALSE),INDEX(Regions!$D$5:$D$400,MATCH(D158,Regions!$A$5:$A$400,0)),IF(IFERROR(INDEX(Regions!$D$5:$D$400,MATCH(LEFT(D158,2),Regions!$A$5:$A$400,0))&lt;&gt;"",FALSE),INDEX(Regions!$D$5:$D$400,MATCH(LEFT(D158,2),Regions!$A$5:$A$400,0)),INDEX(Regions!$D$5:$D$400,MATCH("US",Regions!$A$5:$A$400,0)))))</f>
        <v/>
      </c>
      <c r="H158" s="28">
        <f>IF(C158="","",(1+Assumptions!$C$32)^((Assumptions!$C$33-E158)/365.25))</f>
        <v/>
      </c>
      <c r="I158" s="36">
        <f>IF(C158="",0,C158/G158*H158)</f>
        <v/>
      </c>
      <c r="J158" s="28">
        <f>IF(C158="",0,IFERROR(INDEX(Lookups!$Z$5:$Z$8,MATCH(F158,Lookups!$Y$5:$Y$8,0)),0.3)*0.5^((Assumptions!$C$33-E158)/365.25/Assumptions!$C$31))</f>
        <v/>
      </c>
    </row>
    <row r="159">
      <c r="G159" s="16">
        <f>IF(C159="","",IF(IFERROR(INDEX(Regions!$D$5:$D$400,MATCH(D159,Regions!$A$5:$A$400,0))&lt;&gt;"",FALSE),INDEX(Regions!$D$5:$D$400,MATCH(D159,Regions!$A$5:$A$400,0)),IF(IFERROR(INDEX(Regions!$D$5:$D$400,MATCH(LEFT(D159,2),Regions!$A$5:$A$400,0))&lt;&gt;"",FALSE),INDEX(Regions!$D$5:$D$400,MATCH(LEFT(D159,2),Regions!$A$5:$A$400,0)),INDEX(Regions!$D$5:$D$400,MATCH("US",Regions!$A$5:$A$400,0)))))</f>
        <v/>
      </c>
      <c r="H159" s="28">
        <f>IF(C159="","",(1+Assumptions!$C$32)^((Assumptions!$C$33-E159)/365.25))</f>
        <v/>
      </c>
      <c r="I159" s="36">
        <f>IF(C159="",0,C159/G159*H159)</f>
        <v/>
      </c>
      <c r="J159" s="28">
        <f>IF(C159="",0,IFERROR(INDEX(Lookups!$Z$5:$Z$8,MATCH(F159,Lookups!$Y$5:$Y$8,0)),0.3)*0.5^((Assumptions!$C$33-E159)/365.25/Assumptions!$C$31))</f>
        <v/>
      </c>
    </row>
    <row r="160">
      <c r="G160" s="16">
        <f>IF(C160="","",IF(IFERROR(INDEX(Regions!$D$5:$D$400,MATCH(D160,Regions!$A$5:$A$400,0))&lt;&gt;"",FALSE),INDEX(Regions!$D$5:$D$400,MATCH(D160,Regions!$A$5:$A$400,0)),IF(IFERROR(INDEX(Regions!$D$5:$D$400,MATCH(LEFT(D160,2),Regions!$A$5:$A$400,0))&lt;&gt;"",FALSE),INDEX(Regions!$D$5:$D$400,MATCH(LEFT(D160,2),Regions!$A$5:$A$400,0)),INDEX(Regions!$D$5:$D$400,MATCH("US",Regions!$A$5:$A$400,0)))))</f>
        <v/>
      </c>
      <c r="H160" s="28">
        <f>IF(C160="","",(1+Assumptions!$C$32)^((Assumptions!$C$33-E160)/365.25))</f>
        <v/>
      </c>
      <c r="I160" s="36">
        <f>IF(C160="",0,C160/G160*H160)</f>
        <v/>
      </c>
      <c r="J160" s="28">
        <f>IF(C160="",0,IFERROR(INDEX(Lookups!$Z$5:$Z$8,MATCH(F160,Lookups!$Y$5:$Y$8,0)),0.3)*0.5^((Assumptions!$C$33-E160)/365.25/Assumptions!$C$31))</f>
        <v/>
      </c>
    </row>
    <row r="161">
      <c r="G161" s="16">
        <f>IF(C161="","",IF(IFERROR(INDEX(Regions!$D$5:$D$400,MATCH(D161,Regions!$A$5:$A$400,0))&lt;&gt;"",FALSE),INDEX(Regions!$D$5:$D$400,MATCH(D161,Regions!$A$5:$A$400,0)),IF(IFERROR(INDEX(Regions!$D$5:$D$400,MATCH(LEFT(D161,2),Regions!$A$5:$A$400,0))&lt;&gt;"",FALSE),INDEX(Regions!$D$5:$D$400,MATCH(LEFT(D161,2),Regions!$A$5:$A$400,0)),INDEX(Regions!$D$5:$D$400,MATCH("US",Regions!$A$5:$A$400,0)))))</f>
        <v/>
      </c>
      <c r="H161" s="28">
        <f>IF(C161="","",(1+Assumptions!$C$32)^((Assumptions!$C$33-E161)/365.25))</f>
        <v/>
      </c>
      <c r="I161" s="36">
        <f>IF(C161="",0,C161/G161*H161)</f>
        <v/>
      </c>
      <c r="J161" s="28">
        <f>IF(C161="",0,IFERROR(INDEX(Lookups!$Z$5:$Z$8,MATCH(F161,Lookups!$Y$5:$Y$8,0)),0.3)*0.5^((Assumptions!$C$33-E161)/365.25/Assumptions!$C$31))</f>
        <v/>
      </c>
    </row>
    <row r="162">
      <c r="G162" s="16">
        <f>IF(C162="","",IF(IFERROR(INDEX(Regions!$D$5:$D$400,MATCH(D162,Regions!$A$5:$A$400,0))&lt;&gt;"",FALSE),INDEX(Regions!$D$5:$D$400,MATCH(D162,Regions!$A$5:$A$400,0)),IF(IFERROR(INDEX(Regions!$D$5:$D$400,MATCH(LEFT(D162,2),Regions!$A$5:$A$400,0))&lt;&gt;"",FALSE),INDEX(Regions!$D$5:$D$400,MATCH(LEFT(D162,2),Regions!$A$5:$A$400,0)),INDEX(Regions!$D$5:$D$400,MATCH("US",Regions!$A$5:$A$400,0)))))</f>
        <v/>
      </c>
      <c r="H162" s="28">
        <f>IF(C162="","",(1+Assumptions!$C$32)^((Assumptions!$C$33-E162)/365.25))</f>
        <v/>
      </c>
      <c r="I162" s="36">
        <f>IF(C162="",0,C162/G162*H162)</f>
        <v/>
      </c>
      <c r="J162" s="28">
        <f>IF(C162="",0,IFERROR(INDEX(Lookups!$Z$5:$Z$8,MATCH(F162,Lookups!$Y$5:$Y$8,0)),0.3)*0.5^((Assumptions!$C$33-E162)/365.25/Assumptions!$C$31))</f>
        <v/>
      </c>
    </row>
    <row r="163">
      <c r="G163" s="16">
        <f>IF(C163="","",IF(IFERROR(INDEX(Regions!$D$5:$D$400,MATCH(D163,Regions!$A$5:$A$400,0))&lt;&gt;"",FALSE),INDEX(Regions!$D$5:$D$400,MATCH(D163,Regions!$A$5:$A$400,0)),IF(IFERROR(INDEX(Regions!$D$5:$D$400,MATCH(LEFT(D163,2),Regions!$A$5:$A$400,0))&lt;&gt;"",FALSE),INDEX(Regions!$D$5:$D$400,MATCH(LEFT(D163,2),Regions!$A$5:$A$400,0)),INDEX(Regions!$D$5:$D$400,MATCH("US",Regions!$A$5:$A$400,0)))))</f>
        <v/>
      </c>
      <c r="H163" s="28">
        <f>IF(C163="","",(1+Assumptions!$C$32)^((Assumptions!$C$33-E163)/365.25))</f>
        <v/>
      </c>
      <c r="I163" s="36">
        <f>IF(C163="",0,C163/G163*H163)</f>
        <v/>
      </c>
      <c r="J163" s="28">
        <f>IF(C163="",0,IFERROR(INDEX(Lookups!$Z$5:$Z$8,MATCH(F163,Lookups!$Y$5:$Y$8,0)),0.3)*0.5^((Assumptions!$C$33-E163)/365.25/Assumptions!$C$31))</f>
        <v/>
      </c>
    </row>
    <row r="164">
      <c r="G164" s="16">
        <f>IF(C164="","",IF(IFERROR(INDEX(Regions!$D$5:$D$400,MATCH(D164,Regions!$A$5:$A$400,0))&lt;&gt;"",FALSE),INDEX(Regions!$D$5:$D$400,MATCH(D164,Regions!$A$5:$A$400,0)),IF(IFERROR(INDEX(Regions!$D$5:$D$400,MATCH(LEFT(D164,2),Regions!$A$5:$A$400,0))&lt;&gt;"",FALSE),INDEX(Regions!$D$5:$D$400,MATCH(LEFT(D164,2),Regions!$A$5:$A$400,0)),INDEX(Regions!$D$5:$D$400,MATCH("US",Regions!$A$5:$A$400,0)))))</f>
        <v/>
      </c>
      <c r="H164" s="28">
        <f>IF(C164="","",(1+Assumptions!$C$32)^((Assumptions!$C$33-E164)/365.25))</f>
        <v/>
      </c>
      <c r="I164" s="36">
        <f>IF(C164="",0,C164/G164*H164)</f>
        <v/>
      </c>
      <c r="J164" s="28">
        <f>IF(C164="",0,IFERROR(INDEX(Lookups!$Z$5:$Z$8,MATCH(F164,Lookups!$Y$5:$Y$8,0)),0.3)*0.5^((Assumptions!$C$33-E164)/365.25/Assumptions!$C$31))</f>
        <v/>
      </c>
    </row>
    <row r="165">
      <c r="G165" s="16">
        <f>IF(C165="","",IF(IFERROR(INDEX(Regions!$D$5:$D$400,MATCH(D165,Regions!$A$5:$A$400,0))&lt;&gt;"",FALSE),INDEX(Regions!$D$5:$D$400,MATCH(D165,Regions!$A$5:$A$400,0)),IF(IFERROR(INDEX(Regions!$D$5:$D$400,MATCH(LEFT(D165,2),Regions!$A$5:$A$400,0))&lt;&gt;"",FALSE),INDEX(Regions!$D$5:$D$400,MATCH(LEFT(D165,2),Regions!$A$5:$A$400,0)),INDEX(Regions!$D$5:$D$400,MATCH("US",Regions!$A$5:$A$400,0)))))</f>
        <v/>
      </c>
      <c r="H165" s="28">
        <f>IF(C165="","",(1+Assumptions!$C$32)^((Assumptions!$C$33-E165)/365.25))</f>
        <v/>
      </c>
      <c r="I165" s="36">
        <f>IF(C165="",0,C165/G165*H165)</f>
        <v/>
      </c>
      <c r="J165" s="28">
        <f>IF(C165="",0,IFERROR(INDEX(Lookups!$Z$5:$Z$8,MATCH(F165,Lookups!$Y$5:$Y$8,0)),0.3)*0.5^((Assumptions!$C$33-E165)/365.25/Assumptions!$C$31))</f>
        <v/>
      </c>
    </row>
    <row r="166">
      <c r="G166" s="16">
        <f>IF(C166="","",IF(IFERROR(INDEX(Regions!$D$5:$D$400,MATCH(D166,Regions!$A$5:$A$400,0))&lt;&gt;"",FALSE),INDEX(Regions!$D$5:$D$400,MATCH(D166,Regions!$A$5:$A$400,0)),IF(IFERROR(INDEX(Regions!$D$5:$D$400,MATCH(LEFT(D166,2),Regions!$A$5:$A$400,0))&lt;&gt;"",FALSE),INDEX(Regions!$D$5:$D$400,MATCH(LEFT(D166,2),Regions!$A$5:$A$400,0)),INDEX(Regions!$D$5:$D$400,MATCH("US",Regions!$A$5:$A$400,0)))))</f>
        <v/>
      </c>
      <c r="H166" s="28">
        <f>IF(C166="","",(1+Assumptions!$C$32)^((Assumptions!$C$33-E166)/365.25))</f>
        <v/>
      </c>
      <c r="I166" s="36">
        <f>IF(C166="",0,C166/G166*H166)</f>
        <v/>
      </c>
      <c r="J166" s="28">
        <f>IF(C166="",0,IFERROR(INDEX(Lookups!$Z$5:$Z$8,MATCH(F166,Lookups!$Y$5:$Y$8,0)),0.3)*0.5^((Assumptions!$C$33-E166)/365.25/Assumptions!$C$31))</f>
        <v/>
      </c>
    </row>
    <row r="167">
      <c r="G167" s="16">
        <f>IF(C167="","",IF(IFERROR(INDEX(Regions!$D$5:$D$400,MATCH(D167,Regions!$A$5:$A$400,0))&lt;&gt;"",FALSE),INDEX(Regions!$D$5:$D$400,MATCH(D167,Regions!$A$5:$A$400,0)),IF(IFERROR(INDEX(Regions!$D$5:$D$400,MATCH(LEFT(D167,2),Regions!$A$5:$A$400,0))&lt;&gt;"",FALSE),INDEX(Regions!$D$5:$D$400,MATCH(LEFT(D167,2),Regions!$A$5:$A$400,0)),INDEX(Regions!$D$5:$D$400,MATCH("US",Regions!$A$5:$A$400,0)))))</f>
        <v/>
      </c>
      <c r="H167" s="28">
        <f>IF(C167="","",(1+Assumptions!$C$32)^((Assumptions!$C$33-E167)/365.25))</f>
        <v/>
      </c>
      <c r="I167" s="36">
        <f>IF(C167="",0,C167/G167*H167)</f>
        <v/>
      </c>
      <c r="J167" s="28">
        <f>IF(C167="",0,IFERROR(INDEX(Lookups!$Z$5:$Z$8,MATCH(F167,Lookups!$Y$5:$Y$8,0)),0.3)*0.5^((Assumptions!$C$33-E167)/365.25/Assumptions!$C$31))</f>
        <v/>
      </c>
    </row>
    <row r="168">
      <c r="G168" s="16">
        <f>IF(C168="","",IF(IFERROR(INDEX(Regions!$D$5:$D$400,MATCH(D168,Regions!$A$5:$A$400,0))&lt;&gt;"",FALSE),INDEX(Regions!$D$5:$D$400,MATCH(D168,Regions!$A$5:$A$400,0)),IF(IFERROR(INDEX(Regions!$D$5:$D$400,MATCH(LEFT(D168,2),Regions!$A$5:$A$400,0))&lt;&gt;"",FALSE),INDEX(Regions!$D$5:$D$400,MATCH(LEFT(D168,2),Regions!$A$5:$A$400,0)),INDEX(Regions!$D$5:$D$400,MATCH("US",Regions!$A$5:$A$400,0)))))</f>
        <v/>
      </c>
      <c r="H168" s="28">
        <f>IF(C168="","",(1+Assumptions!$C$32)^((Assumptions!$C$33-E168)/365.25))</f>
        <v/>
      </c>
      <c r="I168" s="36">
        <f>IF(C168="",0,C168/G168*H168)</f>
        <v/>
      </c>
      <c r="J168" s="28">
        <f>IF(C168="",0,IFERROR(INDEX(Lookups!$Z$5:$Z$8,MATCH(F168,Lookups!$Y$5:$Y$8,0)),0.3)*0.5^((Assumptions!$C$33-E168)/365.25/Assumptions!$C$31))</f>
        <v/>
      </c>
    </row>
    <row r="169">
      <c r="G169" s="16">
        <f>IF(C169="","",IF(IFERROR(INDEX(Regions!$D$5:$D$400,MATCH(D169,Regions!$A$5:$A$400,0))&lt;&gt;"",FALSE),INDEX(Regions!$D$5:$D$400,MATCH(D169,Regions!$A$5:$A$400,0)),IF(IFERROR(INDEX(Regions!$D$5:$D$400,MATCH(LEFT(D169,2),Regions!$A$5:$A$400,0))&lt;&gt;"",FALSE),INDEX(Regions!$D$5:$D$400,MATCH(LEFT(D169,2),Regions!$A$5:$A$400,0)),INDEX(Regions!$D$5:$D$400,MATCH("US",Regions!$A$5:$A$400,0)))))</f>
        <v/>
      </c>
      <c r="H169" s="28">
        <f>IF(C169="","",(1+Assumptions!$C$32)^((Assumptions!$C$33-E169)/365.25))</f>
        <v/>
      </c>
      <c r="I169" s="36">
        <f>IF(C169="",0,C169/G169*H169)</f>
        <v/>
      </c>
      <c r="J169" s="28">
        <f>IF(C169="",0,IFERROR(INDEX(Lookups!$Z$5:$Z$8,MATCH(F169,Lookups!$Y$5:$Y$8,0)),0.3)*0.5^((Assumptions!$C$33-E169)/365.25/Assumptions!$C$31))</f>
        <v/>
      </c>
    </row>
    <row r="170">
      <c r="G170" s="16">
        <f>IF(C170="","",IF(IFERROR(INDEX(Regions!$D$5:$D$400,MATCH(D170,Regions!$A$5:$A$400,0))&lt;&gt;"",FALSE),INDEX(Regions!$D$5:$D$400,MATCH(D170,Regions!$A$5:$A$400,0)),IF(IFERROR(INDEX(Regions!$D$5:$D$400,MATCH(LEFT(D170,2),Regions!$A$5:$A$400,0))&lt;&gt;"",FALSE),INDEX(Regions!$D$5:$D$400,MATCH(LEFT(D170,2),Regions!$A$5:$A$400,0)),INDEX(Regions!$D$5:$D$400,MATCH("US",Regions!$A$5:$A$400,0)))))</f>
        <v/>
      </c>
      <c r="H170" s="28">
        <f>IF(C170="","",(1+Assumptions!$C$32)^((Assumptions!$C$33-E170)/365.25))</f>
        <v/>
      </c>
      <c r="I170" s="36">
        <f>IF(C170="",0,C170/G170*H170)</f>
        <v/>
      </c>
      <c r="J170" s="28">
        <f>IF(C170="",0,IFERROR(INDEX(Lookups!$Z$5:$Z$8,MATCH(F170,Lookups!$Y$5:$Y$8,0)),0.3)*0.5^((Assumptions!$C$33-E170)/365.25/Assumptions!$C$31))</f>
        <v/>
      </c>
    </row>
    <row r="171">
      <c r="G171" s="16">
        <f>IF(C171="","",IF(IFERROR(INDEX(Regions!$D$5:$D$400,MATCH(D171,Regions!$A$5:$A$400,0))&lt;&gt;"",FALSE),INDEX(Regions!$D$5:$D$400,MATCH(D171,Regions!$A$5:$A$400,0)),IF(IFERROR(INDEX(Regions!$D$5:$D$400,MATCH(LEFT(D171,2),Regions!$A$5:$A$400,0))&lt;&gt;"",FALSE),INDEX(Regions!$D$5:$D$400,MATCH(LEFT(D171,2),Regions!$A$5:$A$400,0)),INDEX(Regions!$D$5:$D$400,MATCH("US",Regions!$A$5:$A$400,0)))))</f>
        <v/>
      </c>
      <c r="H171" s="28">
        <f>IF(C171="","",(1+Assumptions!$C$32)^((Assumptions!$C$33-E171)/365.25))</f>
        <v/>
      </c>
      <c r="I171" s="36">
        <f>IF(C171="",0,C171/G171*H171)</f>
        <v/>
      </c>
      <c r="J171" s="28">
        <f>IF(C171="",0,IFERROR(INDEX(Lookups!$Z$5:$Z$8,MATCH(F171,Lookups!$Y$5:$Y$8,0)),0.3)*0.5^((Assumptions!$C$33-E171)/365.25/Assumptions!$C$31))</f>
        <v/>
      </c>
    </row>
    <row r="172">
      <c r="G172" s="16">
        <f>IF(C172="","",IF(IFERROR(INDEX(Regions!$D$5:$D$400,MATCH(D172,Regions!$A$5:$A$400,0))&lt;&gt;"",FALSE),INDEX(Regions!$D$5:$D$400,MATCH(D172,Regions!$A$5:$A$400,0)),IF(IFERROR(INDEX(Regions!$D$5:$D$400,MATCH(LEFT(D172,2),Regions!$A$5:$A$400,0))&lt;&gt;"",FALSE),INDEX(Regions!$D$5:$D$400,MATCH(LEFT(D172,2),Regions!$A$5:$A$400,0)),INDEX(Regions!$D$5:$D$400,MATCH("US",Regions!$A$5:$A$400,0)))))</f>
        <v/>
      </c>
      <c r="H172" s="28">
        <f>IF(C172="","",(1+Assumptions!$C$32)^((Assumptions!$C$33-E172)/365.25))</f>
        <v/>
      </c>
      <c r="I172" s="36">
        <f>IF(C172="",0,C172/G172*H172)</f>
        <v/>
      </c>
      <c r="J172" s="28">
        <f>IF(C172="",0,IFERROR(INDEX(Lookups!$Z$5:$Z$8,MATCH(F172,Lookups!$Y$5:$Y$8,0)),0.3)*0.5^((Assumptions!$C$33-E172)/365.25/Assumptions!$C$31))</f>
        <v/>
      </c>
    </row>
    <row r="173">
      <c r="G173" s="16">
        <f>IF(C173="","",IF(IFERROR(INDEX(Regions!$D$5:$D$400,MATCH(D173,Regions!$A$5:$A$400,0))&lt;&gt;"",FALSE),INDEX(Regions!$D$5:$D$400,MATCH(D173,Regions!$A$5:$A$400,0)),IF(IFERROR(INDEX(Regions!$D$5:$D$400,MATCH(LEFT(D173,2),Regions!$A$5:$A$400,0))&lt;&gt;"",FALSE),INDEX(Regions!$D$5:$D$400,MATCH(LEFT(D173,2),Regions!$A$5:$A$400,0)),INDEX(Regions!$D$5:$D$400,MATCH("US",Regions!$A$5:$A$400,0)))))</f>
        <v/>
      </c>
      <c r="H173" s="28">
        <f>IF(C173="","",(1+Assumptions!$C$32)^((Assumptions!$C$33-E173)/365.25))</f>
        <v/>
      </c>
      <c r="I173" s="36">
        <f>IF(C173="",0,C173/G173*H173)</f>
        <v/>
      </c>
      <c r="J173" s="28">
        <f>IF(C173="",0,IFERROR(INDEX(Lookups!$Z$5:$Z$8,MATCH(F173,Lookups!$Y$5:$Y$8,0)),0.3)*0.5^((Assumptions!$C$33-E173)/365.25/Assumptions!$C$31))</f>
        <v/>
      </c>
    </row>
    <row r="174">
      <c r="G174" s="16">
        <f>IF(C174="","",IF(IFERROR(INDEX(Regions!$D$5:$D$400,MATCH(D174,Regions!$A$5:$A$400,0))&lt;&gt;"",FALSE),INDEX(Regions!$D$5:$D$400,MATCH(D174,Regions!$A$5:$A$400,0)),IF(IFERROR(INDEX(Regions!$D$5:$D$400,MATCH(LEFT(D174,2),Regions!$A$5:$A$400,0))&lt;&gt;"",FALSE),INDEX(Regions!$D$5:$D$400,MATCH(LEFT(D174,2),Regions!$A$5:$A$400,0)),INDEX(Regions!$D$5:$D$400,MATCH("US",Regions!$A$5:$A$400,0)))))</f>
        <v/>
      </c>
      <c r="H174" s="28">
        <f>IF(C174="","",(1+Assumptions!$C$32)^((Assumptions!$C$33-E174)/365.25))</f>
        <v/>
      </c>
      <c r="I174" s="36">
        <f>IF(C174="",0,C174/G174*H174)</f>
        <v/>
      </c>
      <c r="J174" s="28">
        <f>IF(C174="",0,IFERROR(INDEX(Lookups!$Z$5:$Z$8,MATCH(F174,Lookups!$Y$5:$Y$8,0)),0.3)*0.5^((Assumptions!$C$33-E174)/365.25/Assumptions!$C$31))</f>
        <v/>
      </c>
    </row>
    <row r="175">
      <c r="G175" s="16">
        <f>IF(C175="","",IF(IFERROR(INDEX(Regions!$D$5:$D$400,MATCH(D175,Regions!$A$5:$A$400,0))&lt;&gt;"",FALSE),INDEX(Regions!$D$5:$D$400,MATCH(D175,Regions!$A$5:$A$400,0)),IF(IFERROR(INDEX(Regions!$D$5:$D$400,MATCH(LEFT(D175,2),Regions!$A$5:$A$400,0))&lt;&gt;"",FALSE),INDEX(Regions!$D$5:$D$400,MATCH(LEFT(D175,2),Regions!$A$5:$A$400,0)),INDEX(Regions!$D$5:$D$400,MATCH("US",Regions!$A$5:$A$400,0)))))</f>
        <v/>
      </c>
      <c r="H175" s="28">
        <f>IF(C175="","",(1+Assumptions!$C$32)^((Assumptions!$C$33-E175)/365.25))</f>
        <v/>
      </c>
      <c r="I175" s="36">
        <f>IF(C175="",0,C175/G175*H175)</f>
        <v/>
      </c>
      <c r="J175" s="28">
        <f>IF(C175="",0,IFERROR(INDEX(Lookups!$Z$5:$Z$8,MATCH(F175,Lookups!$Y$5:$Y$8,0)),0.3)*0.5^((Assumptions!$C$33-E175)/365.25/Assumptions!$C$31))</f>
        <v/>
      </c>
    </row>
    <row r="176">
      <c r="G176" s="16">
        <f>IF(C176="","",IF(IFERROR(INDEX(Regions!$D$5:$D$400,MATCH(D176,Regions!$A$5:$A$400,0))&lt;&gt;"",FALSE),INDEX(Regions!$D$5:$D$400,MATCH(D176,Regions!$A$5:$A$400,0)),IF(IFERROR(INDEX(Regions!$D$5:$D$400,MATCH(LEFT(D176,2),Regions!$A$5:$A$400,0))&lt;&gt;"",FALSE),INDEX(Regions!$D$5:$D$400,MATCH(LEFT(D176,2),Regions!$A$5:$A$400,0)),INDEX(Regions!$D$5:$D$400,MATCH("US",Regions!$A$5:$A$400,0)))))</f>
        <v/>
      </c>
      <c r="H176" s="28">
        <f>IF(C176="","",(1+Assumptions!$C$32)^((Assumptions!$C$33-E176)/365.25))</f>
        <v/>
      </c>
      <c r="I176" s="36">
        <f>IF(C176="",0,C176/G176*H176)</f>
        <v/>
      </c>
      <c r="J176" s="28">
        <f>IF(C176="",0,IFERROR(INDEX(Lookups!$Z$5:$Z$8,MATCH(F176,Lookups!$Y$5:$Y$8,0)),0.3)*0.5^((Assumptions!$C$33-E176)/365.25/Assumptions!$C$31))</f>
        <v/>
      </c>
    </row>
    <row r="177">
      <c r="G177" s="16">
        <f>IF(C177="","",IF(IFERROR(INDEX(Regions!$D$5:$D$400,MATCH(D177,Regions!$A$5:$A$400,0))&lt;&gt;"",FALSE),INDEX(Regions!$D$5:$D$400,MATCH(D177,Regions!$A$5:$A$400,0)),IF(IFERROR(INDEX(Regions!$D$5:$D$400,MATCH(LEFT(D177,2),Regions!$A$5:$A$400,0))&lt;&gt;"",FALSE),INDEX(Regions!$D$5:$D$400,MATCH(LEFT(D177,2),Regions!$A$5:$A$400,0)),INDEX(Regions!$D$5:$D$400,MATCH("US",Regions!$A$5:$A$400,0)))))</f>
        <v/>
      </c>
      <c r="H177" s="28">
        <f>IF(C177="","",(1+Assumptions!$C$32)^((Assumptions!$C$33-E177)/365.25))</f>
        <v/>
      </c>
      <c r="I177" s="36">
        <f>IF(C177="",0,C177/G177*H177)</f>
        <v/>
      </c>
      <c r="J177" s="28">
        <f>IF(C177="",0,IFERROR(INDEX(Lookups!$Z$5:$Z$8,MATCH(F177,Lookups!$Y$5:$Y$8,0)),0.3)*0.5^((Assumptions!$C$33-E177)/365.25/Assumptions!$C$31))</f>
        <v/>
      </c>
    </row>
    <row r="178">
      <c r="G178" s="16">
        <f>IF(C178="","",IF(IFERROR(INDEX(Regions!$D$5:$D$400,MATCH(D178,Regions!$A$5:$A$400,0))&lt;&gt;"",FALSE),INDEX(Regions!$D$5:$D$400,MATCH(D178,Regions!$A$5:$A$400,0)),IF(IFERROR(INDEX(Regions!$D$5:$D$400,MATCH(LEFT(D178,2),Regions!$A$5:$A$400,0))&lt;&gt;"",FALSE),INDEX(Regions!$D$5:$D$400,MATCH(LEFT(D178,2),Regions!$A$5:$A$400,0)),INDEX(Regions!$D$5:$D$400,MATCH("US",Regions!$A$5:$A$400,0)))))</f>
        <v/>
      </c>
      <c r="H178" s="28">
        <f>IF(C178="","",(1+Assumptions!$C$32)^((Assumptions!$C$33-E178)/365.25))</f>
        <v/>
      </c>
      <c r="I178" s="36">
        <f>IF(C178="",0,C178/G178*H178)</f>
        <v/>
      </c>
      <c r="J178" s="28">
        <f>IF(C178="",0,IFERROR(INDEX(Lookups!$Z$5:$Z$8,MATCH(F178,Lookups!$Y$5:$Y$8,0)),0.3)*0.5^((Assumptions!$C$33-E178)/365.25/Assumptions!$C$31))</f>
        <v/>
      </c>
    </row>
    <row r="179">
      <c r="G179" s="16">
        <f>IF(C179="","",IF(IFERROR(INDEX(Regions!$D$5:$D$400,MATCH(D179,Regions!$A$5:$A$400,0))&lt;&gt;"",FALSE),INDEX(Regions!$D$5:$D$400,MATCH(D179,Regions!$A$5:$A$400,0)),IF(IFERROR(INDEX(Regions!$D$5:$D$400,MATCH(LEFT(D179,2),Regions!$A$5:$A$400,0))&lt;&gt;"",FALSE),INDEX(Regions!$D$5:$D$400,MATCH(LEFT(D179,2),Regions!$A$5:$A$400,0)),INDEX(Regions!$D$5:$D$400,MATCH("US",Regions!$A$5:$A$400,0)))))</f>
        <v/>
      </c>
      <c r="H179" s="28">
        <f>IF(C179="","",(1+Assumptions!$C$32)^((Assumptions!$C$33-E179)/365.25))</f>
        <v/>
      </c>
      <c r="I179" s="36">
        <f>IF(C179="",0,C179/G179*H179)</f>
        <v/>
      </c>
      <c r="J179" s="28">
        <f>IF(C179="",0,IFERROR(INDEX(Lookups!$Z$5:$Z$8,MATCH(F179,Lookups!$Y$5:$Y$8,0)),0.3)*0.5^((Assumptions!$C$33-E179)/365.25/Assumptions!$C$31))</f>
        <v/>
      </c>
    </row>
    <row r="180">
      <c r="G180" s="16">
        <f>IF(C180="","",IF(IFERROR(INDEX(Regions!$D$5:$D$400,MATCH(D180,Regions!$A$5:$A$400,0))&lt;&gt;"",FALSE),INDEX(Regions!$D$5:$D$400,MATCH(D180,Regions!$A$5:$A$400,0)),IF(IFERROR(INDEX(Regions!$D$5:$D$400,MATCH(LEFT(D180,2),Regions!$A$5:$A$400,0))&lt;&gt;"",FALSE),INDEX(Regions!$D$5:$D$400,MATCH(LEFT(D180,2),Regions!$A$5:$A$400,0)),INDEX(Regions!$D$5:$D$400,MATCH("US",Regions!$A$5:$A$400,0)))))</f>
        <v/>
      </c>
      <c r="H180" s="28">
        <f>IF(C180="","",(1+Assumptions!$C$32)^((Assumptions!$C$33-E180)/365.25))</f>
        <v/>
      </c>
      <c r="I180" s="36">
        <f>IF(C180="",0,C180/G180*H180)</f>
        <v/>
      </c>
      <c r="J180" s="28">
        <f>IF(C180="",0,IFERROR(INDEX(Lookups!$Z$5:$Z$8,MATCH(F180,Lookups!$Y$5:$Y$8,0)),0.3)*0.5^((Assumptions!$C$33-E180)/365.25/Assumptions!$C$31))</f>
        <v/>
      </c>
    </row>
    <row r="181">
      <c r="G181" s="16">
        <f>IF(C181="","",IF(IFERROR(INDEX(Regions!$D$5:$D$400,MATCH(D181,Regions!$A$5:$A$400,0))&lt;&gt;"",FALSE),INDEX(Regions!$D$5:$D$400,MATCH(D181,Regions!$A$5:$A$400,0)),IF(IFERROR(INDEX(Regions!$D$5:$D$400,MATCH(LEFT(D181,2),Regions!$A$5:$A$400,0))&lt;&gt;"",FALSE),INDEX(Regions!$D$5:$D$400,MATCH(LEFT(D181,2),Regions!$A$5:$A$400,0)),INDEX(Regions!$D$5:$D$400,MATCH("US",Regions!$A$5:$A$400,0)))))</f>
        <v/>
      </c>
      <c r="H181" s="28">
        <f>IF(C181="","",(1+Assumptions!$C$32)^((Assumptions!$C$33-E181)/365.25))</f>
        <v/>
      </c>
      <c r="I181" s="36">
        <f>IF(C181="",0,C181/G181*H181)</f>
        <v/>
      </c>
      <c r="J181" s="28">
        <f>IF(C181="",0,IFERROR(INDEX(Lookups!$Z$5:$Z$8,MATCH(F181,Lookups!$Y$5:$Y$8,0)),0.3)*0.5^((Assumptions!$C$33-E181)/365.25/Assumptions!$C$31))</f>
        <v/>
      </c>
    </row>
    <row r="182">
      <c r="G182" s="16">
        <f>IF(C182="","",IF(IFERROR(INDEX(Regions!$D$5:$D$400,MATCH(D182,Regions!$A$5:$A$400,0))&lt;&gt;"",FALSE),INDEX(Regions!$D$5:$D$400,MATCH(D182,Regions!$A$5:$A$400,0)),IF(IFERROR(INDEX(Regions!$D$5:$D$400,MATCH(LEFT(D182,2),Regions!$A$5:$A$400,0))&lt;&gt;"",FALSE),INDEX(Regions!$D$5:$D$400,MATCH(LEFT(D182,2),Regions!$A$5:$A$400,0)),INDEX(Regions!$D$5:$D$400,MATCH("US",Regions!$A$5:$A$400,0)))))</f>
        <v/>
      </c>
      <c r="H182" s="28">
        <f>IF(C182="","",(1+Assumptions!$C$32)^((Assumptions!$C$33-E182)/365.25))</f>
        <v/>
      </c>
      <c r="I182" s="36">
        <f>IF(C182="",0,C182/G182*H182)</f>
        <v/>
      </c>
      <c r="J182" s="28">
        <f>IF(C182="",0,IFERROR(INDEX(Lookups!$Z$5:$Z$8,MATCH(F182,Lookups!$Y$5:$Y$8,0)),0.3)*0.5^((Assumptions!$C$33-E182)/365.25/Assumptions!$C$31))</f>
        <v/>
      </c>
    </row>
    <row r="183">
      <c r="G183" s="16">
        <f>IF(C183="","",IF(IFERROR(INDEX(Regions!$D$5:$D$400,MATCH(D183,Regions!$A$5:$A$400,0))&lt;&gt;"",FALSE),INDEX(Regions!$D$5:$D$400,MATCH(D183,Regions!$A$5:$A$400,0)),IF(IFERROR(INDEX(Regions!$D$5:$D$400,MATCH(LEFT(D183,2),Regions!$A$5:$A$400,0))&lt;&gt;"",FALSE),INDEX(Regions!$D$5:$D$400,MATCH(LEFT(D183,2),Regions!$A$5:$A$400,0)),INDEX(Regions!$D$5:$D$400,MATCH("US",Regions!$A$5:$A$400,0)))))</f>
        <v/>
      </c>
      <c r="H183" s="28">
        <f>IF(C183="","",(1+Assumptions!$C$32)^((Assumptions!$C$33-E183)/365.25))</f>
        <v/>
      </c>
      <c r="I183" s="36">
        <f>IF(C183="",0,C183/G183*H183)</f>
        <v/>
      </c>
      <c r="J183" s="28">
        <f>IF(C183="",0,IFERROR(INDEX(Lookups!$Z$5:$Z$8,MATCH(F183,Lookups!$Y$5:$Y$8,0)),0.3)*0.5^((Assumptions!$C$33-E183)/365.25/Assumptions!$C$31))</f>
        <v/>
      </c>
    </row>
    <row r="184">
      <c r="G184" s="16">
        <f>IF(C184="","",IF(IFERROR(INDEX(Regions!$D$5:$D$400,MATCH(D184,Regions!$A$5:$A$400,0))&lt;&gt;"",FALSE),INDEX(Regions!$D$5:$D$400,MATCH(D184,Regions!$A$5:$A$400,0)),IF(IFERROR(INDEX(Regions!$D$5:$D$400,MATCH(LEFT(D184,2),Regions!$A$5:$A$400,0))&lt;&gt;"",FALSE),INDEX(Regions!$D$5:$D$400,MATCH(LEFT(D184,2),Regions!$A$5:$A$400,0)),INDEX(Regions!$D$5:$D$400,MATCH("US",Regions!$A$5:$A$400,0)))))</f>
        <v/>
      </c>
      <c r="H184" s="28">
        <f>IF(C184="","",(1+Assumptions!$C$32)^((Assumptions!$C$33-E184)/365.25))</f>
        <v/>
      </c>
      <c r="I184" s="36">
        <f>IF(C184="",0,C184/G184*H184)</f>
        <v/>
      </c>
      <c r="J184" s="28">
        <f>IF(C184="",0,IFERROR(INDEX(Lookups!$Z$5:$Z$8,MATCH(F184,Lookups!$Y$5:$Y$8,0)),0.3)*0.5^((Assumptions!$C$33-E184)/365.25/Assumptions!$C$31))</f>
        <v/>
      </c>
    </row>
    <row r="185">
      <c r="G185" s="16">
        <f>IF(C185="","",IF(IFERROR(INDEX(Regions!$D$5:$D$400,MATCH(D185,Regions!$A$5:$A$400,0))&lt;&gt;"",FALSE),INDEX(Regions!$D$5:$D$400,MATCH(D185,Regions!$A$5:$A$400,0)),IF(IFERROR(INDEX(Regions!$D$5:$D$400,MATCH(LEFT(D185,2),Regions!$A$5:$A$400,0))&lt;&gt;"",FALSE),INDEX(Regions!$D$5:$D$400,MATCH(LEFT(D185,2),Regions!$A$5:$A$400,0)),INDEX(Regions!$D$5:$D$400,MATCH("US",Regions!$A$5:$A$400,0)))))</f>
        <v/>
      </c>
      <c r="H185" s="28">
        <f>IF(C185="","",(1+Assumptions!$C$32)^((Assumptions!$C$33-E185)/365.25))</f>
        <v/>
      </c>
      <c r="I185" s="36">
        <f>IF(C185="",0,C185/G185*H185)</f>
        <v/>
      </c>
      <c r="J185" s="28">
        <f>IF(C185="",0,IFERROR(INDEX(Lookups!$Z$5:$Z$8,MATCH(F185,Lookups!$Y$5:$Y$8,0)),0.3)*0.5^((Assumptions!$C$33-E185)/365.25/Assumptions!$C$31))</f>
        <v/>
      </c>
    </row>
    <row r="186">
      <c r="G186" s="16">
        <f>IF(C186="","",IF(IFERROR(INDEX(Regions!$D$5:$D$400,MATCH(D186,Regions!$A$5:$A$400,0))&lt;&gt;"",FALSE),INDEX(Regions!$D$5:$D$400,MATCH(D186,Regions!$A$5:$A$400,0)),IF(IFERROR(INDEX(Regions!$D$5:$D$400,MATCH(LEFT(D186,2),Regions!$A$5:$A$400,0))&lt;&gt;"",FALSE),INDEX(Regions!$D$5:$D$400,MATCH(LEFT(D186,2),Regions!$A$5:$A$400,0)),INDEX(Regions!$D$5:$D$400,MATCH("US",Regions!$A$5:$A$400,0)))))</f>
        <v/>
      </c>
      <c r="H186" s="28">
        <f>IF(C186="","",(1+Assumptions!$C$32)^((Assumptions!$C$33-E186)/365.25))</f>
        <v/>
      </c>
      <c r="I186" s="36">
        <f>IF(C186="",0,C186/G186*H186)</f>
        <v/>
      </c>
      <c r="J186" s="28">
        <f>IF(C186="",0,IFERROR(INDEX(Lookups!$Z$5:$Z$8,MATCH(F186,Lookups!$Y$5:$Y$8,0)),0.3)*0.5^((Assumptions!$C$33-E186)/365.25/Assumptions!$C$31))</f>
        <v/>
      </c>
    </row>
    <row r="187">
      <c r="G187" s="16">
        <f>IF(C187="","",IF(IFERROR(INDEX(Regions!$D$5:$D$400,MATCH(D187,Regions!$A$5:$A$400,0))&lt;&gt;"",FALSE),INDEX(Regions!$D$5:$D$400,MATCH(D187,Regions!$A$5:$A$400,0)),IF(IFERROR(INDEX(Regions!$D$5:$D$400,MATCH(LEFT(D187,2),Regions!$A$5:$A$400,0))&lt;&gt;"",FALSE),INDEX(Regions!$D$5:$D$400,MATCH(LEFT(D187,2),Regions!$A$5:$A$400,0)),INDEX(Regions!$D$5:$D$400,MATCH("US",Regions!$A$5:$A$400,0)))))</f>
        <v/>
      </c>
      <c r="H187" s="28">
        <f>IF(C187="","",(1+Assumptions!$C$32)^((Assumptions!$C$33-E187)/365.25))</f>
        <v/>
      </c>
      <c r="I187" s="36">
        <f>IF(C187="",0,C187/G187*H187)</f>
        <v/>
      </c>
      <c r="J187" s="28">
        <f>IF(C187="",0,IFERROR(INDEX(Lookups!$Z$5:$Z$8,MATCH(F187,Lookups!$Y$5:$Y$8,0)),0.3)*0.5^((Assumptions!$C$33-E187)/365.25/Assumptions!$C$31))</f>
        <v/>
      </c>
    </row>
    <row r="188">
      <c r="G188" s="16">
        <f>IF(C188="","",IF(IFERROR(INDEX(Regions!$D$5:$D$400,MATCH(D188,Regions!$A$5:$A$400,0))&lt;&gt;"",FALSE),INDEX(Regions!$D$5:$D$400,MATCH(D188,Regions!$A$5:$A$400,0)),IF(IFERROR(INDEX(Regions!$D$5:$D$400,MATCH(LEFT(D188,2),Regions!$A$5:$A$400,0))&lt;&gt;"",FALSE),INDEX(Regions!$D$5:$D$400,MATCH(LEFT(D188,2),Regions!$A$5:$A$400,0)),INDEX(Regions!$D$5:$D$400,MATCH("US",Regions!$A$5:$A$400,0)))))</f>
        <v/>
      </c>
      <c r="H188" s="28">
        <f>IF(C188="","",(1+Assumptions!$C$32)^((Assumptions!$C$33-E188)/365.25))</f>
        <v/>
      </c>
      <c r="I188" s="36">
        <f>IF(C188="",0,C188/G188*H188)</f>
        <v/>
      </c>
      <c r="J188" s="28">
        <f>IF(C188="",0,IFERROR(INDEX(Lookups!$Z$5:$Z$8,MATCH(F188,Lookups!$Y$5:$Y$8,0)),0.3)*0.5^((Assumptions!$C$33-E188)/365.25/Assumptions!$C$31))</f>
        <v/>
      </c>
    </row>
    <row r="189">
      <c r="G189" s="16">
        <f>IF(C189="","",IF(IFERROR(INDEX(Regions!$D$5:$D$400,MATCH(D189,Regions!$A$5:$A$400,0))&lt;&gt;"",FALSE),INDEX(Regions!$D$5:$D$400,MATCH(D189,Regions!$A$5:$A$400,0)),IF(IFERROR(INDEX(Regions!$D$5:$D$400,MATCH(LEFT(D189,2),Regions!$A$5:$A$400,0))&lt;&gt;"",FALSE),INDEX(Regions!$D$5:$D$400,MATCH(LEFT(D189,2),Regions!$A$5:$A$400,0)),INDEX(Regions!$D$5:$D$400,MATCH("US",Regions!$A$5:$A$400,0)))))</f>
        <v/>
      </c>
      <c r="H189" s="28">
        <f>IF(C189="","",(1+Assumptions!$C$32)^((Assumptions!$C$33-E189)/365.25))</f>
        <v/>
      </c>
      <c r="I189" s="36">
        <f>IF(C189="",0,C189/G189*H189)</f>
        <v/>
      </c>
      <c r="J189" s="28">
        <f>IF(C189="",0,IFERROR(INDEX(Lookups!$Z$5:$Z$8,MATCH(F189,Lookups!$Y$5:$Y$8,0)),0.3)*0.5^((Assumptions!$C$33-E189)/365.25/Assumptions!$C$31))</f>
        <v/>
      </c>
    </row>
    <row r="190">
      <c r="G190" s="16">
        <f>IF(C190="","",IF(IFERROR(INDEX(Regions!$D$5:$D$400,MATCH(D190,Regions!$A$5:$A$400,0))&lt;&gt;"",FALSE),INDEX(Regions!$D$5:$D$400,MATCH(D190,Regions!$A$5:$A$400,0)),IF(IFERROR(INDEX(Regions!$D$5:$D$400,MATCH(LEFT(D190,2),Regions!$A$5:$A$400,0))&lt;&gt;"",FALSE),INDEX(Regions!$D$5:$D$400,MATCH(LEFT(D190,2),Regions!$A$5:$A$400,0)),INDEX(Regions!$D$5:$D$400,MATCH("US",Regions!$A$5:$A$400,0)))))</f>
        <v/>
      </c>
      <c r="H190" s="28">
        <f>IF(C190="","",(1+Assumptions!$C$32)^((Assumptions!$C$33-E190)/365.25))</f>
        <v/>
      </c>
      <c r="I190" s="36">
        <f>IF(C190="",0,C190/G190*H190)</f>
        <v/>
      </c>
      <c r="J190" s="28">
        <f>IF(C190="",0,IFERROR(INDEX(Lookups!$Z$5:$Z$8,MATCH(F190,Lookups!$Y$5:$Y$8,0)),0.3)*0.5^((Assumptions!$C$33-E190)/365.25/Assumptions!$C$31))</f>
        <v/>
      </c>
    </row>
    <row r="191">
      <c r="G191" s="16">
        <f>IF(C191="","",IF(IFERROR(INDEX(Regions!$D$5:$D$400,MATCH(D191,Regions!$A$5:$A$400,0))&lt;&gt;"",FALSE),INDEX(Regions!$D$5:$D$400,MATCH(D191,Regions!$A$5:$A$400,0)),IF(IFERROR(INDEX(Regions!$D$5:$D$400,MATCH(LEFT(D191,2),Regions!$A$5:$A$400,0))&lt;&gt;"",FALSE),INDEX(Regions!$D$5:$D$400,MATCH(LEFT(D191,2),Regions!$A$5:$A$400,0)),INDEX(Regions!$D$5:$D$400,MATCH("US",Regions!$A$5:$A$400,0)))))</f>
        <v/>
      </c>
      <c r="H191" s="28">
        <f>IF(C191="","",(1+Assumptions!$C$32)^((Assumptions!$C$33-E191)/365.25))</f>
        <v/>
      </c>
      <c r="I191" s="36">
        <f>IF(C191="",0,C191/G191*H191)</f>
        <v/>
      </c>
      <c r="J191" s="28">
        <f>IF(C191="",0,IFERROR(INDEX(Lookups!$Z$5:$Z$8,MATCH(F191,Lookups!$Y$5:$Y$8,0)),0.3)*0.5^((Assumptions!$C$33-E191)/365.25/Assumptions!$C$31))</f>
        <v/>
      </c>
    </row>
    <row r="192">
      <c r="G192" s="16">
        <f>IF(C192="","",IF(IFERROR(INDEX(Regions!$D$5:$D$400,MATCH(D192,Regions!$A$5:$A$400,0))&lt;&gt;"",FALSE),INDEX(Regions!$D$5:$D$400,MATCH(D192,Regions!$A$5:$A$400,0)),IF(IFERROR(INDEX(Regions!$D$5:$D$400,MATCH(LEFT(D192,2),Regions!$A$5:$A$400,0))&lt;&gt;"",FALSE),INDEX(Regions!$D$5:$D$400,MATCH(LEFT(D192,2),Regions!$A$5:$A$400,0)),INDEX(Regions!$D$5:$D$400,MATCH("US",Regions!$A$5:$A$400,0)))))</f>
        <v/>
      </c>
      <c r="H192" s="28">
        <f>IF(C192="","",(1+Assumptions!$C$32)^((Assumptions!$C$33-E192)/365.25))</f>
        <v/>
      </c>
      <c r="I192" s="36">
        <f>IF(C192="",0,C192/G192*H192)</f>
        <v/>
      </c>
      <c r="J192" s="28">
        <f>IF(C192="",0,IFERROR(INDEX(Lookups!$Z$5:$Z$8,MATCH(F192,Lookups!$Y$5:$Y$8,0)),0.3)*0.5^((Assumptions!$C$33-E192)/365.25/Assumptions!$C$31))</f>
        <v/>
      </c>
    </row>
    <row r="193">
      <c r="G193" s="16">
        <f>IF(C193="","",IF(IFERROR(INDEX(Regions!$D$5:$D$400,MATCH(D193,Regions!$A$5:$A$400,0))&lt;&gt;"",FALSE),INDEX(Regions!$D$5:$D$400,MATCH(D193,Regions!$A$5:$A$400,0)),IF(IFERROR(INDEX(Regions!$D$5:$D$400,MATCH(LEFT(D193,2),Regions!$A$5:$A$400,0))&lt;&gt;"",FALSE),INDEX(Regions!$D$5:$D$400,MATCH(LEFT(D193,2),Regions!$A$5:$A$400,0)),INDEX(Regions!$D$5:$D$400,MATCH("US",Regions!$A$5:$A$400,0)))))</f>
        <v/>
      </c>
      <c r="H193" s="28">
        <f>IF(C193="","",(1+Assumptions!$C$32)^((Assumptions!$C$33-E193)/365.25))</f>
        <v/>
      </c>
      <c r="I193" s="36">
        <f>IF(C193="",0,C193/G193*H193)</f>
        <v/>
      </c>
      <c r="J193" s="28">
        <f>IF(C193="",0,IFERROR(INDEX(Lookups!$Z$5:$Z$8,MATCH(F193,Lookups!$Y$5:$Y$8,0)),0.3)*0.5^((Assumptions!$C$33-E193)/365.25/Assumptions!$C$31))</f>
        <v/>
      </c>
    </row>
    <row r="194">
      <c r="G194" s="16">
        <f>IF(C194="","",IF(IFERROR(INDEX(Regions!$D$5:$D$400,MATCH(D194,Regions!$A$5:$A$400,0))&lt;&gt;"",FALSE),INDEX(Regions!$D$5:$D$400,MATCH(D194,Regions!$A$5:$A$400,0)),IF(IFERROR(INDEX(Regions!$D$5:$D$400,MATCH(LEFT(D194,2),Regions!$A$5:$A$400,0))&lt;&gt;"",FALSE),INDEX(Regions!$D$5:$D$400,MATCH(LEFT(D194,2),Regions!$A$5:$A$400,0)),INDEX(Regions!$D$5:$D$400,MATCH("US",Regions!$A$5:$A$400,0)))))</f>
        <v/>
      </c>
      <c r="H194" s="28">
        <f>IF(C194="","",(1+Assumptions!$C$32)^((Assumptions!$C$33-E194)/365.25))</f>
        <v/>
      </c>
      <c r="I194" s="36">
        <f>IF(C194="",0,C194/G194*H194)</f>
        <v/>
      </c>
      <c r="J194" s="28">
        <f>IF(C194="",0,IFERROR(INDEX(Lookups!$Z$5:$Z$8,MATCH(F194,Lookups!$Y$5:$Y$8,0)),0.3)*0.5^((Assumptions!$C$33-E194)/365.25/Assumptions!$C$31))</f>
        <v/>
      </c>
    </row>
    <row r="195">
      <c r="G195" s="16">
        <f>IF(C195="","",IF(IFERROR(INDEX(Regions!$D$5:$D$400,MATCH(D195,Regions!$A$5:$A$400,0))&lt;&gt;"",FALSE),INDEX(Regions!$D$5:$D$400,MATCH(D195,Regions!$A$5:$A$400,0)),IF(IFERROR(INDEX(Regions!$D$5:$D$400,MATCH(LEFT(D195,2),Regions!$A$5:$A$400,0))&lt;&gt;"",FALSE),INDEX(Regions!$D$5:$D$400,MATCH(LEFT(D195,2),Regions!$A$5:$A$400,0)),INDEX(Regions!$D$5:$D$400,MATCH("US",Regions!$A$5:$A$400,0)))))</f>
        <v/>
      </c>
      <c r="H195" s="28">
        <f>IF(C195="","",(1+Assumptions!$C$32)^((Assumptions!$C$33-E195)/365.25))</f>
        <v/>
      </c>
      <c r="I195" s="36">
        <f>IF(C195="",0,C195/G195*H195)</f>
        <v/>
      </c>
      <c r="J195" s="28">
        <f>IF(C195="",0,IFERROR(INDEX(Lookups!$Z$5:$Z$8,MATCH(F195,Lookups!$Y$5:$Y$8,0)),0.3)*0.5^((Assumptions!$C$33-E195)/365.25/Assumptions!$C$31))</f>
        <v/>
      </c>
    </row>
    <row r="196">
      <c r="G196" s="16">
        <f>IF(C196="","",IF(IFERROR(INDEX(Regions!$D$5:$D$400,MATCH(D196,Regions!$A$5:$A$400,0))&lt;&gt;"",FALSE),INDEX(Regions!$D$5:$D$400,MATCH(D196,Regions!$A$5:$A$400,0)),IF(IFERROR(INDEX(Regions!$D$5:$D$400,MATCH(LEFT(D196,2),Regions!$A$5:$A$400,0))&lt;&gt;"",FALSE),INDEX(Regions!$D$5:$D$400,MATCH(LEFT(D196,2),Regions!$A$5:$A$400,0)),INDEX(Regions!$D$5:$D$400,MATCH("US",Regions!$A$5:$A$400,0)))))</f>
        <v/>
      </c>
      <c r="H196" s="28">
        <f>IF(C196="","",(1+Assumptions!$C$32)^((Assumptions!$C$33-E196)/365.25))</f>
        <v/>
      </c>
      <c r="I196" s="36">
        <f>IF(C196="",0,C196/G196*H196)</f>
        <v/>
      </c>
      <c r="J196" s="28">
        <f>IF(C196="",0,IFERROR(INDEX(Lookups!$Z$5:$Z$8,MATCH(F196,Lookups!$Y$5:$Y$8,0)),0.3)*0.5^((Assumptions!$C$33-E196)/365.25/Assumptions!$C$31))</f>
        <v/>
      </c>
    </row>
    <row r="197">
      <c r="G197" s="16">
        <f>IF(C197="","",IF(IFERROR(INDEX(Regions!$D$5:$D$400,MATCH(D197,Regions!$A$5:$A$400,0))&lt;&gt;"",FALSE),INDEX(Regions!$D$5:$D$400,MATCH(D197,Regions!$A$5:$A$400,0)),IF(IFERROR(INDEX(Regions!$D$5:$D$400,MATCH(LEFT(D197,2),Regions!$A$5:$A$400,0))&lt;&gt;"",FALSE),INDEX(Regions!$D$5:$D$400,MATCH(LEFT(D197,2),Regions!$A$5:$A$400,0)),INDEX(Regions!$D$5:$D$400,MATCH("US",Regions!$A$5:$A$400,0)))))</f>
        <v/>
      </c>
      <c r="H197" s="28">
        <f>IF(C197="","",(1+Assumptions!$C$32)^((Assumptions!$C$33-E197)/365.25))</f>
        <v/>
      </c>
      <c r="I197" s="36">
        <f>IF(C197="",0,C197/G197*H197)</f>
        <v/>
      </c>
      <c r="J197" s="28">
        <f>IF(C197="",0,IFERROR(INDEX(Lookups!$Z$5:$Z$8,MATCH(F197,Lookups!$Y$5:$Y$8,0)),0.3)*0.5^((Assumptions!$C$33-E197)/365.25/Assumptions!$C$31))</f>
        <v/>
      </c>
    </row>
    <row r="198">
      <c r="G198" s="16">
        <f>IF(C198="","",IF(IFERROR(INDEX(Regions!$D$5:$D$400,MATCH(D198,Regions!$A$5:$A$400,0))&lt;&gt;"",FALSE),INDEX(Regions!$D$5:$D$400,MATCH(D198,Regions!$A$5:$A$400,0)),IF(IFERROR(INDEX(Regions!$D$5:$D$400,MATCH(LEFT(D198,2),Regions!$A$5:$A$400,0))&lt;&gt;"",FALSE),INDEX(Regions!$D$5:$D$400,MATCH(LEFT(D198,2),Regions!$A$5:$A$400,0)),INDEX(Regions!$D$5:$D$400,MATCH("US",Regions!$A$5:$A$400,0)))))</f>
        <v/>
      </c>
      <c r="H198" s="28">
        <f>IF(C198="","",(1+Assumptions!$C$32)^((Assumptions!$C$33-E198)/365.25))</f>
        <v/>
      </c>
      <c r="I198" s="36">
        <f>IF(C198="",0,C198/G198*H198)</f>
        <v/>
      </c>
      <c r="J198" s="28">
        <f>IF(C198="",0,IFERROR(INDEX(Lookups!$Z$5:$Z$8,MATCH(F198,Lookups!$Y$5:$Y$8,0)),0.3)*0.5^((Assumptions!$C$33-E198)/365.25/Assumptions!$C$31))</f>
        <v/>
      </c>
    </row>
    <row r="199">
      <c r="G199" s="16">
        <f>IF(C199="","",IF(IFERROR(INDEX(Regions!$D$5:$D$400,MATCH(D199,Regions!$A$5:$A$400,0))&lt;&gt;"",FALSE),INDEX(Regions!$D$5:$D$400,MATCH(D199,Regions!$A$5:$A$400,0)),IF(IFERROR(INDEX(Regions!$D$5:$D$400,MATCH(LEFT(D199,2),Regions!$A$5:$A$400,0))&lt;&gt;"",FALSE),INDEX(Regions!$D$5:$D$400,MATCH(LEFT(D199,2),Regions!$A$5:$A$400,0)),INDEX(Regions!$D$5:$D$400,MATCH("US",Regions!$A$5:$A$400,0)))))</f>
        <v/>
      </c>
      <c r="H199" s="28">
        <f>IF(C199="","",(1+Assumptions!$C$32)^((Assumptions!$C$33-E199)/365.25))</f>
        <v/>
      </c>
      <c r="I199" s="36">
        <f>IF(C199="",0,C199/G199*H199)</f>
        <v/>
      </c>
      <c r="J199" s="28">
        <f>IF(C199="",0,IFERROR(INDEX(Lookups!$Z$5:$Z$8,MATCH(F199,Lookups!$Y$5:$Y$8,0)),0.3)*0.5^((Assumptions!$C$33-E199)/365.25/Assumptions!$C$31))</f>
        <v/>
      </c>
    </row>
    <row r="200">
      <c r="G200" s="16">
        <f>IF(C200="","",IF(IFERROR(INDEX(Regions!$D$5:$D$400,MATCH(D200,Regions!$A$5:$A$400,0))&lt;&gt;"",FALSE),INDEX(Regions!$D$5:$D$400,MATCH(D200,Regions!$A$5:$A$400,0)),IF(IFERROR(INDEX(Regions!$D$5:$D$400,MATCH(LEFT(D200,2),Regions!$A$5:$A$400,0))&lt;&gt;"",FALSE),INDEX(Regions!$D$5:$D$400,MATCH(LEFT(D200,2),Regions!$A$5:$A$400,0)),INDEX(Regions!$D$5:$D$400,MATCH("US",Regions!$A$5:$A$400,0)))))</f>
        <v/>
      </c>
      <c r="H200" s="28">
        <f>IF(C200="","",(1+Assumptions!$C$32)^((Assumptions!$C$33-E200)/365.25))</f>
        <v/>
      </c>
      <c r="I200" s="36">
        <f>IF(C200="",0,C200/G200*H200)</f>
        <v/>
      </c>
      <c r="J200" s="28">
        <f>IF(C200="",0,IFERROR(INDEX(Lookups!$Z$5:$Z$8,MATCH(F200,Lookups!$Y$5:$Y$8,0)),0.3)*0.5^((Assumptions!$C$33-E200)/365.25/Assumptions!$C$31))</f>
        <v/>
      </c>
    </row>
    <row r="201">
      <c r="G201" s="16">
        <f>IF(C201="","",IF(IFERROR(INDEX(Regions!$D$5:$D$400,MATCH(D201,Regions!$A$5:$A$400,0))&lt;&gt;"",FALSE),INDEX(Regions!$D$5:$D$400,MATCH(D201,Regions!$A$5:$A$400,0)),IF(IFERROR(INDEX(Regions!$D$5:$D$400,MATCH(LEFT(D201,2),Regions!$A$5:$A$400,0))&lt;&gt;"",FALSE),INDEX(Regions!$D$5:$D$400,MATCH(LEFT(D201,2),Regions!$A$5:$A$400,0)),INDEX(Regions!$D$5:$D$400,MATCH("US",Regions!$A$5:$A$400,0)))))</f>
        <v/>
      </c>
      <c r="H201" s="28">
        <f>IF(C201="","",(1+Assumptions!$C$32)^((Assumptions!$C$33-E201)/365.25))</f>
        <v/>
      </c>
      <c r="I201" s="36">
        <f>IF(C201="",0,C201/G201*H201)</f>
        <v/>
      </c>
      <c r="J201" s="28">
        <f>IF(C201="",0,IFERROR(INDEX(Lookups!$Z$5:$Z$8,MATCH(F201,Lookups!$Y$5:$Y$8,0)),0.3)*0.5^((Assumptions!$C$33-E201)/365.25/Assumptions!$C$31))</f>
        <v/>
      </c>
    </row>
    <row r="202">
      <c r="G202" s="16">
        <f>IF(C202="","",IF(IFERROR(INDEX(Regions!$D$5:$D$400,MATCH(D202,Regions!$A$5:$A$400,0))&lt;&gt;"",FALSE),INDEX(Regions!$D$5:$D$400,MATCH(D202,Regions!$A$5:$A$400,0)),IF(IFERROR(INDEX(Regions!$D$5:$D$400,MATCH(LEFT(D202,2),Regions!$A$5:$A$400,0))&lt;&gt;"",FALSE),INDEX(Regions!$D$5:$D$400,MATCH(LEFT(D202,2),Regions!$A$5:$A$400,0)),INDEX(Regions!$D$5:$D$400,MATCH("US",Regions!$A$5:$A$400,0)))))</f>
        <v/>
      </c>
      <c r="H202" s="28">
        <f>IF(C202="","",(1+Assumptions!$C$32)^((Assumptions!$C$33-E202)/365.25))</f>
        <v/>
      </c>
      <c r="I202" s="36">
        <f>IF(C202="",0,C202/G202*H202)</f>
        <v/>
      </c>
      <c r="J202" s="28">
        <f>IF(C202="",0,IFERROR(INDEX(Lookups!$Z$5:$Z$8,MATCH(F202,Lookups!$Y$5:$Y$8,0)),0.3)*0.5^((Assumptions!$C$33-E202)/365.25/Assumptions!$C$31))</f>
        <v/>
      </c>
    </row>
    <row r="203">
      <c r="G203" s="16">
        <f>IF(C203="","",IF(IFERROR(INDEX(Regions!$D$5:$D$400,MATCH(D203,Regions!$A$5:$A$400,0))&lt;&gt;"",FALSE),INDEX(Regions!$D$5:$D$400,MATCH(D203,Regions!$A$5:$A$400,0)),IF(IFERROR(INDEX(Regions!$D$5:$D$400,MATCH(LEFT(D203,2),Regions!$A$5:$A$400,0))&lt;&gt;"",FALSE),INDEX(Regions!$D$5:$D$400,MATCH(LEFT(D203,2),Regions!$A$5:$A$400,0)),INDEX(Regions!$D$5:$D$400,MATCH("US",Regions!$A$5:$A$400,0)))))</f>
        <v/>
      </c>
      <c r="H203" s="28">
        <f>IF(C203="","",(1+Assumptions!$C$32)^((Assumptions!$C$33-E203)/365.25))</f>
        <v/>
      </c>
      <c r="I203" s="36">
        <f>IF(C203="",0,C203/G203*H203)</f>
        <v/>
      </c>
      <c r="J203" s="28">
        <f>IF(C203="",0,IFERROR(INDEX(Lookups!$Z$5:$Z$8,MATCH(F203,Lookups!$Y$5:$Y$8,0)),0.3)*0.5^((Assumptions!$C$33-E203)/365.25/Assumptions!$C$31))</f>
        <v/>
      </c>
    </row>
    <row r="204">
      <c r="G204" s="16">
        <f>IF(C204="","",IF(IFERROR(INDEX(Regions!$D$5:$D$400,MATCH(D204,Regions!$A$5:$A$400,0))&lt;&gt;"",FALSE),INDEX(Regions!$D$5:$D$400,MATCH(D204,Regions!$A$5:$A$400,0)),IF(IFERROR(INDEX(Regions!$D$5:$D$400,MATCH(LEFT(D204,2),Regions!$A$5:$A$400,0))&lt;&gt;"",FALSE),INDEX(Regions!$D$5:$D$400,MATCH(LEFT(D204,2),Regions!$A$5:$A$400,0)),INDEX(Regions!$D$5:$D$400,MATCH("US",Regions!$A$5:$A$400,0)))))</f>
        <v/>
      </c>
      <c r="H204" s="28">
        <f>IF(C204="","",(1+Assumptions!$C$32)^((Assumptions!$C$33-E204)/365.25))</f>
        <v/>
      </c>
      <c r="I204" s="36">
        <f>IF(C204="",0,C204/G204*H204)</f>
        <v/>
      </c>
      <c r="J204" s="28">
        <f>IF(C204="",0,IFERROR(INDEX(Lookups!$Z$5:$Z$8,MATCH(F204,Lookups!$Y$5:$Y$8,0)),0.3)*0.5^((Assumptions!$C$33-E204)/365.25/Assumptions!$C$31))</f>
        <v/>
      </c>
    </row>
    <row r="205">
      <c r="G205" s="16">
        <f>IF(C205="","",IF(IFERROR(INDEX(Regions!$D$5:$D$400,MATCH(D205,Regions!$A$5:$A$400,0))&lt;&gt;"",FALSE),INDEX(Regions!$D$5:$D$400,MATCH(D205,Regions!$A$5:$A$400,0)),IF(IFERROR(INDEX(Regions!$D$5:$D$400,MATCH(LEFT(D205,2),Regions!$A$5:$A$400,0))&lt;&gt;"",FALSE),INDEX(Regions!$D$5:$D$400,MATCH(LEFT(D205,2),Regions!$A$5:$A$400,0)),INDEX(Regions!$D$5:$D$400,MATCH("US",Regions!$A$5:$A$400,0)))))</f>
        <v/>
      </c>
      <c r="H205" s="28">
        <f>IF(C205="","",(1+Assumptions!$C$32)^((Assumptions!$C$33-E205)/365.25))</f>
        <v/>
      </c>
      <c r="I205" s="36">
        <f>IF(C205="",0,C205/G205*H205)</f>
        <v/>
      </c>
      <c r="J205" s="28">
        <f>IF(C205="",0,IFERROR(INDEX(Lookups!$Z$5:$Z$8,MATCH(F205,Lookups!$Y$5:$Y$8,0)),0.3)*0.5^((Assumptions!$C$33-E205)/365.25/Assumptions!$C$31))</f>
        <v/>
      </c>
    </row>
    <row r="206">
      <c r="G206" s="16">
        <f>IF(C206="","",IF(IFERROR(INDEX(Regions!$D$5:$D$400,MATCH(D206,Regions!$A$5:$A$400,0))&lt;&gt;"",FALSE),INDEX(Regions!$D$5:$D$400,MATCH(D206,Regions!$A$5:$A$400,0)),IF(IFERROR(INDEX(Regions!$D$5:$D$400,MATCH(LEFT(D206,2),Regions!$A$5:$A$400,0))&lt;&gt;"",FALSE),INDEX(Regions!$D$5:$D$400,MATCH(LEFT(D206,2),Regions!$A$5:$A$400,0)),INDEX(Regions!$D$5:$D$400,MATCH("US",Regions!$A$5:$A$400,0)))))</f>
        <v/>
      </c>
      <c r="H206" s="28">
        <f>IF(C206="","",(1+Assumptions!$C$32)^((Assumptions!$C$33-E206)/365.25))</f>
        <v/>
      </c>
      <c r="I206" s="36">
        <f>IF(C206="",0,C206/G206*H206)</f>
        <v/>
      </c>
      <c r="J206" s="28">
        <f>IF(C206="",0,IFERROR(INDEX(Lookups!$Z$5:$Z$8,MATCH(F206,Lookups!$Y$5:$Y$8,0)),0.3)*0.5^((Assumptions!$C$33-E206)/365.25/Assumptions!$C$31))</f>
        <v/>
      </c>
    </row>
    <row r="207">
      <c r="G207" s="16">
        <f>IF(C207="","",IF(IFERROR(INDEX(Regions!$D$5:$D$400,MATCH(D207,Regions!$A$5:$A$400,0))&lt;&gt;"",FALSE),INDEX(Regions!$D$5:$D$400,MATCH(D207,Regions!$A$5:$A$400,0)),IF(IFERROR(INDEX(Regions!$D$5:$D$400,MATCH(LEFT(D207,2),Regions!$A$5:$A$400,0))&lt;&gt;"",FALSE),INDEX(Regions!$D$5:$D$400,MATCH(LEFT(D207,2),Regions!$A$5:$A$400,0)),INDEX(Regions!$D$5:$D$400,MATCH("US",Regions!$A$5:$A$400,0)))))</f>
        <v/>
      </c>
      <c r="H207" s="28">
        <f>IF(C207="","",(1+Assumptions!$C$32)^((Assumptions!$C$33-E207)/365.25))</f>
        <v/>
      </c>
      <c r="I207" s="36">
        <f>IF(C207="",0,C207/G207*H207)</f>
        <v/>
      </c>
      <c r="J207" s="28">
        <f>IF(C207="",0,IFERROR(INDEX(Lookups!$Z$5:$Z$8,MATCH(F207,Lookups!$Y$5:$Y$8,0)),0.3)*0.5^((Assumptions!$C$33-E207)/365.25/Assumptions!$C$31))</f>
        <v/>
      </c>
    </row>
    <row r="208">
      <c r="G208" s="16">
        <f>IF(C208="","",IF(IFERROR(INDEX(Regions!$D$5:$D$400,MATCH(D208,Regions!$A$5:$A$400,0))&lt;&gt;"",FALSE),INDEX(Regions!$D$5:$D$400,MATCH(D208,Regions!$A$5:$A$400,0)),IF(IFERROR(INDEX(Regions!$D$5:$D$400,MATCH(LEFT(D208,2),Regions!$A$5:$A$400,0))&lt;&gt;"",FALSE),INDEX(Regions!$D$5:$D$400,MATCH(LEFT(D208,2),Regions!$A$5:$A$400,0)),INDEX(Regions!$D$5:$D$400,MATCH("US",Regions!$A$5:$A$400,0)))))</f>
        <v/>
      </c>
      <c r="H208" s="28">
        <f>IF(C208="","",(1+Assumptions!$C$32)^((Assumptions!$C$33-E208)/365.25))</f>
        <v/>
      </c>
      <c r="I208" s="36">
        <f>IF(C208="",0,C208/G208*H208)</f>
        <v/>
      </c>
      <c r="J208" s="28">
        <f>IF(C208="",0,IFERROR(INDEX(Lookups!$Z$5:$Z$8,MATCH(F208,Lookups!$Y$5:$Y$8,0)),0.3)*0.5^((Assumptions!$C$33-E208)/365.25/Assumptions!$C$31))</f>
        <v/>
      </c>
    </row>
    <row r="209">
      <c r="G209" s="16">
        <f>IF(C209="","",IF(IFERROR(INDEX(Regions!$D$5:$D$400,MATCH(D209,Regions!$A$5:$A$400,0))&lt;&gt;"",FALSE),INDEX(Regions!$D$5:$D$400,MATCH(D209,Regions!$A$5:$A$400,0)),IF(IFERROR(INDEX(Regions!$D$5:$D$400,MATCH(LEFT(D209,2),Regions!$A$5:$A$400,0))&lt;&gt;"",FALSE),INDEX(Regions!$D$5:$D$400,MATCH(LEFT(D209,2),Regions!$A$5:$A$400,0)),INDEX(Regions!$D$5:$D$400,MATCH("US",Regions!$A$5:$A$400,0)))))</f>
        <v/>
      </c>
      <c r="H209" s="28">
        <f>IF(C209="","",(1+Assumptions!$C$32)^((Assumptions!$C$33-E209)/365.25))</f>
        <v/>
      </c>
      <c r="I209" s="36">
        <f>IF(C209="",0,C209/G209*H209)</f>
        <v/>
      </c>
      <c r="J209" s="28">
        <f>IF(C209="",0,IFERROR(INDEX(Lookups!$Z$5:$Z$8,MATCH(F209,Lookups!$Y$5:$Y$8,0)),0.3)*0.5^((Assumptions!$C$33-E209)/365.25/Assumptions!$C$31))</f>
        <v/>
      </c>
    </row>
    <row r="210">
      <c r="G210" s="16">
        <f>IF(C210="","",IF(IFERROR(INDEX(Regions!$D$5:$D$400,MATCH(D210,Regions!$A$5:$A$400,0))&lt;&gt;"",FALSE),INDEX(Regions!$D$5:$D$400,MATCH(D210,Regions!$A$5:$A$400,0)),IF(IFERROR(INDEX(Regions!$D$5:$D$400,MATCH(LEFT(D210,2),Regions!$A$5:$A$400,0))&lt;&gt;"",FALSE),INDEX(Regions!$D$5:$D$400,MATCH(LEFT(D210,2),Regions!$A$5:$A$400,0)),INDEX(Regions!$D$5:$D$400,MATCH("US",Regions!$A$5:$A$400,0)))))</f>
        <v/>
      </c>
      <c r="H210" s="28">
        <f>IF(C210="","",(1+Assumptions!$C$32)^((Assumptions!$C$33-E210)/365.25))</f>
        <v/>
      </c>
      <c r="I210" s="36">
        <f>IF(C210="",0,C210/G210*H210)</f>
        <v/>
      </c>
      <c r="J210" s="28">
        <f>IF(C210="",0,IFERROR(INDEX(Lookups!$Z$5:$Z$8,MATCH(F210,Lookups!$Y$5:$Y$8,0)),0.3)*0.5^((Assumptions!$C$33-E210)/365.25/Assumptions!$C$31))</f>
        <v/>
      </c>
    </row>
    <row r="211">
      <c r="G211" s="16">
        <f>IF(C211="","",IF(IFERROR(INDEX(Regions!$D$5:$D$400,MATCH(D211,Regions!$A$5:$A$400,0))&lt;&gt;"",FALSE),INDEX(Regions!$D$5:$D$400,MATCH(D211,Regions!$A$5:$A$400,0)),IF(IFERROR(INDEX(Regions!$D$5:$D$400,MATCH(LEFT(D211,2),Regions!$A$5:$A$400,0))&lt;&gt;"",FALSE),INDEX(Regions!$D$5:$D$400,MATCH(LEFT(D211,2),Regions!$A$5:$A$400,0)),INDEX(Regions!$D$5:$D$400,MATCH("US",Regions!$A$5:$A$400,0)))))</f>
        <v/>
      </c>
      <c r="H211" s="28">
        <f>IF(C211="","",(1+Assumptions!$C$32)^((Assumptions!$C$33-E211)/365.25))</f>
        <v/>
      </c>
      <c r="I211" s="36">
        <f>IF(C211="",0,C211/G211*H211)</f>
        <v/>
      </c>
      <c r="J211" s="28">
        <f>IF(C211="",0,IFERROR(INDEX(Lookups!$Z$5:$Z$8,MATCH(F211,Lookups!$Y$5:$Y$8,0)),0.3)*0.5^((Assumptions!$C$33-E211)/365.25/Assumptions!$C$31))</f>
        <v/>
      </c>
    </row>
    <row r="212">
      <c r="G212" s="16">
        <f>IF(C212="","",IF(IFERROR(INDEX(Regions!$D$5:$D$400,MATCH(D212,Regions!$A$5:$A$400,0))&lt;&gt;"",FALSE),INDEX(Regions!$D$5:$D$400,MATCH(D212,Regions!$A$5:$A$400,0)),IF(IFERROR(INDEX(Regions!$D$5:$D$400,MATCH(LEFT(D212,2),Regions!$A$5:$A$400,0))&lt;&gt;"",FALSE),INDEX(Regions!$D$5:$D$400,MATCH(LEFT(D212,2),Regions!$A$5:$A$400,0)),INDEX(Regions!$D$5:$D$400,MATCH("US",Regions!$A$5:$A$400,0)))))</f>
        <v/>
      </c>
      <c r="H212" s="28">
        <f>IF(C212="","",(1+Assumptions!$C$32)^((Assumptions!$C$33-E212)/365.25))</f>
        <v/>
      </c>
      <c r="I212" s="36">
        <f>IF(C212="",0,C212/G212*H212)</f>
        <v/>
      </c>
      <c r="J212" s="28">
        <f>IF(C212="",0,IFERROR(INDEX(Lookups!$Z$5:$Z$8,MATCH(F212,Lookups!$Y$5:$Y$8,0)),0.3)*0.5^((Assumptions!$C$33-E212)/365.25/Assumptions!$C$31))</f>
        <v/>
      </c>
    </row>
    <row r="213">
      <c r="G213" s="16">
        <f>IF(C213="","",IF(IFERROR(INDEX(Regions!$D$5:$D$400,MATCH(D213,Regions!$A$5:$A$400,0))&lt;&gt;"",FALSE),INDEX(Regions!$D$5:$D$400,MATCH(D213,Regions!$A$5:$A$400,0)),IF(IFERROR(INDEX(Regions!$D$5:$D$400,MATCH(LEFT(D213,2),Regions!$A$5:$A$400,0))&lt;&gt;"",FALSE),INDEX(Regions!$D$5:$D$400,MATCH(LEFT(D213,2),Regions!$A$5:$A$400,0)),INDEX(Regions!$D$5:$D$400,MATCH("US",Regions!$A$5:$A$400,0)))))</f>
        <v/>
      </c>
      <c r="H213" s="28">
        <f>IF(C213="","",(1+Assumptions!$C$32)^((Assumptions!$C$33-E213)/365.25))</f>
        <v/>
      </c>
      <c r="I213" s="36">
        <f>IF(C213="",0,C213/G213*H213)</f>
        <v/>
      </c>
      <c r="J213" s="28">
        <f>IF(C213="",0,IFERROR(INDEX(Lookups!$Z$5:$Z$8,MATCH(F213,Lookups!$Y$5:$Y$8,0)),0.3)*0.5^((Assumptions!$C$33-E213)/365.25/Assumptions!$C$31))</f>
        <v/>
      </c>
    </row>
    <row r="214">
      <c r="G214" s="16">
        <f>IF(C214="","",IF(IFERROR(INDEX(Regions!$D$5:$D$400,MATCH(D214,Regions!$A$5:$A$400,0))&lt;&gt;"",FALSE),INDEX(Regions!$D$5:$D$400,MATCH(D214,Regions!$A$5:$A$400,0)),IF(IFERROR(INDEX(Regions!$D$5:$D$400,MATCH(LEFT(D214,2),Regions!$A$5:$A$400,0))&lt;&gt;"",FALSE),INDEX(Regions!$D$5:$D$400,MATCH(LEFT(D214,2),Regions!$A$5:$A$400,0)),INDEX(Regions!$D$5:$D$400,MATCH("US",Regions!$A$5:$A$400,0)))))</f>
        <v/>
      </c>
      <c r="H214" s="28">
        <f>IF(C214="","",(1+Assumptions!$C$32)^((Assumptions!$C$33-E214)/365.25))</f>
        <v/>
      </c>
      <c r="I214" s="36">
        <f>IF(C214="",0,C214/G214*H214)</f>
        <v/>
      </c>
      <c r="J214" s="28">
        <f>IF(C214="",0,IFERROR(INDEX(Lookups!$Z$5:$Z$8,MATCH(F214,Lookups!$Y$5:$Y$8,0)),0.3)*0.5^((Assumptions!$C$33-E214)/365.25/Assumptions!$C$31))</f>
        <v/>
      </c>
    </row>
    <row r="215">
      <c r="G215" s="16">
        <f>IF(C215="","",IF(IFERROR(INDEX(Regions!$D$5:$D$400,MATCH(D215,Regions!$A$5:$A$400,0))&lt;&gt;"",FALSE),INDEX(Regions!$D$5:$D$400,MATCH(D215,Regions!$A$5:$A$400,0)),IF(IFERROR(INDEX(Regions!$D$5:$D$400,MATCH(LEFT(D215,2),Regions!$A$5:$A$400,0))&lt;&gt;"",FALSE),INDEX(Regions!$D$5:$D$400,MATCH(LEFT(D215,2),Regions!$A$5:$A$400,0)),INDEX(Regions!$D$5:$D$400,MATCH("US",Regions!$A$5:$A$400,0)))))</f>
        <v/>
      </c>
      <c r="H215" s="28">
        <f>IF(C215="","",(1+Assumptions!$C$32)^((Assumptions!$C$33-E215)/365.25))</f>
        <v/>
      </c>
      <c r="I215" s="36">
        <f>IF(C215="",0,C215/G215*H215)</f>
        <v/>
      </c>
      <c r="J215" s="28">
        <f>IF(C215="",0,IFERROR(INDEX(Lookups!$Z$5:$Z$8,MATCH(F215,Lookups!$Y$5:$Y$8,0)),0.3)*0.5^((Assumptions!$C$33-E215)/365.25/Assumptions!$C$31))</f>
        <v/>
      </c>
    </row>
    <row r="216">
      <c r="G216" s="16">
        <f>IF(C216="","",IF(IFERROR(INDEX(Regions!$D$5:$D$400,MATCH(D216,Regions!$A$5:$A$400,0))&lt;&gt;"",FALSE),INDEX(Regions!$D$5:$D$400,MATCH(D216,Regions!$A$5:$A$400,0)),IF(IFERROR(INDEX(Regions!$D$5:$D$400,MATCH(LEFT(D216,2),Regions!$A$5:$A$400,0))&lt;&gt;"",FALSE),INDEX(Regions!$D$5:$D$400,MATCH(LEFT(D216,2),Regions!$A$5:$A$400,0)),INDEX(Regions!$D$5:$D$400,MATCH("US",Regions!$A$5:$A$400,0)))))</f>
        <v/>
      </c>
      <c r="H216" s="28">
        <f>IF(C216="","",(1+Assumptions!$C$32)^((Assumptions!$C$33-E216)/365.25))</f>
        <v/>
      </c>
      <c r="I216" s="36">
        <f>IF(C216="",0,C216/G216*H216)</f>
        <v/>
      </c>
      <c r="J216" s="28">
        <f>IF(C216="",0,IFERROR(INDEX(Lookups!$Z$5:$Z$8,MATCH(F216,Lookups!$Y$5:$Y$8,0)),0.3)*0.5^((Assumptions!$C$33-E216)/365.25/Assumptions!$C$31))</f>
        <v/>
      </c>
    </row>
    <row r="217">
      <c r="G217" s="16">
        <f>IF(C217="","",IF(IFERROR(INDEX(Regions!$D$5:$D$400,MATCH(D217,Regions!$A$5:$A$400,0))&lt;&gt;"",FALSE),INDEX(Regions!$D$5:$D$400,MATCH(D217,Regions!$A$5:$A$400,0)),IF(IFERROR(INDEX(Regions!$D$5:$D$400,MATCH(LEFT(D217,2),Regions!$A$5:$A$400,0))&lt;&gt;"",FALSE),INDEX(Regions!$D$5:$D$400,MATCH(LEFT(D217,2),Regions!$A$5:$A$400,0)),INDEX(Regions!$D$5:$D$400,MATCH("US",Regions!$A$5:$A$400,0)))))</f>
        <v/>
      </c>
      <c r="H217" s="28">
        <f>IF(C217="","",(1+Assumptions!$C$32)^((Assumptions!$C$33-E217)/365.25))</f>
        <v/>
      </c>
      <c r="I217" s="36">
        <f>IF(C217="",0,C217/G217*H217)</f>
        <v/>
      </c>
      <c r="J217" s="28">
        <f>IF(C217="",0,IFERROR(INDEX(Lookups!$Z$5:$Z$8,MATCH(F217,Lookups!$Y$5:$Y$8,0)),0.3)*0.5^((Assumptions!$C$33-E217)/365.25/Assumptions!$C$31))</f>
        <v/>
      </c>
    </row>
    <row r="218">
      <c r="G218" s="16">
        <f>IF(C218="","",IF(IFERROR(INDEX(Regions!$D$5:$D$400,MATCH(D218,Regions!$A$5:$A$400,0))&lt;&gt;"",FALSE),INDEX(Regions!$D$5:$D$400,MATCH(D218,Regions!$A$5:$A$400,0)),IF(IFERROR(INDEX(Regions!$D$5:$D$400,MATCH(LEFT(D218,2),Regions!$A$5:$A$400,0))&lt;&gt;"",FALSE),INDEX(Regions!$D$5:$D$400,MATCH(LEFT(D218,2),Regions!$A$5:$A$400,0)),INDEX(Regions!$D$5:$D$400,MATCH("US",Regions!$A$5:$A$400,0)))))</f>
        <v/>
      </c>
      <c r="H218" s="28">
        <f>IF(C218="","",(1+Assumptions!$C$32)^((Assumptions!$C$33-E218)/365.25))</f>
        <v/>
      </c>
      <c r="I218" s="36">
        <f>IF(C218="",0,C218/G218*H218)</f>
        <v/>
      </c>
      <c r="J218" s="28">
        <f>IF(C218="",0,IFERROR(INDEX(Lookups!$Z$5:$Z$8,MATCH(F218,Lookups!$Y$5:$Y$8,0)),0.3)*0.5^((Assumptions!$C$33-E218)/365.25/Assumptions!$C$31))</f>
        <v/>
      </c>
    </row>
    <row r="219">
      <c r="G219" s="16">
        <f>IF(C219="","",IF(IFERROR(INDEX(Regions!$D$5:$D$400,MATCH(D219,Regions!$A$5:$A$400,0))&lt;&gt;"",FALSE),INDEX(Regions!$D$5:$D$400,MATCH(D219,Regions!$A$5:$A$400,0)),IF(IFERROR(INDEX(Regions!$D$5:$D$400,MATCH(LEFT(D219,2),Regions!$A$5:$A$400,0))&lt;&gt;"",FALSE),INDEX(Regions!$D$5:$D$400,MATCH(LEFT(D219,2),Regions!$A$5:$A$400,0)),INDEX(Regions!$D$5:$D$400,MATCH("US",Regions!$A$5:$A$400,0)))))</f>
        <v/>
      </c>
      <c r="H219" s="28">
        <f>IF(C219="","",(1+Assumptions!$C$32)^((Assumptions!$C$33-E219)/365.25))</f>
        <v/>
      </c>
      <c r="I219" s="36">
        <f>IF(C219="",0,C219/G219*H219)</f>
        <v/>
      </c>
      <c r="J219" s="28">
        <f>IF(C219="",0,IFERROR(INDEX(Lookups!$Z$5:$Z$8,MATCH(F219,Lookups!$Y$5:$Y$8,0)),0.3)*0.5^((Assumptions!$C$33-E219)/365.25/Assumptions!$C$31))</f>
        <v/>
      </c>
    </row>
    <row r="220">
      <c r="G220" s="16">
        <f>IF(C220="","",IF(IFERROR(INDEX(Regions!$D$5:$D$400,MATCH(D220,Regions!$A$5:$A$400,0))&lt;&gt;"",FALSE),INDEX(Regions!$D$5:$D$400,MATCH(D220,Regions!$A$5:$A$400,0)),IF(IFERROR(INDEX(Regions!$D$5:$D$400,MATCH(LEFT(D220,2),Regions!$A$5:$A$400,0))&lt;&gt;"",FALSE),INDEX(Regions!$D$5:$D$400,MATCH(LEFT(D220,2),Regions!$A$5:$A$400,0)),INDEX(Regions!$D$5:$D$400,MATCH("US",Regions!$A$5:$A$400,0)))))</f>
        <v/>
      </c>
      <c r="H220" s="28">
        <f>IF(C220="","",(1+Assumptions!$C$32)^((Assumptions!$C$33-E220)/365.25))</f>
        <v/>
      </c>
      <c r="I220" s="36">
        <f>IF(C220="",0,C220/G220*H220)</f>
        <v/>
      </c>
      <c r="J220" s="28">
        <f>IF(C220="",0,IFERROR(INDEX(Lookups!$Z$5:$Z$8,MATCH(F220,Lookups!$Y$5:$Y$8,0)),0.3)*0.5^((Assumptions!$C$33-E220)/365.25/Assumptions!$C$31))</f>
        <v/>
      </c>
    </row>
    <row r="221">
      <c r="G221" s="16">
        <f>IF(C221="","",IF(IFERROR(INDEX(Regions!$D$5:$D$400,MATCH(D221,Regions!$A$5:$A$400,0))&lt;&gt;"",FALSE),INDEX(Regions!$D$5:$D$400,MATCH(D221,Regions!$A$5:$A$400,0)),IF(IFERROR(INDEX(Regions!$D$5:$D$400,MATCH(LEFT(D221,2),Regions!$A$5:$A$400,0))&lt;&gt;"",FALSE),INDEX(Regions!$D$5:$D$400,MATCH(LEFT(D221,2),Regions!$A$5:$A$400,0)),INDEX(Regions!$D$5:$D$400,MATCH("US",Regions!$A$5:$A$400,0)))))</f>
        <v/>
      </c>
      <c r="H221" s="28">
        <f>IF(C221="","",(1+Assumptions!$C$32)^((Assumptions!$C$33-E221)/365.25))</f>
        <v/>
      </c>
      <c r="I221" s="36">
        <f>IF(C221="",0,C221/G221*H221)</f>
        <v/>
      </c>
      <c r="J221" s="28">
        <f>IF(C221="",0,IFERROR(INDEX(Lookups!$Z$5:$Z$8,MATCH(F221,Lookups!$Y$5:$Y$8,0)),0.3)*0.5^((Assumptions!$C$33-E221)/365.25/Assumptions!$C$31))</f>
        <v/>
      </c>
    </row>
    <row r="222">
      <c r="G222" s="16">
        <f>IF(C222="","",IF(IFERROR(INDEX(Regions!$D$5:$D$400,MATCH(D222,Regions!$A$5:$A$400,0))&lt;&gt;"",FALSE),INDEX(Regions!$D$5:$D$400,MATCH(D222,Regions!$A$5:$A$400,0)),IF(IFERROR(INDEX(Regions!$D$5:$D$400,MATCH(LEFT(D222,2),Regions!$A$5:$A$400,0))&lt;&gt;"",FALSE),INDEX(Regions!$D$5:$D$400,MATCH(LEFT(D222,2),Regions!$A$5:$A$400,0)),INDEX(Regions!$D$5:$D$400,MATCH("US",Regions!$A$5:$A$400,0)))))</f>
        <v/>
      </c>
      <c r="H222" s="28">
        <f>IF(C222="","",(1+Assumptions!$C$32)^((Assumptions!$C$33-E222)/365.25))</f>
        <v/>
      </c>
      <c r="I222" s="36">
        <f>IF(C222="",0,C222/G222*H222)</f>
        <v/>
      </c>
      <c r="J222" s="28">
        <f>IF(C222="",0,IFERROR(INDEX(Lookups!$Z$5:$Z$8,MATCH(F222,Lookups!$Y$5:$Y$8,0)),0.3)*0.5^((Assumptions!$C$33-E222)/365.25/Assumptions!$C$31))</f>
        <v/>
      </c>
    </row>
    <row r="223">
      <c r="G223" s="16">
        <f>IF(C223="","",IF(IFERROR(INDEX(Regions!$D$5:$D$400,MATCH(D223,Regions!$A$5:$A$400,0))&lt;&gt;"",FALSE),INDEX(Regions!$D$5:$D$400,MATCH(D223,Regions!$A$5:$A$400,0)),IF(IFERROR(INDEX(Regions!$D$5:$D$400,MATCH(LEFT(D223,2),Regions!$A$5:$A$400,0))&lt;&gt;"",FALSE),INDEX(Regions!$D$5:$D$400,MATCH(LEFT(D223,2),Regions!$A$5:$A$400,0)),INDEX(Regions!$D$5:$D$400,MATCH("US",Regions!$A$5:$A$400,0)))))</f>
        <v/>
      </c>
      <c r="H223" s="28">
        <f>IF(C223="","",(1+Assumptions!$C$32)^((Assumptions!$C$33-E223)/365.25))</f>
        <v/>
      </c>
      <c r="I223" s="36">
        <f>IF(C223="",0,C223/G223*H223)</f>
        <v/>
      </c>
      <c r="J223" s="28">
        <f>IF(C223="",0,IFERROR(INDEX(Lookups!$Z$5:$Z$8,MATCH(F223,Lookups!$Y$5:$Y$8,0)),0.3)*0.5^((Assumptions!$C$33-E223)/365.25/Assumptions!$C$31))</f>
        <v/>
      </c>
    </row>
    <row r="224">
      <c r="G224" s="16">
        <f>IF(C224="","",IF(IFERROR(INDEX(Regions!$D$5:$D$400,MATCH(D224,Regions!$A$5:$A$400,0))&lt;&gt;"",FALSE),INDEX(Regions!$D$5:$D$400,MATCH(D224,Regions!$A$5:$A$400,0)),IF(IFERROR(INDEX(Regions!$D$5:$D$400,MATCH(LEFT(D224,2),Regions!$A$5:$A$400,0))&lt;&gt;"",FALSE),INDEX(Regions!$D$5:$D$400,MATCH(LEFT(D224,2),Regions!$A$5:$A$400,0)),INDEX(Regions!$D$5:$D$400,MATCH("US",Regions!$A$5:$A$400,0)))))</f>
        <v/>
      </c>
      <c r="H224" s="28">
        <f>IF(C224="","",(1+Assumptions!$C$32)^((Assumptions!$C$33-E224)/365.25))</f>
        <v/>
      </c>
      <c r="I224" s="36">
        <f>IF(C224="",0,C224/G224*H224)</f>
        <v/>
      </c>
      <c r="J224" s="28">
        <f>IF(C224="",0,IFERROR(INDEX(Lookups!$Z$5:$Z$8,MATCH(F224,Lookups!$Y$5:$Y$8,0)),0.3)*0.5^((Assumptions!$C$33-E224)/365.25/Assumptions!$C$31))</f>
        <v/>
      </c>
    </row>
    <row r="225">
      <c r="G225" s="16">
        <f>IF(C225="","",IF(IFERROR(INDEX(Regions!$D$5:$D$400,MATCH(D225,Regions!$A$5:$A$400,0))&lt;&gt;"",FALSE),INDEX(Regions!$D$5:$D$400,MATCH(D225,Regions!$A$5:$A$400,0)),IF(IFERROR(INDEX(Regions!$D$5:$D$400,MATCH(LEFT(D225,2),Regions!$A$5:$A$400,0))&lt;&gt;"",FALSE),INDEX(Regions!$D$5:$D$400,MATCH(LEFT(D225,2),Regions!$A$5:$A$400,0)),INDEX(Regions!$D$5:$D$400,MATCH("US",Regions!$A$5:$A$400,0)))))</f>
        <v/>
      </c>
      <c r="H225" s="28">
        <f>IF(C225="","",(1+Assumptions!$C$32)^((Assumptions!$C$33-E225)/365.25))</f>
        <v/>
      </c>
      <c r="I225" s="36">
        <f>IF(C225="",0,C225/G225*H225)</f>
        <v/>
      </c>
      <c r="J225" s="28">
        <f>IF(C225="",0,IFERROR(INDEX(Lookups!$Z$5:$Z$8,MATCH(F225,Lookups!$Y$5:$Y$8,0)),0.3)*0.5^((Assumptions!$C$33-E225)/365.25/Assumptions!$C$31))</f>
        <v/>
      </c>
    </row>
    <row r="226">
      <c r="G226" s="16">
        <f>IF(C226="","",IF(IFERROR(INDEX(Regions!$D$5:$D$400,MATCH(D226,Regions!$A$5:$A$400,0))&lt;&gt;"",FALSE),INDEX(Regions!$D$5:$D$400,MATCH(D226,Regions!$A$5:$A$400,0)),IF(IFERROR(INDEX(Regions!$D$5:$D$400,MATCH(LEFT(D226,2),Regions!$A$5:$A$400,0))&lt;&gt;"",FALSE),INDEX(Regions!$D$5:$D$400,MATCH(LEFT(D226,2),Regions!$A$5:$A$400,0)),INDEX(Regions!$D$5:$D$400,MATCH("US",Regions!$A$5:$A$400,0)))))</f>
        <v/>
      </c>
      <c r="H226" s="28">
        <f>IF(C226="","",(1+Assumptions!$C$32)^((Assumptions!$C$33-E226)/365.25))</f>
        <v/>
      </c>
      <c r="I226" s="36">
        <f>IF(C226="",0,C226/G226*H226)</f>
        <v/>
      </c>
      <c r="J226" s="28">
        <f>IF(C226="",0,IFERROR(INDEX(Lookups!$Z$5:$Z$8,MATCH(F226,Lookups!$Y$5:$Y$8,0)),0.3)*0.5^((Assumptions!$C$33-E226)/365.25/Assumptions!$C$31))</f>
        <v/>
      </c>
    </row>
    <row r="227">
      <c r="G227" s="16">
        <f>IF(C227="","",IF(IFERROR(INDEX(Regions!$D$5:$D$400,MATCH(D227,Regions!$A$5:$A$400,0))&lt;&gt;"",FALSE),INDEX(Regions!$D$5:$D$400,MATCH(D227,Regions!$A$5:$A$400,0)),IF(IFERROR(INDEX(Regions!$D$5:$D$400,MATCH(LEFT(D227,2),Regions!$A$5:$A$400,0))&lt;&gt;"",FALSE),INDEX(Regions!$D$5:$D$400,MATCH(LEFT(D227,2),Regions!$A$5:$A$400,0)),INDEX(Regions!$D$5:$D$400,MATCH("US",Regions!$A$5:$A$400,0)))))</f>
        <v/>
      </c>
      <c r="H227" s="28">
        <f>IF(C227="","",(1+Assumptions!$C$32)^((Assumptions!$C$33-E227)/365.25))</f>
        <v/>
      </c>
      <c r="I227" s="36">
        <f>IF(C227="",0,C227/G227*H227)</f>
        <v/>
      </c>
      <c r="J227" s="28">
        <f>IF(C227="",0,IFERROR(INDEX(Lookups!$Z$5:$Z$8,MATCH(F227,Lookups!$Y$5:$Y$8,0)),0.3)*0.5^((Assumptions!$C$33-E227)/365.25/Assumptions!$C$31))</f>
        <v/>
      </c>
    </row>
    <row r="228">
      <c r="G228" s="16">
        <f>IF(C228="","",IF(IFERROR(INDEX(Regions!$D$5:$D$400,MATCH(D228,Regions!$A$5:$A$400,0))&lt;&gt;"",FALSE),INDEX(Regions!$D$5:$D$400,MATCH(D228,Regions!$A$5:$A$400,0)),IF(IFERROR(INDEX(Regions!$D$5:$D$400,MATCH(LEFT(D228,2),Regions!$A$5:$A$400,0))&lt;&gt;"",FALSE),INDEX(Regions!$D$5:$D$400,MATCH(LEFT(D228,2),Regions!$A$5:$A$400,0)),INDEX(Regions!$D$5:$D$400,MATCH("US",Regions!$A$5:$A$400,0)))))</f>
        <v/>
      </c>
      <c r="H228" s="28">
        <f>IF(C228="","",(1+Assumptions!$C$32)^((Assumptions!$C$33-E228)/365.25))</f>
        <v/>
      </c>
      <c r="I228" s="36">
        <f>IF(C228="",0,C228/G228*H228)</f>
        <v/>
      </c>
      <c r="J228" s="28">
        <f>IF(C228="",0,IFERROR(INDEX(Lookups!$Z$5:$Z$8,MATCH(F228,Lookups!$Y$5:$Y$8,0)),0.3)*0.5^((Assumptions!$C$33-E228)/365.25/Assumptions!$C$31))</f>
        <v/>
      </c>
    </row>
    <row r="229">
      <c r="G229" s="16">
        <f>IF(C229="","",IF(IFERROR(INDEX(Regions!$D$5:$D$400,MATCH(D229,Regions!$A$5:$A$400,0))&lt;&gt;"",FALSE),INDEX(Regions!$D$5:$D$400,MATCH(D229,Regions!$A$5:$A$400,0)),IF(IFERROR(INDEX(Regions!$D$5:$D$400,MATCH(LEFT(D229,2),Regions!$A$5:$A$400,0))&lt;&gt;"",FALSE),INDEX(Regions!$D$5:$D$400,MATCH(LEFT(D229,2),Regions!$A$5:$A$400,0)),INDEX(Regions!$D$5:$D$400,MATCH("US",Regions!$A$5:$A$400,0)))))</f>
        <v/>
      </c>
      <c r="H229" s="28">
        <f>IF(C229="","",(1+Assumptions!$C$32)^((Assumptions!$C$33-E229)/365.25))</f>
        <v/>
      </c>
      <c r="I229" s="36">
        <f>IF(C229="",0,C229/G229*H229)</f>
        <v/>
      </c>
      <c r="J229" s="28">
        <f>IF(C229="",0,IFERROR(INDEX(Lookups!$Z$5:$Z$8,MATCH(F229,Lookups!$Y$5:$Y$8,0)),0.3)*0.5^((Assumptions!$C$33-E229)/365.25/Assumptions!$C$31))</f>
        <v/>
      </c>
    </row>
    <row r="230">
      <c r="G230" s="16">
        <f>IF(C230="","",IF(IFERROR(INDEX(Regions!$D$5:$D$400,MATCH(D230,Regions!$A$5:$A$400,0))&lt;&gt;"",FALSE),INDEX(Regions!$D$5:$D$400,MATCH(D230,Regions!$A$5:$A$400,0)),IF(IFERROR(INDEX(Regions!$D$5:$D$400,MATCH(LEFT(D230,2),Regions!$A$5:$A$400,0))&lt;&gt;"",FALSE),INDEX(Regions!$D$5:$D$400,MATCH(LEFT(D230,2),Regions!$A$5:$A$400,0)),INDEX(Regions!$D$5:$D$400,MATCH("US",Regions!$A$5:$A$400,0)))))</f>
        <v/>
      </c>
      <c r="H230" s="28">
        <f>IF(C230="","",(1+Assumptions!$C$32)^((Assumptions!$C$33-E230)/365.25))</f>
        <v/>
      </c>
      <c r="I230" s="36">
        <f>IF(C230="",0,C230/G230*H230)</f>
        <v/>
      </c>
      <c r="J230" s="28">
        <f>IF(C230="",0,IFERROR(INDEX(Lookups!$Z$5:$Z$8,MATCH(F230,Lookups!$Y$5:$Y$8,0)),0.3)*0.5^((Assumptions!$C$33-E230)/365.25/Assumptions!$C$31))</f>
        <v/>
      </c>
    </row>
    <row r="231">
      <c r="G231" s="16">
        <f>IF(C231="","",IF(IFERROR(INDEX(Regions!$D$5:$D$400,MATCH(D231,Regions!$A$5:$A$400,0))&lt;&gt;"",FALSE),INDEX(Regions!$D$5:$D$400,MATCH(D231,Regions!$A$5:$A$400,0)),IF(IFERROR(INDEX(Regions!$D$5:$D$400,MATCH(LEFT(D231,2),Regions!$A$5:$A$400,0))&lt;&gt;"",FALSE),INDEX(Regions!$D$5:$D$400,MATCH(LEFT(D231,2),Regions!$A$5:$A$400,0)),INDEX(Regions!$D$5:$D$400,MATCH("US",Regions!$A$5:$A$400,0)))))</f>
        <v/>
      </c>
      <c r="H231" s="28">
        <f>IF(C231="","",(1+Assumptions!$C$32)^((Assumptions!$C$33-E231)/365.25))</f>
        <v/>
      </c>
      <c r="I231" s="36">
        <f>IF(C231="",0,C231/G231*H231)</f>
        <v/>
      </c>
      <c r="J231" s="28">
        <f>IF(C231="",0,IFERROR(INDEX(Lookups!$Z$5:$Z$8,MATCH(F231,Lookups!$Y$5:$Y$8,0)),0.3)*0.5^((Assumptions!$C$33-E231)/365.25/Assumptions!$C$31))</f>
        <v/>
      </c>
    </row>
    <row r="232">
      <c r="G232" s="16">
        <f>IF(C232="","",IF(IFERROR(INDEX(Regions!$D$5:$D$400,MATCH(D232,Regions!$A$5:$A$400,0))&lt;&gt;"",FALSE),INDEX(Regions!$D$5:$D$400,MATCH(D232,Regions!$A$5:$A$400,0)),IF(IFERROR(INDEX(Regions!$D$5:$D$400,MATCH(LEFT(D232,2),Regions!$A$5:$A$400,0))&lt;&gt;"",FALSE),INDEX(Regions!$D$5:$D$400,MATCH(LEFT(D232,2),Regions!$A$5:$A$400,0)),INDEX(Regions!$D$5:$D$400,MATCH("US",Regions!$A$5:$A$400,0)))))</f>
        <v/>
      </c>
      <c r="H232" s="28">
        <f>IF(C232="","",(1+Assumptions!$C$32)^((Assumptions!$C$33-E232)/365.25))</f>
        <v/>
      </c>
      <c r="I232" s="36">
        <f>IF(C232="",0,C232/G232*H232)</f>
        <v/>
      </c>
      <c r="J232" s="28">
        <f>IF(C232="",0,IFERROR(INDEX(Lookups!$Z$5:$Z$8,MATCH(F232,Lookups!$Y$5:$Y$8,0)),0.3)*0.5^((Assumptions!$C$33-E232)/365.25/Assumptions!$C$31))</f>
        <v/>
      </c>
    </row>
    <row r="233">
      <c r="G233" s="16">
        <f>IF(C233="","",IF(IFERROR(INDEX(Regions!$D$5:$D$400,MATCH(D233,Regions!$A$5:$A$400,0))&lt;&gt;"",FALSE),INDEX(Regions!$D$5:$D$400,MATCH(D233,Regions!$A$5:$A$400,0)),IF(IFERROR(INDEX(Regions!$D$5:$D$400,MATCH(LEFT(D233,2),Regions!$A$5:$A$400,0))&lt;&gt;"",FALSE),INDEX(Regions!$D$5:$D$400,MATCH(LEFT(D233,2),Regions!$A$5:$A$400,0)),INDEX(Regions!$D$5:$D$400,MATCH("US",Regions!$A$5:$A$400,0)))))</f>
        <v/>
      </c>
      <c r="H233" s="28">
        <f>IF(C233="","",(1+Assumptions!$C$32)^((Assumptions!$C$33-E233)/365.25))</f>
        <v/>
      </c>
      <c r="I233" s="36">
        <f>IF(C233="",0,C233/G233*H233)</f>
        <v/>
      </c>
      <c r="J233" s="28">
        <f>IF(C233="",0,IFERROR(INDEX(Lookups!$Z$5:$Z$8,MATCH(F233,Lookups!$Y$5:$Y$8,0)),0.3)*0.5^((Assumptions!$C$33-E233)/365.25/Assumptions!$C$31))</f>
        <v/>
      </c>
    </row>
    <row r="234">
      <c r="G234" s="16">
        <f>IF(C234="","",IF(IFERROR(INDEX(Regions!$D$5:$D$400,MATCH(D234,Regions!$A$5:$A$400,0))&lt;&gt;"",FALSE),INDEX(Regions!$D$5:$D$400,MATCH(D234,Regions!$A$5:$A$400,0)),IF(IFERROR(INDEX(Regions!$D$5:$D$400,MATCH(LEFT(D234,2),Regions!$A$5:$A$400,0))&lt;&gt;"",FALSE),INDEX(Regions!$D$5:$D$400,MATCH(LEFT(D234,2),Regions!$A$5:$A$400,0)),INDEX(Regions!$D$5:$D$400,MATCH("US",Regions!$A$5:$A$400,0)))))</f>
        <v/>
      </c>
      <c r="H234" s="28">
        <f>IF(C234="","",(1+Assumptions!$C$32)^((Assumptions!$C$33-E234)/365.25))</f>
        <v/>
      </c>
      <c r="I234" s="36">
        <f>IF(C234="",0,C234/G234*H234)</f>
        <v/>
      </c>
      <c r="J234" s="28">
        <f>IF(C234="",0,IFERROR(INDEX(Lookups!$Z$5:$Z$8,MATCH(F234,Lookups!$Y$5:$Y$8,0)),0.3)*0.5^((Assumptions!$C$33-E234)/365.25/Assumptions!$C$31))</f>
        <v/>
      </c>
    </row>
    <row r="235">
      <c r="G235" s="16">
        <f>IF(C235="","",IF(IFERROR(INDEX(Regions!$D$5:$D$400,MATCH(D235,Regions!$A$5:$A$400,0))&lt;&gt;"",FALSE),INDEX(Regions!$D$5:$D$400,MATCH(D235,Regions!$A$5:$A$400,0)),IF(IFERROR(INDEX(Regions!$D$5:$D$400,MATCH(LEFT(D235,2),Regions!$A$5:$A$400,0))&lt;&gt;"",FALSE),INDEX(Regions!$D$5:$D$400,MATCH(LEFT(D235,2),Regions!$A$5:$A$400,0)),INDEX(Regions!$D$5:$D$400,MATCH("US",Regions!$A$5:$A$400,0)))))</f>
        <v/>
      </c>
      <c r="H235" s="28">
        <f>IF(C235="","",(1+Assumptions!$C$32)^((Assumptions!$C$33-E235)/365.25))</f>
        <v/>
      </c>
      <c r="I235" s="36">
        <f>IF(C235="",0,C235/G235*H235)</f>
        <v/>
      </c>
      <c r="J235" s="28">
        <f>IF(C235="",0,IFERROR(INDEX(Lookups!$Z$5:$Z$8,MATCH(F235,Lookups!$Y$5:$Y$8,0)),0.3)*0.5^((Assumptions!$C$33-E235)/365.25/Assumptions!$C$31))</f>
        <v/>
      </c>
    </row>
    <row r="236">
      <c r="G236" s="16">
        <f>IF(C236="","",IF(IFERROR(INDEX(Regions!$D$5:$D$400,MATCH(D236,Regions!$A$5:$A$400,0))&lt;&gt;"",FALSE),INDEX(Regions!$D$5:$D$400,MATCH(D236,Regions!$A$5:$A$400,0)),IF(IFERROR(INDEX(Regions!$D$5:$D$400,MATCH(LEFT(D236,2),Regions!$A$5:$A$400,0))&lt;&gt;"",FALSE),INDEX(Regions!$D$5:$D$400,MATCH(LEFT(D236,2),Regions!$A$5:$A$400,0)),INDEX(Regions!$D$5:$D$400,MATCH("US",Regions!$A$5:$A$400,0)))))</f>
        <v/>
      </c>
      <c r="H236" s="28">
        <f>IF(C236="","",(1+Assumptions!$C$32)^((Assumptions!$C$33-E236)/365.25))</f>
        <v/>
      </c>
      <c r="I236" s="36">
        <f>IF(C236="",0,C236/G236*H236)</f>
        <v/>
      </c>
      <c r="J236" s="28">
        <f>IF(C236="",0,IFERROR(INDEX(Lookups!$Z$5:$Z$8,MATCH(F236,Lookups!$Y$5:$Y$8,0)),0.3)*0.5^((Assumptions!$C$33-E236)/365.25/Assumptions!$C$31))</f>
        <v/>
      </c>
    </row>
    <row r="237">
      <c r="G237" s="16">
        <f>IF(C237="","",IF(IFERROR(INDEX(Regions!$D$5:$D$400,MATCH(D237,Regions!$A$5:$A$400,0))&lt;&gt;"",FALSE),INDEX(Regions!$D$5:$D$400,MATCH(D237,Regions!$A$5:$A$400,0)),IF(IFERROR(INDEX(Regions!$D$5:$D$400,MATCH(LEFT(D237,2),Regions!$A$5:$A$400,0))&lt;&gt;"",FALSE),INDEX(Regions!$D$5:$D$400,MATCH(LEFT(D237,2),Regions!$A$5:$A$400,0)),INDEX(Regions!$D$5:$D$400,MATCH("US",Regions!$A$5:$A$400,0)))))</f>
        <v/>
      </c>
      <c r="H237" s="28">
        <f>IF(C237="","",(1+Assumptions!$C$32)^((Assumptions!$C$33-E237)/365.25))</f>
        <v/>
      </c>
      <c r="I237" s="36">
        <f>IF(C237="",0,C237/G237*H237)</f>
        <v/>
      </c>
      <c r="J237" s="28">
        <f>IF(C237="",0,IFERROR(INDEX(Lookups!$Z$5:$Z$8,MATCH(F237,Lookups!$Y$5:$Y$8,0)),0.3)*0.5^((Assumptions!$C$33-E237)/365.25/Assumptions!$C$31))</f>
        <v/>
      </c>
    </row>
    <row r="238">
      <c r="G238" s="16">
        <f>IF(C238="","",IF(IFERROR(INDEX(Regions!$D$5:$D$400,MATCH(D238,Regions!$A$5:$A$400,0))&lt;&gt;"",FALSE),INDEX(Regions!$D$5:$D$400,MATCH(D238,Regions!$A$5:$A$400,0)),IF(IFERROR(INDEX(Regions!$D$5:$D$400,MATCH(LEFT(D238,2),Regions!$A$5:$A$400,0))&lt;&gt;"",FALSE),INDEX(Regions!$D$5:$D$400,MATCH(LEFT(D238,2),Regions!$A$5:$A$400,0)),INDEX(Regions!$D$5:$D$400,MATCH("US",Regions!$A$5:$A$400,0)))))</f>
        <v/>
      </c>
      <c r="H238" s="28">
        <f>IF(C238="","",(1+Assumptions!$C$32)^((Assumptions!$C$33-E238)/365.25))</f>
        <v/>
      </c>
      <c r="I238" s="36">
        <f>IF(C238="",0,C238/G238*H238)</f>
        <v/>
      </c>
      <c r="J238" s="28">
        <f>IF(C238="",0,IFERROR(INDEX(Lookups!$Z$5:$Z$8,MATCH(F238,Lookups!$Y$5:$Y$8,0)),0.3)*0.5^((Assumptions!$C$33-E238)/365.25/Assumptions!$C$31))</f>
        <v/>
      </c>
    </row>
    <row r="239">
      <c r="G239" s="16">
        <f>IF(C239="","",IF(IFERROR(INDEX(Regions!$D$5:$D$400,MATCH(D239,Regions!$A$5:$A$400,0))&lt;&gt;"",FALSE),INDEX(Regions!$D$5:$D$400,MATCH(D239,Regions!$A$5:$A$400,0)),IF(IFERROR(INDEX(Regions!$D$5:$D$400,MATCH(LEFT(D239,2),Regions!$A$5:$A$400,0))&lt;&gt;"",FALSE),INDEX(Regions!$D$5:$D$400,MATCH(LEFT(D239,2),Regions!$A$5:$A$400,0)),INDEX(Regions!$D$5:$D$400,MATCH("US",Regions!$A$5:$A$400,0)))))</f>
        <v/>
      </c>
      <c r="H239" s="28">
        <f>IF(C239="","",(1+Assumptions!$C$32)^((Assumptions!$C$33-E239)/365.25))</f>
        <v/>
      </c>
      <c r="I239" s="36">
        <f>IF(C239="",0,C239/G239*H239)</f>
        <v/>
      </c>
      <c r="J239" s="28">
        <f>IF(C239="",0,IFERROR(INDEX(Lookups!$Z$5:$Z$8,MATCH(F239,Lookups!$Y$5:$Y$8,0)),0.3)*0.5^((Assumptions!$C$33-E239)/365.25/Assumptions!$C$31))</f>
        <v/>
      </c>
    </row>
    <row r="240">
      <c r="G240" s="16">
        <f>IF(C240="","",IF(IFERROR(INDEX(Regions!$D$5:$D$400,MATCH(D240,Regions!$A$5:$A$400,0))&lt;&gt;"",FALSE),INDEX(Regions!$D$5:$D$400,MATCH(D240,Regions!$A$5:$A$400,0)),IF(IFERROR(INDEX(Regions!$D$5:$D$400,MATCH(LEFT(D240,2),Regions!$A$5:$A$400,0))&lt;&gt;"",FALSE),INDEX(Regions!$D$5:$D$400,MATCH(LEFT(D240,2),Regions!$A$5:$A$400,0)),INDEX(Regions!$D$5:$D$400,MATCH("US",Regions!$A$5:$A$400,0)))))</f>
        <v/>
      </c>
      <c r="H240" s="28">
        <f>IF(C240="","",(1+Assumptions!$C$32)^((Assumptions!$C$33-E240)/365.25))</f>
        <v/>
      </c>
      <c r="I240" s="36">
        <f>IF(C240="",0,C240/G240*H240)</f>
        <v/>
      </c>
      <c r="J240" s="28">
        <f>IF(C240="",0,IFERROR(INDEX(Lookups!$Z$5:$Z$8,MATCH(F240,Lookups!$Y$5:$Y$8,0)),0.3)*0.5^((Assumptions!$C$33-E240)/365.25/Assumptions!$C$31))</f>
        <v/>
      </c>
    </row>
    <row r="241">
      <c r="G241" s="16">
        <f>IF(C241="","",IF(IFERROR(INDEX(Regions!$D$5:$D$400,MATCH(D241,Regions!$A$5:$A$400,0))&lt;&gt;"",FALSE),INDEX(Regions!$D$5:$D$400,MATCH(D241,Regions!$A$5:$A$400,0)),IF(IFERROR(INDEX(Regions!$D$5:$D$400,MATCH(LEFT(D241,2),Regions!$A$5:$A$400,0))&lt;&gt;"",FALSE),INDEX(Regions!$D$5:$D$400,MATCH(LEFT(D241,2),Regions!$A$5:$A$400,0)),INDEX(Regions!$D$5:$D$400,MATCH("US",Regions!$A$5:$A$400,0)))))</f>
        <v/>
      </c>
      <c r="H241" s="28">
        <f>IF(C241="","",(1+Assumptions!$C$32)^((Assumptions!$C$33-E241)/365.25))</f>
        <v/>
      </c>
      <c r="I241" s="36">
        <f>IF(C241="",0,C241/G241*H241)</f>
        <v/>
      </c>
      <c r="J241" s="28">
        <f>IF(C241="",0,IFERROR(INDEX(Lookups!$Z$5:$Z$8,MATCH(F241,Lookups!$Y$5:$Y$8,0)),0.3)*0.5^((Assumptions!$C$33-E241)/365.25/Assumptions!$C$31))</f>
        <v/>
      </c>
    </row>
    <row r="242">
      <c r="G242" s="16">
        <f>IF(C242="","",IF(IFERROR(INDEX(Regions!$D$5:$D$400,MATCH(D242,Regions!$A$5:$A$400,0))&lt;&gt;"",FALSE),INDEX(Regions!$D$5:$D$400,MATCH(D242,Regions!$A$5:$A$400,0)),IF(IFERROR(INDEX(Regions!$D$5:$D$400,MATCH(LEFT(D242,2),Regions!$A$5:$A$400,0))&lt;&gt;"",FALSE),INDEX(Regions!$D$5:$D$400,MATCH(LEFT(D242,2),Regions!$A$5:$A$400,0)),INDEX(Regions!$D$5:$D$400,MATCH("US",Regions!$A$5:$A$400,0)))))</f>
        <v/>
      </c>
      <c r="H242" s="28">
        <f>IF(C242="","",(1+Assumptions!$C$32)^((Assumptions!$C$33-E242)/365.25))</f>
        <v/>
      </c>
      <c r="I242" s="36">
        <f>IF(C242="",0,C242/G242*H242)</f>
        <v/>
      </c>
      <c r="J242" s="28">
        <f>IF(C242="",0,IFERROR(INDEX(Lookups!$Z$5:$Z$8,MATCH(F242,Lookups!$Y$5:$Y$8,0)),0.3)*0.5^((Assumptions!$C$33-E242)/365.25/Assumptions!$C$31))</f>
        <v/>
      </c>
    </row>
    <row r="243">
      <c r="G243" s="16">
        <f>IF(C243="","",IF(IFERROR(INDEX(Regions!$D$5:$D$400,MATCH(D243,Regions!$A$5:$A$400,0))&lt;&gt;"",FALSE),INDEX(Regions!$D$5:$D$400,MATCH(D243,Regions!$A$5:$A$400,0)),IF(IFERROR(INDEX(Regions!$D$5:$D$400,MATCH(LEFT(D243,2),Regions!$A$5:$A$400,0))&lt;&gt;"",FALSE),INDEX(Regions!$D$5:$D$400,MATCH(LEFT(D243,2),Regions!$A$5:$A$400,0)),INDEX(Regions!$D$5:$D$400,MATCH("US",Regions!$A$5:$A$400,0)))))</f>
        <v/>
      </c>
      <c r="H243" s="28">
        <f>IF(C243="","",(1+Assumptions!$C$32)^((Assumptions!$C$33-E243)/365.25))</f>
        <v/>
      </c>
      <c r="I243" s="36">
        <f>IF(C243="",0,C243/G243*H243)</f>
        <v/>
      </c>
      <c r="J243" s="28">
        <f>IF(C243="",0,IFERROR(INDEX(Lookups!$Z$5:$Z$8,MATCH(F243,Lookups!$Y$5:$Y$8,0)),0.3)*0.5^((Assumptions!$C$33-E243)/365.25/Assumptions!$C$31))</f>
        <v/>
      </c>
    </row>
    <row r="244">
      <c r="G244" s="16">
        <f>IF(C244="","",IF(IFERROR(INDEX(Regions!$D$5:$D$400,MATCH(D244,Regions!$A$5:$A$400,0))&lt;&gt;"",FALSE),INDEX(Regions!$D$5:$D$400,MATCH(D244,Regions!$A$5:$A$400,0)),IF(IFERROR(INDEX(Regions!$D$5:$D$400,MATCH(LEFT(D244,2),Regions!$A$5:$A$400,0))&lt;&gt;"",FALSE),INDEX(Regions!$D$5:$D$400,MATCH(LEFT(D244,2),Regions!$A$5:$A$400,0)),INDEX(Regions!$D$5:$D$400,MATCH("US",Regions!$A$5:$A$400,0)))))</f>
        <v/>
      </c>
      <c r="H244" s="28">
        <f>IF(C244="","",(1+Assumptions!$C$32)^((Assumptions!$C$33-E244)/365.25))</f>
        <v/>
      </c>
      <c r="I244" s="36">
        <f>IF(C244="",0,C244/G244*H244)</f>
        <v/>
      </c>
      <c r="J244" s="28">
        <f>IF(C244="",0,IFERROR(INDEX(Lookups!$Z$5:$Z$8,MATCH(F244,Lookups!$Y$5:$Y$8,0)),0.3)*0.5^((Assumptions!$C$33-E244)/365.25/Assumptions!$C$31))</f>
        <v/>
      </c>
    </row>
    <row r="245">
      <c r="G245" s="16">
        <f>IF(C245="","",IF(IFERROR(INDEX(Regions!$D$5:$D$400,MATCH(D245,Regions!$A$5:$A$400,0))&lt;&gt;"",FALSE),INDEX(Regions!$D$5:$D$400,MATCH(D245,Regions!$A$5:$A$400,0)),IF(IFERROR(INDEX(Regions!$D$5:$D$400,MATCH(LEFT(D245,2),Regions!$A$5:$A$400,0))&lt;&gt;"",FALSE),INDEX(Regions!$D$5:$D$400,MATCH(LEFT(D245,2),Regions!$A$5:$A$400,0)),INDEX(Regions!$D$5:$D$400,MATCH("US",Regions!$A$5:$A$400,0)))))</f>
        <v/>
      </c>
      <c r="H245" s="28">
        <f>IF(C245="","",(1+Assumptions!$C$32)^((Assumptions!$C$33-E245)/365.25))</f>
        <v/>
      </c>
      <c r="I245" s="36">
        <f>IF(C245="",0,C245/G245*H245)</f>
        <v/>
      </c>
      <c r="J245" s="28">
        <f>IF(C245="",0,IFERROR(INDEX(Lookups!$Z$5:$Z$8,MATCH(F245,Lookups!$Y$5:$Y$8,0)),0.3)*0.5^((Assumptions!$C$33-E245)/365.25/Assumptions!$C$31))</f>
        <v/>
      </c>
    </row>
    <row r="246">
      <c r="G246" s="16">
        <f>IF(C246="","",IF(IFERROR(INDEX(Regions!$D$5:$D$400,MATCH(D246,Regions!$A$5:$A$400,0))&lt;&gt;"",FALSE),INDEX(Regions!$D$5:$D$400,MATCH(D246,Regions!$A$5:$A$400,0)),IF(IFERROR(INDEX(Regions!$D$5:$D$400,MATCH(LEFT(D246,2),Regions!$A$5:$A$400,0))&lt;&gt;"",FALSE),INDEX(Regions!$D$5:$D$400,MATCH(LEFT(D246,2),Regions!$A$5:$A$400,0)),INDEX(Regions!$D$5:$D$400,MATCH("US",Regions!$A$5:$A$400,0)))))</f>
        <v/>
      </c>
      <c r="H246" s="28">
        <f>IF(C246="","",(1+Assumptions!$C$32)^((Assumptions!$C$33-E246)/365.25))</f>
        <v/>
      </c>
      <c r="I246" s="36">
        <f>IF(C246="",0,C246/G246*H246)</f>
        <v/>
      </c>
      <c r="J246" s="28">
        <f>IF(C246="",0,IFERROR(INDEX(Lookups!$Z$5:$Z$8,MATCH(F246,Lookups!$Y$5:$Y$8,0)),0.3)*0.5^((Assumptions!$C$33-E246)/365.25/Assumptions!$C$31))</f>
        <v/>
      </c>
    </row>
    <row r="247">
      <c r="G247" s="16">
        <f>IF(C247="","",IF(IFERROR(INDEX(Regions!$D$5:$D$400,MATCH(D247,Regions!$A$5:$A$400,0))&lt;&gt;"",FALSE),INDEX(Regions!$D$5:$D$400,MATCH(D247,Regions!$A$5:$A$400,0)),IF(IFERROR(INDEX(Regions!$D$5:$D$400,MATCH(LEFT(D247,2),Regions!$A$5:$A$400,0))&lt;&gt;"",FALSE),INDEX(Regions!$D$5:$D$400,MATCH(LEFT(D247,2),Regions!$A$5:$A$400,0)),INDEX(Regions!$D$5:$D$400,MATCH("US",Regions!$A$5:$A$400,0)))))</f>
        <v/>
      </c>
      <c r="H247" s="28">
        <f>IF(C247="","",(1+Assumptions!$C$32)^((Assumptions!$C$33-E247)/365.25))</f>
        <v/>
      </c>
      <c r="I247" s="36">
        <f>IF(C247="",0,C247/G247*H247)</f>
        <v/>
      </c>
      <c r="J247" s="28">
        <f>IF(C247="",0,IFERROR(INDEX(Lookups!$Z$5:$Z$8,MATCH(F247,Lookups!$Y$5:$Y$8,0)),0.3)*0.5^((Assumptions!$C$33-E247)/365.25/Assumptions!$C$31))</f>
        <v/>
      </c>
    </row>
    <row r="248">
      <c r="G248" s="16">
        <f>IF(C248="","",IF(IFERROR(INDEX(Regions!$D$5:$D$400,MATCH(D248,Regions!$A$5:$A$400,0))&lt;&gt;"",FALSE),INDEX(Regions!$D$5:$D$400,MATCH(D248,Regions!$A$5:$A$400,0)),IF(IFERROR(INDEX(Regions!$D$5:$D$400,MATCH(LEFT(D248,2),Regions!$A$5:$A$400,0))&lt;&gt;"",FALSE),INDEX(Regions!$D$5:$D$400,MATCH(LEFT(D248,2),Regions!$A$5:$A$400,0)),INDEX(Regions!$D$5:$D$400,MATCH("US",Regions!$A$5:$A$400,0)))))</f>
        <v/>
      </c>
      <c r="H248" s="28">
        <f>IF(C248="","",(1+Assumptions!$C$32)^((Assumptions!$C$33-E248)/365.25))</f>
        <v/>
      </c>
      <c r="I248" s="36">
        <f>IF(C248="",0,C248/G248*H248)</f>
        <v/>
      </c>
      <c r="J248" s="28">
        <f>IF(C248="",0,IFERROR(INDEX(Lookups!$Z$5:$Z$8,MATCH(F248,Lookups!$Y$5:$Y$8,0)),0.3)*0.5^((Assumptions!$C$33-E248)/365.25/Assumptions!$C$31))</f>
        <v/>
      </c>
    </row>
    <row r="249">
      <c r="G249" s="16">
        <f>IF(C249="","",IF(IFERROR(INDEX(Regions!$D$5:$D$400,MATCH(D249,Regions!$A$5:$A$400,0))&lt;&gt;"",FALSE),INDEX(Regions!$D$5:$D$400,MATCH(D249,Regions!$A$5:$A$400,0)),IF(IFERROR(INDEX(Regions!$D$5:$D$400,MATCH(LEFT(D249,2),Regions!$A$5:$A$400,0))&lt;&gt;"",FALSE),INDEX(Regions!$D$5:$D$400,MATCH(LEFT(D249,2),Regions!$A$5:$A$400,0)),INDEX(Regions!$D$5:$D$400,MATCH("US",Regions!$A$5:$A$400,0)))))</f>
        <v/>
      </c>
      <c r="H249" s="28">
        <f>IF(C249="","",(1+Assumptions!$C$32)^((Assumptions!$C$33-E249)/365.25))</f>
        <v/>
      </c>
      <c r="I249" s="36">
        <f>IF(C249="",0,C249/G249*H249)</f>
        <v/>
      </c>
      <c r="J249" s="28">
        <f>IF(C249="",0,IFERROR(INDEX(Lookups!$Z$5:$Z$8,MATCH(F249,Lookups!$Y$5:$Y$8,0)),0.3)*0.5^((Assumptions!$C$33-E249)/365.25/Assumptions!$C$31))</f>
        <v/>
      </c>
    </row>
    <row r="250">
      <c r="G250" s="16">
        <f>IF(C250="","",IF(IFERROR(INDEX(Regions!$D$5:$D$400,MATCH(D250,Regions!$A$5:$A$400,0))&lt;&gt;"",FALSE),INDEX(Regions!$D$5:$D$400,MATCH(D250,Regions!$A$5:$A$400,0)),IF(IFERROR(INDEX(Regions!$D$5:$D$400,MATCH(LEFT(D250,2),Regions!$A$5:$A$400,0))&lt;&gt;"",FALSE),INDEX(Regions!$D$5:$D$400,MATCH(LEFT(D250,2),Regions!$A$5:$A$400,0)),INDEX(Regions!$D$5:$D$400,MATCH("US",Regions!$A$5:$A$400,0)))))</f>
        <v/>
      </c>
      <c r="H250" s="28">
        <f>IF(C250="","",(1+Assumptions!$C$32)^((Assumptions!$C$33-E250)/365.25))</f>
        <v/>
      </c>
      <c r="I250" s="36">
        <f>IF(C250="",0,C250/G250*H250)</f>
        <v/>
      </c>
      <c r="J250" s="28">
        <f>IF(C250="",0,IFERROR(INDEX(Lookups!$Z$5:$Z$8,MATCH(F250,Lookups!$Y$5:$Y$8,0)),0.3)*0.5^((Assumptions!$C$33-E250)/365.25/Assumptions!$C$31))</f>
        <v/>
      </c>
    </row>
    <row r="251">
      <c r="G251" s="16">
        <f>IF(C251="","",IF(IFERROR(INDEX(Regions!$D$5:$D$400,MATCH(D251,Regions!$A$5:$A$400,0))&lt;&gt;"",FALSE),INDEX(Regions!$D$5:$D$400,MATCH(D251,Regions!$A$5:$A$400,0)),IF(IFERROR(INDEX(Regions!$D$5:$D$400,MATCH(LEFT(D251,2),Regions!$A$5:$A$400,0))&lt;&gt;"",FALSE),INDEX(Regions!$D$5:$D$400,MATCH(LEFT(D251,2),Regions!$A$5:$A$400,0)),INDEX(Regions!$D$5:$D$400,MATCH("US",Regions!$A$5:$A$400,0)))))</f>
        <v/>
      </c>
      <c r="H251" s="28">
        <f>IF(C251="","",(1+Assumptions!$C$32)^((Assumptions!$C$33-E251)/365.25))</f>
        <v/>
      </c>
      <c r="I251" s="36">
        <f>IF(C251="",0,C251/G251*H251)</f>
        <v/>
      </c>
      <c r="J251" s="28">
        <f>IF(C251="",0,IFERROR(INDEX(Lookups!$Z$5:$Z$8,MATCH(F251,Lookups!$Y$5:$Y$8,0)),0.3)*0.5^((Assumptions!$C$33-E251)/365.25/Assumptions!$C$31))</f>
        <v/>
      </c>
    </row>
    <row r="252">
      <c r="G252" s="16">
        <f>IF(C252="","",IF(IFERROR(INDEX(Regions!$D$5:$D$400,MATCH(D252,Regions!$A$5:$A$400,0))&lt;&gt;"",FALSE),INDEX(Regions!$D$5:$D$400,MATCH(D252,Regions!$A$5:$A$400,0)),IF(IFERROR(INDEX(Regions!$D$5:$D$400,MATCH(LEFT(D252,2),Regions!$A$5:$A$400,0))&lt;&gt;"",FALSE),INDEX(Regions!$D$5:$D$400,MATCH(LEFT(D252,2),Regions!$A$5:$A$400,0)),INDEX(Regions!$D$5:$D$400,MATCH("US",Regions!$A$5:$A$400,0)))))</f>
        <v/>
      </c>
      <c r="H252" s="28">
        <f>IF(C252="","",(1+Assumptions!$C$32)^((Assumptions!$C$33-E252)/365.25))</f>
        <v/>
      </c>
      <c r="I252" s="36">
        <f>IF(C252="",0,C252/G252*H252)</f>
        <v/>
      </c>
      <c r="J252" s="28">
        <f>IF(C252="",0,IFERROR(INDEX(Lookups!$Z$5:$Z$8,MATCH(F252,Lookups!$Y$5:$Y$8,0)),0.3)*0.5^((Assumptions!$C$33-E252)/365.25/Assumptions!$C$31))</f>
        <v/>
      </c>
    </row>
    <row r="253">
      <c r="G253" s="16">
        <f>IF(C253="","",IF(IFERROR(INDEX(Regions!$D$5:$D$400,MATCH(D253,Regions!$A$5:$A$400,0))&lt;&gt;"",FALSE),INDEX(Regions!$D$5:$D$400,MATCH(D253,Regions!$A$5:$A$400,0)),IF(IFERROR(INDEX(Regions!$D$5:$D$400,MATCH(LEFT(D253,2),Regions!$A$5:$A$400,0))&lt;&gt;"",FALSE),INDEX(Regions!$D$5:$D$400,MATCH(LEFT(D253,2),Regions!$A$5:$A$400,0)),INDEX(Regions!$D$5:$D$400,MATCH("US",Regions!$A$5:$A$400,0)))))</f>
        <v/>
      </c>
      <c r="H253" s="28">
        <f>IF(C253="","",(1+Assumptions!$C$32)^((Assumptions!$C$33-E253)/365.25))</f>
        <v/>
      </c>
      <c r="I253" s="36">
        <f>IF(C253="",0,C253/G253*H253)</f>
        <v/>
      </c>
      <c r="J253" s="28">
        <f>IF(C253="",0,IFERROR(INDEX(Lookups!$Z$5:$Z$8,MATCH(F253,Lookups!$Y$5:$Y$8,0)),0.3)*0.5^((Assumptions!$C$33-E253)/365.25/Assumptions!$C$31))</f>
        <v/>
      </c>
    </row>
    <row r="254">
      <c r="G254" s="16">
        <f>IF(C254="","",IF(IFERROR(INDEX(Regions!$D$5:$D$400,MATCH(D254,Regions!$A$5:$A$400,0))&lt;&gt;"",FALSE),INDEX(Regions!$D$5:$D$400,MATCH(D254,Regions!$A$5:$A$400,0)),IF(IFERROR(INDEX(Regions!$D$5:$D$400,MATCH(LEFT(D254,2),Regions!$A$5:$A$400,0))&lt;&gt;"",FALSE),INDEX(Regions!$D$5:$D$400,MATCH(LEFT(D254,2),Regions!$A$5:$A$400,0)),INDEX(Regions!$D$5:$D$400,MATCH("US",Regions!$A$5:$A$400,0)))))</f>
        <v/>
      </c>
      <c r="H254" s="28">
        <f>IF(C254="","",(1+Assumptions!$C$32)^((Assumptions!$C$33-E254)/365.25))</f>
        <v/>
      </c>
      <c r="I254" s="36">
        <f>IF(C254="",0,C254/G254*H254)</f>
        <v/>
      </c>
      <c r="J254" s="28">
        <f>IF(C254="",0,IFERROR(INDEX(Lookups!$Z$5:$Z$8,MATCH(F254,Lookups!$Y$5:$Y$8,0)),0.3)*0.5^((Assumptions!$C$33-E254)/365.25/Assumptions!$C$31))</f>
        <v/>
      </c>
    </row>
    <row r="255">
      <c r="G255" s="16">
        <f>IF(C255="","",IF(IFERROR(INDEX(Regions!$D$5:$D$400,MATCH(D255,Regions!$A$5:$A$400,0))&lt;&gt;"",FALSE),INDEX(Regions!$D$5:$D$400,MATCH(D255,Regions!$A$5:$A$400,0)),IF(IFERROR(INDEX(Regions!$D$5:$D$400,MATCH(LEFT(D255,2),Regions!$A$5:$A$400,0))&lt;&gt;"",FALSE),INDEX(Regions!$D$5:$D$400,MATCH(LEFT(D255,2),Regions!$A$5:$A$400,0)),INDEX(Regions!$D$5:$D$400,MATCH("US",Regions!$A$5:$A$400,0)))))</f>
        <v/>
      </c>
      <c r="H255" s="28">
        <f>IF(C255="","",(1+Assumptions!$C$32)^((Assumptions!$C$33-E255)/365.25))</f>
        <v/>
      </c>
      <c r="I255" s="36">
        <f>IF(C255="",0,C255/G255*H255)</f>
        <v/>
      </c>
      <c r="J255" s="28">
        <f>IF(C255="",0,IFERROR(INDEX(Lookups!$Z$5:$Z$8,MATCH(F255,Lookups!$Y$5:$Y$8,0)),0.3)*0.5^((Assumptions!$C$33-E255)/365.25/Assumptions!$C$31))</f>
        <v/>
      </c>
    </row>
    <row r="256">
      <c r="G256" s="16">
        <f>IF(C256="","",IF(IFERROR(INDEX(Regions!$D$5:$D$400,MATCH(D256,Regions!$A$5:$A$400,0))&lt;&gt;"",FALSE),INDEX(Regions!$D$5:$D$400,MATCH(D256,Regions!$A$5:$A$400,0)),IF(IFERROR(INDEX(Regions!$D$5:$D$400,MATCH(LEFT(D256,2),Regions!$A$5:$A$400,0))&lt;&gt;"",FALSE),INDEX(Regions!$D$5:$D$400,MATCH(LEFT(D256,2),Regions!$A$5:$A$400,0)),INDEX(Regions!$D$5:$D$400,MATCH("US",Regions!$A$5:$A$400,0)))))</f>
        <v/>
      </c>
      <c r="H256" s="28">
        <f>IF(C256="","",(1+Assumptions!$C$32)^((Assumptions!$C$33-E256)/365.25))</f>
        <v/>
      </c>
      <c r="I256" s="36">
        <f>IF(C256="",0,C256/G256*H256)</f>
        <v/>
      </c>
      <c r="J256" s="28">
        <f>IF(C256="",0,IFERROR(INDEX(Lookups!$Z$5:$Z$8,MATCH(F256,Lookups!$Y$5:$Y$8,0)),0.3)*0.5^((Assumptions!$C$33-E256)/365.25/Assumptions!$C$31))</f>
        <v/>
      </c>
    </row>
    <row r="257">
      <c r="G257" s="16">
        <f>IF(C257="","",IF(IFERROR(INDEX(Regions!$D$5:$D$400,MATCH(D257,Regions!$A$5:$A$400,0))&lt;&gt;"",FALSE),INDEX(Regions!$D$5:$D$400,MATCH(D257,Regions!$A$5:$A$400,0)),IF(IFERROR(INDEX(Regions!$D$5:$D$400,MATCH(LEFT(D257,2),Regions!$A$5:$A$400,0))&lt;&gt;"",FALSE),INDEX(Regions!$D$5:$D$400,MATCH(LEFT(D257,2),Regions!$A$5:$A$400,0)),INDEX(Regions!$D$5:$D$400,MATCH("US",Regions!$A$5:$A$400,0)))))</f>
        <v/>
      </c>
      <c r="H257" s="28">
        <f>IF(C257="","",(1+Assumptions!$C$32)^((Assumptions!$C$33-E257)/365.25))</f>
        <v/>
      </c>
      <c r="I257" s="36">
        <f>IF(C257="",0,C257/G257*H257)</f>
        <v/>
      </c>
      <c r="J257" s="28">
        <f>IF(C257="",0,IFERROR(INDEX(Lookups!$Z$5:$Z$8,MATCH(F257,Lookups!$Y$5:$Y$8,0)),0.3)*0.5^((Assumptions!$C$33-E257)/365.25/Assumptions!$C$31))</f>
        <v/>
      </c>
    </row>
    <row r="258">
      <c r="G258" s="16">
        <f>IF(C258="","",IF(IFERROR(INDEX(Regions!$D$5:$D$400,MATCH(D258,Regions!$A$5:$A$400,0))&lt;&gt;"",FALSE),INDEX(Regions!$D$5:$D$400,MATCH(D258,Regions!$A$5:$A$400,0)),IF(IFERROR(INDEX(Regions!$D$5:$D$400,MATCH(LEFT(D258,2),Regions!$A$5:$A$400,0))&lt;&gt;"",FALSE),INDEX(Regions!$D$5:$D$400,MATCH(LEFT(D258,2),Regions!$A$5:$A$400,0)),INDEX(Regions!$D$5:$D$400,MATCH("US",Regions!$A$5:$A$400,0)))))</f>
        <v/>
      </c>
      <c r="H258" s="28">
        <f>IF(C258="","",(1+Assumptions!$C$32)^((Assumptions!$C$33-E258)/365.25))</f>
        <v/>
      </c>
      <c r="I258" s="36">
        <f>IF(C258="",0,C258/G258*H258)</f>
        <v/>
      </c>
      <c r="J258" s="28">
        <f>IF(C258="",0,IFERROR(INDEX(Lookups!$Z$5:$Z$8,MATCH(F258,Lookups!$Y$5:$Y$8,0)),0.3)*0.5^((Assumptions!$C$33-E258)/365.25/Assumptions!$C$31))</f>
        <v/>
      </c>
    </row>
    <row r="259">
      <c r="G259" s="16">
        <f>IF(C259="","",IF(IFERROR(INDEX(Regions!$D$5:$D$400,MATCH(D259,Regions!$A$5:$A$400,0))&lt;&gt;"",FALSE),INDEX(Regions!$D$5:$D$400,MATCH(D259,Regions!$A$5:$A$400,0)),IF(IFERROR(INDEX(Regions!$D$5:$D$400,MATCH(LEFT(D259,2),Regions!$A$5:$A$400,0))&lt;&gt;"",FALSE),INDEX(Regions!$D$5:$D$400,MATCH(LEFT(D259,2),Regions!$A$5:$A$400,0)),INDEX(Regions!$D$5:$D$400,MATCH("US",Regions!$A$5:$A$400,0)))))</f>
        <v/>
      </c>
      <c r="H259" s="28">
        <f>IF(C259="","",(1+Assumptions!$C$32)^((Assumptions!$C$33-E259)/365.25))</f>
        <v/>
      </c>
      <c r="I259" s="36">
        <f>IF(C259="",0,C259/G259*H259)</f>
        <v/>
      </c>
      <c r="J259" s="28">
        <f>IF(C259="",0,IFERROR(INDEX(Lookups!$Z$5:$Z$8,MATCH(F259,Lookups!$Y$5:$Y$8,0)),0.3)*0.5^((Assumptions!$C$33-E259)/365.25/Assumptions!$C$31))</f>
        <v/>
      </c>
    </row>
    <row r="260">
      <c r="G260" s="16">
        <f>IF(C260="","",IF(IFERROR(INDEX(Regions!$D$5:$D$400,MATCH(D260,Regions!$A$5:$A$400,0))&lt;&gt;"",FALSE),INDEX(Regions!$D$5:$D$400,MATCH(D260,Regions!$A$5:$A$400,0)),IF(IFERROR(INDEX(Regions!$D$5:$D$400,MATCH(LEFT(D260,2),Regions!$A$5:$A$400,0))&lt;&gt;"",FALSE),INDEX(Regions!$D$5:$D$400,MATCH(LEFT(D260,2),Regions!$A$5:$A$400,0)),INDEX(Regions!$D$5:$D$400,MATCH("US",Regions!$A$5:$A$400,0)))))</f>
        <v/>
      </c>
      <c r="H260" s="28">
        <f>IF(C260="","",(1+Assumptions!$C$32)^((Assumptions!$C$33-E260)/365.25))</f>
        <v/>
      </c>
      <c r="I260" s="36">
        <f>IF(C260="",0,C260/G260*H260)</f>
        <v/>
      </c>
      <c r="J260" s="28">
        <f>IF(C260="",0,IFERROR(INDEX(Lookups!$Z$5:$Z$8,MATCH(F260,Lookups!$Y$5:$Y$8,0)),0.3)*0.5^((Assumptions!$C$33-E260)/365.25/Assumptions!$C$31))</f>
        <v/>
      </c>
    </row>
    <row r="261">
      <c r="G261" s="16">
        <f>IF(C261="","",IF(IFERROR(INDEX(Regions!$D$5:$D$400,MATCH(D261,Regions!$A$5:$A$400,0))&lt;&gt;"",FALSE),INDEX(Regions!$D$5:$D$400,MATCH(D261,Regions!$A$5:$A$400,0)),IF(IFERROR(INDEX(Regions!$D$5:$D$400,MATCH(LEFT(D261,2),Regions!$A$5:$A$400,0))&lt;&gt;"",FALSE),INDEX(Regions!$D$5:$D$400,MATCH(LEFT(D261,2),Regions!$A$5:$A$400,0)),INDEX(Regions!$D$5:$D$400,MATCH("US",Regions!$A$5:$A$400,0)))))</f>
        <v/>
      </c>
      <c r="H261" s="28">
        <f>IF(C261="","",(1+Assumptions!$C$32)^((Assumptions!$C$33-E261)/365.25))</f>
        <v/>
      </c>
      <c r="I261" s="36">
        <f>IF(C261="",0,C261/G261*H261)</f>
        <v/>
      </c>
      <c r="J261" s="28">
        <f>IF(C261="",0,IFERROR(INDEX(Lookups!$Z$5:$Z$8,MATCH(F261,Lookups!$Y$5:$Y$8,0)),0.3)*0.5^((Assumptions!$C$33-E261)/365.25/Assumptions!$C$31))</f>
        <v/>
      </c>
    </row>
    <row r="262">
      <c r="G262" s="16">
        <f>IF(C262="","",IF(IFERROR(INDEX(Regions!$D$5:$D$400,MATCH(D262,Regions!$A$5:$A$400,0))&lt;&gt;"",FALSE),INDEX(Regions!$D$5:$D$400,MATCH(D262,Regions!$A$5:$A$400,0)),IF(IFERROR(INDEX(Regions!$D$5:$D$400,MATCH(LEFT(D262,2),Regions!$A$5:$A$400,0))&lt;&gt;"",FALSE),INDEX(Regions!$D$5:$D$400,MATCH(LEFT(D262,2),Regions!$A$5:$A$400,0)),INDEX(Regions!$D$5:$D$400,MATCH("US",Regions!$A$5:$A$400,0)))))</f>
        <v/>
      </c>
      <c r="H262" s="28">
        <f>IF(C262="","",(1+Assumptions!$C$32)^((Assumptions!$C$33-E262)/365.25))</f>
        <v/>
      </c>
      <c r="I262" s="36">
        <f>IF(C262="",0,C262/G262*H262)</f>
        <v/>
      </c>
      <c r="J262" s="28">
        <f>IF(C262="",0,IFERROR(INDEX(Lookups!$Z$5:$Z$8,MATCH(F262,Lookups!$Y$5:$Y$8,0)),0.3)*0.5^((Assumptions!$C$33-E262)/365.25/Assumptions!$C$31))</f>
        <v/>
      </c>
    </row>
    <row r="263">
      <c r="G263" s="16">
        <f>IF(C263="","",IF(IFERROR(INDEX(Regions!$D$5:$D$400,MATCH(D263,Regions!$A$5:$A$400,0))&lt;&gt;"",FALSE),INDEX(Regions!$D$5:$D$400,MATCH(D263,Regions!$A$5:$A$400,0)),IF(IFERROR(INDEX(Regions!$D$5:$D$400,MATCH(LEFT(D263,2),Regions!$A$5:$A$400,0))&lt;&gt;"",FALSE),INDEX(Regions!$D$5:$D$400,MATCH(LEFT(D263,2),Regions!$A$5:$A$400,0)),INDEX(Regions!$D$5:$D$400,MATCH("US",Regions!$A$5:$A$400,0)))))</f>
        <v/>
      </c>
      <c r="H263" s="28">
        <f>IF(C263="","",(1+Assumptions!$C$32)^((Assumptions!$C$33-E263)/365.25))</f>
        <v/>
      </c>
      <c r="I263" s="36">
        <f>IF(C263="",0,C263/G263*H263)</f>
        <v/>
      </c>
      <c r="J263" s="28">
        <f>IF(C263="",0,IFERROR(INDEX(Lookups!$Z$5:$Z$8,MATCH(F263,Lookups!$Y$5:$Y$8,0)),0.3)*0.5^((Assumptions!$C$33-E263)/365.25/Assumptions!$C$31))</f>
        <v/>
      </c>
    </row>
    <row r="264">
      <c r="G264" s="16">
        <f>IF(C264="","",IF(IFERROR(INDEX(Regions!$D$5:$D$400,MATCH(D264,Regions!$A$5:$A$400,0))&lt;&gt;"",FALSE),INDEX(Regions!$D$5:$D$400,MATCH(D264,Regions!$A$5:$A$400,0)),IF(IFERROR(INDEX(Regions!$D$5:$D$400,MATCH(LEFT(D264,2),Regions!$A$5:$A$400,0))&lt;&gt;"",FALSE),INDEX(Regions!$D$5:$D$400,MATCH(LEFT(D264,2),Regions!$A$5:$A$400,0)),INDEX(Regions!$D$5:$D$400,MATCH("US",Regions!$A$5:$A$400,0)))))</f>
        <v/>
      </c>
      <c r="H264" s="28">
        <f>IF(C264="","",(1+Assumptions!$C$32)^((Assumptions!$C$33-E264)/365.25))</f>
        <v/>
      </c>
      <c r="I264" s="36">
        <f>IF(C264="",0,C264/G264*H264)</f>
        <v/>
      </c>
      <c r="J264" s="28">
        <f>IF(C264="",0,IFERROR(INDEX(Lookups!$Z$5:$Z$8,MATCH(F264,Lookups!$Y$5:$Y$8,0)),0.3)*0.5^((Assumptions!$C$33-E264)/365.25/Assumptions!$C$31))</f>
        <v/>
      </c>
    </row>
    <row r="265">
      <c r="G265" s="16">
        <f>IF(C265="","",IF(IFERROR(INDEX(Regions!$D$5:$D$400,MATCH(D265,Regions!$A$5:$A$400,0))&lt;&gt;"",FALSE),INDEX(Regions!$D$5:$D$400,MATCH(D265,Regions!$A$5:$A$400,0)),IF(IFERROR(INDEX(Regions!$D$5:$D$400,MATCH(LEFT(D265,2),Regions!$A$5:$A$400,0))&lt;&gt;"",FALSE),INDEX(Regions!$D$5:$D$400,MATCH(LEFT(D265,2),Regions!$A$5:$A$400,0)),INDEX(Regions!$D$5:$D$400,MATCH("US",Regions!$A$5:$A$400,0)))))</f>
        <v/>
      </c>
      <c r="H265" s="28">
        <f>IF(C265="","",(1+Assumptions!$C$32)^((Assumptions!$C$33-E265)/365.25))</f>
        <v/>
      </c>
      <c r="I265" s="36">
        <f>IF(C265="",0,C265/G265*H265)</f>
        <v/>
      </c>
      <c r="J265" s="28">
        <f>IF(C265="",0,IFERROR(INDEX(Lookups!$Z$5:$Z$8,MATCH(F265,Lookups!$Y$5:$Y$8,0)),0.3)*0.5^((Assumptions!$C$33-E265)/365.25/Assumptions!$C$31))</f>
        <v/>
      </c>
    </row>
    <row r="266">
      <c r="G266" s="16">
        <f>IF(C266="","",IF(IFERROR(INDEX(Regions!$D$5:$D$400,MATCH(D266,Regions!$A$5:$A$400,0))&lt;&gt;"",FALSE),INDEX(Regions!$D$5:$D$400,MATCH(D266,Regions!$A$5:$A$400,0)),IF(IFERROR(INDEX(Regions!$D$5:$D$400,MATCH(LEFT(D266,2),Regions!$A$5:$A$400,0))&lt;&gt;"",FALSE),INDEX(Regions!$D$5:$D$400,MATCH(LEFT(D266,2),Regions!$A$5:$A$400,0)),INDEX(Regions!$D$5:$D$400,MATCH("US",Regions!$A$5:$A$400,0)))))</f>
        <v/>
      </c>
      <c r="H266" s="28">
        <f>IF(C266="","",(1+Assumptions!$C$32)^((Assumptions!$C$33-E266)/365.25))</f>
        <v/>
      </c>
      <c r="I266" s="36">
        <f>IF(C266="",0,C266/G266*H266)</f>
        <v/>
      </c>
      <c r="J266" s="28">
        <f>IF(C266="",0,IFERROR(INDEX(Lookups!$Z$5:$Z$8,MATCH(F266,Lookups!$Y$5:$Y$8,0)),0.3)*0.5^((Assumptions!$C$33-E266)/365.25/Assumptions!$C$31))</f>
        <v/>
      </c>
    </row>
    <row r="267">
      <c r="G267" s="16">
        <f>IF(C267="","",IF(IFERROR(INDEX(Regions!$D$5:$D$400,MATCH(D267,Regions!$A$5:$A$400,0))&lt;&gt;"",FALSE),INDEX(Regions!$D$5:$D$400,MATCH(D267,Regions!$A$5:$A$400,0)),IF(IFERROR(INDEX(Regions!$D$5:$D$400,MATCH(LEFT(D267,2),Regions!$A$5:$A$400,0))&lt;&gt;"",FALSE),INDEX(Regions!$D$5:$D$400,MATCH(LEFT(D267,2),Regions!$A$5:$A$400,0)),INDEX(Regions!$D$5:$D$400,MATCH("US",Regions!$A$5:$A$400,0)))))</f>
        <v/>
      </c>
      <c r="H267" s="28">
        <f>IF(C267="","",(1+Assumptions!$C$32)^((Assumptions!$C$33-E267)/365.25))</f>
        <v/>
      </c>
      <c r="I267" s="36">
        <f>IF(C267="",0,C267/G267*H267)</f>
        <v/>
      </c>
      <c r="J267" s="28">
        <f>IF(C267="",0,IFERROR(INDEX(Lookups!$Z$5:$Z$8,MATCH(F267,Lookups!$Y$5:$Y$8,0)),0.3)*0.5^((Assumptions!$C$33-E267)/365.25/Assumptions!$C$31))</f>
        <v/>
      </c>
    </row>
    <row r="268">
      <c r="G268" s="16">
        <f>IF(C268="","",IF(IFERROR(INDEX(Regions!$D$5:$D$400,MATCH(D268,Regions!$A$5:$A$400,0))&lt;&gt;"",FALSE),INDEX(Regions!$D$5:$D$400,MATCH(D268,Regions!$A$5:$A$400,0)),IF(IFERROR(INDEX(Regions!$D$5:$D$400,MATCH(LEFT(D268,2),Regions!$A$5:$A$400,0))&lt;&gt;"",FALSE),INDEX(Regions!$D$5:$D$400,MATCH(LEFT(D268,2),Regions!$A$5:$A$400,0)),INDEX(Regions!$D$5:$D$400,MATCH("US",Regions!$A$5:$A$400,0)))))</f>
        <v/>
      </c>
      <c r="H268" s="28">
        <f>IF(C268="","",(1+Assumptions!$C$32)^((Assumptions!$C$33-E268)/365.25))</f>
        <v/>
      </c>
      <c r="I268" s="36">
        <f>IF(C268="",0,C268/G268*H268)</f>
        <v/>
      </c>
      <c r="J268" s="28">
        <f>IF(C268="",0,IFERROR(INDEX(Lookups!$Z$5:$Z$8,MATCH(F268,Lookups!$Y$5:$Y$8,0)),0.3)*0.5^((Assumptions!$C$33-E268)/365.25/Assumptions!$C$31))</f>
        <v/>
      </c>
    </row>
    <row r="269">
      <c r="G269" s="16">
        <f>IF(C269="","",IF(IFERROR(INDEX(Regions!$D$5:$D$400,MATCH(D269,Regions!$A$5:$A$400,0))&lt;&gt;"",FALSE),INDEX(Regions!$D$5:$D$400,MATCH(D269,Regions!$A$5:$A$400,0)),IF(IFERROR(INDEX(Regions!$D$5:$D$400,MATCH(LEFT(D269,2),Regions!$A$5:$A$400,0))&lt;&gt;"",FALSE),INDEX(Regions!$D$5:$D$400,MATCH(LEFT(D269,2),Regions!$A$5:$A$400,0)),INDEX(Regions!$D$5:$D$400,MATCH("US",Regions!$A$5:$A$400,0)))))</f>
        <v/>
      </c>
      <c r="H269" s="28">
        <f>IF(C269="","",(1+Assumptions!$C$32)^((Assumptions!$C$33-E269)/365.25))</f>
        <v/>
      </c>
      <c r="I269" s="36">
        <f>IF(C269="",0,C269/G269*H269)</f>
        <v/>
      </c>
      <c r="J269" s="28">
        <f>IF(C269="",0,IFERROR(INDEX(Lookups!$Z$5:$Z$8,MATCH(F269,Lookups!$Y$5:$Y$8,0)),0.3)*0.5^((Assumptions!$C$33-E269)/365.25/Assumptions!$C$31))</f>
        <v/>
      </c>
    </row>
    <row r="270">
      <c r="G270" s="16">
        <f>IF(C270="","",IF(IFERROR(INDEX(Regions!$D$5:$D$400,MATCH(D270,Regions!$A$5:$A$400,0))&lt;&gt;"",FALSE),INDEX(Regions!$D$5:$D$400,MATCH(D270,Regions!$A$5:$A$400,0)),IF(IFERROR(INDEX(Regions!$D$5:$D$400,MATCH(LEFT(D270,2),Regions!$A$5:$A$400,0))&lt;&gt;"",FALSE),INDEX(Regions!$D$5:$D$400,MATCH(LEFT(D270,2),Regions!$A$5:$A$400,0)),INDEX(Regions!$D$5:$D$400,MATCH("US",Regions!$A$5:$A$400,0)))))</f>
        <v/>
      </c>
      <c r="H270" s="28">
        <f>IF(C270="","",(1+Assumptions!$C$32)^((Assumptions!$C$33-E270)/365.25))</f>
        <v/>
      </c>
      <c r="I270" s="36">
        <f>IF(C270="",0,C270/G270*H270)</f>
        <v/>
      </c>
      <c r="J270" s="28">
        <f>IF(C270="",0,IFERROR(INDEX(Lookups!$Z$5:$Z$8,MATCH(F270,Lookups!$Y$5:$Y$8,0)),0.3)*0.5^((Assumptions!$C$33-E270)/365.25/Assumptions!$C$31))</f>
        <v/>
      </c>
    </row>
    <row r="271">
      <c r="G271" s="16">
        <f>IF(C271="","",IF(IFERROR(INDEX(Regions!$D$5:$D$400,MATCH(D271,Regions!$A$5:$A$400,0))&lt;&gt;"",FALSE),INDEX(Regions!$D$5:$D$400,MATCH(D271,Regions!$A$5:$A$400,0)),IF(IFERROR(INDEX(Regions!$D$5:$D$400,MATCH(LEFT(D271,2),Regions!$A$5:$A$400,0))&lt;&gt;"",FALSE),INDEX(Regions!$D$5:$D$400,MATCH(LEFT(D271,2),Regions!$A$5:$A$400,0)),INDEX(Regions!$D$5:$D$400,MATCH("US",Regions!$A$5:$A$400,0)))))</f>
        <v/>
      </c>
      <c r="H271" s="28">
        <f>IF(C271="","",(1+Assumptions!$C$32)^((Assumptions!$C$33-E271)/365.25))</f>
        <v/>
      </c>
      <c r="I271" s="36">
        <f>IF(C271="",0,C271/G271*H271)</f>
        <v/>
      </c>
      <c r="J271" s="28">
        <f>IF(C271="",0,IFERROR(INDEX(Lookups!$Z$5:$Z$8,MATCH(F271,Lookups!$Y$5:$Y$8,0)),0.3)*0.5^((Assumptions!$C$33-E271)/365.25/Assumptions!$C$31))</f>
        <v/>
      </c>
    </row>
    <row r="272">
      <c r="G272" s="16">
        <f>IF(C272="","",IF(IFERROR(INDEX(Regions!$D$5:$D$400,MATCH(D272,Regions!$A$5:$A$400,0))&lt;&gt;"",FALSE),INDEX(Regions!$D$5:$D$400,MATCH(D272,Regions!$A$5:$A$400,0)),IF(IFERROR(INDEX(Regions!$D$5:$D$400,MATCH(LEFT(D272,2),Regions!$A$5:$A$400,0))&lt;&gt;"",FALSE),INDEX(Regions!$D$5:$D$400,MATCH(LEFT(D272,2),Regions!$A$5:$A$400,0)),INDEX(Regions!$D$5:$D$400,MATCH("US",Regions!$A$5:$A$400,0)))))</f>
        <v/>
      </c>
      <c r="H272" s="28">
        <f>IF(C272="","",(1+Assumptions!$C$32)^((Assumptions!$C$33-E272)/365.25))</f>
        <v/>
      </c>
      <c r="I272" s="36">
        <f>IF(C272="",0,C272/G272*H272)</f>
        <v/>
      </c>
      <c r="J272" s="28">
        <f>IF(C272="",0,IFERROR(INDEX(Lookups!$Z$5:$Z$8,MATCH(F272,Lookups!$Y$5:$Y$8,0)),0.3)*0.5^((Assumptions!$C$33-E272)/365.25/Assumptions!$C$31))</f>
        <v/>
      </c>
    </row>
    <row r="273">
      <c r="G273" s="16">
        <f>IF(C273="","",IF(IFERROR(INDEX(Regions!$D$5:$D$400,MATCH(D273,Regions!$A$5:$A$400,0))&lt;&gt;"",FALSE),INDEX(Regions!$D$5:$D$400,MATCH(D273,Regions!$A$5:$A$400,0)),IF(IFERROR(INDEX(Regions!$D$5:$D$400,MATCH(LEFT(D273,2),Regions!$A$5:$A$400,0))&lt;&gt;"",FALSE),INDEX(Regions!$D$5:$D$400,MATCH(LEFT(D273,2),Regions!$A$5:$A$400,0)),INDEX(Regions!$D$5:$D$400,MATCH("US",Regions!$A$5:$A$400,0)))))</f>
        <v/>
      </c>
      <c r="H273" s="28">
        <f>IF(C273="","",(1+Assumptions!$C$32)^((Assumptions!$C$33-E273)/365.25))</f>
        <v/>
      </c>
      <c r="I273" s="36">
        <f>IF(C273="",0,C273/G273*H273)</f>
        <v/>
      </c>
      <c r="J273" s="28">
        <f>IF(C273="",0,IFERROR(INDEX(Lookups!$Z$5:$Z$8,MATCH(F273,Lookups!$Y$5:$Y$8,0)),0.3)*0.5^((Assumptions!$C$33-E273)/365.25/Assumptions!$C$31))</f>
        <v/>
      </c>
    </row>
    <row r="274">
      <c r="G274" s="16">
        <f>IF(C274="","",IF(IFERROR(INDEX(Regions!$D$5:$D$400,MATCH(D274,Regions!$A$5:$A$400,0))&lt;&gt;"",FALSE),INDEX(Regions!$D$5:$D$400,MATCH(D274,Regions!$A$5:$A$400,0)),IF(IFERROR(INDEX(Regions!$D$5:$D$400,MATCH(LEFT(D274,2),Regions!$A$5:$A$400,0))&lt;&gt;"",FALSE),INDEX(Regions!$D$5:$D$400,MATCH(LEFT(D274,2),Regions!$A$5:$A$400,0)),INDEX(Regions!$D$5:$D$400,MATCH("US",Regions!$A$5:$A$400,0)))))</f>
        <v/>
      </c>
      <c r="H274" s="28">
        <f>IF(C274="","",(1+Assumptions!$C$32)^((Assumptions!$C$33-E274)/365.25))</f>
        <v/>
      </c>
      <c r="I274" s="36">
        <f>IF(C274="",0,C274/G274*H274)</f>
        <v/>
      </c>
      <c r="J274" s="28">
        <f>IF(C274="",0,IFERROR(INDEX(Lookups!$Z$5:$Z$8,MATCH(F274,Lookups!$Y$5:$Y$8,0)),0.3)*0.5^((Assumptions!$C$33-E274)/365.25/Assumptions!$C$31))</f>
        <v/>
      </c>
    </row>
    <row r="275">
      <c r="G275" s="16">
        <f>IF(C275="","",IF(IFERROR(INDEX(Regions!$D$5:$D$400,MATCH(D275,Regions!$A$5:$A$400,0))&lt;&gt;"",FALSE),INDEX(Regions!$D$5:$D$400,MATCH(D275,Regions!$A$5:$A$400,0)),IF(IFERROR(INDEX(Regions!$D$5:$D$400,MATCH(LEFT(D275,2),Regions!$A$5:$A$400,0))&lt;&gt;"",FALSE),INDEX(Regions!$D$5:$D$400,MATCH(LEFT(D275,2),Regions!$A$5:$A$400,0)),INDEX(Regions!$D$5:$D$400,MATCH("US",Regions!$A$5:$A$400,0)))))</f>
        <v/>
      </c>
      <c r="H275" s="28">
        <f>IF(C275="","",(1+Assumptions!$C$32)^((Assumptions!$C$33-E275)/365.25))</f>
        <v/>
      </c>
      <c r="I275" s="36">
        <f>IF(C275="",0,C275/G275*H275)</f>
        <v/>
      </c>
      <c r="J275" s="28">
        <f>IF(C275="",0,IFERROR(INDEX(Lookups!$Z$5:$Z$8,MATCH(F275,Lookups!$Y$5:$Y$8,0)),0.3)*0.5^((Assumptions!$C$33-E275)/365.25/Assumptions!$C$31))</f>
        <v/>
      </c>
    </row>
    <row r="276">
      <c r="G276" s="16">
        <f>IF(C276="","",IF(IFERROR(INDEX(Regions!$D$5:$D$400,MATCH(D276,Regions!$A$5:$A$400,0))&lt;&gt;"",FALSE),INDEX(Regions!$D$5:$D$400,MATCH(D276,Regions!$A$5:$A$400,0)),IF(IFERROR(INDEX(Regions!$D$5:$D$400,MATCH(LEFT(D276,2),Regions!$A$5:$A$400,0))&lt;&gt;"",FALSE),INDEX(Regions!$D$5:$D$400,MATCH(LEFT(D276,2),Regions!$A$5:$A$400,0)),INDEX(Regions!$D$5:$D$400,MATCH("US",Regions!$A$5:$A$400,0)))))</f>
        <v/>
      </c>
      <c r="H276" s="28">
        <f>IF(C276="","",(1+Assumptions!$C$32)^((Assumptions!$C$33-E276)/365.25))</f>
        <v/>
      </c>
      <c r="I276" s="36">
        <f>IF(C276="",0,C276/G276*H276)</f>
        <v/>
      </c>
      <c r="J276" s="28">
        <f>IF(C276="",0,IFERROR(INDEX(Lookups!$Z$5:$Z$8,MATCH(F276,Lookups!$Y$5:$Y$8,0)),0.3)*0.5^((Assumptions!$C$33-E276)/365.25/Assumptions!$C$31))</f>
        <v/>
      </c>
    </row>
    <row r="277">
      <c r="G277" s="16">
        <f>IF(C277="","",IF(IFERROR(INDEX(Regions!$D$5:$D$400,MATCH(D277,Regions!$A$5:$A$400,0))&lt;&gt;"",FALSE),INDEX(Regions!$D$5:$D$400,MATCH(D277,Regions!$A$5:$A$400,0)),IF(IFERROR(INDEX(Regions!$D$5:$D$400,MATCH(LEFT(D277,2),Regions!$A$5:$A$400,0))&lt;&gt;"",FALSE),INDEX(Regions!$D$5:$D$400,MATCH(LEFT(D277,2),Regions!$A$5:$A$400,0)),INDEX(Regions!$D$5:$D$400,MATCH("US",Regions!$A$5:$A$400,0)))))</f>
        <v/>
      </c>
      <c r="H277" s="28">
        <f>IF(C277="","",(1+Assumptions!$C$32)^((Assumptions!$C$33-E277)/365.25))</f>
        <v/>
      </c>
      <c r="I277" s="36">
        <f>IF(C277="",0,C277/G277*H277)</f>
        <v/>
      </c>
      <c r="J277" s="28">
        <f>IF(C277="",0,IFERROR(INDEX(Lookups!$Z$5:$Z$8,MATCH(F277,Lookups!$Y$5:$Y$8,0)),0.3)*0.5^((Assumptions!$C$33-E277)/365.25/Assumptions!$C$31))</f>
        <v/>
      </c>
    </row>
    <row r="278">
      <c r="G278" s="16">
        <f>IF(C278="","",IF(IFERROR(INDEX(Regions!$D$5:$D$400,MATCH(D278,Regions!$A$5:$A$400,0))&lt;&gt;"",FALSE),INDEX(Regions!$D$5:$D$400,MATCH(D278,Regions!$A$5:$A$400,0)),IF(IFERROR(INDEX(Regions!$D$5:$D$400,MATCH(LEFT(D278,2),Regions!$A$5:$A$400,0))&lt;&gt;"",FALSE),INDEX(Regions!$D$5:$D$400,MATCH(LEFT(D278,2),Regions!$A$5:$A$400,0)),INDEX(Regions!$D$5:$D$400,MATCH("US",Regions!$A$5:$A$400,0)))))</f>
        <v/>
      </c>
      <c r="H278" s="28">
        <f>IF(C278="","",(1+Assumptions!$C$32)^((Assumptions!$C$33-E278)/365.25))</f>
        <v/>
      </c>
      <c r="I278" s="36">
        <f>IF(C278="",0,C278/G278*H278)</f>
        <v/>
      </c>
      <c r="J278" s="28">
        <f>IF(C278="",0,IFERROR(INDEX(Lookups!$Z$5:$Z$8,MATCH(F278,Lookups!$Y$5:$Y$8,0)),0.3)*0.5^((Assumptions!$C$33-E278)/365.25/Assumptions!$C$31))</f>
        <v/>
      </c>
    </row>
    <row r="279">
      <c r="G279" s="16">
        <f>IF(C279="","",IF(IFERROR(INDEX(Regions!$D$5:$D$400,MATCH(D279,Regions!$A$5:$A$400,0))&lt;&gt;"",FALSE),INDEX(Regions!$D$5:$D$400,MATCH(D279,Regions!$A$5:$A$400,0)),IF(IFERROR(INDEX(Regions!$D$5:$D$400,MATCH(LEFT(D279,2),Regions!$A$5:$A$400,0))&lt;&gt;"",FALSE),INDEX(Regions!$D$5:$D$400,MATCH(LEFT(D279,2),Regions!$A$5:$A$400,0)),INDEX(Regions!$D$5:$D$400,MATCH("US",Regions!$A$5:$A$400,0)))))</f>
        <v/>
      </c>
      <c r="H279" s="28">
        <f>IF(C279="","",(1+Assumptions!$C$32)^((Assumptions!$C$33-E279)/365.25))</f>
        <v/>
      </c>
      <c r="I279" s="36">
        <f>IF(C279="",0,C279/G279*H279)</f>
        <v/>
      </c>
      <c r="J279" s="28">
        <f>IF(C279="",0,IFERROR(INDEX(Lookups!$Z$5:$Z$8,MATCH(F279,Lookups!$Y$5:$Y$8,0)),0.3)*0.5^((Assumptions!$C$33-E279)/365.25/Assumptions!$C$31))</f>
        <v/>
      </c>
    </row>
    <row r="280">
      <c r="G280" s="16">
        <f>IF(C280="","",IF(IFERROR(INDEX(Regions!$D$5:$D$400,MATCH(D280,Regions!$A$5:$A$400,0))&lt;&gt;"",FALSE),INDEX(Regions!$D$5:$D$400,MATCH(D280,Regions!$A$5:$A$400,0)),IF(IFERROR(INDEX(Regions!$D$5:$D$400,MATCH(LEFT(D280,2),Regions!$A$5:$A$400,0))&lt;&gt;"",FALSE),INDEX(Regions!$D$5:$D$400,MATCH(LEFT(D280,2),Regions!$A$5:$A$400,0)),INDEX(Regions!$D$5:$D$400,MATCH("US",Regions!$A$5:$A$400,0)))))</f>
        <v/>
      </c>
      <c r="H280" s="28">
        <f>IF(C280="","",(1+Assumptions!$C$32)^((Assumptions!$C$33-E280)/365.25))</f>
        <v/>
      </c>
      <c r="I280" s="36">
        <f>IF(C280="",0,C280/G280*H280)</f>
        <v/>
      </c>
      <c r="J280" s="28">
        <f>IF(C280="",0,IFERROR(INDEX(Lookups!$Z$5:$Z$8,MATCH(F280,Lookups!$Y$5:$Y$8,0)),0.3)*0.5^((Assumptions!$C$33-E280)/365.25/Assumptions!$C$31))</f>
        <v/>
      </c>
    </row>
    <row r="281">
      <c r="G281" s="16">
        <f>IF(C281="","",IF(IFERROR(INDEX(Regions!$D$5:$D$400,MATCH(D281,Regions!$A$5:$A$400,0))&lt;&gt;"",FALSE),INDEX(Regions!$D$5:$D$400,MATCH(D281,Regions!$A$5:$A$400,0)),IF(IFERROR(INDEX(Regions!$D$5:$D$400,MATCH(LEFT(D281,2),Regions!$A$5:$A$400,0))&lt;&gt;"",FALSE),INDEX(Regions!$D$5:$D$400,MATCH(LEFT(D281,2),Regions!$A$5:$A$400,0)),INDEX(Regions!$D$5:$D$400,MATCH("US",Regions!$A$5:$A$400,0)))))</f>
        <v/>
      </c>
      <c r="H281" s="28">
        <f>IF(C281="","",(1+Assumptions!$C$32)^((Assumptions!$C$33-E281)/365.25))</f>
        <v/>
      </c>
      <c r="I281" s="36">
        <f>IF(C281="",0,C281/G281*H281)</f>
        <v/>
      </c>
      <c r="J281" s="28">
        <f>IF(C281="",0,IFERROR(INDEX(Lookups!$Z$5:$Z$8,MATCH(F281,Lookups!$Y$5:$Y$8,0)),0.3)*0.5^((Assumptions!$C$33-E281)/365.25/Assumptions!$C$31))</f>
        <v/>
      </c>
    </row>
    <row r="282">
      <c r="G282" s="16">
        <f>IF(C282="","",IF(IFERROR(INDEX(Regions!$D$5:$D$400,MATCH(D282,Regions!$A$5:$A$400,0))&lt;&gt;"",FALSE),INDEX(Regions!$D$5:$D$400,MATCH(D282,Regions!$A$5:$A$400,0)),IF(IFERROR(INDEX(Regions!$D$5:$D$400,MATCH(LEFT(D282,2),Regions!$A$5:$A$400,0))&lt;&gt;"",FALSE),INDEX(Regions!$D$5:$D$400,MATCH(LEFT(D282,2),Regions!$A$5:$A$400,0)),INDEX(Regions!$D$5:$D$400,MATCH("US",Regions!$A$5:$A$400,0)))))</f>
        <v/>
      </c>
      <c r="H282" s="28">
        <f>IF(C282="","",(1+Assumptions!$C$32)^((Assumptions!$C$33-E282)/365.25))</f>
        <v/>
      </c>
      <c r="I282" s="36">
        <f>IF(C282="",0,C282/G282*H282)</f>
        <v/>
      </c>
      <c r="J282" s="28">
        <f>IF(C282="",0,IFERROR(INDEX(Lookups!$Z$5:$Z$8,MATCH(F282,Lookups!$Y$5:$Y$8,0)),0.3)*0.5^((Assumptions!$C$33-E282)/365.25/Assumptions!$C$31))</f>
        <v/>
      </c>
    </row>
    <row r="283">
      <c r="G283" s="16">
        <f>IF(C283="","",IF(IFERROR(INDEX(Regions!$D$5:$D$400,MATCH(D283,Regions!$A$5:$A$400,0))&lt;&gt;"",FALSE),INDEX(Regions!$D$5:$D$400,MATCH(D283,Regions!$A$5:$A$400,0)),IF(IFERROR(INDEX(Regions!$D$5:$D$400,MATCH(LEFT(D283,2),Regions!$A$5:$A$400,0))&lt;&gt;"",FALSE),INDEX(Regions!$D$5:$D$400,MATCH(LEFT(D283,2),Regions!$A$5:$A$400,0)),INDEX(Regions!$D$5:$D$400,MATCH("US",Regions!$A$5:$A$400,0)))))</f>
        <v/>
      </c>
      <c r="H283" s="28">
        <f>IF(C283="","",(1+Assumptions!$C$32)^((Assumptions!$C$33-E283)/365.25))</f>
        <v/>
      </c>
      <c r="I283" s="36">
        <f>IF(C283="",0,C283/G283*H283)</f>
        <v/>
      </c>
      <c r="J283" s="28">
        <f>IF(C283="",0,IFERROR(INDEX(Lookups!$Z$5:$Z$8,MATCH(F283,Lookups!$Y$5:$Y$8,0)),0.3)*0.5^((Assumptions!$C$33-E283)/365.25/Assumptions!$C$31))</f>
        <v/>
      </c>
    </row>
    <row r="284">
      <c r="G284" s="16">
        <f>IF(C284="","",IF(IFERROR(INDEX(Regions!$D$5:$D$400,MATCH(D284,Regions!$A$5:$A$400,0))&lt;&gt;"",FALSE),INDEX(Regions!$D$5:$D$400,MATCH(D284,Regions!$A$5:$A$400,0)),IF(IFERROR(INDEX(Regions!$D$5:$D$400,MATCH(LEFT(D284,2),Regions!$A$5:$A$400,0))&lt;&gt;"",FALSE),INDEX(Regions!$D$5:$D$400,MATCH(LEFT(D284,2),Regions!$A$5:$A$400,0)),INDEX(Regions!$D$5:$D$400,MATCH("US",Regions!$A$5:$A$400,0)))))</f>
        <v/>
      </c>
      <c r="H284" s="28">
        <f>IF(C284="","",(1+Assumptions!$C$32)^((Assumptions!$C$33-E284)/365.25))</f>
        <v/>
      </c>
      <c r="I284" s="36">
        <f>IF(C284="",0,C284/G284*H284)</f>
        <v/>
      </c>
      <c r="J284" s="28">
        <f>IF(C284="",0,IFERROR(INDEX(Lookups!$Z$5:$Z$8,MATCH(F284,Lookups!$Y$5:$Y$8,0)),0.3)*0.5^((Assumptions!$C$33-E284)/365.25/Assumptions!$C$31))</f>
        <v/>
      </c>
    </row>
    <row r="285">
      <c r="G285" s="16">
        <f>IF(C285="","",IF(IFERROR(INDEX(Regions!$D$5:$D$400,MATCH(D285,Regions!$A$5:$A$400,0))&lt;&gt;"",FALSE),INDEX(Regions!$D$5:$D$400,MATCH(D285,Regions!$A$5:$A$400,0)),IF(IFERROR(INDEX(Regions!$D$5:$D$400,MATCH(LEFT(D285,2),Regions!$A$5:$A$400,0))&lt;&gt;"",FALSE),INDEX(Regions!$D$5:$D$400,MATCH(LEFT(D285,2),Regions!$A$5:$A$400,0)),INDEX(Regions!$D$5:$D$400,MATCH("US",Regions!$A$5:$A$400,0)))))</f>
        <v/>
      </c>
      <c r="H285" s="28">
        <f>IF(C285="","",(1+Assumptions!$C$32)^((Assumptions!$C$33-E285)/365.25))</f>
        <v/>
      </c>
      <c r="I285" s="36">
        <f>IF(C285="",0,C285/G285*H285)</f>
        <v/>
      </c>
      <c r="J285" s="28">
        <f>IF(C285="",0,IFERROR(INDEX(Lookups!$Z$5:$Z$8,MATCH(F285,Lookups!$Y$5:$Y$8,0)),0.3)*0.5^((Assumptions!$C$33-E285)/365.25/Assumptions!$C$31))</f>
        <v/>
      </c>
    </row>
    <row r="286">
      <c r="G286" s="16">
        <f>IF(C286="","",IF(IFERROR(INDEX(Regions!$D$5:$D$400,MATCH(D286,Regions!$A$5:$A$400,0))&lt;&gt;"",FALSE),INDEX(Regions!$D$5:$D$400,MATCH(D286,Regions!$A$5:$A$400,0)),IF(IFERROR(INDEX(Regions!$D$5:$D$400,MATCH(LEFT(D286,2),Regions!$A$5:$A$400,0))&lt;&gt;"",FALSE),INDEX(Regions!$D$5:$D$400,MATCH(LEFT(D286,2),Regions!$A$5:$A$400,0)),INDEX(Regions!$D$5:$D$400,MATCH("US",Regions!$A$5:$A$400,0)))))</f>
        <v/>
      </c>
      <c r="H286" s="28">
        <f>IF(C286="","",(1+Assumptions!$C$32)^((Assumptions!$C$33-E286)/365.25))</f>
        <v/>
      </c>
      <c r="I286" s="36">
        <f>IF(C286="",0,C286/G286*H286)</f>
        <v/>
      </c>
      <c r="J286" s="28">
        <f>IF(C286="",0,IFERROR(INDEX(Lookups!$Z$5:$Z$8,MATCH(F286,Lookups!$Y$5:$Y$8,0)),0.3)*0.5^((Assumptions!$C$33-E286)/365.25/Assumptions!$C$31))</f>
        <v/>
      </c>
    </row>
    <row r="287">
      <c r="G287" s="16">
        <f>IF(C287="","",IF(IFERROR(INDEX(Regions!$D$5:$D$400,MATCH(D287,Regions!$A$5:$A$400,0))&lt;&gt;"",FALSE),INDEX(Regions!$D$5:$D$400,MATCH(D287,Regions!$A$5:$A$400,0)),IF(IFERROR(INDEX(Regions!$D$5:$D$400,MATCH(LEFT(D287,2),Regions!$A$5:$A$400,0))&lt;&gt;"",FALSE),INDEX(Regions!$D$5:$D$400,MATCH(LEFT(D287,2),Regions!$A$5:$A$400,0)),INDEX(Regions!$D$5:$D$400,MATCH("US",Regions!$A$5:$A$400,0)))))</f>
        <v/>
      </c>
      <c r="H287" s="28">
        <f>IF(C287="","",(1+Assumptions!$C$32)^((Assumptions!$C$33-E287)/365.25))</f>
        <v/>
      </c>
      <c r="I287" s="36">
        <f>IF(C287="",0,C287/G287*H287)</f>
        <v/>
      </c>
      <c r="J287" s="28">
        <f>IF(C287="",0,IFERROR(INDEX(Lookups!$Z$5:$Z$8,MATCH(F287,Lookups!$Y$5:$Y$8,0)),0.3)*0.5^((Assumptions!$C$33-E287)/365.25/Assumptions!$C$31))</f>
        <v/>
      </c>
    </row>
    <row r="288">
      <c r="G288" s="16">
        <f>IF(C288="","",IF(IFERROR(INDEX(Regions!$D$5:$D$400,MATCH(D288,Regions!$A$5:$A$400,0))&lt;&gt;"",FALSE),INDEX(Regions!$D$5:$D$400,MATCH(D288,Regions!$A$5:$A$400,0)),IF(IFERROR(INDEX(Regions!$D$5:$D$400,MATCH(LEFT(D288,2),Regions!$A$5:$A$400,0))&lt;&gt;"",FALSE),INDEX(Regions!$D$5:$D$400,MATCH(LEFT(D288,2),Regions!$A$5:$A$400,0)),INDEX(Regions!$D$5:$D$400,MATCH("US",Regions!$A$5:$A$400,0)))))</f>
        <v/>
      </c>
      <c r="H288" s="28">
        <f>IF(C288="","",(1+Assumptions!$C$32)^((Assumptions!$C$33-E288)/365.25))</f>
        <v/>
      </c>
      <c r="I288" s="36">
        <f>IF(C288="",0,C288/G288*H288)</f>
        <v/>
      </c>
      <c r="J288" s="28">
        <f>IF(C288="",0,IFERROR(INDEX(Lookups!$Z$5:$Z$8,MATCH(F288,Lookups!$Y$5:$Y$8,0)),0.3)*0.5^((Assumptions!$C$33-E288)/365.25/Assumptions!$C$31))</f>
        <v/>
      </c>
    </row>
    <row r="289">
      <c r="G289" s="16">
        <f>IF(C289="","",IF(IFERROR(INDEX(Regions!$D$5:$D$400,MATCH(D289,Regions!$A$5:$A$400,0))&lt;&gt;"",FALSE),INDEX(Regions!$D$5:$D$400,MATCH(D289,Regions!$A$5:$A$400,0)),IF(IFERROR(INDEX(Regions!$D$5:$D$400,MATCH(LEFT(D289,2),Regions!$A$5:$A$400,0))&lt;&gt;"",FALSE),INDEX(Regions!$D$5:$D$400,MATCH(LEFT(D289,2),Regions!$A$5:$A$400,0)),INDEX(Regions!$D$5:$D$400,MATCH("US",Regions!$A$5:$A$400,0)))))</f>
        <v/>
      </c>
      <c r="H289" s="28">
        <f>IF(C289="","",(1+Assumptions!$C$32)^((Assumptions!$C$33-E289)/365.25))</f>
        <v/>
      </c>
      <c r="I289" s="36">
        <f>IF(C289="",0,C289/G289*H289)</f>
        <v/>
      </c>
      <c r="J289" s="28">
        <f>IF(C289="",0,IFERROR(INDEX(Lookups!$Z$5:$Z$8,MATCH(F289,Lookups!$Y$5:$Y$8,0)),0.3)*0.5^((Assumptions!$C$33-E289)/365.25/Assumptions!$C$31))</f>
        <v/>
      </c>
    </row>
    <row r="290">
      <c r="G290" s="16">
        <f>IF(C290="","",IF(IFERROR(INDEX(Regions!$D$5:$D$400,MATCH(D290,Regions!$A$5:$A$400,0))&lt;&gt;"",FALSE),INDEX(Regions!$D$5:$D$400,MATCH(D290,Regions!$A$5:$A$400,0)),IF(IFERROR(INDEX(Regions!$D$5:$D$400,MATCH(LEFT(D290,2),Regions!$A$5:$A$400,0))&lt;&gt;"",FALSE),INDEX(Regions!$D$5:$D$400,MATCH(LEFT(D290,2),Regions!$A$5:$A$400,0)),INDEX(Regions!$D$5:$D$400,MATCH("US",Regions!$A$5:$A$400,0)))))</f>
        <v/>
      </c>
      <c r="H290" s="28">
        <f>IF(C290="","",(1+Assumptions!$C$32)^((Assumptions!$C$33-E290)/365.25))</f>
        <v/>
      </c>
      <c r="I290" s="36">
        <f>IF(C290="",0,C290/G290*H290)</f>
        <v/>
      </c>
      <c r="J290" s="28">
        <f>IF(C290="",0,IFERROR(INDEX(Lookups!$Z$5:$Z$8,MATCH(F290,Lookups!$Y$5:$Y$8,0)),0.3)*0.5^((Assumptions!$C$33-E290)/365.25/Assumptions!$C$31))</f>
        <v/>
      </c>
    </row>
    <row r="291">
      <c r="G291" s="16">
        <f>IF(C291="","",IF(IFERROR(INDEX(Regions!$D$5:$D$400,MATCH(D291,Regions!$A$5:$A$400,0))&lt;&gt;"",FALSE),INDEX(Regions!$D$5:$D$400,MATCH(D291,Regions!$A$5:$A$400,0)),IF(IFERROR(INDEX(Regions!$D$5:$D$400,MATCH(LEFT(D291,2),Regions!$A$5:$A$400,0))&lt;&gt;"",FALSE),INDEX(Regions!$D$5:$D$400,MATCH(LEFT(D291,2),Regions!$A$5:$A$400,0)),INDEX(Regions!$D$5:$D$400,MATCH("US",Regions!$A$5:$A$400,0)))))</f>
        <v/>
      </c>
      <c r="H291" s="28">
        <f>IF(C291="","",(1+Assumptions!$C$32)^((Assumptions!$C$33-E291)/365.25))</f>
        <v/>
      </c>
      <c r="I291" s="36">
        <f>IF(C291="",0,C291/G291*H291)</f>
        <v/>
      </c>
      <c r="J291" s="28">
        <f>IF(C291="",0,IFERROR(INDEX(Lookups!$Z$5:$Z$8,MATCH(F291,Lookups!$Y$5:$Y$8,0)),0.3)*0.5^((Assumptions!$C$33-E291)/365.25/Assumptions!$C$31))</f>
        <v/>
      </c>
    </row>
    <row r="292">
      <c r="G292" s="16">
        <f>IF(C292="","",IF(IFERROR(INDEX(Regions!$D$5:$D$400,MATCH(D292,Regions!$A$5:$A$400,0))&lt;&gt;"",FALSE),INDEX(Regions!$D$5:$D$400,MATCH(D292,Regions!$A$5:$A$400,0)),IF(IFERROR(INDEX(Regions!$D$5:$D$400,MATCH(LEFT(D292,2),Regions!$A$5:$A$400,0))&lt;&gt;"",FALSE),INDEX(Regions!$D$5:$D$400,MATCH(LEFT(D292,2),Regions!$A$5:$A$400,0)),INDEX(Regions!$D$5:$D$400,MATCH("US",Regions!$A$5:$A$400,0)))))</f>
        <v/>
      </c>
      <c r="H292" s="28">
        <f>IF(C292="","",(1+Assumptions!$C$32)^((Assumptions!$C$33-E292)/365.25))</f>
        <v/>
      </c>
      <c r="I292" s="36">
        <f>IF(C292="",0,C292/G292*H292)</f>
        <v/>
      </c>
      <c r="J292" s="28">
        <f>IF(C292="",0,IFERROR(INDEX(Lookups!$Z$5:$Z$8,MATCH(F292,Lookups!$Y$5:$Y$8,0)),0.3)*0.5^((Assumptions!$C$33-E292)/365.25/Assumptions!$C$31))</f>
        <v/>
      </c>
    </row>
    <row r="293">
      <c r="G293" s="16">
        <f>IF(C293="","",IF(IFERROR(INDEX(Regions!$D$5:$D$400,MATCH(D293,Regions!$A$5:$A$400,0))&lt;&gt;"",FALSE),INDEX(Regions!$D$5:$D$400,MATCH(D293,Regions!$A$5:$A$400,0)),IF(IFERROR(INDEX(Regions!$D$5:$D$400,MATCH(LEFT(D293,2),Regions!$A$5:$A$400,0))&lt;&gt;"",FALSE),INDEX(Regions!$D$5:$D$400,MATCH(LEFT(D293,2),Regions!$A$5:$A$400,0)),INDEX(Regions!$D$5:$D$400,MATCH("US",Regions!$A$5:$A$400,0)))))</f>
        <v/>
      </c>
      <c r="H293" s="28">
        <f>IF(C293="","",(1+Assumptions!$C$32)^((Assumptions!$C$33-E293)/365.25))</f>
        <v/>
      </c>
      <c r="I293" s="36">
        <f>IF(C293="",0,C293/G293*H293)</f>
        <v/>
      </c>
      <c r="J293" s="28">
        <f>IF(C293="",0,IFERROR(INDEX(Lookups!$Z$5:$Z$8,MATCH(F293,Lookups!$Y$5:$Y$8,0)),0.3)*0.5^((Assumptions!$C$33-E293)/365.25/Assumptions!$C$31))</f>
        <v/>
      </c>
    </row>
    <row r="294">
      <c r="G294" s="16">
        <f>IF(C294="","",IF(IFERROR(INDEX(Regions!$D$5:$D$400,MATCH(D294,Regions!$A$5:$A$400,0))&lt;&gt;"",FALSE),INDEX(Regions!$D$5:$D$400,MATCH(D294,Regions!$A$5:$A$400,0)),IF(IFERROR(INDEX(Regions!$D$5:$D$400,MATCH(LEFT(D294,2),Regions!$A$5:$A$400,0))&lt;&gt;"",FALSE),INDEX(Regions!$D$5:$D$400,MATCH(LEFT(D294,2),Regions!$A$5:$A$400,0)),INDEX(Regions!$D$5:$D$400,MATCH("US",Regions!$A$5:$A$400,0)))))</f>
        <v/>
      </c>
      <c r="H294" s="28">
        <f>IF(C294="","",(1+Assumptions!$C$32)^((Assumptions!$C$33-E294)/365.25))</f>
        <v/>
      </c>
      <c r="I294" s="36">
        <f>IF(C294="",0,C294/G294*H294)</f>
        <v/>
      </c>
      <c r="J294" s="28">
        <f>IF(C294="",0,IFERROR(INDEX(Lookups!$Z$5:$Z$8,MATCH(F294,Lookups!$Y$5:$Y$8,0)),0.3)*0.5^((Assumptions!$C$33-E294)/365.25/Assumptions!$C$31))</f>
        <v/>
      </c>
    </row>
    <row r="295">
      <c r="G295" s="16">
        <f>IF(C295="","",IF(IFERROR(INDEX(Regions!$D$5:$D$400,MATCH(D295,Regions!$A$5:$A$400,0))&lt;&gt;"",FALSE),INDEX(Regions!$D$5:$D$400,MATCH(D295,Regions!$A$5:$A$400,0)),IF(IFERROR(INDEX(Regions!$D$5:$D$400,MATCH(LEFT(D295,2),Regions!$A$5:$A$400,0))&lt;&gt;"",FALSE),INDEX(Regions!$D$5:$D$400,MATCH(LEFT(D295,2),Regions!$A$5:$A$400,0)),INDEX(Regions!$D$5:$D$400,MATCH("US",Regions!$A$5:$A$400,0)))))</f>
        <v/>
      </c>
      <c r="H295" s="28">
        <f>IF(C295="","",(1+Assumptions!$C$32)^((Assumptions!$C$33-E295)/365.25))</f>
        <v/>
      </c>
      <c r="I295" s="36">
        <f>IF(C295="",0,C295/G295*H295)</f>
        <v/>
      </c>
      <c r="J295" s="28">
        <f>IF(C295="",0,IFERROR(INDEX(Lookups!$Z$5:$Z$8,MATCH(F295,Lookups!$Y$5:$Y$8,0)),0.3)*0.5^((Assumptions!$C$33-E295)/365.25/Assumptions!$C$31))</f>
        <v/>
      </c>
    </row>
    <row r="296">
      <c r="G296" s="16">
        <f>IF(C296="","",IF(IFERROR(INDEX(Regions!$D$5:$D$400,MATCH(D296,Regions!$A$5:$A$400,0))&lt;&gt;"",FALSE),INDEX(Regions!$D$5:$D$400,MATCH(D296,Regions!$A$5:$A$400,0)),IF(IFERROR(INDEX(Regions!$D$5:$D$400,MATCH(LEFT(D296,2),Regions!$A$5:$A$400,0))&lt;&gt;"",FALSE),INDEX(Regions!$D$5:$D$400,MATCH(LEFT(D296,2),Regions!$A$5:$A$400,0)),INDEX(Regions!$D$5:$D$400,MATCH("US",Regions!$A$5:$A$400,0)))))</f>
        <v/>
      </c>
      <c r="H296" s="28">
        <f>IF(C296="","",(1+Assumptions!$C$32)^((Assumptions!$C$33-E296)/365.25))</f>
        <v/>
      </c>
      <c r="I296" s="36">
        <f>IF(C296="",0,C296/G296*H296)</f>
        <v/>
      </c>
      <c r="J296" s="28">
        <f>IF(C296="",0,IFERROR(INDEX(Lookups!$Z$5:$Z$8,MATCH(F296,Lookups!$Y$5:$Y$8,0)),0.3)*0.5^((Assumptions!$C$33-E296)/365.25/Assumptions!$C$31))</f>
        <v/>
      </c>
    </row>
    <row r="297">
      <c r="G297" s="16">
        <f>IF(C297="","",IF(IFERROR(INDEX(Regions!$D$5:$D$400,MATCH(D297,Regions!$A$5:$A$400,0))&lt;&gt;"",FALSE),INDEX(Regions!$D$5:$D$400,MATCH(D297,Regions!$A$5:$A$400,0)),IF(IFERROR(INDEX(Regions!$D$5:$D$400,MATCH(LEFT(D297,2),Regions!$A$5:$A$400,0))&lt;&gt;"",FALSE),INDEX(Regions!$D$5:$D$400,MATCH(LEFT(D297,2),Regions!$A$5:$A$400,0)),INDEX(Regions!$D$5:$D$400,MATCH("US",Regions!$A$5:$A$400,0)))))</f>
        <v/>
      </c>
      <c r="H297" s="28">
        <f>IF(C297="","",(1+Assumptions!$C$32)^((Assumptions!$C$33-E297)/365.25))</f>
        <v/>
      </c>
      <c r="I297" s="36">
        <f>IF(C297="",0,C297/G297*H297)</f>
        <v/>
      </c>
      <c r="J297" s="28">
        <f>IF(C297="",0,IFERROR(INDEX(Lookups!$Z$5:$Z$8,MATCH(F297,Lookups!$Y$5:$Y$8,0)),0.3)*0.5^((Assumptions!$C$33-E297)/365.25/Assumptions!$C$31))</f>
        <v/>
      </c>
    </row>
    <row r="298">
      <c r="G298" s="16">
        <f>IF(C298="","",IF(IFERROR(INDEX(Regions!$D$5:$D$400,MATCH(D298,Regions!$A$5:$A$400,0))&lt;&gt;"",FALSE),INDEX(Regions!$D$5:$D$400,MATCH(D298,Regions!$A$5:$A$400,0)),IF(IFERROR(INDEX(Regions!$D$5:$D$400,MATCH(LEFT(D298,2),Regions!$A$5:$A$400,0))&lt;&gt;"",FALSE),INDEX(Regions!$D$5:$D$400,MATCH(LEFT(D298,2),Regions!$A$5:$A$400,0)),INDEX(Regions!$D$5:$D$400,MATCH("US",Regions!$A$5:$A$400,0)))))</f>
        <v/>
      </c>
      <c r="H298" s="28">
        <f>IF(C298="","",(1+Assumptions!$C$32)^((Assumptions!$C$33-E298)/365.25))</f>
        <v/>
      </c>
      <c r="I298" s="36">
        <f>IF(C298="",0,C298/G298*H298)</f>
        <v/>
      </c>
      <c r="J298" s="28">
        <f>IF(C298="",0,IFERROR(INDEX(Lookups!$Z$5:$Z$8,MATCH(F298,Lookups!$Y$5:$Y$8,0)),0.3)*0.5^((Assumptions!$C$33-E298)/365.25/Assumptions!$C$31))</f>
        <v/>
      </c>
    </row>
    <row r="299">
      <c r="G299" s="16">
        <f>IF(C299="","",IF(IFERROR(INDEX(Regions!$D$5:$D$400,MATCH(D299,Regions!$A$5:$A$400,0))&lt;&gt;"",FALSE),INDEX(Regions!$D$5:$D$400,MATCH(D299,Regions!$A$5:$A$400,0)),IF(IFERROR(INDEX(Regions!$D$5:$D$400,MATCH(LEFT(D299,2),Regions!$A$5:$A$400,0))&lt;&gt;"",FALSE),INDEX(Regions!$D$5:$D$400,MATCH(LEFT(D299,2),Regions!$A$5:$A$400,0)),INDEX(Regions!$D$5:$D$400,MATCH("US",Regions!$A$5:$A$400,0)))))</f>
        <v/>
      </c>
      <c r="H299" s="28">
        <f>IF(C299="","",(1+Assumptions!$C$32)^((Assumptions!$C$33-E299)/365.25))</f>
        <v/>
      </c>
      <c r="I299" s="36">
        <f>IF(C299="",0,C299/G299*H299)</f>
        <v/>
      </c>
      <c r="J299" s="28">
        <f>IF(C299="",0,IFERROR(INDEX(Lookups!$Z$5:$Z$8,MATCH(F299,Lookups!$Y$5:$Y$8,0)),0.3)*0.5^((Assumptions!$C$33-E299)/365.25/Assumptions!$C$31))</f>
        <v/>
      </c>
    </row>
    <row r="300">
      <c r="G300" s="16">
        <f>IF(C300="","",IF(IFERROR(INDEX(Regions!$D$5:$D$400,MATCH(D300,Regions!$A$5:$A$400,0))&lt;&gt;"",FALSE),INDEX(Regions!$D$5:$D$400,MATCH(D300,Regions!$A$5:$A$400,0)),IF(IFERROR(INDEX(Regions!$D$5:$D$400,MATCH(LEFT(D300,2),Regions!$A$5:$A$400,0))&lt;&gt;"",FALSE),INDEX(Regions!$D$5:$D$400,MATCH(LEFT(D300,2),Regions!$A$5:$A$400,0)),INDEX(Regions!$D$5:$D$400,MATCH("US",Regions!$A$5:$A$400,0)))))</f>
        <v/>
      </c>
      <c r="H300" s="28">
        <f>IF(C300="","",(1+Assumptions!$C$32)^((Assumptions!$C$33-E300)/365.25))</f>
        <v/>
      </c>
      <c r="I300" s="36">
        <f>IF(C300="",0,C300/G300*H300)</f>
        <v/>
      </c>
      <c r="J300" s="28">
        <f>IF(C300="",0,IFERROR(INDEX(Lookups!$Z$5:$Z$8,MATCH(F300,Lookups!$Y$5:$Y$8,0)),0.3)*0.5^((Assumptions!$C$33-E300)/365.25/Assumptions!$C$31))</f>
        <v/>
      </c>
    </row>
    <row r="301">
      <c r="G301" s="16">
        <f>IF(C301="","",IF(IFERROR(INDEX(Regions!$D$5:$D$400,MATCH(D301,Regions!$A$5:$A$400,0))&lt;&gt;"",FALSE),INDEX(Regions!$D$5:$D$400,MATCH(D301,Regions!$A$5:$A$400,0)),IF(IFERROR(INDEX(Regions!$D$5:$D$400,MATCH(LEFT(D301,2),Regions!$A$5:$A$400,0))&lt;&gt;"",FALSE),INDEX(Regions!$D$5:$D$400,MATCH(LEFT(D301,2),Regions!$A$5:$A$400,0)),INDEX(Regions!$D$5:$D$400,MATCH("US",Regions!$A$5:$A$400,0)))))</f>
        <v/>
      </c>
      <c r="H301" s="28">
        <f>IF(C301="","",(1+Assumptions!$C$32)^((Assumptions!$C$33-E301)/365.25))</f>
        <v/>
      </c>
      <c r="I301" s="36">
        <f>IF(C301="",0,C301/G301*H301)</f>
        <v/>
      </c>
      <c r="J301" s="28">
        <f>IF(C301="",0,IFERROR(INDEX(Lookups!$Z$5:$Z$8,MATCH(F301,Lookups!$Y$5:$Y$8,0)),0.3)*0.5^((Assumptions!$C$33-E301)/365.25/Assumptions!$C$31))</f>
        <v/>
      </c>
    </row>
    <row r="302">
      <c r="G302" s="16">
        <f>IF(C302="","",IF(IFERROR(INDEX(Regions!$D$5:$D$400,MATCH(D302,Regions!$A$5:$A$400,0))&lt;&gt;"",FALSE),INDEX(Regions!$D$5:$D$400,MATCH(D302,Regions!$A$5:$A$400,0)),IF(IFERROR(INDEX(Regions!$D$5:$D$400,MATCH(LEFT(D302,2),Regions!$A$5:$A$400,0))&lt;&gt;"",FALSE),INDEX(Regions!$D$5:$D$400,MATCH(LEFT(D302,2),Regions!$A$5:$A$400,0)),INDEX(Regions!$D$5:$D$400,MATCH("US",Regions!$A$5:$A$400,0)))))</f>
        <v/>
      </c>
      <c r="H302" s="28">
        <f>IF(C302="","",(1+Assumptions!$C$32)^((Assumptions!$C$33-E302)/365.25))</f>
        <v/>
      </c>
      <c r="I302" s="36">
        <f>IF(C302="",0,C302/G302*H302)</f>
        <v/>
      </c>
      <c r="J302" s="28">
        <f>IF(C302="",0,IFERROR(INDEX(Lookups!$Z$5:$Z$8,MATCH(F302,Lookups!$Y$5:$Y$8,0)),0.3)*0.5^((Assumptions!$C$33-E302)/365.25/Assumptions!$C$31))</f>
        <v/>
      </c>
    </row>
    <row r="303">
      <c r="G303" s="16">
        <f>IF(C303="","",IF(IFERROR(INDEX(Regions!$D$5:$D$400,MATCH(D303,Regions!$A$5:$A$400,0))&lt;&gt;"",FALSE),INDEX(Regions!$D$5:$D$400,MATCH(D303,Regions!$A$5:$A$400,0)),IF(IFERROR(INDEX(Regions!$D$5:$D$400,MATCH(LEFT(D303,2),Regions!$A$5:$A$400,0))&lt;&gt;"",FALSE),INDEX(Regions!$D$5:$D$400,MATCH(LEFT(D303,2),Regions!$A$5:$A$400,0)),INDEX(Regions!$D$5:$D$400,MATCH("US",Regions!$A$5:$A$400,0)))))</f>
        <v/>
      </c>
      <c r="H303" s="28">
        <f>IF(C303="","",(1+Assumptions!$C$32)^((Assumptions!$C$33-E303)/365.25))</f>
        <v/>
      </c>
      <c r="I303" s="36">
        <f>IF(C303="",0,C303/G303*H303)</f>
        <v/>
      </c>
      <c r="J303" s="28">
        <f>IF(C303="",0,IFERROR(INDEX(Lookups!$Z$5:$Z$8,MATCH(F303,Lookups!$Y$5:$Y$8,0)),0.3)*0.5^((Assumptions!$C$33-E303)/365.25/Assumptions!$C$31))</f>
        <v/>
      </c>
    </row>
    <row r="304">
      <c r="G304" s="16">
        <f>IF(C304="","",IF(IFERROR(INDEX(Regions!$D$5:$D$400,MATCH(D304,Regions!$A$5:$A$400,0))&lt;&gt;"",FALSE),INDEX(Regions!$D$5:$D$400,MATCH(D304,Regions!$A$5:$A$400,0)),IF(IFERROR(INDEX(Regions!$D$5:$D$400,MATCH(LEFT(D304,2),Regions!$A$5:$A$400,0))&lt;&gt;"",FALSE),INDEX(Regions!$D$5:$D$400,MATCH(LEFT(D304,2),Regions!$A$5:$A$400,0)),INDEX(Regions!$D$5:$D$400,MATCH("US",Regions!$A$5:$A$400,0)))))</f>
        <v/>
      </c>
      <c r="H304" s="28">
        <f>IF(C304="","",(1+Assumptions!$C$32)^((Assumptions!$C$33-E304)/365.25))</f>
        <v/>
      </c>
      <c r="I304" s="36">
        <f>IF(C304="",0,C304/G304*H304)</f>
        <v/>
      </c>
      <c r="J304" s="28">
        <f>IF(C304="",0,IFERROR(INDEX(Lookups!$Z$5:$Z$8,MATCH(F304,Lookups!$Y$5:$Y$8,0)),0.3)*0.5^((Assumptions!$C$33-E304)/365.25/Assumptions!$C$31))</f>
        <v/>
      </c>
    </row>
    <row r="305">
      <c r="G305" s="16">
        <f>IF(C305="","",IF(IFERROR(INDEX(Regions!$D$5:$D$400,MATCH(D305,Regions!$A$5:$A$400,0))&lt;&gt;"",FALSE),INDEX(Regions!$D$5:$D$400,MATCH(D305,Regions!$A$5:$A$400,0)),IF(IFERROR(INDEX(Regions!$D$5:$D$400,MATCH(LEFT(D305,2),Regions!$A$5:$A$400,0))&lt;&gt;"",FALSE),INDEX(Regions!$D$5:$D$400,MATCH(LEFT(D305,2),Regions!$A$5:$A$400,0)),INDEX(Regions!$D$5:$D$400,MATCH("US",Regions!$A$5:$A$400,0)))))</f>
        <v/>
      </c>
      <c r="H305" s="28">
        <f>IF(C305="","",(1+Assumptions!$C$32)^((Assumptions!$C$33-E305)/365.25))</f>
        <v/>
      </c>
      <c r="I305" s="36">
        <f>IF(C305="",0,C305/G305*H305)</f>
        <v/>
      </c>
      <c r="J305" s="28">
        <f>IF(C305="",0,IFERROR(INDEX(Lookups!$Z$5:$Z$8,MATCH(F305,Lookups!$Y$5:$Y$8,0)),0.3)*0.5^((Assumptions!$C$33-E305)/365.25/Assumptions!$C$31))</f>
        <v/>
      </c>
    </row>
    <row r="306">
      <c r="G306" s="16">
        <f>IF(C306="","",IF(IFERROR(INDEX(Regions!$D$5:$D$400,MATCH(D306,Regions!$A$5:$A$400,0))&lt;&gt;"",FALSE),INDEX(Regions!$D$5:$D$400,MATCH(D306,Regions!$A$5:$A$400,0)),IF(IFERROR(INDEX(Regions!$D$5:$D$400,MATCH(LEFT(D306,2),Regions!$A$5:$A$400,0))&lt;&gt;"",FALSE),INDEX(Regions!$D$5:$D$400,MATCH(LEFT(D306,2),Regions!$A$5:$A$400,0)),INDEX(Regions!$D$5:$D$400,MATCH("US",Regions!$A$5:$A$400,0)))))</f>
        <v/>
      </c>
      <c r="H306" s="28">
        <f>IF(C306="","",(1+Assumptions!$C$32)^((Assumptions!$C$33-E306)/365.25))</f>
        <v/>
      </c>
      <c r="I306" s="36">
        <f>IF(C306="",0,C306/G306*H306)</f>
        <v/>
      </c>
      <c r="J306" s="28">
        <f>IF(C306="",0,IFERROR(INDEX(Lookups!$Z$5:$Z$8,MATCH(F306,Lookups!$Y$5:$Y$8,0)),0.3)*0.5^((Assumptions!$C$33-E306)/365.25/Assumptions!$C$31))</f>
        <v/>
      </c>
    </row>
    <row r="307">
      <c r="G307" s="16">
        <f>IF(C307="","",IF(IFERROR(INDEX(Regions!$D$5:$D$400,MATCH(D307,Regions!$A$5:$A$400,0))&lt;&gt;"",FALSE),INDEX(Regions!$D$5:$D$400,MATCH(D307,Regions!$A$5:$A$400,0)),IF(IFERROR(INDEX(Regions!$D$5:$D$400,MATCH(LEFT(D307,2),Regions!$A$5:$A$400,0))&lt;&gt;"",FALSE),INDEX(Regions!$D$5:$D$400,MATCH(LEFT(D307,2),Regions!$A$5:$A$400,0)),INDEX(Regions!$D$5:$D$400,MATCH("US",Regions!$A$5:$A$400,0)))))</f>
        <v/>
      </c>
      <c r="H307" s="28">
        <f>IF(C307="","",(1+Assumptions!$C$32)^((Assumptions!$C$33-E307)/365.25))</f>
        <v/>
      </c>
      <c r="I307" s="36">
        <f>IF(C307="",0,C307/G307*H307)</f>
        <v/>
      </c>
      <c r="J307" s="28">
        <f>IF(C307="",0,IFERROR(INDEX(Lookups!$Z$5:$Z$8,MATCH(F307,Lookups!$Y$5:$Y$8,0)),0.3)*0.5^((Assumptions!$C$33-E307)/365.25/Assumptions!$C$31))</f>
        <v/>
      </c>
    </row>
    <row r="308">
      <c r="G308" s="16">
        <f>IF(C308="","",IF(IFERROR(INDEX(Regions!$D$5:$D$400,MATCH(D308,Regions!$A$5:$A$400,0))&lt;&gt;"",FALSE),INDEX(Regions!$D$5:$D$400,MATCH(D308,Regions!$A$5:$A$400,0)),IF(IFERROR(INDEX(Regions!$D$5:$D$400,MATCH(LEFT(D308,2),Regions!$A$5:$A$400,0))&lt;&gt;"",FALSE),INDEX(Regions!$D$5:$D$400,MATCH(LEFT(D308,2),Regions!$A$5:$A$400,0)),INDEX(Regions!$D$5:$D$400,MATCH("US",Regions!$A$5:$A$400,0)))))</f>
        <v/>
      </c>
      <c r="H308" s="28">
        <f>IF(C308="","",(1+Assumptions!$C$32)^((Assumptions!$C$33-E308)/365.25))</f>
        <v/>
      </c>
      <c r="I308" s="36">
        <f>IF(C308="",0,C308/G308*H308)</f>
        <v/>
      </c>
      <c r="J308" s="28">
        <f>IF(C308="",0,IFERROR(INDEX(Lookups!$Z$5:$Z$8,MATCH(F308,Lookups!$Y$5:$Y$8,0)),0.3)*0.5^((Assumptions!$C$33-E308)/365.25/Assumptions!$C$31))</f>
        <v/>
      </c>
    </row>
    <row r="309">
      <c r="G309" s="16">
        <f>IF(C309="","",IF(IFERROR(INDEX(Regions!$D$5:$D$400,MATCH(D309,Regions!$A$5:$A$400,0))&lt;&gt;"",FALSE),INDEX(Regions!$D$5:$D$400,MATCH(D309,Regions!$A$5:$A$400,0)),IF(IFERROR(INDEX(Regions!$D$5:$D$400,MATCH(LEFT(D309,2),Regions!$A$5:$A$400,0))&lt;&gt;"",FALSE),INDEX(Regions!$D$5:$D$400,MATCH(LEFT(D309,2),Regions!$A$5:$A$400,0)),INDEX(Regions!$D$5:$D$400,MATCH("US",Regions!$A$5:$A$400,0)))))</f>
        <v/>
      </c>
      <c r="H309" s="28">
        <f>IF(C309="","",(1+Assumptions!$C$32)^((Assumptions!$C$33-E309)/365.25))</f>
        <v/>
      </c>
      <c r="I309" s="36">
        <f>IF(C309="",0,C309/G309*H309)</f>
        <v/>
      </c>
      <c r="J309" s="28">
        <f>IF(C309="",0,IFERROR(INDEX(Lookups!$Z$5:$Z$8,MATCH(F309,Lookups!$Y$5:$Y$8,0)),0.3)*0.5^((Assumptions!$C$33-E309)/365.25/Assumptions!$C$31))</f>
        <v/>
      </c>
    </row>
    <row r="310">
      <c r="G310" s="16">
        <f>IF(C310="","",IF(IFERROR(INDEX(Regions!$D$5:$D$400,MATCH(D310,Regions!$A$5:$A$400,0))&lt;&gt;"",FALSE),INDEX(Regions!$D$5:$D$400,MATCH(D310,Regions!$A$5:$A$400,0)),IF(IFERROR(INDEX(Regions!$D$5:$D$400,MATCH(LEFT(D310,2),Regions!$A$5:$A$400,0))&lt;&gt;"",FALSE),INDEX(Regions!$D$5:$D$400,MATCH(LEFT(D310,2),Regions!$A$5:$A$400,0)),INDEX(Regions!$D$5:$D$400,MATCH("US",Regions!$A$5:$A$400,0)))))</f>
        <v/>
      </c>
      <c r="H310" s="28">
        <f>IF(C310="","",(1+Assumptions!$C$32)^((Assumptions!$C$33-E310)/365.25))</f>
        <v/>
      </c>
      <c r="I310" s="36">
        <f>IF(C310="",0,C310/G310*H310)</f>
        <v/>
      </c>
      <c r="J310" s="28">
        <f>IF(C310="",0,IFERROR(INDEX(Lookups!$Z$5:$Z$8,MATCH(F310,Lookups!$Y$5:$Y$8,0)),0.3)*0.5^((Assumptions!$C$33-E310)/365.25/Assumptions!$C$31))</f>
        <v/>
      </c>
    </row>
    <row r="311">
      <c r="G311" s="16">
        <f>IF(C311="","",IF(IFERROR(INDEX(Regions!$D$5:$D$400,MATCH(D311,Regions!$A$5:$A$400,0))&lt;&gt;"",FALSE),INDEX(Regions!$D$5:$D$400,MATCH(D311,Regions!$A$5:$A$400,0)),IF(IFERROR(INDEX(Regions!$D$5:$D$400,MATCH(LEFT(D311,2),Regions!$A$5:$A$400,0))&lt;&gt;"",FALSE),INDEX(Regions!$D$5:$D$400,MATCH(LEFT(D311,2),Regions!$A$5:$A$400,0)),INDEX(Regions!$D$5:$D$400,MATCH("US",Regions!$A$5:$A$400,0)))))</f>
        <v/>
      </c>
      <c r="H311" s="28">
        <f>IF(C311="","",(1+Assumptions!$C$32)^((Assumptions!$C$33-E311)/365.25))</f>
        <v/>
      </c>
      <c r="I311" s="36">
        <f>IF(C311="",0,C311/G311*H311)</f>
        <v/>
      </c>
      <c r="J311" s="28">
        <f>IF(C311="",0,IFERROR(INDEX(Lookups!$Z$5:$Z$8,MATCH(F311,Lookups!$Y$5:$Y$8,0)),0.3)*0.5^((Assumptions!$C$33-E311)/365.25/Assumptions!$C$31))</f>
        <v/>
      </c>
    </row>
    <row r="312">
      <c r="G312" s="16">
        <f>IF(C312="","",IF(IFERROR(INDEX(Regions!$D$5:$D$400,MATCH(D312,Regions!$A$5:$A$400,0))&lt;&gt;"",FALSE),INDEX(Regions!$D$5:$D$400,MATCH(D312,Regions!$A$5:$A$400,0)),IF(IFERROR(INDEX(Regions!$D$5:$D$400,MATCH(LEFT(D312,2),Regions!$A$5:$A$400,0))&lt;&gt;"",FALSE),INDEX(Regions!$D$5:$D$400,MATCH(LEFT(D312,2),Regions!$A$5:$A$400,0)),INDEX(Regions!$D$5:$D$400,MATCH("US",Regions!$A$5:$A$400,0)))))</f>
        <v/>
      </c>
      <c r="H312" s="28">
        <f>IF(C312="","",(1+Assumptions!$C$32)^((Assumptions!$C$33-E312)/365.25))</f>
        <v/>
      </c>
      <c r="I312" s="36">
        <f>IF(C312="",0,C312/G312*H312)</f>
        <v/>
      </c>
      <c r="J312" s="28">
        <f>IF(C312="",0,IFERROR(INDEX(Lookups!$Z$5:$Z$8,MATCH(F312,Lookups!$Y$5:$Y$8,0)),0.3)*0.5^((Assumptions!$C$33-E312)/365.25/Assumptions!$C$31))</f>
        <v/>
      </c>
    </row>
    <row r="313">
      <c r="G313" s="16">
        <f>IF(C313="","",IF(IFERROR(INDEX(Regions!$D$5:$D$400,MATCH(D313,Regions!$A$5:$A$400,0))&lt;&gt;"",FALSE),INDEX(Regions!$D$5:$D$400,MATCH(D313,Regions!$A$5:$A$400,0)),IF(IFERROR(INDEX(Regions!$D$5:$D$400,MATCH(LEFT(D313,2),Regions!$A$5:$A$400,0))&lt;&gt;"",FALSE),INDEX(Regions!$D$5:$D$400,MATCH(LEFT(D313,2),Regions!$A$5:$A$400,0)),INDEX(Regions!$D$5:$D$400,MATCH("US",Regions!$A$5:$A$400,0)))))</f>
        <v/>
      </c>
      <c r="H313" s="28">
        <f>IF(C313="","",(1+Assumptions!$C$32)^((Assumptions!$C$33-E313)/365.25))</f>
        <v/>
      </c>
      <c r="I313" s="36">
        <f>IF(C313="",0,C313/G313*H313)</f>
        <v/>
      </c>
      <c r="J313" s="28">
        <f>IF(C313="",0,IFERROR(INDEX(Lookups!$Z$5:$Z$8,MATCH(F313,Lookups!$Y$5:$Y$8,0)),0.3)*0.5^((Assumptions!$C$33-E313)/365.25/Assumptions!$C$31))</f>
        <v/>
      </c>
    </row>
    <row r="314">
      <c r="G314" s="16">
        <f>IF(C314="","",IF(IFERROR(INDEX(Regions!$D$5:$D$400,MATCH(D314,Regions!$A$5:$A$400,0))&lt;&gt;"",FALSE),INDEX(Regions!$D$5:$D$400,MATCH(D314,Regions!$A$5:$A$400,0)),IF(IFERROR(INDEX(Regions!$D$5:$D$400,MATCH(LEFT(D314,2),Regions!$A$5:$A$400,0))&lt;&gt;"",FALSE),INDEX(Regions!$D$5:$D$400,MATCH(LEFT(D314,2),Regions!$A$5:$A$400,0)),INDEX(Regions!$D$5:$D$400,MATCH("US",Regions!$A$5:$A$400,0)))))</f>
        <v/>
      </c>
      <c r="H314" s="28">
        <f>IF(C314="","",(1+Assumptions!$C$32)^((Assumptions!$C$33-E314)/365.25))</f>
        <v/>
      </c>
      <c r="I314" s="36">
        <f>IF(C314="",0,C314/G314*H314)</f>
        <v/>
      </c>
      <c r="J314" s="28">
        <f>IF(C314="",0,IFERROR(INDEX(Lookups!$Z$5:$Z$8,MATCH(F314,Lookups!$Y$5:$Y$8,0)),0.3)*0.5^((Assumptions!$C$33-E314)/365.25/Assumptions!$C$31))</f>
        <v/>
      </c>
    </row>
    <row r="315">
      <c r="G315" s="16">
        <f>IF(C315="","",IF(IFERROR(INDEX(Regions!$D$5:$D$400,MATCH(D315,Regions!$A$5:$A$400,0))&lt;&gt;"",FALSE),INDEX(Regions!$D$5:$D$400,MATCH(D315,Regions!$A$5:$A$400,0)),IF(IFERROR(INDEX(Regions!$D$5:$D$400,MATCH(LEFT(D315,2),Regions!$A$5:$A$400,0))&lt;&gt;"",FALSE),INDEX(Regions!$D$5:$D$400,MATCH(LEFT(D315,2),Regions!$A$5:$A$400,0)),INDEX(Regions!$D$5:$D$400,MATCH("US",Regions!$A$5:$A$400,0)))))</f>
        <v/>
      </c>
      <c r="H315" s="28">
        <f>IF(C315="","",(1+Assumptions!$C$32)^((Assumptions!$C$33-E315)/365.25))</f>
        <v/>
      </c>
      <c r="I315" s="36">
        <f>IF(C315="",0,C315/G315*H315)</f>
        <v/>
      </c>
      <c r="J315" s="28">
        <f>IF(C315="",0,IFERROR(INDEX(Lookups!$Z$5:$Z$8,MATCH(F315,Lookups!$Y$5:$Y$8,0)),0.3)*0.5^((Assumptions!$C$33-E315)/365.25/Assumptions!$C$31))</f>
        <v/>
      </c>
    </row>
    <row r="316">
      <c r="G316" s="16">
        <f>IF(C316="","",IF(IFERROR(INDEX(Regions!$D$5:$D$400,MATCH(D316,Regions!$A$5:$A$400,0))&lt;&gt;"",FALSE),INDEX(Regions!$D$5:$D$400,MATCH(D316,Regions!$A$5:$A$400,0)),IF(IFERROR(INDEX(Regions!$D$5:$D$400,MATCH(LEFT(D316,2),Regions!$A$5:$A$400,0))&lt;&gt;"",FALSE),INDEX(Regions!$D$5:$D$400,MATCH(LEFT(D316,2),Regions!$A$5:$A$400,0)),INDEX(Regions!$D$5:$D$400,MATCH("US",Regions!$A$5:$A$400,0)))))</f>
        <v/>
      </c>
      <c r="H316" s="28">
        <f>IF(C316="","",(1+Assumptions!$C$32)^((Assumptions!$C$33-E316)/365.25))</f>
        <v/>
      </c>
      <c r="I316" s="36">
        <f>IF(C316="",0,C316/G316*H316)</f>
        <v/>
      </c>
      <c r="J316" s="28">
        <f>IF(C316="",0,IFERROR(INDEX(Lookups!$Z$5:$Z$8,MATCH(F316,Lookups!$Y$5:$Y$8,0)),0.3)*0.5^((Assumptions!$C$33-E316)/365.25/Assumptions!$C$31))</f>
        <v/>
      </c>
    </row>
    <row r="317">
      <c r="G317" s="16">
        <f>IF(C317="","",IF(IFERROR(INDEX(Regions!$D$5:$D$400,MATCH(D317,Regions!$A$5:$A$400,0))&lt;&gt;"",FALSE),INDEX(Regions!$D$5:$D$400,MATCH(D317,Regions!$A$5:$A$400,0)),IF(IFERROR(INDEX(Regions!$D$5:$D$400,MATCH(LEFT(D317,2),Regions!$A$5:$A$400,0))&lt;&gt;"",FALSE),INDEX(Regions!$D$5:$D$400,MATCH(LEFT(D317,2),Regions!$A$5:$A$400,0)),INDEX(Regions!$D$5:$D$400,MATCH("US",Regions!$A$5:$A$400,0)))))</f>
        <v/>
      </c>
      <c r="H317" s="28">
        <f>IF(C317="","",(1+Assumptions!$C$32)^((Assumptions!$C$33-E317)/365.25))</f>
        <v/>
      </c>
      <c r="I317" s="36">
        <f>IF(C317="",0,C317/G317*H317)</f>
        <v/>
      </c>
      <c r="J317" s="28">
        <f>IF(C317="",0,IFERROR(INDEX(Lookups!$Z$5:$Z$8,MATCH(F317,Lookups!$Y$5:$Y$8,0)),0.3)*0.5^((Assumptions!$C$33-E317)/365.25/Assumptions!$C$31))</f>
        <v/>
      </c>
    </row>
    <row r="318">
      <c r="G318" s="16">
        <f>IF(C318="","",IF(IFERROR(INDEX(Regions!$D$5:$D$400,MATCH(D318,Regions!$A$5:$A$400,0))&lt;&gt;"",FALSE),INDEX(Regions!$D$5:$D$400,MATCH(D318,Regions!$A$5:$A$400,0)),IF(IFERROR(INDEX(Regions!$D$5:$D$400,MATCH(LEFT(D318,2),Regions!$A$5:$A$400,0))&lt;&gt;"",FALSE),INDEX(Regions!$D$5:$D$400,MATCH(LEFT(D318,2),Regions!$A$5:$A$400,0)),INDEX(Regions!$D$5:$D$400,MATCH("US",Regions!$A$5:$A$400,0)))))</f>
        <v/>
      </c>
      <c r="H318" s="28">
        <f>IF(C318="","",(1+Assumptions!$C$32)^((Assumptions!$C$33-E318)/365.25))</f>
        <v/>
      </c>
      <c r="I318" s="36">
        <f>IF(C318="",0,C318/G318*H318)</f>
        <v/>
      </c>
      <c r="J318" s="28">
        <f>IF(C318="",0,IFERROR(INDEX(Lookups!$Z$5:$Z$8,MATCH(F318,Lookups!$Y$5:$Y$8,0)),0.3)*0.5^((Assumptions!$C$33-E318)/365.25/Assumptions!$C$31))</f>
        <v/>
      </c>
    </row>
    <row r="319">
      <c r="G319" s="16">
        <f>IF(C319="","",IF(IFERROR(INDEX(Regions!$D$5:$D$400,MATCH(D319,Regions!$A$5:$A$400,0))&lt;&gt;"",FALSE),INDEX(Regions!$D$5:$D$400,MATCH(D319,Regions!$A$5:$A$400,0)),IF(IFERROR(INDEX(Regions!$D$5:$D$400,MATCH(LEFT(D319,2),Regions!$A$5:$A$400,0))&lt;&gt;"",FALSE),INDEX(Regions!$D$5:$D$400,MATCH(LEFT(D319,2),Regions!$A$5:$A$400,0)),INDEX(Regions!$D$5:$D$400,MATCH("US",Regions!$A$5:$A$400,0)))))</f>
        <v/>
      </c>
      <c r="H319" s="28">
        <f>IF(C319="","",(1+Assumptions!$C$32)^((Assumptions!$C$33-E319)/365.25))</f>
        <v/>
      </c>
      <c r="I319" s="36">
        <f>IF(C319="",0,C319/G319*H319)</f>
        <v/>
      </c>
      <c r="J319" s="28">
        <f>IF(C319="",0,IFERROR(INDEX(Lookups!$Z$5:$Z$8,MATCH(F319,Lookups!$Y$5:$Y$8,0)),0.3)*0.5^((Assumptions!$C$33-E319)/365.25/Assumptions!$C$31))</f>
        <v/>
      </c>
    </row>
    <row r="320">
      <c r="G320" s="16">
        <f>IF(C320="","",IF(IFERROR(INDEX(Regions!$D$5:$D$400,MATCH(D320,Regions!$A$5:$A$400,0))&lt;&gt;"",FALSE),INDEX(Regions!$D$5:$D$400,MATCH(D320,Regions!$A$5:$A$400,0)),IF(IFERROR(INDEX(Regions!$D$5:$D$400,MATCH(LEFT(D320,2),Regions!$A$5:$A$400,0))&lt;&gt;"",FALSE),INDEX(Regions!$D$5:$D$400,MATCH(LEFT(D320,2),Regions!$A$5:$A$400,0)),INDEX(Regions!$D$5:$D$400,MATCH("US",Regions!$A$5:$A$400,0)))))</f>
        <v/>
      </c>
      <c r="H320" s="28">
        <f>IF(C320="","",(1+Assumptions!$C$32)^((Assumptions!$C$33-E320)/365.25))</f>
        <v/>
      </c>
      <c r="I320" s="36">
        <f>IF(C320="",0,C320/G320*H320)</f>
        <v/>
      </c>
      <c r="J320" s="28">
        <f>IF(C320="",0,IFERROR(INDEX(Lookups!$Z$5:$Z$8,MATCH(F320,Lookups!$Y$5:$Y$8,0)),0.3)*0.5^((Assumptions!$C$33-E320)/365.25/Assumptions!$C$31))</f>
        <v/>
      </c>
    </row>
    <row r="321">
      <c r="G321" s="16">
        <f>IF(C321="","",IF(IFERROR(INDEX(Regions!$D$5:$D$400,MATCH(D321,Regions!$A$5:$A$400,0))&lt;&gt;"",FALSE),INDEX(Regions!$D$5:$D$400,MATCH(D321,Regions!$A$5:$A$400,0)),IF(IFERROR(INDEX(Regions!$D$5:$D$400,MATCH(LEFT(D321,2),Regions!$A$5:$A$400,0))&lt;&gt;"",FALSE),INDEX(Regions!$D$5:$D$400,MATCH(LEFT(D321,2),Regions!$A$5:$A$400,0)),INDEX(Regions!$D$5:$D$400,MATCH("US",Regions!$A$5:$A$400,0)))))</f>
        <v/>
      </c>
      <c r="H321" s="28">
        <f>IF(C321="","",(1+Assumptions!$C$32)^((Assumptions!$C$33-E321)/365.25))</f>
        <v/>
      </c>
      <c r="I321" s="36">
        <f>IF(C321="",0,C321/G321*H321)</f>
        <v/>
      </c>
      <c r="J321" s="28">
        <f>IF(C321="",0,IFERROR(INDEX(Lookups!$Z$5:$Z$8,MATCH(F321,Lookups!$Y$5:$Y$8,0)),0.3)*0.5^((Assumptions!$C$33-E321)/365.25/Assumptions!$C$31))</f>
        <v/>
      </c>
    </row>
    <row r="322">
      <c r="G322" s="16">
        <f>IF(C322="","",IF(IFERROR(INDEX(Regions!$D$5:$D$400,MATCH(D322,Regions!$A$5:$A$400,0))&lt;&gt;"",FALSE),INDEX(Regions!$D$5:$D$400,MATCH(D322,Regions!$A$5:$A$400,0)),IF(IFERROR(INDEX(Regions!$D$5:$D$400,MATCH(LEFT(D322,2),Regions!$A$5:$A$400,0))&lt;&gt;"",FALSE),INDEX(Regions!$D$5:$D$400,MATCH(LEFT(D322,2),Regions!$A$5:$A$400,0)),INDEX(Regions!$D$5:$D$400,MATCH("US",Regions!$A$5:$A$400,0)))))</f>
        <v/>
      </c>
      <c r="H322" s="28">
        <f>IF(C322="","",(1+Assumptions!$C$32)^((Assumptions!$C$33-E322)/365.25))</f>
        <v/>
      </c>
      <c r="I322" s="36">
        <f>IF(C322="",0,C322/G322*H322)</f>
        <v/>
      </c>
      <c r="J322" s="28">
        <f>IF(C322="",0,IFERROR(INDEX(Lookups!$Z$5:$Z$8,MATCH(F322,Lookups!$Y$5:$Y$8,0)),0.3)*0.5^((Assumptions!$C$33-E322)/365.25/Assumptions!$C$31))</f>
        <v/>
      </c>
    </row>
    <row r="323">
      <c r="G323" s="16">
        <f>IF(C323="","",IF(IFERROR(INDEX(Regions!$D$5:$D$400,MATCH(D323,Regions!$A$5:$A$400,0))&lt;&gt;"",FALSE),INDEX(Regions!$D$5:$D$400,MATCH(D323,Regions!$A$5:$A$400,0)),IF(IFERROR(INDEX(Regions!$D$5:$D$400,MATCH(LEFT(D323,2),Regions!$A$5:$A$400,0))&lt;&gt;"",FALSE),INDEX(Regions!$D$5:$D$400,MATCH(LEFT(D323,2),Regions!$A$5:$A$400,0)),INDEX(Regions!$D$5:$D$400,MATCH("US",Regions!$A$5:$A$400,0)))))</f>
        <v/>
      </c>
      <c r="H323" s="28">
        <f>IF(C323="","",(1+Assumptions!$C$32)^((Assumptions!$C$33-E323)/365.25))</f>
        <v/>
      </c>
      <c r="I323" s="36">
        <f>IF(C323="",0,C323/G323*H323)</f>
        <v/>
      </c>
      <c r="J323" s="28">
        <f>IF(C323="",0,IFERROR(INDEX(Lookups!$Z$5:$Z$8,MATCH(F323,Lookups!$Y$5:$Y$8,0)),0.3)*0.5^((Assumptions!$C$33-E323)/365.25/Assumptions!$C$31))</f>
        <v/>
      </c>
    </row>
    <row r="324">
      <c r="G324" s="16">
        <f>IF(C324="","",IF(IFERROR(INDEX(Regions!$D$5:$D$400,MATCH(D324,Regions!$A$5:$A$400,0))&lt;&gt;"",FALSE),INDEX(Regions!$D$5:$D$400,MATCH(D324,Regions!$A$5:$A$400,0)),IF(IFERROR(INDEX(Regions!$D$5:$D$400,MATCH(LEFT(D324,2),Regions!$A$5:$A$400,0))&lt;&gt;"",FALSE),INDEX(Regions!$D$5:$D$400,MATCH(LEFT(D324,2),Regions!$A$5:$A$400,0)),INDEX(Regions!$D$5:$D$400,MATCH("US",Regions!$A$5:$A$400,0)))))</f>
        <v/>
      </c>
      <c r="H324" s="28">
        <f>IF(C324="","",(1+Assumptions!$C$32)^((Assumptions!$C$33-E324)/365.25))</f>
        <v/>
      </c>
      <c r="I324" s="36">
        <f>IF(C324="",0,C324/G324*H324)</f>
        <v/>
      </c>
      <c r="J324" s="28">
        <f>IF(C324="",0,IFERROR(INDEX(Lookups!$Z$5:$Z$8,MATCH(F324,Lookups!$Y$5:$Y$8,0)),0.3)*0.5^((Assumptions!$C$33-E324)/365.25/Assumptions!$C$31))</f>
        <v/>
      </c>
    </row>
    <row r="325">
      <c r="G325" s="16">
        <f>IF(C325="","",IF(IFERROR(INDEX(Regions!$D$5:$D$400,MATCH(D325,Regions!$A$5:$A$400,0))&lt;&gt;"",FALSE),INDEX(Regions!$D$5:$D$400,MATCH(D325,Regions!$A$5:$A$400,0)),IF(IFERROR(INDEX(Regions!$D$5:$D$400,MATCH(LEFT(D325,2),Regions!$A$5:$A$400,0))&lt;&gt;"",FALSE),INDEX(Regions!$D$5:$D$400,MATCH(LEFT(D325,2),Regions!$A$5:$A$400,0)),INDEX(Regions!$D$5:$D$400,MATCH("US",Regions!$A$5:$A$400,0)))))</f>
        <v/>
      </c>
      <c r="H325" s="28">
        <f>IF(C325="","",(1+Assumptions!$C$32)^((Assumptions!$C$33-E325)/365.25))</f>
        <v/>
      </c>
      <c r="I325" s="36">
        <f>IF(C325="",0,C325/G325*H325)</f>
        <v/>
      </c>
      <c r="J325" s="28">
        <f>IF(C325="",0,IFERROR(INDEX(Lookups!$Z$5:$Z$8,MATCH(F325,Lookups!$Y$5:$Y$8,0)),0.3)*0.5^((Assumptions!$C$33-E325)/365.25/Assumptions!$C$31))</f>
        <v/>
      </c>
    </row>
    <row r="326">
      <c r="G326" s="16">
        <f>IF(C326="","",IF(IFERROR(INDEX(Regions!$D$5:$D$400,MATCH(D326,Regions!$A$5:$A$400,0))&lt;&gt;"",FALSE),INDEX(Regions!$D$5:$D$400,MATCH(D326,Regions!$A$5:$A$400,0)),IF(IFERROR(INDEX(Regions!$D$5:$D$400,MATCH(LEFT(D326,2),Regions!$A$5:$A$400,0))&lt;&gt;"",FALSE),INDEX(Regions!$D$5:$D$400,MATCH(LEFT(D326,2),Regions!$A$5:$A$400,0)),INDEX(Regions!$D$5:$D$400,MATCH("US",Regions!$A$5:$A$400,0)))))</f>
        <v/>
      </c>
      <c r="H326" s="28">
        <f>IF(C326="","",(1+Assumptions!$C$32)^((Assumptions!$C$33-E326)/365.25))</f>
        <v/>
      </c>
      <c r="I326" s="36">
        <f>IF(C326="",0,C326/G326*H326)</f>
        <v/>
      </c>
      <c r="J326" s="28">
        <f>IF(C326="",0,IFERROR(INDEX(Lookups!$Z$5:$Z$8,MATCH(F326,Lookups!$Y$5:$Y$8,0)),0.3)*0.5^((Assumptions!$C$33-E326)/365.25/Assumptions!$C$31))</f>
        <v/>
      </c>
    </row>
    <row r="327">
      <c r="G327" s="16">
        <f>IF(C327="","",IF(IFERROR(INDEX(Regions!$D$5:$D$400,MATCH(D327,Regions!$A$5:$A$400,0))&lt;&gt;"",FALSE),INDEX(Regions!$D$5:$D$400,MATCH(D327,Regions!$A$5:$A$400,0)),IF(IFERROR(INDEX(Regions!$D$5:$D$400,MATCH(LEFT(D327,2),Regions!$A$5:$A$400,0))&lt;&gt;"",FALSE),INDEX(Regions!$D$5:$D$400,MATCH(LEFT(D327,2),Regions!$A$5:$A$400,0)),INDEX(Regions!$D$5:$D$400,MATCH("US",Regions!$A$5:$A$400,0)))))</f>
        <v/>
      </c>
      <c r="H327" s="28">
        <f>IF(C327="","",(1+Assumptions!$C$32)^((Assumptions!$C$33-E327)/365.25))</f>
        <v/>
      </c>
      <c r="I327" s="36">
        <f>IF(C327="",0,C327/G327*H327)</f>
        <v/>
      </c>
      <c r="J327" s="28">
        <f>IF(C327="",0,IFERROR(INDEX(Lookups!$Z$5:$Z$8,MATCH(F327,Lookups!$Y$5:$Y$8,0)),0.3)*0.5^((Assumptions!$C$33-E327)/365.25/Assumptions!$C$31))</f>
        <v/>
      </c>
    </row>
    <row r="328">
      <c r="G328" s="16">
        <f>IF(C328="","",IF(IFERROR(INDEX(Regions!$D$5:$D$400,MATCH(D328,Regions!$A$5:$A$400,0))&lt;&gt;"",FALSE),INDEX(Regions!$D$5:$D$400,MATCH(D328,Regions!$A$5:$A$400,0)),IF(IFERROR(INDEX(Regions!$D$5:$D$400,MATCH(LEFT(D328,2),Regions!$A$5:$A$400,0))&lt;&gt;"",FALSE),INDEX(Regions!$D$5:$D$400,MATCH(LEFT(D328,2),Regions!$A$5:$A$400,0)),INDEX(Regions!$D$5:$D$400,MATCH("US",Regions!$A$5:$A$400,0)))))</f>
        <v/>
      </c>
      <c r="H328" s="28">
        <f>IF(C328="","",(1+Assumptions!$C$32)^((Assumptions!$C$33-E328)/365.25))</f>
        <v/>
      </c>
      <c r="I328" s="36">
        <f>IF(C328="",0,C328/G328*H328)</f>
        <v/>
      </c>
      <c r="J328" s="28">
        <f>IF(C328="",0,IFERROR(INDEX(Lookups!$Z$5:$Z$8,MATCH(F328,Lookups!$Y$5:$Y$8,0)),0.3)*0.5^((Assumptions!$C$33-E328)/365.25/Assumptions!$C$31))</f>
        <v/>
      </c>
    </row>
    <row r="329">
      <c r="G329" s="16">
        <f>IF(C329="","",IF(IFERROR(INDEX(Regions!$D$5:$D$400,MATCH(D329,Regions!$A$5:$A$400,0))&lt;&gt;"",FALSE),INDEX(Regions!$D$5:$D$400,MATCH(D329,Regions!$A$5:$A$400,0)),IF(IFERROR(INDEX(Regions!$D$5:$D$400,MATCH(LEFT(D329,2),Regions!$A$5:$A$400,0))&lt;&gt;"",FALSE),INDEX(Regions!$D$5:$D$400,MATCH(LEFT(D329,2),Regions!$A$5:$A$400,0)),INDEX(Regions!$D$5:$D$400,MATCH("US",Regions!$A$5:$A$400,0)))))</f>
        <v/>
      </c>
      <c r="H329" s="28">
        <f>IF(C329="","",(1+Assumptions!$C$32)^((Assumptions!$C$33-E329)/365.25))</f>
        <v/>
      </c>
      <c r="I329" s="36">
        <f>IF(C329="",0,C329/G329*H329)</f>
        <v/>
      </c>
      <c r="J329" s="28">
        <f>IF(C329="",0,IFERROR(INDEX(Lookups!$Z$5:$Z$8,MATCH(F329,Lookups!$Y$5:$Y$8,0)),0.3)*0.5^((Assumptions!$C$33-E329)/365.25/Assumptions!$C$31))</f>
        <v/>
      </c>
    </row>
    <row r="330">
      <c r="G330" s="16">
        <f>IF(C330="","",IF(IFERROR(INDEX(Regions!$D$5:$D$400,MATCH(D330,Regions!$A$5:$A$400,0))&lt;&gt;"",FALSE),INDEX(Regions!$D$5:$D$400,MATCH(D330,Regions!$A$5:$A$400,0)),IF(IFERROR(INDEX(Regions!$D$5:$D$400,MATCH(LEFT(D330,2),Regions!$A$5:$A$400,0))&lt;&gt;"",FALSE),INDEX(Regions!$D$5:$D$400,MATCH(LEFT(D330,2),Regions!$A$5:$A$400,0)),INDEX(Regions!$D$5:$D$400,MATCH("US",Regions!$A$5:$A$400,0)))))</f>
        <v/>
      </c>
      <c r="H330" s="28">
        <f>IF(C330="","",(1+Assumptions!$C$32)^((Assumptions!$C$33-E330)/365.25))</f>
        <v/>
      </c>
      <c r="I330" s="36">
        <f>IF(C330="",0,C330/G330*H330)</f>
        <v/>
      </c>
      <c r="J330" s="28">
        <f>IF(C330="",0,IFERROR(INDEX(Lookups!$Z$5:$Z$8,MATCH(F330,Lookups!$Y$5:$Y$8,0)),0.3)*0.5^((Assumptions!$C$33-E330)/365.25/Assumptions!$C$31))</f>
        <v/>
      </c>
    </row>
    <row r="331">
      <c r="G331" s="16">
        <f>IF(C331="","",IF(IFERROR(INDEX(Regions!$D$5:$D$400,MATCH(D331,Regions!$A$5:$A$400,0))&lt;&gt;"",FALSE),INDEX(Regions!$D$5:$D$400,MATCH(D331,Regions!$A$5:$A$400,0)),IF(IFERROR(INDEX(Regions!$D$5:$D$400,MATCH(LEFT(D331,2),Regions!$A$5:$A$400,0))&lt;&gt;"",FALSE),INDEX(Regions!$D$5:$D$400,MATCH(LEFT(D331,2),Regions!$A$5:$A$400,0)),INDEX(Regions!$D$5:$D$400,MATCH("US",Regions!$A$5:$A$400,0)))))</f>
        <v/>
      </c>
      <c r="H331" s="28">
        <f>IF(C331="","",(1+Assumptions!$C$32)^((Assumptions!$C$33-E331)/365.25))</f>
        <v/>
      </c>
      <c r="I331" s="36">
        <f>IF(C331="",0,C331/G331*H331)</f>
        <v/>
      </c>
      <c r="J331" s="28">
        <f>IF(C331="",0,IFERROR(INDEX(Lookups!$Z$5:$Z$8,MATCH(F331,Lookups!$Y$5:$Y$8,0)),0.3)*0.5^((Assumptions!$C$33-E331)/365.25/Assumptions!$C$31))</f>
        <v/>
      </c>
    </row>
    <row r="332">
      <c r="G332" s="16">
        <f>IF(C332="","",IF(IFERROR(INDEX(Regions!$D$5:$D$400,MATCH(D332,Regions!$A$5:$A$400,0))&lt;&gt;"",FALSE),INDEX(Regions!$D$5:$D$400,MATCH(D332,Regions!$A$5:$A$400,0)),IF(IFERROR(INDEX(Regions!$D$5:$D$400,MATCH(LEFT(D332,2),Regions!$A$5:$A$400,0))&lt;&gt;"",FALSE),INDEX(Regions!$D$5:$D$400,MATCH(LEFT(D332,2),Regions!$A$5:$A$400,0)),INDEX(Regions!$D$5:$D$400,MATCH("US",Regions!$A$5:$A$400,0)))))</f>
        <v/>
      </c>
      <c r="H332" s="28">
        <f>IF(C332="","",(1+Assumptions!$C$32)^((Assumptions!$C$33-E332)/365.25))</f>
        <v/>
      </c>
      <c r="I332" s="36">
        <f>IF(C332="",0,C332/G332*H332)</f>
        <v/>
      </c>
      <c r="J332" s="28">
        <f>IF(C332="",0,IFERROR(INDEX(Lookups!$Z$5:$Z$8,MATCH(F332,Lookups!$Y$5:$Y$8,0)),0.3)*0.5^((Assumptions!$C$33-E332)/365.25/Assumptions!$C$31))</f>
        <v/>
      </c>
    </row>
    <row r="333">
      <c r="G333" s="16">
        <f>IF(C333="","",IF(IFERROR(INDEX(Regions!$D$5:$D$400,MATCH(D333,Regions!$A$5:$A$400,0))&lt;&gt;"",FALSE),INDEX(Regions!$D$5:$D$400,MATCH(D333,Regions!$A$5:$A$400,0)),IF(IFERROR(INDEX(Regions!$D$5:$D$400,MATCH(LEFT(D333,2),Regions!$A$5:$A$400,0))&lt;&gt;"",FALSE),INDEX(Regions!$D$5:$D$400,MATCH(LEFT(D333,2),Regions!$A$5:$A$400,0)),INDEX(Regions!$D$5:$D$400,MATCH("US",Regions!$A$5:$A$400,0)))))</f>
        <v/>
      </c>
      <c r="H333" s="28">
        <f>IF(C333="","",(1+Assumptions!$C$32)^((Assumptions!$C$33-E333)/365.25))</f>
        <v/>
      </c>
      <c r="I333" s="36">
        <f>IF(C333="",0,C333/G333*H333)</f>
        <v/>
      </c>
      <c r="J333" s="28">
        <f>IF(C333="",0,IFERROR(INDEX(Lookups!$Z$5:$Z$8,MATCH(F333,Lookups!$Y$5:$Y$8,0)),0.3)*0.5^((Assumptions!$C$33-E333)/365.25/Assumptions!$C$31))</f>
        <v/>
      </c>
    </row>
    <row r="334">
      <c r="G334" s="16">
        <f>IF(C334="","",IF(IFERROR(INDEX(Regions!$D$5:$D$400,MATCH(D334,Regions!$A$5:$A$400,0))&lt;&gt;"",FALSE),INDEX(Regions!$D$5:$D$400,MATCH(D334,Regions!$A$5:$A$400,0)),IF(IFERROR(INDEX(Regions!$D$5:$D$400,MATCH(LEFT(D334,2),Regions!$A$5:$A$400,0))&lt;&gt;"",FALSE),INDEX(Regions!$D$5:$D$400,MATCH(LEFT(D334,2),Regions!$A$5:$A$400,0)),INDEX(Regions!$D$5:$D$400,MATCH("US",Regions!$A$5:$A$400,0)))))</f>
        <v/>
      </c>
      <c r="H334" s="28">
        <f>IF(C334="","",(1+Assumptions!$C$32)^((Assumptions!$C$33-E334)/365.25))</f>
        <v/>
      </c>
      <c r="I334" s="36">
        <f>IF(C334="",0,C334/G334*H334)</f>
        <v/>
      </c>
      <c r="J334" s="28">
        <f>IF(C334="",0,IFERROR(INDEX(Lookups!$Z$5:$Z$8,MATCH(F334,Lookups!$Y$5:$Y$8,0)),0.3)*0.5^((Assumptions!$C$33-E334)/365.25/Assumptions!$C$31))</f>
        <v/>
      </c>
    </row>
    <row r="335">
      <c r="G335" s="16">
        <f>IF(C335="","",IF(IFERROR(INDEX(Regions!$D$5:$D$400,MATCH(D335,Regions!$A$5:$A$400,0))&lt;&gt;"",FALSE),INDEX(Regions!$D$5:$D$400,MATCH(D335,Regions!$A$5:$A$400,0)),IF(IFERROR(INDEX(Regions!$D$5:$D$400,MATCH(LEFT(D335,2),Regions!$A$5:$A$400,0))&lt;&gt;"",FALSE),INDEX(Regions!$D$5:$D$400,MATCH(LEFT(D335,2),Regions!$A$5:$A$400,0)),INDEX(Regions!$D$5:$D$400,MATCH("US",Regions!$A$5:$A$400,0)))))</f>
        <v/>
      </c>
      <c r="H335" s="28">
        <f>IF(C335="","",(1+Assumptions!$C$32)^((Assumptions!$C$33-E335)/365.25))</f>
        <v/>
      </c>
      <c r="I335" s="36">
        <f>IF(C335="",0,C335/G335*H335)</f>
        <v/>
      </c>
      <c r="J335" s="28">
        <f>IF(C335="",0,IFERROR(INDEX(Lookups!$Z$5:$Z$8,MATCH(F335,Lookups!$Y$5:$Y$8,0)),0.3)*0.5^((Assumptions!$C$33-E335)/365.25/Assumptions!$C$31))</f>
        <v/>
      </c>
    </row>
    <row r="336">
      <c r="G336" s="16">
        <f>IF(C336="","",IF(IFERROR(INDEX(Regions!$D$5:$D$400,MATCH(D336,Regions!$A$5:$A$400,0))&lt;&gt;"",FALSE),INDEX(Regions!$D$5:$D$400,MATCH(D336,Regions!$A$5:$A$400,0)),IF(IFERROR(INDEX(Regions!$D$5:$D$400,MATCH(LEFT(D336,2),Regions!$A$5:$A$400,0))&lt;&gt;"",FALSE),INDEX(Regions!$D$5:$D$400,MATCH(LEFT(D336,2),Regions!$A$5:$A$400,0)),INDEX(Regions!$D$5:$D$400,MATCH("US",Regions!$A$5:$A$400,0)))))</f>
        <v/>
      </c>
      <c r="H336" s="28">
        <f>IF(C336="","",(1+Assumptions!$C$32)^((Assumptions!$C$33-E336)/365.25))</f>
        <v/>
      </c>
      <c r="I336" s="36">
        <f>IF(C336="",0,C336/G336*H336)</f>
        <v/>
      </c>
      <c r="J336" s="28">
        <f>IF(C336="",0,IFERROR(INDEX(Lookups!$Z$5:$Z$8,MATCH(F336,Lookups!$Y$5:$Y$8,0)),0.3)*0.5^((Assumptions!$C$33-E336)/365.25/Assumptions!$C$31))</f>
        <v/>
      </c>
    </row>
    <row r="337">
      <c r="G337" s="16">
        <f>IF(C337="","",IF(IFERROR(INDEX(Regions!$D$5:$D$400,MATCH(D337,Regions!$A$5:$A$400,0))&lt;&gt;"",FALSE),INDEX(Regions!$D$5:$D$400,MATCH(D337,Regions!$A$5:$A$400,0)),IF(IFERROR(INDEX(Regions!$D$5:$D$400,MATCH(LEFT(D337,2),Regions!$A$5:$A$400,0))&lt;&gt;"",FALSE),INDEX(Regions!$D$5:$D$400,MATCH(LEFT(D337,2),Regions!$A$5:$A$400,0)),INDEX(Regions!$D$5:$D$400,MATCH("US",Regions!$A$5:$A$400,0)))))</f>
        <v/>
      </c>
      <c r="H337" s="28">
        <f>IF(C337="","",(1+Assumptions!$C$32)^((Assumptions!$C$33-E337)/365.25))</f>
        <v/>
      </c>
      <c r="I337" s="36">
        <f>IF(C337="",0,C337/G337*H337)</f>
        <v/>
      </c>
      <c r="J337" s="28">
        <f>IF(C337="",0,IFERROR(INDEX(Lookups!$Z$5:$Z$8,MATCH(F337,Lookups!$Y$5:$Y$8,0)),0.3)*0.5^((Assumptions!$C$33-E337)/365.25/Assumptions!$C$31))</f>
        <v/>
      </c>
    </row>
    <row r="338">
      <c r="G338" s="16">
        <f>IF(C338="","",IF(IFERROR(INDEX(Regions!$D$5:$D$400,MATCH(D338,Regions!$A$5:$A$400,0))&lt;&gt;"",FALSE),INDEX(Regions!$D$5:$D$400,MATCH(D338,Regions!$A$5:$A$400,0)),IF(IFERROR(INDEX(Regions!$D$5:$D$400,MATCH(LEFT(D338,2),Regions!$A$5:$A$400,0))&lt;&gt;"",FALSE),INDEX(Regions!$D$5:$D$400,MATCH(LEFT(D338,2),Regions!$A$5:$A$400,0)),INDEX(Regions!$D$5:$D$400,MATCH("US",Regions!$A$5:$A$400,0)))))</f>
        <v/>
      </c>
      <c r="H338" s="28">
        <f>IF(C338="","",(1+Assumptions!$C$32)^((Assumptions!$C$33-E338)/365.25))</f>
        <v/>
      </c>
      <c r="I338" s="36">
        <f>IF(C338="",0,C338/G338*H338)</f>
        <v/>
      </c>
      <c r="J338" s="28">
        <f>IF(C338="",0,IFERROR(INDEX(Lookups!$Z$5:$Z$8,MATCH(F338,Lookups!$Y$5:$Y$8,0)),0.3)*0.5^((Assumptions!$C$33-E338)/365.25/Assumptions!$C$31))</f>
        <v/>
      </c>
    </row>
    <row r="339">
      <c r="G339" s="16">
        <f>IF(C339="","",IF(IFERROR(INDEX(Regions!$D$5:$D$400,MATCH(D339,Regions!$A$5:$A$400,0))&lt;&gt;"",FALSE),INDEX(Regions!$D$5:$D$400,MATCH(D339,Regions!$A$5:$A$400,0)),IF(IFERROR(INDEX(Regions!$D$5:$D$400,MATCH(LEFT(D339,2),Regions!$A$5:$A$400,0))&lt;&gt;"",FALSE),INDEX(Regions!$D$5:$D$400,MATCH(LEFT(D339,2),Regions!$A$5:$A$400,0)),INDEX(Regions!$D$5:$D$400,MATCH("US",Regions!$A$5:$A$400,0)))))</f>
        <v/>
      </c>
      <c r="H339" s="28">
        <f>IF(C339="","",(1+Assumptions!$C$32)^((Assumptions!$C$33-E339)/365.25))</f>
        <v/>
      </c>
      <c r="I339" s="36">
        <f>IF(C339="",0,C339/G339*H339)</f>
        <v/>
      </c>
      <c r="J339" s="28">
        <f>IF(C339="",0,IFERROR(INDEX(Lookups!$Z$5:$Z$8,MATCH(F339,Lookups!$Y$5:$Y$8,0)),0.3)*0.5^((Assumptions!$C$33-E339)/365.25/Assumptions!$C$31))</f>
        <v/>
      </c>
    </row>
    <row r="340">
      <c r="G340" s="16">
        <f>IF(C340="","",IF(IFERROR(INDEX(Regions!$D$5:$D$400,MATCH(D340,Regions!$A$5:$A$400,0))&lt;&gt;"",FALSE),INDEX(Regions!$D$5:$D$400,MATCH(D340,Regions!$A$5:$A$400,0)),IF(IFERROR(INDEX(Regions!$D$5:$D$400,MATCH(LEFT(D340,2),Regions!$A$5:$A$400,0))&lt;&gt;"",FALSE),INDEX(Regions!$D$5:$D$400,MATCH(LEFT(D340,2),Regions!$A$5:$A$400,0)),INDEX(Regions!$D$5:$D$400,MATCH("US",Regions!$A$5:$A$400,0)))))</f>
        <v/>
      </c>
      <c r="H340" s="28">
        <f>IF(C340="","",(1+Assumptions!$C$32)^((Assumptions!$C$33-E340)/365.25))</f>
        <v/>
      </c>
      <c r="I340" s="36">
        <f>IF(C340="",0,C340/G340*H340)</f>
        <v/>
      </c>
      <c r="J340" s="28">
        <f>IF(C340="",0,IFERROR(INDEX(Lookups!$Z$5:$Z$8,MATCH(F340,Lookups!$Y$5:$Y$8,0)),0.3)*0.5^((Assumptions!$C$33-E340)/365.25/Assumptions!$C$31))</f>
        <v/>
      </c>
    </row>
    <row r="341">
      <c r="G341" s="16">
        <f>IF(C341="","",IF(IFERROR(INDEX(Regions!$D$5:$D$400,MATCH(D341,Regions!$A$5:$A$400,0))&lt;&gt;"",FALSE),INDEX(Regions!$D$5:$D$400,MATCH(D341,Regions!$A$5:$A$400,0)),IF(IFERROR(INDEX(Regions!$D$5:$D$400,MATCH(LEFT(D341,2),Regions!$A$5:$A$400,0))&lt;&gt;"",FALSE),INDEX(Regions!$D$5:$D$400,MATCH(LEFT(D341,2),Regions!$A$5:$A$400,0)),INDEX(Regions!$D$5:$D$400,MATCH("US",Regions!$A$5:$A$400,0)))))</f>
        <v/>
      </c>
      <c r="H341" s="28">
        <f>IF(C341="","",(1+Assumptions!$C$32)^((Assumptions!$C$33-E341)/365.25))</f>
        <v/>
      </c>
      <c r="I341" s="36">
        <f>IF(C341="",0,C341/G341*H341)</f>
        <v/>
      </c>
      <c r="J341" s="28">
        <f>IF(C341="",0,IFERROR(INDEX(Lookups!$Z$5:$Z$8,MATCH(F341,Lookups!$Y$5:$Y$8,0)),0.3)*0.5^((Assumptions!$C$33-E341)/365.25/Assumptions!$C$31))</f>
        <v/>
      </c>
    </row>
    <row r="342">
      <c r="G342" s="16">
        <f>IF(C342="","",IF(IFERROR(INDEX(Regions!$D$5:$D$400,MATCH(D342,Regions!$A$5:$A$400,0))&lt;&gt;"",FALSE),INDEX(Regions!$D$5:$D$400,MATCH(D342,Regions!$A$5:$A$400,0)),IF(IFERROR(INDEX(Regions!$D$5:$D$400,MATCH(LEFT(D342,2),Regions!$A$5:$A$400,0))&lt;&gt;"",FALSE),INDEX(Regions!$D$5:$D$400,MATCH(LEFT(D342,2),Regions!$A$5:$A$400,0)),INDEX(Regions!$D$5:$D$400,MATCH("US",Regions!$A$5:$A$400,0)))))</f>
        <v/>
      </c>
      <c r="H342" s="28">
        <f>IF(C342="","",(1+Assumptions!$C$32)^((Assumptions!$C$33-E342)/365.25))</f>
        <v/>
      </c>
      <c r="I342" s="36">
        <f>IF(C342="",0,C342/G342*H342)</f>
        <v/>
      </c>
      <c r="J342" s="28">
        <f>IF(C342="",0,IFERROR(INDEX(Lookups!$Z$5:$Z$8,MATCH(F342,Lookups!$Y$5:$Y$8,0)),0.3)*0.5^((Assumptions!$C$33-E342)/365.25/Assumptions!$C$31))</f>
        <v/>
      </c>
    </row>
    <row r="343">
      <c r="G343" s="16">
        <f>IF(C343="","",IF(IFERROR(INDEX(Regions!$D$5:$D$400,MATCH(D343,Regions!$A$5:$A$400,0))&lt;&gt;"",FALSE),INDEX(Regions!$D$5:$D$400,MATCH(D343,Regions!$A$5:$A$400,0)),IF(IFERROR(INDEX(Regions!$D$5:$D$400,MATCH(LEFT(D343,2),Regions!$A$5:$A$400,0))&lt;&gt;"",FALSE),INDEX(Regions!$D$5:$D$400,MATCH(LEFT(D343,2),Regions!$A$5:$A$400,0)),INDEX(Regions!$D$5:$D$400,MATCH("US",Regions!$A$5:$A$400,0)))))</f>
        <v/>
      </c>
      <c r="H343" s="28">
        <f>IF(C343="","",(1+Assumptions!$C$32)^((Assumptions!$C$33-E343)/365.25))</f>
        <v/>
      </c>
      <c r="I343" s="36">
        <f>IF(C343="",0,C343/G343*H343)</f>
        <v/>
      </c>
      <c r="J343" s="28">
        <f>IF(C343="",0,IFERROR(INDEX(Lookups!$Z$5:$Z$8,MATCH(F343,Lookups!$Y$5:$Y$8,0)),0.3)*0.5^((Assumptions!$C$33-E343)/365.25/Assumptions!$C$31))</f>
        <v/>
      </c>
    </row>
    <row r="344">
      <c r="G344" s="16">
        <f>IF(C344="","",IF(IFERROR(INDEX(Regions!$D$5:$D$400,MATCH(D344,Regions!$A$5:$A$400,0))&lt;&gt;"",FALSE),INDEX(Regions!$D$5:$D$400,MATCH(D344,Regions!$A$5:$A$400,0)),IF(IFERROR(INDEX(Regions!$D$5:$D$400,MATCH(LEFT(D344,2),Regions!$A$5:$A$400,0))&lt;&gt;"",FALSE),INDEX(Regions!$D$5:$D$400,MATCH(LEFT(D344,2),Regions!$A$5:$A$400,0)),INDEX(Regions!$D$5:$D$400,MATCH("US",Regions!$A$5:$A$400,0)))))</f>
        <v/>
      </c>
      <c r="H344" s="28">
        <f>IF(C344="","",(1+Assumptions!$C$32)^((Assumptions!$C$33-E344)/365.25))</f>
        <v/>
      </c>
      <c r="I344" s="36">
        <f>IF(C344="",0,C344/G344*H344)</f>
        <v/>
      </c>
      <c r="J344" s="28">
        <f>IF(C344="",0,IFERROR(INDEX(Lookups!$Z$5:$Z$8,MATCH(F344,Lookups!$Y$5:$Y$8,0)),0.3)*0.5^((Assumptions!$C$33-E344)/365.25/Assumptions!$C$31))</f>
        <v/>
      </c>
    </row>
    <row r="345">
      <c r="G345" s="16">
        <f>IF(C345="","",IF(IFERROR(INDEX(Regions!$D$5:$D$400,MATCH(D345,Regions!$A$5:$A$400,0))&lt;&gt;"",FALSE),INDEX(Regions!$D$5:$D$400,MATCH(D345,Regions!$A$5:$A$400,0)),IF(IFERROR(INDEX(Regions!$D$5:$D$400,MATCH(LEFT(D345,2),Regions!$A$5:$A$400,0))&lt;&gt;"",FALSE),INDEX(Regions!$D$5:$D$400,MATCH(LEFT(D345,2),Regions!$A$5:$A$400,0)),INDEX(Regions!$D$5:$D$400,MATCH("US",Regions!$A$5:$A$400,0)))))</f>
        <v/>
      </c>
      <c r="H345" s="28">
        <f>IF(C345="","",(1+Assumptions!$C$32)^((Assumptions!$C$33-E345)/365.25))</f>
        <v/>
      </c>
      <c r="I345" s="36">
        <f>IF(C345="",0,C345/G345*H345)</f>
        <v/>
      </c>
      <c r="J345" s="28">
        <f>IF(C345="",0,IFERROR(INDEX(Lookups!$Z$5:$Z$8,MATCH(F345,Lookups!$Y$5:$Y$8,0)),0.3)*0.5^((Assumptions!$C$33-E345)/365.25/Assumptions!$C$31))</f>
        <v/>
      </c>
    </row>
    <row r="346">
      <c r="G346" s="16">
        <f>IF(C346="","",IF(IFERROR(INDEX(Regions!$D$5:$D$400,MATCH(D346,Regions!$A$5:$A$400,0))&lt;&gt;"",FALSE),INDEX(Regions!$D$5:$D$400,MATCH(D346,Regions!$A$5:$A$400,0)),IF(IFERROR(INDEX(Regions!$D$5:$D$400,MATCH(LEFT(D346,2),Regions!$A$5:$A$400,0))&lt;&gt;"",FALSE),INDEX(Regions!$D$5:$D$400,MATCH(LEFT(D346,2),Regions!$A$5:$A$400,0)),INDEX(Regions!$D$5:$D$400,MATCH("US",Regions!$A$5:$A$400,0)))))</f>
        <v/>
      </c>
      <c r="H346" s="28">
        <f>IF(C346="","",(1+Assumptions!$C$32)^((Assumptions!$C$33-E346)/365.25))</f>
        <v/>
      </c>
      <c r="I346" s="36">
        <f>IF(C346="",0,C346/G346*H346)</f>
        <v/>
      </c>
      <c r="J346" s="28">
        <f>IF(C346="",0,IFERROR(INDEX(Lookups!$Z$5:$Z$8,MATCH(F346,Lookups!$Y$5:$Y$8,0)),0.3)*0.5^((Assumptions!$C$33-E346)/365.25/Assumptions!$C$31))</f>
        <v/>
      </c>
    </row>
    <row r="347">
      <c r="G347" s="16">
        <f>IF(C347="","",IF(IFERROR(INDEX(Regions!$D$5:$D$400,MATCH(D347,Regions!$A$5:$A$400,0))&lt;&gt;"",FALSE),INDEX(Regions!$D$5:$D$400,MATCH(D347,Regions!$A$5:$A$400,0)),IF(IFERROR(INDEX(Regions!$D$5:$D$400,MATCH(LEFT(D347,2),Regions!$A$5:$A$400,0))&lt;&gt;"",FALSE),INDEX(Regions!$D$5:$D$400,MATCH(LEFT(D347,2),Regions!$A$5:$A$400,0)),INDEX(Regions!$D$5:$D$400,MATCH("US",Regions!$A$5:$A$400,0)))))</f>
        <v/>
      </c>
      <c r="H347" s="28">
        <f>IF(C347="","",(1+Assumptions!$C$32)^((Assumptions!$C$33-E347)/365.25))</f>
        <v/>
      </c>
      <c r="I347" s="36">
        <f>IF(C347="",0,C347/G347*H347)</f>
        <v/>
      </c>
      <c r="J347" s="28">
        <f>IF(C347="",0,IFERROR(INDEX(Lookups!$Z$5:$Z$8,MATCH(F347,Lookups!$Y$5:$Y$8,0)),0.3)*0.5^((Assumptions!$C$33-E347)/365.25/Assumptions!$C$31))</f>
        <v/>
      </c>
    </row>
    <row r="348">
      <c r="G348" s="16">
        <f>IF(C348="","",IF(IFERROR(INDEX(Regions!$D$5:$D$400,MATCH(D348,Regions!$A$5:$A$400,0))&lt;&gt;"",FALSE),INDEX(Regions!$D$5:$D$400,MATCH(D348,Regions!$A$5:$A$400,0)),IF(IFERROR(INDEX(Regions!$D$5:$D$400,MATCH(LEFT(D348,2),Regions!$A$5:$A$400,0))&lt;&gt;"",FALSE),INDEX(Regions!$D$5:$D$400,MATCH(LEFT(D348,2),Regions!$A$5:$A$400,0)),INDEX(Regions!$D$5:$D$400,MATCH("US",Regions!$A$5:$A$400,0)))))</f>
        <v/>
      </c>
      <c r="H348" s="28">
        <f>IF(C348="","",(1+Assumptions!$C$32)^((Assumptions!$C$33-E348)/365.25))</f>
        <v/>
      </c>
      <c r="I348" s="36">
        <f>IF(C348="",0,C348/G348*H348)</f>
        <v/>
      </c>
      <c r="J348" s="28">
        <f>IF(C348="",0,IFERROR(INDEX(Lookups!$Z$5:$Z$8,MATCH(F348,Lookups!$Y$5:$Y$8,0)),0.3)*0.5^((Assumptions!$C$33-E348)/365.25/Assumptions!$C$31))</f>
        <v/>
      </c>
    </row>
    <row r="349">
      <c r="G349" s="16">
        <f>IF(C349="","",IF(IFERROR(INDEX(Regions!$D$5:$D$400,MATCH(D349,Regions!$A$5:$A$400,0))&lt;&gt;"",FALSE),INDEX(Regions!$D$5:$D$400,MATCH(D349,Regions!$A$5:$A$400,0)),IF(IFERROR(INDEX(Regions!$D$5:$D$400,MATCH(LEFT(D349,2),Regions!$A$5:$A$400,0))&lt;&gt;"",FALSE),INDEX(Regions!$D$5:$D$400,MATCH(LEFT(D349,2),Regions!$A$5:$A$400,0)),INDEX(Regions!$D$5:$D$400,MATCH("US",Regions!$A$5:$A$400,0)))))</f>
        <v/>
      </c>
      <c r="H349" s="28">
        <f>IF(C349="","",(1+Assumptions!$C$32)^((Assumptions!$C$33-E349)/365.25))</f>
        <v/>
      </c>
      <c r="I349" s="36">
        <f>IF(C349="",0,C349/G349*H349)</f>
        <v/>
      </c>
      <c r="J349" s="28">
        <f>IF(C349="",0,IFERROR(INDEX(Lookups!$Z$5:$Z$8,MATCH(F349,Lookups!$Y$5:$Y$8,0)),0.3)*0.5^((Assumptions!$C$33-E349)/365.25/Assumptions!$C$31))</f>
        <v/>
      </c>
    </row>
    <row r="350">
      <c r="G350" s="16">
        <f>IF(C350="","",IF(IFERROR(INDEX(Regions!$D$5:$D$400,MATCH(D350,Regions!$A$5:$A$400,0))&lt;&gt;"",FALSE),INDEX(Regions!$D$5:$D$400,MATCH(D350,Regions!$A$5:$A$400,0)),IF(IFERROR(INDEX(Regions!$D$5:$D$400,MATCH(LEFT(D350,2),Regions!$A$5:$A$400,0))&lt;&gt;"",FALSE),INDEX(Regions!$D$5:$D$400,MATCH(LEFT(D350,2),Regions!$A$5:$A$400,0)),INDEX(Regions!$D$5:$D$400,MATCH("US",Regions!$A$5:$A$400,0)))))</f>
        <v/>
      </c>
      <c r="H350" s="28">
        <f>IF(C350="","",(1+Assumptions!$C$32)^((Assumptions!$C$33-E350)/365.25))</f>
        <v/>
      </c>
      <c r="I350" s="36">
        <f>IF(C350="",0,C350/G350*H350)</f>
        <v/>
      </c>
      <c r="J350" s="28">
        <f>IF(C350="",0,IFERROR(INDEX(Lookups!$Z$5:$Z$8,MATCH(F350,Lookups!$Y$5:$Y$8,0)),0.3)*0.5^((Assumptions!$C$33-E350)/365.25/Assumptions!$C$31))</f>
        <v/>
      </c>
    </row>
    <row r="351">
      <c r="G351" s="16">
        <f>IF(C351="","",IF(IFERROR(INDEX(Regions!$D$5:$D$400,MATCH(D351,Regions!$A$5:$A$400,0))&lt;&gt;"",FALSE),INDEX(Regions!$D$5:$D$400,MATCH(D351,Regions!$A$5:$A$400,0)),IF(IFERROR(INDEX(Regions!$D$5:$D$400,MATCH(LEFT(D351,2),Regions!$A$5:$A$400,0))&lt;&gt;"",FALSE),INDEX(Regions!$D$5:$D$400,MATCH(LEFT(D351,2),Regions!$A$5:$A$400,0)),INDEX(Regions!$D$5:$D$400,MATCH("US",Regions!$A$5:$A$400,0)))))</f>
        <v/>
      </c>
      <c r="H351" s="28">
        <f>IF(C351="","",(1+Assumptions!$C$32)^((Assumptions!$C$33-E351)/365.25))</f>
        <v/>
      </c>
      <c r="I351" s="36">
        <f>IF(C351="",0,C351/G351*H351)</f>
        <v/>
      </c>
      <c r="J351" s="28">
        <f>IF(C351="",0,IFERROR(INDEX(Lookups!$Z$5:$Z$8,MATCH(F351,Lookups!$Y$5:$Y$8,0)),0.3)*0.5^((Assumptions!$C$33-E351)/365.25/Assumptions!$C$31))</f>
        <v/>
      </c>
    </row>
    <row r="352">
      <c r="G352" s="16">
        <f>IF(C352="","",IF(IFERROR(INDEX(Regions!$D$5:$D$400,MATCH(D352,Regions!$A$5:$A$400,0))&lt;&gt;"",FALSE),INDEX(Regions!$D$5:$D$400,MATCH(D352,Regions!$A$5:$A$400,0)),IF(IFERROR(INDEX(Regions!$D$5:$D$400,MATCH(LEFT(D352,2),Regions!$A$5:$A$400,0))&lt;&gt;"",FALSE),INDEX(Regions!$D$5:$D$400,MATCH(LEFT(D352,2),Regions!$A$5:$A$400,0)),INDEX(Regions!$D$5:$D$400,MATCH("US",Regions!$A$5:$A$400,0)))))</f>
        <v/>
      </c>
      <c r="H352" s="28">
        <f>IF(C352="","",(1+Assumptions!$C$32)^((Assumptions!$C$33-E352)/365.25))</f>
        <v/>
      </c>
      <c r="I352" s="36">
        <f>IF(C352="",0,C352/G352*H352)</f>
        <v/>
      </c>
      <c r="J352" s="28">
        <f>IF(C352="",0,IFERROR(INDEX(Lookups!$Z$5:$Z$8,MATCH(F352,Lookups!$Y$5:$Y$8,0)),0.3)*0.5^((Assumptions!$C$33-E352)/365.25/Assumptions!$C$31))</f>
        <v/>
      </c>
    </row>
    <row r="353">
      <c r="G353" s="16">
        <f>IF(C353="","",IF(IFERROR(INDEX(Regions!$D$5:$D$400,MATCH(D353,Regions!$A$5:$A$400,0))&lt;&gt;"",FALSE),INDEX(Regions!$D$5:$D$400,MATCH(D353,Regions!$A$5:$A$400,0)),IF(IFERROR(INDEX(Regions!$D$5:$D$400,MATCH(LEFT(D353,2),Regions!$A$5:$A$400,0))&lt;&gt;"",FALSE),INDEX(Regions!$D$5:$D$400,MATCH(LEFT(D353,2),Regions!$A$5:$A$400,0)),INDEX(Regions!$D$5:$D$400,MATCH("US",Regions!$A$5:$A$400,0)))))</f>
        <v/>
      </c>
      <c r="H353" s="28">
        <f>IF(C353="","",(1+Assumptions!$C$32)^((Assumptions!$C$33-E353)/365.25))</f>
        <v/>
      </c>
      <c r="I353" s="36">
        <f>IF(C353="",0,C353/G353*H353)</f>
        <v/>
      </c>
      <c r="J353" s="28">
        <f>IF(C353="",0,IFERROR(INDEX(Lookups!$Z$5:$Z$8,MATCH(F353,Lookups!$Y$5:$Y$8,0)),0.3)*0.5^((Assumptions!$C$33-E353)/365.25/Assumptions!$C$31))</f>
        <v/>
      </c>
    </row>
    <row r="354">
      <c r="G354" s="16">
        <f>IF(C354="","",IF(IFERROR(INDEX(Regions!$D$5:$D$400,MATCH(D354,Regions!$A$5:$A$400,0))&lt;&gt;"",FALSE),INDEX(Regions!$D$5:$D$400,MATCH(D354,Regions!$A$5:$A$400,0)),IF(IFERROR(INDEX(Regions!$D$5:$D$400,MATCH(LEFT(D354,2),Regions!$A$5:$A$400,0))&lt;&gt;"",FALSE),INDEX(Regions!$D$5:$D$400,MATCH(LEFT(D354,2),Regions!$A$5:$A$400,0)),INDEX(Regions!$D$5:$D$400,MATCH("US",Regions!$A$5:$A$400,0)))))</f>
        <v/>
      </c>
      <c r="H354" s="28">
        <f>IF(C354="","",(1+Assumptions!$C$32)^((Assumptions!$C$33-E354)/365.25))</f>
        <v/>
      </c>
      <c r="I354" s="36">
        <f>IF(C354="",0,C354/G354*H354)</f>
        <v/>
      </c>
      <c r="J354" s="28">
        <f>IF(C354="",0,IFERROR(INDEX(Lookups!$Z$5:$Z$8,MATCH(F354,Lookups!$Y$5:$Y$8,0)),0.3)*0.5^((Assumptions!$C$33-E354)/365.25/Assumptions!$C$31))</f>
        <v/>
      </c>
    </row>
    <row r="355">
      <c r="G355" s="16">
        <f>IF(C355="","",IF(IFERROR(INDEX(Regions!$D$5:$D$400,MATCH(D355,Regions!$A$5:$A$400,0))&lt;&gt;"",FALSE),INDEX(Regions!$D$5:$D$400,MATCH(D355,Regions!$A$5:$A$400,0)),IF(IFERROR(INDEX(Regions!$D$5:$D$400,MATCH(LEFT(D355,2),Regions!$A$5:$A$400,0))&lt;&gt;"",FALSE),INDEX(Regions!$D$5:$D$400,MATCH(LEFT(D355,2),Regions!$A$5:$A$400,0)),INDEX(Regions!$D$5:$D$400,MATCH("US",Regions!$A$5:$A$400,0)))))</f>
        <v/>
      </c>
      <c r="H355" s="28">
        <f>IF(C355="","",(1+Assumptions!$C$32)^((Assumptions!$C$33-E355)/365.25))</f>
        <v/>
      </c>
      <c r="I355" s="36">
        <f>IF(C355="",0,C355/G355*H355)</f>
        <v/>
      </c>
      <c r="J355" s="28">
        <f>IF(C355="",0,IFERROR(INDEX(Lookups!$Z$5:$Z$8,MATCH(F355,Lookups!$Y$5:$Y$8,0)),0.3)*0.5^((Assumptions!$C$33-E355)/365.25/Assumptions!$C$31))</f>
        <v/>
      </c>
    </row>
    <row r="356">
      <c r="G356" s="16">
        <f>IF(C356="","",IF(IFERROR(INDEX(Regions!$D$5:$D$400,MATCH(D356,Regions!$A$5:$A$400,0))&lt;&gt;"",FALSE),INDEX(Regions!$D$5:$D$400,MATCH(D356,Regions!$A$5:$A$400,0)),IF(IFERROR(INDEX(Regions!$D$5:$D$400,MATCH(LEFT(D356,2),Regions!$A$5:$A$400,0))&lt;&gt;"",FALSE),INDEX(Regions!$D$5:$D$400,MATCH(LEFT(D356,2),Regions!$A$5:$A$400,0)),INDEX(Regions!$D$5:$D$400,MATCH("US",Regions!$A$5:$A$400,0)))))</f>
        <v/>
      </c>
      <c r="H356" s="28">
        <f>IF(C356="","",(1+Assumptions!$C$32)^((Assumptions!$C$33-E356)/365.25))</f>
        <v/>
      </c>
      <c r="I356" s="36">
        <f>IF(C356="",0,C356/G356*H356)</f>
        <v/>
      </c>
      <c r="J356" s="28">
        <f>IF(C356="",0,IFERROR(INDEX(Lookups!$Z$5:$Z$8,MATCH(F356,Lookups!$Y$5:$Y$8,0)),0.3)*0.5^((Assumptions!$C$33-E356)/365.25/Assumptions!$C$31))</f>
        <v/>
      </c>
    </row>
    <row r="357">
      <c r="G357" s="16">
        <f>IF(C357="","",IF(IFERROR(INDEX(Regions!$D$5:$D$400,MATCH(D357,Regions!$A$5:$A$400,0))&lt;&gt;"",FALSE),INDEX(Regions!$D$5:$D$400,MATCH(D357,Regions!$A$5:$A$400,0)),IF(IFERROR(INDEX(Regions!$D$5:$D$400,MATCH(LEFT(D357,2),Regions!$A$5:$A$400,0))&lt;&gt;"",FALSE),INDEX(Regions!$D$5:$D$400,MATCH(LEFT(D357,2),Regions!$A$5:$A$400,0)),INDEX(Regions!$D$5:$D$400,MATCH("US",Regions!$A$5:$A$400,0)))))</f>
        <v/>
      </c>
      <c r="H357" s="28">
        <f>IF(C357="","",(1+Assumptions!$C$32)^((Assumptions!$C$33-E357)/365.25))</f>
        <v/>
      </c>
      <c r="I357" s="36">
        <f>IF(C357="",0,C357/G357*H357)</f>
        <v/>
      </c>
      <c r="J357" s="28">
        <f>IF(C357="",0,IFERROR(INDEX(Lookups!$Z$5:$Z$8,MATCH(F357,Lookups!$Y$5:$Y$8,0)),0.3)*0.5^((Assumptions!$C$33-E357)/365.25/Assumptions!$C$31))</f>
        <v/>
      </c>
    </row>
    <row r="358">
      <c r="G358" s="16">
        <f>IF(C358="","",IF(IFERROR(INDEX(Regions!$D$5:$D$400,MATCH(D358,Regions!$A$5:$A$400,0))&lt;&gt;"",FALSE),INDEX(Regions!$D$5:$D$400,MATCH(D358,Regions!$A$5:$A$400,0)),IF(IFERROR(INDEX(Regions!$D$5:$D$400,MATCH(LEFT(D358,2),Regions!$A$5:$A$400,0))&lt;&gt;"",FALSE),INDEX(Regions!$D$5:$D$400,MATCH(LEFT(D358,2),Regions!$A$5:$A$400,0)),INDEX(Regions!$D$5:$D$400,MATCH("US",Regions!$A$5:$A$400,0)))))</f>
        <v/>
      </c>
      <c r="H358" s="28">
        <f>IF(C358="","",(1+Assumptions!$C$32)^((Assumptions!$C$33-E358)/365.25))</f>
        <v/>
      </c>
      <c r="I358" s="36">
        <f>IF(C358="",0,C358/G358*H358)</f>
        <v/>
      </c>
      <c r="J358" s="28">
        <f>IF(C358="",0,IFERROR(INDEX(Lookups!$Z$5:$Z$8,MATCH(F358,Lookups!$Y$5:$Y$8,0)),0.3)*0.5^((Assumptions!$C$33-E358)/365.25/Assumptions!$C$31))</f>
        <v/>
      </c>
    </row>
    <row r="359">
      <c r="G359" s="16">
        <f>IF(C359="","",IF(IFERROR(INDEX(Regions!$D$5:$D$400,MATCH(D359,Regions!$A$5:$A$400,0))&lt;&gt;"",FALSE),INDEX(Regions!$D$5:$D$400,MATCH(D359,Regions!$A$5:$A$400,0)),IF(IFERROR(INDEX(Regions!$D$5:$D$400,MATCH(LEFT(D359,2),Regions!$A$5:$A$400,0))&lt;&gt;"",FALSE),INDEX(Regions!$D$5:$D$400,MATCH(LEFT(D359,2),Regions!$A$5:$A$400,0)),INDEX(Regions!$D$5:$D$400,MATCH("US",Regions!$A$5:$A$400,0)))))</f>
        <v/>
      </c>
      <c r="H359" s="28">
        <f>IF(C359="","",(1+Assumptions!$C$32)^((Assumptions!$C$33-E359)/365.25))</f>
        <v/>
      </c>
      <c r="I359" s="36">
        <f>IF(C359="",0,C359/G359*H359)</f>
        <v/>
      </c>
      <c r="J359" s="28">
        <f>IF(C359="",0,IFERROR(INDEX(Lookups!$Z$5:$Z$8,MATCH(F359,Lookups!$Y$5:$Y$8,0)),0.3)*0.5^((Assumptions!$C$33-E359)/365.25/Assumptions!$C$31))</f>
        <v/>
      </c>
    </row>
    <row r="360">
      <c r="G360" s="16">
        <f>IF(C360="","",IF(IFERROR(INDEX(Regions!$D$5:$D$400,MATCH(D360,Regions!$A$5:$A$400,0))&lt;&gt;"",FALSE),INDEX(Regions!$D$5:$D$400,MATCH(D360,Regions!$A$5:$A$400,0)),IF(IFERROR(INDEX(Regions!$D$5:$D$400,MATCH(LEFT(D360,2),Regions!$A$5:$A$400,0))&lt;&gt;"",FALSE),INDEX(Regions!$D$5:$D$400,MATCH(LEFT(D360,2),Regions!$A$5:$A$400,0)),INDEX(Regions!$D$5:$D$400,MATCH("US",Regions!$A$5:$A$400,0)))))</f>
        <v/>
      </c>
      <c r="H360" s="28">
        <f>IF(C360="","",(1+Assumptions!$C$32)^((Assumptions!$C$33-E360)/365.25))</f>
        <v/>
      </c>
      <c r="I360" s="36">
        <f>IF(C360="",0,C360/G360*H360)</f>
        <v/>
      </c>
      <c r="J360" s="28">
        <f>IF(C360="",0,IFERROR(INDEX(Lookups!$Z$5:$Z$8,MATCH(F360,Lookups!$Y$5:$Y$8,0)),0.3)*0.5^((Assumptions!$C$33-E360)/365.25/Assumptions!$C$31))</f>
        <v/>
      </c>
    </row>
    <row r="361">
      <c r="G361" s="16">
        <f>IF(C361="","",IF(IFERROR(INDEX(Regions!$D$5:$D$400,MATCH(D361,Regions!$A$5:$A$400,0))&lt;&gt;"",FALSE),INDEX(Regions!$D$5:$D$400,MATCH(D361,Regions!$A$5:$A$400,0)),IF(IFERROR(INDEX(Regions!$D$5:$D$400,MATCH(LEFT(D361,2),Regions!$A$5:$A$400,0))&lt;&gt;"",FALSE),INDEX(Regions!$D$5:$D$400,MATCH(LEFT(D361,2),Regions!$A$5:$A$400,0)),INDEX(Regions!$D$5:$D$400,MATCH("US",Regions!$A$5:$A$400,0)))))</f>
        <v/>
      </c>
      <c r="H361" s="28">
        <f>IF(C361="","",(1+Assumptions!$C$32)^((Assumptions!$C$33-E361)/365.25))</f>
        <v/>
      </c>
      <c r="I361" s="36">
        <f>IF(C361="",0,C361/G361*H361)</f>
        <v/>
      </c>
      <c r="J361" s="28">
        <f>IF(C361="",0,IFERROR(INDEX(Lookups!$Z$5:$Z$8,MATCH(F361,Lookups!$Y$5:$Y$8,0)),0.3)*0.5^((Assumptions!$C$33-E361)/365.25/Assumptions!$C$31))</f>
        <v/>
      </c>
    </row>
    <row r="362">
      <c r="G362" s="16">
        <f>IF(C362="","",IF(IFERROR(INDEX(Regions!$D$5:$D$400,MATCH(D362,Regions!$A$5:$A$400,0))&lt;&gt;"",FALSE),INDEX(Regions!$D$5:$D$400,MATCH(D362,Regions!$A$5:$A$400,0)),IF(IFERROR(INDEX(Regions!$D$5:$D$400,MATCH(LEFT(D362,2),Regions!$A$5:$A$400,0))&lt;&gt;"",FALSE),INDEX(Regions!$D$5:$D$400,MATCH(LEFT(D362,2),Regions!$A$5:$A$400,0)),INDEX(Regions!$D$5:$D$400,MATCH("US",Regions!$A$5:$A$400,0)))))</f>
        <v/>
      </c>
      <c r="H362" s="28">
        <f>IF(C362="","",(1+Assumptions!$C$32)^((Assumptions!$C$33-E362)/365.25))</f>
        <v/>
      </c>
      <c r="I362" s="36">
        <f>IF(C362="",0,C362/G362*H362)</f>
        <v/>
      </c>
      <c r="J362" s="28">
        <f>IF(C362="",0,IFERROR(INDEX(Lookups!$Z$5:$Z$8,MATCH(F362,Lookups!$Y$5:$Y$8,0)),0.3)*0.5^((Assumptions!$C$33-E362)/365.25/Assumptions!$C$31))</f>
        <v/>
      </c>
    </row>
    <row r="363">
      <c r="G363" s="16">
        <f>IF(C363="","",IF(IFERROR(INDEX(Regions!$D$5:$D$400,MATCH(D363,Regions!$A$5:$A$400,0))&lt;&gt;"",FALSE),INDEX(Regions!$D$5:$D$400,MATCH(D363,Regions!$A$5:$A$400,0)),IF(IFERROR(INDEX(Regions!$D$5:$D$400,MATCH(LEFT(D363,2),Regions!$A$5:$A$400,0))&lt;&gt;"",FALSE),INDEX(Regions!$D$5:$D$400,MATCH(LEFT(D363,2),Regions!$A$5:$A$400,0)),INDEX(Regions!$D$5:$D$400,MATCH("US",Regions!$A$5:$A$400,0)))))</f>
        <v/>
      </c>
      <c r="H363" s="28">
        <f>IF(C363="","",(1+Assumptions!$C$32)^((Assumptions!$C$33-E363)/365.25))</f>
        <v/>
      </c>
      <c r="I363" s="36">
        <f>IF(C363="",0,C363/G363*H363)</f>
        <v/>
      </c>
      <c r="J363" s="28">
        <f>IF(C363="",0,IFERROR(INDEX(Lookups!$Z$5:$Z$8,MATCH(F363,Lookups!$Y$5:$Y$8,0)),0.3)*0.5^((Assumptions!$C$33-E363)/365.25/Assumptions!$C$31))</f>
        <v/>
      </c>
    </row>
    <row r="364">
      <c r="G364" s="16">
        <f>IF(C364="","",IF(IFERROR(INDEX(Regions!$D$5:$D$400,MATCH(D364,Regions!$A$5:$A$400,0))&lt;&gt;"",FALSE),INDEX(Regions!$D$5:$D$400,MATCH(D364,Regions!$A$5:$A$400,0)),IF(IFERROR(INDEX(Regions!$D$5:$D$400,MATCH(LEFT(D364,2),Regions!$A$5:$A$400,0))&lt;&gt;"",FALSE),INDEX(Regions!$D$5:$D$400,MATCH(LEFT(D364,2),Regions!$A$5:$A$400,0)),INDEX(Regions!$D$5:$D$400,MATCH("US",Regions!$A$5:$A$400,0)))))</f>
        <v/>
      </c>
      <c r="H364" s="28">
        <f>IF(C364="","",(1+Assumptions!$C$32)^((Assumptions!$C$33-E364)/365.25))</f>
        <v/>
      </c>
      <c r="I364" s="36">
        <f>IF(C364="",0,C364/G364*H364)</f>
        <v/>
      </c>
      <c r="J364" s="28">
        <f>IF(C364="",0,IFERROR(INDEX(Lookups!$Z$5:$Z$8,MATCH(F364,Lookups!$Y$5:$Y$8,0)),0.3)*0.5^((Assumptions!$C$33-E364)/365.25/Assumptions!$C$31))</f>
        <v/>
      </c>
    </row>
    <row r="365">
      <c r="G365" s="16">
        <f>IF(C365="","",IF(IFERROR(INDEX(Regions!$D$5:$D$400,MATCH(D365,Regions!$A$5:$A$400,0))&lt;&gt;"",FALSE),INDEX(Regions!$D$5:$D$400,MATCH(D365,Regions!$A$5:$A$400,0)),IF(IFERROR(INDEX(Regions!$D$5:$D$400,MATCH(LEFT(D365,2),Regions!$A$5:$A$400,0))&lt;&gt;"",FALSE),INDEX(Regions!$D$5:$D$400,MATCH(LEFT(D365,2),Regions!$A$5:$A$400,0)),INDEX(Regions!$D$5:$D$400,MATCH("US",Regions!$A$5:$A$400,0)))))</f>
        <v/>
      </c>
      <c r="H365" s="28">
        <f>IF(C365="","",(1+Assumptions!$C$32)^((Assumptions!$C$33-E365)/365.25))</f>
        <v/>
      </c>
      <c r="I365" s="36">
        <f>IF(C365="",0,C365/G365*H365)</f>
        <v/>
      </c>
      <c r="J365" s="28">
        <f>IF(C365="",0,IFERROR(INDEX(Lookups!$Z$5:$Z$8,MATCH(F365,Lookups!$Y$5:$Y$8,0)),0.3)*0.5^((Assumptions!$C$33-E365)/365.25/Assumptions!$C$31))</f>
        <v/>
      </c>
    </row>
    <row r="366">
      <c r="G366" s="16">
        <f>IF(C366="","",IF(IFERROR(INDEX(Regions!$D$5:$D$400,MATCH(D366,Regions!$A$5:$A$400,0))&lt;&gt;"",FALSE),INDEX(Regions!$D$5:$D$400,MATCH(D366,Regions!$A$5:$A$400,0)),IF(IFERROR(INDEX(Regions!$D$5:$D$400,MATCH(LEFT(D366,2),Regions!$A$5:$A$400,0))&lt;&gt;"",FALSE),INDEX(Regions!$D$5:$D$400,MATCH(LEFT(D366,2),Regions!$A$5:$A$400,0)),INDEX(Regions!$D$5:$D$400,MATCH("US",Regions!$A$5:$A$400,0)))))</f>
        <v/>
      </c>
      <c r="H366" s="28">
        <f>IF(C366="","",(1+Assumptions!$C$32)^((Assumptions!$C$33-E366)/365.25))</f>
        <v/>
      </c>
      <c r="I366" s="36">
        <f>IF(C366="",0,C366/G366*H366)</f>
        <v/>
      </c>
      <c r="J366" s="28">
        <f>IF(C366="",0,IFERROR(INDEX(Lookups!$Z$5:$Z$8,MATCH(F366,Lookups!$Y$5:$Y$8,0)),0.3)*0.5^((Assumptions!$C$33-E366)/365.25/Assumptions!$C$31))</f>
        <v/>
      </c>
    </row>
    <row r="367">
      <c r="G367" s="16">
        <f>IF(C367="","",IF(IFERROR(INDEX(Regions!$D$5:$D$400,MATCH(D367,Regions!$A$5:$A$400,0))&lt;&gt;"",FALSE),INDEX(Regions!$D$5:$D$400,MATCH(D367,Regions!$A$5:$A$400,0)),IF(IFERROR(INDEX(Regions!$D$5:$D$400,MATCH(LEFT(D367,2),Regions!$A$5:$A$400,0))&lt;&gt;"",FALSE),INDEX(Regions!$D$5:$D$400,MATCH(LEFT(D367,2),Regions!$A$5:$A$400,0)),INDEX(Regions!$D$5:$D$400,MATCH("US",Regions!$A$5:$A$400,0)))))</f>
        <v/>
      </c>
      <c r="H367" s="28">
        <f>IF(C367="","",(1+Assumptions!$C$32)^((Assumptions!$C$33-E367)/365.25))</f>
        <v/>
      </c>
      <c r="I367" s="36">
        <f>IF(C367="",0,C367/G367*H367)</f>
        <v/>
      </c>
      <c r="J367" s="28">
        <f>IF(C367="",0,IFERROR(INDEX(Lookups!$Z$5:$Z$8,MATCH(F367,Lookups!$Y$5:$Y$8,0)),0.3)*0.5^((Assumptions!$C$33-E367)/365.25/Assumptions!$C$31))</f>
        <v/>
      </c>
    </row>
    <row r="368">
      <c r="G368" s="16">
        <f>IF(C368="","",IF(IFERROR(INDEX(Regions!$D$5:$D$400,MATCH(D368,Regions!$A$5:$A$400,0))&lt;&gt;"",FALSE),INDEX(Regions!$D$5:$D$400,MATCH(D368,Regions!$A$5:$A$400,0)),IF(IFERROR(INDEX(Regions!$D$5:$D$400,MATCH(LEFT(D368,2),Regions!$A$5:$A$400,0))&lt;&gt;"",FALSE),INDEX(Regions!$D$5:$D$400,MATCH(LEFT(D368,2),Regions!$A$5:$A$400,0)),INDEX(Regions!$D$5:$D$400,MATCH("US",Regions!$A$5:$A$400,0)))))</f>
        <v/>
      </c>
      <c r="H368" s="28">
        <f>IF(C368="","",(1+Assumptions!$C$32)^((Assumptions!$C$33-E368)/365.25))</f>
        <v/>
      </c>
      <c r="I368" s="36">
        <f>IF(C368="",0,C368/G368*H368)</f>
        <v/>
      </c>
      <c r="J368" s="28">
        <f>IF(C368="",0,IFERROR(INDEX(Lookups!$Z$5:$Z$8,MATCH(F368,Lookups!$Y$5:$Y$8,0)),0.3)*0.5^((Assumptions!$C$33-E368)/365.25/Assumptions!$C$31))</f>
        <v/>
      </c>
    </row>
    <row r="369">
      <c r="G369" s="16">
        <f>IF(C369="","",IF(IFERROR(INDEX(Regions!$D$5:$D$400,MATCH(D369,Regions!$A$5:$A$400,0))&lt;&gt;"",FALSE),INDEX(Regions!$D$5:$D$400,MATCH(D369,Regions!$A$5:$A$400,0)),IF(IFERROR(INDEX(Regions!$D$5:$D$400,MATCH(LEFT(D369,2),Regions!$A$5:$A$400,0))&lt;&gt;"",FALSE),INDEX(Regions!$D$5:$D$400,MATCH(LEFT(D369,2),Regions!$A$5:$A$400,0)),INDEX(Regions!$D$5:$D$400,MATCH("US",Regions!$A$5:$A$400,0)))))</f>
        <v/>
      </c>
      <c r="H369" s="28">
        <f>IF(C369="","",(1+Assumptions!$C$32)^((Assumptions!$C$33-E369)/365.25))</f>
        <v/>
      </c>
      <c r="I369" s="36">
        <f>IF(C369="",0,C369/G369*H369)</f>
        <v/>
      </c>
      <c r="J369" s="28">
        <f>IF(C369="",0,IFERROR(INDEX(Lookups!$Z$5:$Z$8,MATCH(F369,Lookups!$Y$5:$Y$8,0)),0.3)*0.5^((Assumptions!$C$33-E369)/365.25/Assumptions!$C$31))</f>
        <v/>
      </c>
    </row>
    <row r="370">
      <c r="G370" s="16">
        <f>IF(C370="","",IF(IFERROR(INDEX(Regions!$D$5:$D$400,MATCH(D370,Regions!$A$5:$A$400,0))&lt;&gt;"",FALSE),INDEX(Regions!$D$5:$D$400,MATCH(D370,Regions!$A$5:$A$400,0)),IF(IFERROR(INDEX(Regions!$D$5:$D$400,MATCH(LEFT(D370,2),Regions!$A$5:$A$400,0))&lt;&gt;"",FALSE),INDEX(Regions!$D$5:$D$400,MATCH(LEFT(D370,2),Regions!$A$5:$A$400,0)),INDEX(Regions!$D$5:$D$400,MATCH("US",Regions!$A$5:$A$400,0)))))</f>
        <v/>
      </c>
      <c r="H370" s="28">
        <f>IF(C370="","",(1+Assumptions!$C$32)^((Assumptions!$C$33-E370)/365.25))</f>
        <v/>
      </c>
      <c r="I370" s="36">
        <f>IF(C370="",0,C370/G370*H370)</f>
        <v/>
      </c>
      <c r="J370" s="28">
        <f>IF(C370="",0,IFERROR(INDEX(Lookups!$Z$5:$Z$8,MATCH(F370,Lookups!$Y$5:$Y$8,0)),0.3)*0.5^((Assumptions!$C$33-E370)/365.25/Assumptions!$C$31))</f>
        <v/>
      </c>
    </row>
    <row r="371">
      <c r="G371" s="16">
        <f>IF(C371="","",IF(IFERROR(INDEX(Regions!$D$5:$D$400,MATCH(D371,Regions!$A$5:$A$400,0))&lt;&gt;"",FALSE),INDEX(Regions!$D$5:$D$400,MATCH(D371,Regions!$A$5:$A$400,0)),IF(IFERROR(INDEX(Regions!$D$5:$D$400,MATCH(LEFT(D371,2),Regions!$A$5:$A$400,0))&lt;&gt;"",FALSE),INDEX(Regions!$D$5:$D$400,MATCH(LEFT(D371,2),Regions!$A$5:$A$400,0)),INDEX(Regions!$D$5:$D$400,MATCH("US",Regions!$A$5:$A$400,0)))))</f>
        <v/>
      </c>
      <c r="H371" s="28">
        <f>IF(C371="","",(1+Assumptions!$C$32)^((Assumptions!$C$33-E371)/365.25))</f>
        <v/>
      </c>
      <c r="I371" s="36">
        <f>IF(C371="",0,C371/G371*H371)</f>
        <v/>
      </c>
      <c r="J371" s="28">
        <f>IF(C371="",0,IFERROR(INDEX(Lookups!$Z$5:$Z$8,MATCH(F371,Lookups!$Y$5:$Y$8,0)),0.3)*0.5^((Assumptions!$C$33-E371)/365.25/Assumptions!$C$31))</f>
        <v/>
      </c>
    </row>
    <row r="372">
      <c r="G372" s="16">
        <f>IF(C372="","",IF(IFERROR(INDEX(Regions!$D$5:$D$400,MATCH(D372,Regions!$A$5:$A$400,0))&lt;&gt;"",FALSE),INDEX(Regions!$D$5:$D$400,MATCH(D372,Regions!$A$5:$A$400,0)),IF(IFERROR(INDEX(Regions!$D$5:$D$400,MATCH(LEFT(D372,2),Regions!$A$5:$A$400,0))&lt;&gt;"",FALSE),INDEX(Regions!$D$5:$D$400,MATCH(LEFT(D372,2),Regions!$A$5:$A$400,0)),INDEX(Regions!$D$5:$D$400,MATCH("US",Regions!$A$5:$A$400,0)))))</f>
        <v/>
      </c>
      <c r="H372" s="28">
        <f>IF(C372="","",(1+Assumptions!$C$32)^((Assumptions!$C$33-E372)/365.25))</f>
        <v/>
      </c>
      <c r="I372" s="36">
        <f>IF(C372="",0,C372/G372*H372)</f>
        <v/>
      </c>
      <c r="J372" s="28">
        <f>IF(C372="",0,IFERROR(INDEX(Lookups!$Z$5:$Z$8,MATCH(F372,Lookups!$Y$5:$Y$8,0)),0.3)*0.5^((Assumptions!$C$33-E372)/365.25/Assumptions!$C$31))</f>
        <v/>
      </c>
    </row>
    <row r="373">
      <c r="G373" s="16">
        <f>IF(C373="","",IF(IFERROR(INDEX(Regions!$D$5:$D$400,MATCH(D373,Regions!$A$5:$A$400,0))&lt;&gt;"",FALSE),INDEX(Regions!$D$5:$D$400,MATCH(D373,Regions!$A$5:$A$400,0)),IF(IFERROR(INDEX(Regions!$D$5:$D$400,MATCH(LEFT(D373,2),Regions!$A$5:$A$400,0))&lt;&gt;"",FALSE),INDEX(Regions!$D$5:$D$400,MATCH(LEFT(D373,2),Regions!$A$5:$A$400,0)),INDEX(Regions!$D$5:$D$400,MATCH("US",Regions!$A$5:$A$400,0)))))</f>
        <v/>
      </c>
      <c r="H373" s="28">
        <f>IF(C373="","",(1+Assumptions!$C$32)^((Assumptions!$C$33-E373)/365.25))</f>
        <v/>
      </c>
      <c r="I373" s="36">
        <f>IF(C373="",0,C373/G373*H373)</f>
        <v/>
      </c>
      <c r="J373" s="28">
        <f>IF(C373="",0,IFERROR(INDEX(Lookups!$Z$5:$Z$8,MATCH(F373,Lookups!$Y$5:$Y$8,0)),0.3)*0.5^((Assumptions!$C$33-E373)/365.25/Assumptions!$C$31))</f>
        <v/>
      </c>
    </row>
    <row r="374">
      <c r="G374" s="16">
        <f>IF(C374="","",IF(IFERROR(INDEX(Regions!$D$5:$D$400,MATCH(D374,Regions!$A$5:$A$400,0))&lt;&gt;"",FALSE),INDEX(Regions!$D$5:$D$400,MATCH(D374,Regions!$A$5:$A$400,0)),IF(IFERROR(INDEX(Regions!$D$5:$D$400,MATCH(LEFT(D374,2),Regions!$A$5:$A$400,0))&lt;&gt;"",FALSE),INDEX(Regions!$D$5:$D$400,MATCH(LEFT(D374,2),Regions!$A$5:$A$400,0)),INDEX(Regions!$D$5:$D$400,MATCH("US",Regions!$A$5:$A$400,0)))))</f>
        <v/>
      </c>
      <c r="H374" s="28">
        <f>IF(C374="","",(1+Assumptions!$C$32)^((Assumptions!$C$33-E374)/365.25))</f>
        <v/>
      </c>
      <c r="I374" s="36">
        <f>IF(C374="",0,C374/G374*H374)</f>
        <v/>
      </c>
      <c r="J374" s="28">
        <f>IF(C374="",0,IFERROR(INDEX(Lookups!$Z$5:$Z$8,MATCH(F374,Lookups!$Y$5:$Y$8,0)),0.3)*0.5^((Assumptions!$C$33-E374)/365.25/Assumptions!$C$31))</f>
        <v/>
      </c>
    </row>
    <row r="375">
      <c r="G375" s="16">
        <f>IF(C375="","",IF(IFERROR(INDEX(Regions!$D$5:$D$400,MATCH(D375,Regions!$A$5:$A$400,0))&lt;&gt;"",FALSE),INDEX(Regions!$D$5:$D$400,MATCH(D375,Regions!$A$5:$A$400,0)),IF(IFERROR(INDEX(Regions!$D$5:$D$400,MATCH(LEFT(D375,2),Regions!$A$5:$A$400,0))&lt;&gt;"",FALSE),INDEX(Regions!$D$5:$D$400,MATCH(LEFT(D375,2),Regions!$A$5:$A$400,0)),INDEX(Regions!$D$5:$D$400,MATCH("US",Regions!$A$5:$A$400,0)))))</f>
        <v/>
      </c>
      <c r="H375" s="28">
        <f>IF(C375="","",(1+Assumptions!$C$32)^((Assumptions!$C$33-E375)/365.25))</f>
        <v/>
      </c>
      <c r="I375" s="36">
        <f>IF(C375="",0,C375/G375*H375)</f>
        <v/>
      </c>
      <c r="J375" s="28">
        <f>IF(C375="",0,IFERROR(INDEX(Lookups!$Z$5:$Z$8,MATCH(F375,Lookups!$Y$5:$Y$8,0)),0.3)*0.5^((Assumptions!$C$33-E375)/365.25/Assumptions!$C$31))</f>
        <v/>
      </c>
    </row>
    <row r="376">
      <c r="G376" s="16">
        <f>IF(C376="","",IF(IFERROR(INDEX(Regions!$D$5:$D$400,MATCH(D376,Regions!$A$5:$A$400,0))&lt;&gt;"",FALSE),INDEX(Regions!$D$5:$D$400,MATCH(D376,Regions!$A$5:$A$400,0)),IF(IFERROR(INDEX(Regions!$D$5:$D$400,MATCH(LEFT(D376,2),Regions!$A$5:$A$400,0))&lt;&gt;"",FALSE),INDEX(Regions!$D$5:$D$400,MATCH(LEFT(D376,2),Regions!$A$5:$A$400,0)),INDEX(Regions!$D$5:$D$400,MATCH("US",Regions!$A$5:$A$400,0)))))</f>
        <v/>
      </c>
      <c r="H376" s="28">
        <f>IF(C376="","",(1+Assumptions!$C$32)^((Assumptions!$C$33-E376)/365.25))</f>
        <v/>
      </c>
      <c r="I376" s="36">
        <f>IF(C376="",0,C376/G376*H376)</f>
        <v/>
      </c>
      <c r="J376" s="28">
        <f>IF(C376="",0,IFERROR(INDEX(Lookups!$Z$5:$Z$8,MATCH(F376,Lookups!$Y$5:$Y$8,0)),0.3)*0.5^((Assumptions!$C$33-E376)/365.25/Assumptions!$C$31))</f>
        <v/>
      </c>
    </row>
    <row r="377">
      <c r="G377" s="16">
        <f>IF(C377="","",IF(IFERROR(INDEX(Regions!$D$5:$D$400,MATCH(D377,Regions!$A$5:$A$400,0))&lt;&gt;"",FALSE),INDEX(Regions!$D$5:$D$400,MATCH(D377,Regions!$A$5:$A$400,0)),IF(IFERROR(INDEX(Regions!$D$5:$D$400,MATCH(LEFT(D377,2),Regions!$A$5:$A$400,0))&lt;&gt;"",FALSE),INDEX(Regions!$D$5:$D$400,MATCH(LEFT(D377,2),Regions!$A$5:$A$400,0)),INDEX(Regions!$D$5:$D$400,MATCH("US",Regions!$A$5:$A$400,0)))))</f>
        <v/>
      </c>
      <c r="H377" s="28">
        <f>IF(C377="","",(1+Assumptions!$C$32)^((Assumptions!$C$33-E377)/365.25))</f>
        <v/>
      </c>
      <c r="I377" s="36">
        <f>IF(C377="",0,C377/G377*H377)</f>
        <v/>
      </c>
      <c r="J377" s="28">
        <f>IF(C377="",0,IFERROR(INDEX(Lookups!$Z$5:$Z$8,MATCH(F377,Lookups!$Y$5:$Y$8,0)),0.3)*0.5^((Assumptions!$C$33-E377)/365.25/Assumptions!$C$31))</f>
        <v/>
      </c>
    </row>
    <row r="378">
      <c r="G378" s="16">
        <f>IF(C378="","",IF(IFERROR(INDEX(Regions!$D$5:$D$400,MATCH(D378,Regions!$A$5:$A$400,0))&lt;&gt;"",FALSE),INDEX(Regions!$D$5:$D$400,MATCH(D378,Regions!$A$5:$A$400,0)),IF(IFERROR(INDEX(Regions!$D$5:$D$400,MATCH(LEFT(D378,2),Regions!$A$5:$A$400,0))&lt;&gt;"",FALSE),INDEX(Regions!$D$5:$D$400,MATCH(LEFT(D378,2),Regions!$A$5:$A$400,0)),INDEX(Regions!$D$5:$D$400,MATCH("US",Regions!$A$5:$A$400,0)))))</f>
        <v/>
      </c>
      <c r="H378" s="28">
        <f>IF(C378="","",(1+Assumptions!$C$32)^((Assumptions!$C$33-E378)/365.25))</f>
        <v/>
      </c>
      <c r="I378" s="36">
        <f>IF(C378="",0,C378/G378*H378)</f>
        <v/>
      </c>
      <c r="J378" s="28">
        <f>IF(C378="",0,IFERROR(INDEX(Lookups!$Z$5:$Z$8,MATCH(F378,Lookups!$Y$5:$Y$8,0)),0.3)*0.5^((Assumptions!$C$33-E378)/365.25/Assumptions!$C$31))</f>
        <v/>
      </c>
    </row>
    <row r="379">
      <c r="G379" s="16">
        <f>IF(C379="","",IF(IFERROR(INDEX(Regions!$D$5:$D$400,MATCH(D379,Regions!$A$5:$A$400,0))&lt;&gt;"",FALSE),INDEX(Regions!$D$5:$D$400,MATCH(D379,Regions!$A$5:$A$400,0)),IF(IFERROR(INDEX(Regions!$D$5:$D$400,MATCH(LEFT(D379,2),Regions!$A$5:$A$400,0))&lt;&gt;"",FALSE),INDEX(Regions!$D$5:$D$400,MATCH(LEFT(D379,2),Regions!$A$5:$A$400,0)),INDEX(Regions!$D$5:$D$400,MATCH("US",Regions!$A$5:$A$400,0)))))</f>
        <v/>
      </c>
      <c r="H379" s="28">
        <f>IF(C379="","",(1+Assumptions!$C$32)^((Assumptions!$C$33-E379)/365.25))</f>
        <v/>
      </c>
      <c r="I379" s="36">
        <f>IF(C379="",0,C379/G379*H379)</f>
        <v/>
      </c>
      <c r="J379" s="28">
        <f>IF(C379="",0,IFERROR(INDEX(Lookups!$Z$5:$Z$8,MATCH(F379,Lookups!$Y$5:$Y$8,0)),0.3)*0.5^((Assumptions!$C$33-E379)/365.25/Assumptions!$C$31))</f>
        <v/>
      </c>
    </row>
    <row r="380">
      <c r="G380" s="16">
        <f>IF(C380="","",IF(IFERROR(INDEX(Regions!$D$5:$D$400,MATCH(D380,Regions!$A$5:$A$400,0))&lt;&gt;"",FALSE),INDEX(Regions!$D$5:$D$400,MATCH(D380,Regions!$A$5:$A$400,0)),IF(IFERROR(INDEX(Regions!$D$5:$D$400,MATCH(LEFT(D380,2),Regions!$A$5:$A$400,0))&lt;&gt;"",FALSE),INDEX(Regions!$D$5:$D$400,MATCH(LEFT(D380,2),Regions!$A$5:$A$400,0)),INDEX(Regions!$D$5:$D$400,MATCH("US",Regions!$A$5:$A$400,0)))))</f>
        <v/>
      </c>
      <c r="H380" s="28">
        <f>IF(C380="","",(1+Assumptions!$C$32)^((Assumptions!$C$33-E380)/365.25))</f>
        <v/>
      </c>
      <c r="I380" s="36">
        <f>IF(C380="",0,C380/G380*H380)</f>
        <v/>
      </c>
      <c r="J380" s="28">
        <f>IF(C380="",0,IFERROR(INDEX(Lookups!$Z$5:$Z$8,MATCH(F380,Lookups!$Y$5:$Y$8,0)),0.3)*0.5^((Assumptions!$C$33-E380)/365.25/Assumptions!$C$31))</f>
        <v/>
      </c>
    </row>
    <row r="381">
      <c r="G381" s="16">
        <f>IF(C381="","",IF(IFERROR(INDEX(Regions!$D$5:$D$400,MATCH(D381,Regions!$A$5:$A$400,0))&lt;&gt;"",FALSE),INDEX(Regions!$D$5:$D$400,MATCH(D381,Regions!$A$5:$A$400,0)),IF(IFERROR(INDEX(Regions!$D$5:$D$400,MATCH(LEFT(D381,2),Regions!$A$5:$A$400,0))&lt;&gt;"",FALSE),INDEX(Regions!$D$5:$D$400,MATCH(LEFT(D381,2),Regions!$A$5:$A$400,0)),INDEX(Regions!$D$5:$D$400,MATCH("US",Regions!$A$5:$A$400,0)))))</f>
        <v/>
      </c>
      <c r="H381" s="28">
        <f>IF(C381="","",(1+Assumptions!$C$32)^((Assumptions!$C$33-E381)/365.25))</f>
        <v/>
      </c>
      <c r="I381" s="36">
        <f>IF(C381="",0,C381/G381*H381)</f>
        <v/>
      </c>
      <c r="J381" s="28">
        <f>IF(C381="",0,IFERROR(INDEX(Lookups!$Z$5:$Z$8,MATCH(F381,Lookups!$Y$5:$Y$8,0)),0.3)*0.5^((Assumptions!$C$33-E381)/365.25/Assumptions!$C$31))</f>
        <v/>
      </c>
    </row>
    <row r="382">
      <c r="G382" s="16">
        <f>IF(C382="","",IF(IFERROR(INDEX(Regions!$D$5:$D$400,MATCH(D382,Regions!$A$5:$A$400,0))&lt;&gt;"",FALSE),INDEX(Regions!$D$5:$D$400,MATCH(D382,Regions!$A$5:$A$400,0)),IF(IFERROR(INDEX(Regions!$D$5:$D$400,MATCH(LEFT(D382,2),Regions!$A$5:$A$400,0))&lt;&gt;"",FALSE),INDEX(Regions!$D$5:$D$400,MATCH(LEFT(D382,2),Regions!$A$5:$A$400,0)),INDEX(Regions!$D$5:$D$400,MATCH("US",Regions!$A$5:$A$400,0)))))</f>
        <v/>
      </c>
      <c r="H382" s="28">
        <f>IF(C382="","",(1+Assumptions!$C$32)^((Assumptions!$C$33-E382)/365.25))</f>
        <v/>
      </c>
      <c r="I382" s="36">
        <f>IF(C382="",0,C382/G382*H382)</f>
        <v/>
      </c>
      <c r="J382" s="28">
        <f>IF(C382="",0,IFERROR(INDEX(Lookups!$Z$5:$Z$8,MATCH(F382,Lookups!$Y$5:$Y$8,0)),0.3)*0.5^((Assumptions!$C$33-E382)/365.25/Assumptions!$C$31))</f>
        <v/>
      </c>
    </row>
    <row r="383">
      <c r="G383" s="16">
        <f>IF(C383="","",IF(IFERROR(INDEX(Regions!$D$5:$D$400,MATCH(D383,Regions!$A$5:$A$400,0))&lt;&gt;"",FALSE),INDEX(Regions!$D$5:$D$400,MATCH(D383,Regions!$A$5:$A$400,0)),IF(IFERROR(INDEX(Regions!$D$5:$D$400,MATCH(LEFT(D383,2),Regions!$A$5:$A$400,0))&lt;&gt;"",FALSE),INDEX(Regions!$D$5:$D$400,MATCH(LEFT(D383,2),Regions!$A$5:$A$400,0)),INDEX(Regions!$D$5:$D$400,MATCH("US",Regions!$A$5:$A$400,0)))))</f>
        <v/>
      </c>
      <c r="H383" s="28">
        <f>IF(C383="","",(1+Assumptions!$C$32)^((Assumptions!$C$33-E383)/365.25))</f>
        <v/>
      </c>
      <c r="I383" s="36">
        <f>IF(C383="",0,C383/G383*H383)</f>
        <v/>
      </c>
      <c r="J383" s="28">
        <f>IF(C383="",0,IFERROR(INDEX(Lookups!$Z$5:$Z$8,MATCH(F383,Lookups!$Y$5:$Y$8,0)),0.3)*0.5^((Assumptions!$C$33-E383)/365.25/Assumptions!$C$31))</f>
        <v/>
      </c>
    </row>
    <row r="384">
      <c r="G384" s="16">
        <f>IF(C384="","",IF(IFERROR(INDEX(Regions!$D$5:$D$400,MATCH(D384,Regions!$A$5:$A$400,0))&lt;&gt;"",FALSE),INDEX(Regions!$D$5:$D$400,MATCH(D384,Regions!$A$5:$A$400,0)),IF(IFERROR(INDEX(Regions!$D$5:$D$400,MATCH(LEFT(D384,2),Regions!$A$5:$A$400,0))&lt;&gt;"",FALSE),INDEX(Regions!$D$5:$D$400,MATCH(LEFT(D384,2),Regions!$A$5:$A$400,0)),INDEX(Regions!$D$5:$D$400,MATCH("US",Regions!$A$5:$A$400,0)))))</f>
        <v/>
      </c>
      <c r="H384" s="28">
        <f>IF(C384="","",(1+Assumptions!$C$32)^((Assumptions!$C$33-E384)/365.25))</f>
        <v/>
      </c>
      <c r="I384" s="36">
        <f>IF(C384="",0,C384/G384*H384)</f>
        <v/>
      </c>
      <c r="J384" s="28">
        <f>IF(C384="",0,IFERROR(INDEX(Lookups!$Z$5:$Z$8,MATCH(F384,Lookups!$Y$5:$Y$8,0)),0.3)*0.5^((Assumptions!$C$33-E384)/365.25/Assumptions!$C$31))</f>
        <v/>
      </c>
    </row>
    <row r="385">
      <c r="G385" s="16">
        <f>IF(C385="","",IF(IFERROR(INDEX(Regions!$D$5:$D$400,MATCH(D385,Regions!$A$5:$A$400,0))&lt;&gt;"",FALSE),INDEX(Regions!$D$5:$D$400,MATCH(D385,Regions!$A$5:$A$400,0)),IF(IFERROR(INDEX(Regions!$D$5:$D$400,MATCH(LEFT(D385,2),Regions!$A$5:$A$400,0))&lt;&gt;"",FALSE),INDEX(Regions!$D$5:$D$400,MATCH(LEFT(D385,2),Regions!$A$5:$A$400,0)),INDEX(Regions!$D$5:$D$400,MATCH("US",Regions!$A$5:$A$400,0)))))</f>
        <v/>
      </c>
      <c r="H385" s="28">
        <f>IF(C385="","",(1+Assumptions!$C$32)^((Assumptions!$C$33-E385)/365.25))</f>
        <v/>
      </c>
      <c r="I385" s="36">
        <f>IF(C385="",0,C385/G385*H385)</f>
        <v/>
      </c>
      <c r="J385" s="28">
        <f>IF(C385="",0,IFERROR(INDEX(Lookups!$Z$5:$Z$8,MATCH(F385,Lookups!$Y$5:$Y$8,0)),0.3)*0.5^((Assumptions!$C$33-E385)/365.25/Assumptions!$C$31))</f>
        <v/>
      </c>
    </row>
    <row r="386">
      <c r="G386" s="16">
        <f>IF(C386="","",IF(IFERROR(INDEX(Regions!$D$5:$D$400,MATCH(D386,Regions!$A$5:$A$400,0))&lt;&gt;"",FALSE),INDEX(Regions!$D$5:$D$400,MATCH(D386,Regions!$A$5:$A$400,0)),IF(IFERROR(INDEX(Regions!$D$5:$D$400,MATCH(LEFT(D386,2),Regions!$A$5:$A$400,0))&lt;&gt;"",FALSE),INDEX(Regions!$D$5:$D$400,MATCH(LEFT(D386,2),Regions!$A$5:$A$400,0)),INDEX(Regions!$D$5:$D$400,MATCH("US",Regions!$A$5:$A$400,0)))))</f>
        <v/>
      </c>
      <c r="H386" s="28">
        <f>IF(C386="","",(1+Assumptions!$C$32)^((Assumptions!$C$33-E386)/365.25))</f>
        <v/>
      </c>
      <c r="I386" s="36">
        <f>IF(C386="",0,C386/G386*H386)</f>
        <v/>
      </c>
      <c r="J386" s="28">
        <f>IF(C386="",0,IFERROR(INDEX(Lookups!$Z$5:$Z$8,MATCH(F386,Lookups!$Y$5:$Y$8,0)),0.3)*0.5^((Assumptions!$C$33-E386)/365.25/Assumptions!$C$31))</f>
        <v/>
      </c>
    </row>
    <row r="387">
      <c r="G387" s="16">
        <f>IF(C387="","",IF(IFERROR(INDEX(Regions!$D$5:$D$400,MATCH(D387,Regions!$A$5:$A$400,0))&lt;&gt;"",FALSE),INDEX(Regions!$D$5:$D$400,MATCH(D387,Regions!$A$5:$A$400,0)),IF(IFERROR(INDEX(Regions!$D$5:$D$400,MATCH(LEFT(D387,2),Regions!$A$5:$A$400,0))&lt;&gt;"",FALSE),INDEX(Regions!$D$5:$D$400,MATCH(LEFT(D387,2),Regions!$A$5:$A$400,0)),INDEX(Regions!$D$5:$D$400,MATCH("US",Regions!$A$5:$A$400,0)))))</f>
        <v/>
      </c>
      <c r="H387" s="28">
        <f>IF(C387="","",(1+Assumptions!$C$32)^((Assumptions!$C$33-E387)/365.25))</f>
        <v/>
      </c>
      <c r="I387" s="36">
        <f>IF(C387="",0,C387/G387*H387)</f>
        <v/>
      </c>
      <c r="J387" s="28">
        <f>IF(C387="",0,IFERROR(INDEX(Lookups!$Z$5:$Z$8,MATCH(F387,Lookups!$Y$5:$Y$8,0)),0.3)*0.5^((Assumptions!$C$33-E387)/365.25/Assumptions!$C$31))</f>
        <v/>
      </c>
    </row>
    <row r="388">
      <c r="G388" s="16">
        <f>IF(C388="","",IF(IFERROR(INDEX(Regions!$D$5:$D$400,MATCH(D388,Regions!$A$5:$A$400,0))&lt;&gt;"",FALSE),INDEX(Regions!$D$5:$D$400,MATCH(D388,Regions!$A$5:$A$400,0)),IF(IFERROR(INDEX(Regions!$D$5:$D$400,MATCH(LEFT(D388,2),Regions!$A$5:$A$400,0))&lt;&gt;"",FALSE),INDEX(Regions!$D$5:$D$400,MATCH(LEFT(D388,2),Regions!$A$5:$A$400,0)),INDEX(Regions!$D$5:$D$400,MATCH("US",Regions!$A$5:$A$400,0)))))</f>
        <v/>
      </c>
      <c r="H388" s="28">
        <f>IF(C388="","",(1+Assumptions!$C$32)^((Assumptions!$C$33-E388)/365.25))</f>
        <v/>
      </c>
      <c r="I388" s="36">
        <f>IF(C388="",0,C388/G388*H388)</f>
        <v/>
      </c>
      <c r="J388" s="28">
        <f>IF(C388="",0,IFERROR(INDEX(Lookups!$Z$5:$Z$8,MATCH(F388,Lookups!$Y$5:$Y$8,0)),0.3)*0.5^((Assumptions!$C$33-E388)/365.25/Assumptions!$C$31))</f>
        <v/>
      </c>
    </row>
    <row r="389">
      <c r="G389" s="16">
        <f>IF(C389="","",IF(IFERROR(INDEX(Regions!$D$5:$D$400,MATCH(D389,Regions!$A$5:$A$400,0))&lt;&gt;"",FALSE),INDEX(Regions!$D$5:$D$400,MATCH(D389,Regions!$A$5:$A$400,0)),IF(IFERROR(INDEX(Regions!$D$5:$D$400,MATCH(LEFT(D389,2),Regions!$A$5:$A$400,0))&lt;&gt;"",FALSE),INDEX(Regions!$D$5:$D$400,MATCH(LEFT(D389,2),Regions!$A$5:$A$400,0)),INDEX(Regions!$D$5:$D$400,MATCH("US",Regions!$A$5:$A$400,0)))))</f>
        <v/>
      </c>
      <c r="H389" s="28">
        <f>IF(C389="","",(1+Assumptions!$C$32)^((Assumptions!$C$33-E389)/365.25))</f>
        <v/>
      </c>
      <c r="I389" s="36">
        <f>IF(C389="",0,C389/G389*H389)</f>
        <v/>
      </c>
      <c r="J389" s="28">
        <f>IF(C389="",0,IFERROR(INDEX(Lookups!$Z$5:$Z$8,MATCH(F389,Lookups!$Y$5:$Y$8,0)),0.3)*0.5^((Assumptions!$C$33-E389)/365.25/Assumptions!$C$31))</f>
        <v/>
      </c>
    </row>
    <row r="390">
      <c r="G390" s="16">
        <f>IF(C390="","",IF(IFERROR(INDEX(Regions!$D$5:$D$400,MATCH(D390,Regions!$A$5:$A$400,0))&lt;&gt;"",FALSE),INDEX(Regions!$D$5:$D$400,MATCH(D390,Regions!$A$5:$A$400,0)),IF(IFERROR(INDEX(Regions!$D$5:$D$400,MATCH(LEFT(D390,2),Regions!$A$5:$A$400,0))&lt;&gt;"",FALSE),INDEX(Regions!$D$5:$D$400,MATCH(LEFT(D390,2),Regions!$A$5:$A$400,0)),INDEX(Regions!$D$5:$D$400,MATCH("US",Regions!$A$5:$A$400,0)))))</f>
        <v/>
      </c>
      <c r="H390" s="28">
        <f>IF(C390="","",(1+Assumptions!$C$32)^((Assumptions!$C$33-E390)/365.25))</f>
        <v/>
      </c>
      <c r="I390" s="36">
        <f>IF(C390="",0,C390/G390*H390)</f>
        <v/>
      </c>
      <c r="J390" s="28">
        <f>IF(C390="",0,IFERROR(INDEX(Lookups!$Z$5:$Z$8,MATCH(F390,Lookups!$Y$5:$Y$8,0)),0.3)*0.5^((Assumptions!$C$33-E390)/365.25/Assumptions!$C$31))</f>
        <v/>
      </c>
    </row>
    <row r="391">
      <c r="G391" s="16">
        <f>IF(C391="","",IF(IFERROR(INDEX(Regions!$D$5:$D$400,MATCH(D391,Regions!$A$5:$A$400,0))&lt;&gt;"",FALSE),INDEX(Regions!$D$5:$D$400,MATCH(D391,Regions!$A$5:$A$400,0)),IF(IFERROR(INDEX(Regions!$D$5:$D$400,MATCH(LEFT(D391,2),Regions!$A$5:$A$400,0))&lt;&gt;"",FALSE),INDEX(Regions!$D$5:$D$400,MATCH(LEFT(D391,2),Regions!$A$5:$A$400,0)),INDEX(Regions!$D$5:$D$400,MATCH("US",Regions!$A$5:$A$400,0)))))</f>
        <v/>
      </c>
      <c r="H391" s="28">
        <f>IF(C391="","",(1+Assumptions!$C$32)^((Assumptions!$C$33-E391)/365.25))</f>
        <v/>
      </c>
      <c r="I391" s="36">
        <f>IF(C391="",0,C391/G391*H391)</f>
        <v/>
      </c>
      <c r="J391" s="28">
        <f>IF(C391="",0,IFERROR(INDEX(Lookups!$Z$5:$Z$8,MATCH(F391,Lookups!$Y$5:$Y$8,0)),0.3)*0.5^((Assumptions!$C$33-E391)/365.25/Assumptions!$C$31))</f>
        <v/>
      </c>
    </row>
    <row r="392">
      <c r="G392" s="16">
        <f>IF(C392="","",IF(IFERROR(INDEX(Regions!$D$5:$D$400,MATCH(D392,Regions!$A$5:$A$400,0))&lt;&gt;"",FALSE),INDEX(Regions!$D$5:$D$400,MATCH(D392,Regions!$A$5:$A$400,0)),IF(IFERROR(INDEX(Regions!$D$5:$D$400,MATCH(LEFT(D392,2),Regions!$A$5:$A$400,0))&lt;&gt;"",FALSE),INDEX(Regions!$D$5:$D$400,MATCH(LEFT(D392,2),Regions!$A$5:$A$400,0)),INDEX(Regions!$D$5:$D$400,MATCH("US",Regions!$A$5:$A$400,0)))))</f>
        <v/>
      </c>
      <c r="H392" s="28">
        <f>IF(C392="","",(1+Assumptions!$C$32)^((Assumptions!$C$33-E392)/365.25))</f>
        <v/>
      </c>
      <c r="I392" s="36">
        <f>IF(C392="",0,C392/G392*H392)</f>
        <v/>
      </c>
      <c r="J392" s="28">
        <f>IF(C392="",0,IFERROR(INDEX(Lookups!$Z$5:$Z$8,MATCH(F392,Lookups!$Y$5:$Y$8,0)),0.3)*0.5^((Assumptions!$C$33-E392)/365.25/Assumptions!$C$31))</f>
        <v/>
      </c>
    </row>
    <row r="393">
      <c r="G393" s="16">
        <f>IF(C393="","",IF(IFERROR(INDEX(Regions!$D$5:$D$400,MATCH(D393,Regions!$A$5:$A$400,0))&lt;&gt;"",FALSE),INDEX(Regions!$D$5:$D$400,MATCH(D393,Regions!$A$5:$A$400,0)),IF(IFERROR(INDEX(Regions!$D$5:$D$400,MATCH(LEFT(D393,2),Regions!$A$5:$A$400,0))&lt;&gt;"",FALSE),INDEX(Regions!$D$5:$D$400,MATCH(LEFT(D393,2),Regions!$A$5:$A$400,0)),INDEX(Regions!$D$5:$D$400,MATCH("US",Regions!$A$5:$A$400,0)))))</f>
        <v/>
      </c>
      <c r="H393" s="28">
        <f>IF(C393="","",(1+Assumptions!$C$32)^((Assumptions!$C$33-E393)/365.25))</f>
        <v/>
      </c>
      <c r="I393" s="36">
        <f>IF(C393="",0,C393/G393*H393)</f>
        <v/>
      </c>
      <c r="J393" s="28">
        <f>IF(C393="",0,IFERROR(INDEX(Lookups!$Z$5:$Z$8,MATCH(F393,Lookups!$Y$5:$Y$8,0)),0.3)*0.5^((Assumptions!$C$33-E393)/365.25/Assumptions!$C$31))</f>
        <v/>
      </c>
    </row>
    <row r="394">
      <c r="G394" s="16">
        <f>IF(C394="","",IF(IFERROR(INDEX(Regions!$D$5:$D$400,MATCH(D394,Regions!$A$5:$A$400,0))&lt;&gt;"",FALSE),INDEX(Regions!$D$5:$D$400,MATCH(D394,Regions!$A$5:$A$400,0)),IF(IFERROR(INDEX(Regions!$D$5:$D$400,MATCH(LEFT(D394,2),Regions!$A$5:$A$400,0))&lt;&gt;"",FALSE),INDEX(Regions!$D$5:$D$400,MATCH(LEFT(D394,2),Regions!$A$5:$A$400,0)),INDEX(Regions!$D$5:$D$400,MATCH("US",Regions!$A$5:$A$400,0)))))</f>
        <v/>
      </c>
      <c r="H394" s="28">
        <f>IF(C394="","",(1+Assumptions!$C$32)^((Assumptions!$C$33-E394)/365.25))</f>
        <v/>
      </c>
      <c r="I394" s="36">
        <f>IF(C394="",0,C394/G394*H394)</f>
        <v/>
      </c>
      <c r="J394" s="28">
        <f>IF(C394="",0,IFERROR(INDEX(Lookups!$Z$5:$Z$8,MATCH(F394,Lookups!$Y$5:$Y$8,0)),0.3)*0.5^((Assumptions!$C$33-E394)/365.25/Assumptions!$C$31))</f>
        <v/>
      </c>
    </row>
    <row r="395">
      <c r="G395" s="16">
        <f>IF(C395="","",IF(IFERROR(INDEX(Regions!$D$5:$D$400,MATCH(D395,Regions!$A$5:$A$400,0))&lt;&gt;"",FALSE),INDEX(Regions!$D$5:$D$400,MATCH(D395,Regions!$A$5:$A$400,0)),IF(IFERROR(INDEX(Regions!$D$5:$D$400,MATCH(LEFT(D395,2),Regions!$A$5:$A$400,0))&lt;&gt;"",FALSE),INDEX(Regions!$D$5:$D$400,MATCH(LEFT(D395,2),Regions!$A$5:$A$400,0)),INDEX(Regions!$D$5:$D$400,MATCH("US",Regions!$A$5:$A$400,0)))))</f>
        <v/>
      </c>
      <c r="H395" s="28">
        <f>IF(C395="","",(1+Assumptions!$C$32)^((Assumptions!$C$33-E395)/365.25))</f>
        <v/>
      </c>
      <c r="I395" s="36">
        <f>IF(C395="",0,C395/G395*H395)</f>
        <v/>
      </c>
      <c r="J395" s="28">
        <f>IF(C395="",0,IFERROR(INDEX(Lookups!$Z$5:$Z$8,MATCH(F395,Lookups!$Y$5:$Y$8,0)),0.3)*0.5^((Assumptions!$C$33-E395)/365.25/Assumptions!$C$31))</f>
        <v/>
      </c>
    </row>
    <row r="396">
      <c r="G396" s="16">
        <f>IF(C396="","",IF(IFERROR(INDEX(Regions!$D$5:$D$400,MATCH(D396,Regions!$A$5:$A$400,0))&lt;&gt;"",FALSE),INDEX(Regions!$D$5:$D$400,MATCH(D396,Regions!$A$5:$A$400,0)),IF(IFERROR(INDEX(Regions!$D$5:$D$400,MATCH(LEFT(D396,2),Regions!$A$5:$A$400,0))&lt;&gt;"",FALSE),INDEX(Regions!$D$5:$D$400,MATCH(LEFT(D396,2),Regions!$A$5:$A$400,0)),INDEX(Regions!$D$5:$D$400,MATCH("US",Regions!$A$5:$A$400,0)))))</f>
        <v/>
      </c>
      <c r="H396" s="28">
        <f>IF(C396="","",(1+Assumptions!$C$32)^((Assumptions!$C$33-E396)/365.25))</f>
        <v/>
      </c>
      <c r="I396" s="36">
        <f>IF(C396="",0,C396/G396*H396)</f>
        <v/>
      </c>
      <c r="J396" s="28">
        <f>IF(C396="",0,IFERROR(INDEX(Lookups!$Z$5:$Z$8,MATCH(F396,Lookups!$Y$5:$Y$8,0)),0.3)*0.5^((Assumptions!$C$33-E396)/365.25/Assumptions!$C$31))</f>
        <v/>
      </c>
    </row>
    <row r="397">
      <c r="G397" s="16">
        <f>IF(C397="","",IF(IFERROR(INDEX(Regions!$D$5:$D$400,MATCH(D397,Regions!$A$5:$A$400,0))&lt;&gt;"",FALSE),INDEX(Regions!$D$5:$D$400,MATCH(D397,Regions!$A$5:$A$400,0)),IF(IFERROR(INDEX(Regions!$D$5:$D$400,MATCH(LEFT(D397,2),Regions!$A$5:$A$400,0))&lt;&gt;"",FALSE),INDEX(Regions!$D$5:$D$400,MATCH(LEFT(D397,2),Regions!$A$5:$A$400,0)),INDEX(Regions!$D$5:$D$400,MATCH("US",Regions!$A$5:$A$400,0)))))</f>
        <v/>
      </c>
      <c r="H397" s="28">
        <f>IF(C397="","",(1+Assumptions!$C$32)^((Assumptions!$C$33-E397)/365.25))</f>
        <v/>
      </c>
      <c r="I397" s="36">
        <f>IF(C397="",0,C397/G397*H397)</f>
        <v/>
      </c>
      <c r="J397" s="28">
        <f>IF(C397="",0,IFERROR(INDEX(Lookups!$Z$5:$Z$8,MATCH(F397,Lookups!$Y$5:$Y$8,0)),0.3)*0.5^((Assumptions!$C$33-E397)/365.25/Assumptions!$C$31))</f>
        <v/>
      </c>
    </row>
    <row r="398">
      <c r="G398" s="16">
        <f>IF(C398="","",IF(IFERROR(INDEX(Regions!$D$5:$D$400,MATCH(D398,Regions!$A$5:$A$400,0))&lt;&gt;"",FALSE),INDEX(Regions!$D$5:$D$400,MATCH(D398,Regions!$A$5:$A$400,0)),IF(IFERROR(INDEX(Regions!$D$5:$D$400,MATCH(LEFT(D398,2),Regions!$A$5:$A$400,0))&lt;&gt;"",FALSE),INDEX(Regions!$D$5:$D$400,MATCH(LEFT(D398,2),Regions!$A$5:$A$400,0)),INDEX(Regions!$D$5:$D$400,MATCH("US",Regions!$A$5:$A$400,0)))))</f>
        <v/>
      </c>
      <c r="H398" s="28">
        <f>IF(C398="","",(1+Assumptions!$C$32)^((Assumptions!$C$33-E398)/365.25))</f>
        <v/>
      </c>
      <c r="I398" s="36">
        <f>IF(C398="",0,C398/G398*H398)</f>
        <v/>
      </c>
      <c r="J398" s="28">
        <f>IF(C398="",0,IFERROR(INDEX(Lookups!$Z$5:$Z$8,MATCH(F398,Lookups!$Y$5:$Y$8,0)),0.3)*0.5^((Assumptions!$C$33-E398)/365.25/Assumptions!$C$31))</f>
        <v/>
      </c>
    </row>
    <row r="399">
      <c r="G399" s="16">
        <f>IF(C399="","",IF(IFERROR(INDEX(Regions!$D$5:$D$400,MATCH(D399,Regions!$A$5:$A$400,0))&lt;&gt;"",FALSE),INDEX(Regions!$D$5:$D$400,MATCH(D399,Regions!$A$5:$A$400,0)),IF(IFERROR(INDEX(Regions!$D$5:$D$400,MATCH(LEFT(D399,2),Regions!$A$5:$A$400,0))&lt;&gt;"",FALSE),INDEX(Regions!$D$5:$D$400,MATCH(LEFT(D399,2),Regions!$A$5:$A$400,0)),INDEX(Regions!$D$5:$D$400,MATCH("US",Regions!$A$5:$A$400,0)))))</f>
        <v/>
      </c>
      <c r="H399" s="28">
        <f>IF(C399="","",(1+Assumptions!$C$32)^((Assumptions!$C$33-E399)/365.25))</f>
        <v/>
      </c>
      <c r="I399" s="36">
        <f>IF(C399="",0,C399/G399*H399)</f>
        <v/>
      </c>
      <c r="J399" s="28">
        <f>IF(C399="",0,IFERROR(INDEX(Lookups!$Z$5:$Z$8,MATCH(F399,Lookups!$Y$5:$Y$8,0)),0.3)*0.5^((Assumptions!$C$33-E399)/365.25/Assumptions!$C$31))</f>
        <v/>
      </c>
    </row>
    <row r="400">
      <c r="G400" s="16">
        <f>IF(C400="","",IF(IFERROR(INDEX(Regions!$D$5:$D$400,MATCH(D400,Regions!$A$5:$A$400,0))&lt;&gt;"",FALSE),INDEX(Regions!$D$5:$D$400,MATCH(D400,Regions!$A$5:$A$400,0)),IF(IFERROR(INDEX(Regions!$D$5:$D$400,MATCH(LEFT(D400,2),Regions!$A$5:$A$400,0))&lt;&gt;"",FALSE),INDEX(Regions!$D$5:$D$400,MATCH(LEFT(D400,2),Regions!$A$5:$A$400,0)),INDEX(Regions!$D$5:$D$400,MATCH("US",Regions!$A$5:$A$400,0)))))</f>
        <v/>
      </c>
      <c r="H400" s="28">
        <f>IF(C400="","",(1+Assumptions!$C$32)^((Assumptions!$C$33-E400)/365.25))</f>
        <v/>
      </c>
      <c r="I400" s="36">
        <f>IF(C400="",0,C400/G400*H400)</f>
        <v/>
      </c>
      <c r="J400" s="28">
        <f>IF(C400="",0,IFERROR(INDEX(Lookups!$Z$5:$Z$8,MATCH(F400,Lookups!$Y$5:$Y$8,0)),0.3)*0.5^((Assumptions!$C$33-E400)/365.25/Assumptions!$C$31))</f>
        <v/>
      </c>
    </row>
    <row r="401">
      <c r="G401" s="16">
        <f>IF(C401="","",IF(IFERROR(INDEX(Regions!$D$5:$D$400,MATCH(D401,Regions!$A$5:$A$400,0))&lt;&gt;"",FALSE),INDEX(Regions!$D$5:$D$400,MATCH(D401,Regions!$A$5:$A$400,0)),IF(IFERROR(INDEX(Regions!$D$5:$D$400,MATCH(LEFT(D401,2),Regions!$A$5:$A$400,0))&lt;&gt;"",FALSE),INDEX(Regions!$D$5:$D$400,MATCH(LEFT(D401,2),Regions!$A$5:$A$400,0)),INDEX(Regions!$D$5:$D$400,MATCH("US",Regions!$A$5:$A$400,0)))))</f>
        <v/>
      </c>
      <c r="H401" s="28">
        <f>IF(C401="","",(1+Assumptions!$C$32)^((Assumptions!$C$33-E401)/365.25))</f>
        <v/>
      </c>
      <c r="I401" s="36">
        <f>IF(C401="",0,C401/G401*H401)</f>
        <v/>
      </c>
      <c r="J401" s="28">
        <f>IF(C401="",0,IFERROR(INDEX(Lookups!$Z$5:$Z$8,MATCH(F401,Lookups!$Y$5:$Y$8,0)),0.3)*0.5^((Assumptions!$C$33-E401)/365.25/Assumptions!$C$31))</f>
        <v/>
      </c>
    </row>
    <row r="402">
      <c r="G402" s="16">
        <f>IF(C402="","",IF(IFERROR(INDEX(Regions!$D$5:$D$400,MATCH(D402,Regions!$A$5:$A$400,0))&lt;&gt;"",FALSE),INDEX(Regions!$D$5:$D$400,MATCH(D402,Regions!$A$5:$A$400,0)),IF(IFERROR(INDEX(Regions!$D$5:$D$400,MATCH(LEFT(D402,2),Regions!$A$5:$A$400,0))&lt;&gt;"",FALSE),INDEX(Regions!$D$5:$D$400,MATCH(LEFT(D402,2),Regions!$A$5:$A$400,0)),INDEX(Regions!$D$5:$D$400,MATCH("US",Regions!$A$5:$A$400,0)))))</f>
        <v/>
      </c>
      <c r="H402" s="28">
        <f>IF(C402="","",(1+Assumptions!$C$32)^((Assumptions!$C$33-E402)/365.25))</f>
        <v/>
      </c>
      <c r="I402" s="36">
        <f>IF(C402="",0,C402/G402*H402)</f>
        <v/>
      </c>
      <c r="J402" s="28">
        <f>IF(C402="",0,IFERROR(INDEX(Lookups!$Z$5:$Z$8,MATCH(F402,Lookups!$Y$5:$Y$8,0)),0.3)*0.5^((Assumptions!$C$33-E402)/365.25/Assumptions!$C$31))</f>
        <v/>
      </c>
    </row>
    <row r="403">
      <c r="G403" s="16">
        <f>IF(C403="","",IF(IFERROR(INDEX(Regions!$D$5:$D$400,MATCH(D403,Regions!$A$5:$A$400,0))&lt;&gt;"",FALSE),INDEX(Regions!$D$5:$D$400,MATCH(D403,Regions!$A$5:$A$400,0)),IF(IFERROR(INDEX(Regions!$D$5:$D$400,MATCH(LEFT(D403,2),Regions!$A$5:$A$400,0))&lt;&gt;"",FALSE),INDEX(Regions!$D$5:$D$400,MATCH(LEFT(D403,2),Regions!$A$5:$A$400,0)),INDEX(Regions!$D$5:$D$400,MATCH("US",Regions!$A$5:$A$400,0)))))</f>
        <v/>
      </c>
      <c r="H403" s="28">
        <f>IF(C403="","",(1+Assumptions!$C$32)^((Assumptions!$C$33-E403)/365.25))</f>
        <v/>
      </c>
      <c r="I403" s="36">
        <f>IF(C403="",0,C403/G403*H403)</f>
        <v/>
      </c>
      <c r="J403" s="28">
        <f>IF(C403="",0,IFERROR(INDEX(Lookups!$Z$5:$Z$8,MATCH(F403,Lookups!$Y$5:$Y$8,0)),0.3)*0.5^((Assumptions!$C$33-E403)/365.25/Assumptions!$C$31))</f>
        <v/>
      </c>
    </row>
    <row r="404">
      <c r="G404" s="16">
        <f>IF(C404="","",IF(IFERROR(INDEX(Regions!$D$5:$D$400,MATCH(D404,Regions!$A$5:$A$400,0))&lt;&gt;"",FALSE),INDEX(Regions!$D$5:$D$400,MATCH(D404,Regions!$A$5:$A$400,0)),IF(IFERROR(INDEX(Regions!$D$5:$D$400,MATCH(LEFT(D404,2),Regions!$A$5:$A$400,0))&lt;&gt;"",FALSE),INDEX(Regions!$D$5:$D$400,MATCH(LEFT(D404,2),Regions!$A$5:$A$400,0)),INDEX(Regions!$D$5:$D$400,MATCH("US",Regions!$A$5:$A$400,0)))))</f>
        <v/>
      </c>
      <c r="H404" s="28">
        <f>IF(C404="","",(1+Assumptions!$C$32)^((Assumptions!$C$33-E404)/365.25))</f>
        <v/>
      </c>
      <c r="I404" s="36">
        <f>IF(C404="",0,C404/G404*H404)</f>
        <v/>
      </c>
      <c r="J404" s="28">
        <f>IF(C404="",0,IFERROR(INDEX(Lookups!$Z$5:$Z$8,MATCH(F404,Lookups!$Y$5:$Y$8,0)),0.3)*0.5^((Assumptions!$C$33-E404)/365.25/Assumptions!$C$31))</f>
        <v/>
      </c>
    </row>
    <row r="405">
      <c r="G405" s="16">
        <f>IF(C405="","",IF(IFERROR(INDEX(Regions!$D$5:$D$400,MATCH(D405,Regions!$A$5:$A$400,0))&lt;&gt;"",FALSE),INDEX(Regions!$D$5:$D$400,MATCH(D405,Regions!$A$5:$A$400,0)),IF(IFERROR(INDEX(Regions!$D$5:$D$400,MATCH(LEFT(D405,2),Regions!$A$5:$A$400,0))&lt;&gt;"",FALSE),INDEX(Regions!$D$5:$D$400,MATCH(LEFT(D405,2),Regions!$A$5:$A$400,0)),INDEX(Regions!$D$5:$D$400,MATCH("US",Regions!$A$5:$A$400,0)))))</f>
        <v/>
      </c>
      <c r="H405" s="28">
        <f>IF(C405="","",(1+Assumptions!$C$32)^((Assumptions!$C$33-E405)/365.25))</f>
        <v/>
      </c>
      <c r="I405" s="36">
        <f>IF(C405="",0,C405/G405*H405)</f>
        <v/>
      </c>
      <c r="J405" s="28">
        <f>IF(C405="",0,IFERROR(INDEX(Lookups!$Z$5:$Z$8,MATCH(F405,Lookups!$Y$5:$Y$8,0)),0.3)*0.5^((Assumptions!$C$33-E405)/365.25/Assumptions!$C$31))</f>
        <v/>
      </c>
    </row>
    <row r="406">
      <c r="G406" s="16">
        <f>IF(C406="","",IF(IFERROR(INDEX(Regions!$D$5:$D$400,MATCH(D406,Regions!$A$5:$A$400,0))&lt;&gt;"",FALSE),INDEX(Regions!$D$5:$D$400,MATCH(D406,Regions!$A$5:$A$400,0)),IF(IFERROR(INDEX(Regions!$D$5:$D$400,MATCH(LEFT(D406,2),Regions!$A$5:$A$400,0))&lt;&gt;"",FALSE),INDEX(Regions!$D$5:$D$400,MATCH(LEFT(D406,2),Regions!$A$5:$A$400,0)),INDEX(Regions!$D$5:$D$400,MATCH("US",Regions!$A$5:$A$400,0)))))</f>
        <v/>
      </c>
      <c r="H406" s="28">
        <f>IF(C406="","",(1+Assumptions!$C$32)^((Assumptions!$C$33-E406)/365.25))</f>
        <v/>
      </c>
      <c r="I406" s="36">
        <f>IF(C406="",0,C406/G406*H406)</f>
        <v/>
      </c>
      <c r="J406" s="28">
        <f>IF(C406="",0,IFERROR(INDEX(Lookups!$Z$5:$Z$8,MATCH(F406,Lookups!$Y$5:$Y$8,0)),0.3)*0.5^((Assumptions!$C$33-E406)/365.25/Assumptions!$C$31))</f>
        <v/>
      </c>
    </row>
    <row r="407">
      <c r="G407" s="16">
        <f>IF(C407="","",IF(IFERROR(INDEX(Regions!$D$5:$D$400,MATCH(D407,Regions!$A$5:$A$400,0))&lt;&gt;"",FALSE),INDEX(Regions!$D$5:$D$400,MATCH(D407,Regions!$A$5:$A$400,0)),IF(IFERROR(INDEX(Regions!$D$5:$D$400,MATCH(LEFT(D407,2),Regions!$A$5:$A$400,0))&lt;&gt;"",FALSE),INDEX(Regions!$D$5:$D$400,MATCH(LEFT(D407,2),Regions!$A$5:$A$400,0)),INDEX(Regions!$D$5:$D$400,MATCH("US",Regions!$A$5:$A$400,0)))))</f>
        <v/>
      </c>
      <c r="H407" s="28">
        <f>IF(C407="","",(1+Assumptions!$C$32)^((Assumptions!$C$33-E407)/365.25))</f>
        <v/>
      </c>
      <c r="I407" s="36">
        <f>IF(C407="",0,C407/G407*H407)</f>
        <v/>
      </c>
      <c r="J407" s="28">
        <f>IF(C407="",0,IFERROR(INDEX(Lookups!$Z$5:$Z$8,MATCH(F407,Lookups!$Y$5:$Y$8,0)),0.3)*0.5^((Assumptions!$C$33-E407)/365.25/Assumptions!$C$31))</f>
        <v/>
      </c>
    </row>
    <row r="408">
      <c r="G408" s="16">
        <f>IF(C408="","",IF(IFERROR(INDEX(Regions!$D$5:$D$400,MATCH(D408,Regions!$A$5:$A$400,0))&lt;&gt;"",FALSE),INDEX(Regions!$D$5:$D$400,MATCH(D408,Regions!$A$5:$A$400,0)),IF(IFERROR(INDEX(Regions!$D$5:$D$400,MATCH(LEFT(D408,2),Regions!$A$5:$A$400,0))&lt;&gt;"",FALSE),INDEX(Regions!$D$5:$D$400,MATCH(LEFT(D408,2),Regions!$A$5:$A$400,0)),INDEX(Regions!$D$5:$D$400,MATCH("US",Regions!$A$5:$A$400,0)))))</f>
        <v/>
      </c>
      <c r="H408" s="28">
        <f>IF(C408="","",(1+Assumptions!$C$32)^((Assumptions!$C$33-E408)/365.25))</f>
        <v/>
      </c>
      <c r="I408" s="36">
        <f>IF(C408="",0,C408/G408*H408)</f>
        <v/>
      </c>
      <c r="J408" s="28">
        <f>IF(C408="",0,IFERROR(INDEX(Lookups!$Z$5:$Z$8,MATCH(F408,Lookups!$Y$5:$Y$8,0)),0.3)*0.5^((Assumptions!$C$33-E408)/365.25/Assumptions!$C$31))</f>
        <v/>
      </c>
    </row>
    <row r="409">
      <c r="G409" s="16">
        <f>IF(C409="","",IF(IFERROR(INDEX(Regions!$D$5:$D$400,MATCH(D409,Regions!$A$5:$A$400,0))&lt;&gt;"",FALSE),INDEX(Regions!$D$5:$D$400,MATCH(D409,Regions!$A$5:$A$400,0)),IF(IFERROR(INDEX(Regions!$D$5:$D$400,MATCH(LEFT(D409,2),Regions!$A$5:$A$400,0))&lt;&gt;"",FALSE),INDEX(Regions!$D$5:$D$400,MATCH(LEFT(D409,2),Regions!$A$5:$A$400,0)),INDEX(Regions!$D$5:$D$400,MATCH("US",Regions!$A$5:$A$400,0)))))</f>
        <v/>
      </c>
      <c r="H409" s="28">
        <f>IF(C409="","",(1+Assumptions!$C$32)^((Assumptions!$C$33-E409)/365.25))</f>
        <v/>
      </c>
      <c r="I409" s="36">
        <f>IF(C409="",0,C409/G409*H409)</f>
        <v/>
      </c>
      <c r="J409" s="28">
        <f>IF(C409="",0,IFERROR(INDEX(Lookups!$Z$5:$Z$8,MATCH(F409,Lookups!$Y$5:$Y$8,0)),0.3)*0.5^((Assumptions!$C$33-E409)/365.25/Assumptions!$C$31))</f>
        <v/>
      </c>
    </row>
    <row r="410">
      <c r="G410" s="16">
        <f>IF(C410="","",IF(IFERROR(INDEX(Regions!$D$5:$D$400,MATCH(D410,Regions!$A$5:$A$400,0))&lt;&gt;"",FALSE),INDEX(Regions!$D$5:$D$400,MATCH(D410,Regions!$A$5:$A$400,0)),IF(IFERROR(INDEX(Regions!$D$5:$D$400,MATCH(LEFT(D410,2),Regions!$A$5:$A$400,0))&lt;&gt;"",FALSE),INDEX(Regions!$D$5:$D$400,MATCH(LEFT(D410,2),Regions!$A$5:$A$400,0)),INDEX(Regions!$D$5:$D$400,MATCH("US",Regions!$A$5:$A$400,0)))))</f>
        <v/>
      </c>
      <c r="H410" s="28">
        <f>IF(C410="","",(1+Assumptions!$C$32)^((Assumptions!$C$33-E410)/365.25))</f>
        <v/>
      </c>
      <c r="I410" s="36">
        <f>IF(C410="",0,C410/G410*H410)</f>
        <v/>
      </c>
      <c r="J410" s="28">
        <f>IF(C410="",0,IFERROR(INDEX(Lookups!$Z$5:$Z$8,MATCH(F410,Lookups!$Y$5:$Y$8,0)),0.3)*0.5^((Assumptions!$C$33-E410)/365.25/Assumptions!$C$31))</f>
        <v/>
      </c>
    </row>
    <row r="411">
      <c r="G411" s="16">
        <f>IF(C411="","",IF(IFERROR(INDEX(Regions!$D$5:$D$400,MATCH(D411,Regions!$A$5:$A$400,0))&lt;&gt;"",FALSE),INDEX(Regions!$D$5:$D$400,MATCH(D411,Regions!$A$5:$A$400,0)),IF(IFERROR(INDEX(Regions!$D$5:$D$400,MATCH(LEFT(D411,2),Regions!$A$5:$A$400,0))&lt;&gt;"",FALSE),INDEX(Regions!$D$5:$D$400,MATCH(LEFT(D411,2),Regions!$A$5:$A$400,0)),INDEX(Regions!$D$5:$D$400,MATCH("US",Regions!$A$5:$A$400,0)))))</f>
        <v/>
      </c>
      <c r="H411" s="28">
        <f>IF(C411="","",(1+Assumptions!$C$32)^((Assumptions!$C$33-E411)/365.25))</f>
        <v/>
      </c>
      <c r="I411" s="36">
        <f>IF(C411="",0,C411/G411*H411)</f>
        <v/>
      </c>
      <c r="J411" s="28">
        <f>IF(C411="",0,IFERROR(INDEX(Lookups!$Z$5:$Z$8,MATCH(F411,Lookups!$Y$5:$Y$8,0)),0.3)*0.5^((Assumptions!$C$33-E411)/365.25/Assumptions!$C$31))</f>
        <v/>
      </c>
    </row>
    <row r="412">
      <c r="G412" s="16">
        <f>IF(C412="","",IF(IFERROR(INDEX(Regions!$D$5:$D$400,MATCH(D412,Regions!$A$5:$A$400,0))&lt;&gt;"",FALSE),INDEX(Regions!$D$5:$D$400,MATCH(D412,Regions!$A$5:$A$400,0)),IF(IFERROR(INDEX(Regions!$D$5:$D$400,MATCH(LEFT(D412,2),Regions!$A$5:$A$400,0))&lt;&gt;"",FALSE),INDEX(Regions!$D$5:$D$400,MATCH(LEFT(D412,2),Regions!$A$5:$A$400,0)),INDEX(Regions!$D$5:$D$400,MATCH("US",Regions!$A$5:$A$400,0)))))</f>
        <v/>
      </c>
      <c r="H412" s="28">
        <f>IF(C412="","",(1+Assumptions!$C$32)^((Assumptions!$C$33-E412)/365.25))</f>
        <v/>
      </c>
      <c r="I412" s="36">
        <f>IF(C412="",0,C412/G412*H412)</f>
        <v/>
      </c>
      <c r="J412" s="28">
        <f>IF(C412="",0,IFERROR(INDEX(Lookups!$Z$5:$Z$8,MATCH(F412,Lookups!$Y$5:$Y$8,0)),0.3)*0.5^((Assumptions!$C$33-E412)/365.25/Assumptions!$C$31))</f>
        <v/>
      </c>
    </row>
    <row r="413">
      <c r="G413" s="16">
        <f>IF(C413="","",IF(IFERROR(INDEX(Regions!$D$5:$D$400,MATCH(D413,Regions!$A$5:$A$400,0))&lt;&gt;"",FALSE),INDEX(Regions!$D$5:$D$400,MATCH(D413,Regions!$A$5:$A$400,0)),IF(IFERROR(INDEX(Regions!$D$5:$D$400,MATCH(LEFT(D413,2),Regions!$A$5:$A$400,0))&lt;&gt;"",FALSE),INDEX(Regions!$D$5:$D$400,MATCH(LEFT(D413,2),Regions!$A$5:$A$400,0)),INDEX(Regions!$D$5:$D$400,MATCH("US",Regions!$A$5:$A$400,0)))))</f>
        <v/>
      </c>
      <c r="H413" s="28">
        <f>IF(C413="","",(1+Assumptions!$C$32)^((Assumptions!$C$33-E413)/365.25))</f>
        <v/>
      </c>
      <c r="I413" s="36">
        <f>IF(C413="",0,C413/G413*H413)</f>
        <v/>
      </c>
      <c r="J413" s="28">
        <f>IF(C413="",0,IFERROR(INDEX(Lookups!$Z$5:$Z$8,MATCH(F413,Lookups!$Y$5:$Y$8,0)),0.3)*0.5^((Assumptions!$C$33-E413)/365.25/Assumptions!$C$31))</f>
        <v/>
      </c>
    </row>
    <row r="414">
      <c r="G414" s="16">
        <f>IF(C414="","",IF(IFERROR(INDEX(Regions!$D$5:$D$400,MATCH(D414,Regions!$A$5:$A$400,0))&lt;&gt;"",FALSE),INDEX(Regions!$D$5:$D$400,MATCH(D414,Regions!$A$5:$A$400,0)),IF(IFERROR(INDEX(Regions!$D$5:$D$400,MATCH(LEFT(D414,2),Regions!$A$5:$A$400,0))&lt;&gt;"",FALSE),INDEX(Regions!$D$5:$D$400,MATCH(LEFT(D414,2),Regions!$A$5:$A$400,0)),INDEX(Regions!$D$5:$D$400,MATCH("US",Regions!$A$5:$A$400,0)))))</f>
        <v/>
      </c>
      <c r="H414" s="28">
        <f>IF(C414="","",(1+Assumptions!$C$32)^((Assumptions!$C$33-E414)/365.25))</f>
        <v/>
      </c>
      <c r="I414" s="36">
        <f>IF(C414="",0,C414/G414*H414)</f>
        <v/>
      </c>
      <c r="J414" s="28">
        <f>IF(C414="",0,IFERROR(INDEX(Lookups!$Z$5:$Z$8,MATCH(F414,Lookups!$Y$5:$Y$8,0)),0.3)*0.5^((Assumptions!$C$33-E414)/365.25/Assumptions!$C$31))</f>
        <v/>
      </c>
    </row>
    <row r="415">
      <c r="G415" s="16">
        <f>IF(C415="","",IF(IFERROR(INDEX(Regions!$D$5:$D$400,MATCH(D415,Regions!$A$5:$A$400,0))&lt;&gt;"",FALSE),INDEX(Regions!$D$5:$D$400,MATCH(D415,Regions!$A$5:$A$400,0)),IF(IFERROR(INDEX(Regions!$D$5:$D$400,MATCH(LEFT(D415,2),Regions!$A$5:$A$400,0))&lt;&gt;"",FALSE),INDEX(Regions!$D$5:$D$400,MATCH(LEFT(D415,2),Regions!$A$5:$A$400,0)),INDEX(Regions!$D$5:$D$400,MATCH("US",Regions!$A$5:$A$400,0)))))</f>
        <v/>
      </c>
      <c r="H415" s="28">
        <f>IF(C415="","",(1+Assumptions!$C$32)^((Assumptions!$C$33-E415)/365.25))</f>
        <v/>
      </c>
      <c r="I415" s="36">
        <f>IF(C415="",0,C415/G415*H415)</f>
        <v/>
      </c>
      <c r="J415" s="28">
        <f>IF(C415="",0,IFERROR(INDEX(Lookups!$Z$5:$Z$8,MATCH(F415,Lookups!$Y$5:$Y$8,0)),0.3)*0.5^((Assumptions!$C$33-E415)/365.25/Assumptions!$C$31))</f>
        <v/>
      </c>
    </row>
    <row r="416">
      <c r="G416" s="16">
        <f>IF(C416="","",IF(IFERROR(INDEX(Regions!$D$5:$D$400,MATCH(D416,Regions!$A$5:$A$400,0))&lt;&gt;"",FALSE),INDEX(Regions!$D$5:$D$400,MATCH(D416,Regions!$A$5:$A$400,0)),IF(IFERROR(INDEX(Regions!$D$5:$D$400,MATCH(LEFT(D416,2),Regions!$A$5:$A$400,0))&lt;&gt;"",FALSE),INDEX(Regions!$D$5:$D$400,MATCH(LEFT(D416,2),Regions!$A$5:$A$400,0)),INDEX(Regions!$D$5:$D$400,MATCH("US",Regions!$A$5:$A$400,0)))))</f>
        <v/>
      </c>
      <c r="H416" s="28">
        <f>IF(C416="","",(1+Assumptions!$C$32)^((Assumptions!$C$33-E416)/365.25))</f>
        <v/>
      </c>
      <c r="I416" s="36">
        <f>IF(C416="",0,C416/G416*H416)</f>
        <v/>
      </c>
      <c r="J416" s="28">
        <f>IF(C416="",0,IFERROR(INDEX(Lookups!$Z$5:$Z$8,MATCH(F416,Lookups!$Y$5:$Y$8,0)),0.3)*0.5^((Assumptions!$C$33-E416)/365.25/Assumptions!$C$31))</f>
        <v/>
      </c>
    </row>
    <row r="417">
      <c r="G417" s="16">
        <f>IF(C417="","",IF(IFERROR(INDEX(Regions!$D$5:$D$400,MATCH(D417,Regions!$A$5:$A$400,0))&lt;&gt;"",FALSE),INDEX(Regions!$D$5:$D$400,MATCH(D417,Regions!$A$5:$A$400,0)),IF(IFERROR(INDEX(Regions!$D$5:$D$400,MATCH(LEFT(D417,2),Regions!$A$5:$A$400,0))&lt;&gt;"",FALSE),INDEX(Regions!$D$5:$D$400,MATCH(LEFT(D417,2),Regions!$A$5:$A$400,0)),INDEX(Regions!$D$5:$D$400,MATCH("US",Regions!$A$5:$A$400,0)))))</f>
        <v/>
      </c>
      <c r="H417" s="28">
        <f>IF(C417="","",(1+Assumptions!$C$32)^((Assumptions!$C$33-E417)/365.25))</f>
        <v/>
      </c>
      <c r="I417" s="36">
        <f>IF(C417="",0,C417/G417*H417)</f>
        <v/>
      </c>
      <c r="J417" s="28">
        <f>IF(C417="",0,IFERROR(INDEX(Lookups!$Z$5:$Z$8,MATCH(F417,Lookups!$Y$5:$Y$8,0)),0.3)*0.5^((Assumptions!$C$33-E417)/365.25/Assumptions!$C$31))</f>
        <v/>
      </c>
    </row>
    <row r="418">
      <c r="G418" s="16">
        <f>IF(C418="","",IF(IFERROR(INDEX(Regions!$D$5:$D$400,MATCH(D418,Regions!$A$5:$A$400,0))&lt;&gt;"",FALSE),INDEX(Regions!$D$5:$D$400,MATCH(D418,Regions!$A$5:$A$400,0)),IF(IFERROR(INDEX(Regions!$D$5:$D$400,MATCH(LEFT(D418,2),Regions!$A$5:$A$400,0))&lt;&gt;"",FALSE),INDEX(Regions!$D$5:$D$400,MATCH(LEFT(D418,2),Regions!$A$5:$A$400,0)),INDEX(Regions!$D$5:$D$400,MATCH("US",Regions!$A$5:$A$400,0)))))</f>
        <v/>
      </c>
      <c r="H418" s="28">
        <f>IF(C418="","",(1+Assumptions!$C$32)^((Assumptions!$C$33-E418)/365.25))</f>
        <v/>
      </c>
      <c r="I418" s="36">
        <f>IF(C418="",0,C418/G418*H418)</f>
        <v/>
      </c>
      <c r="J418" s="28">
        <f>IF(C418="",0,IFERROR(INDEX(Lookups!$Z$5:$Z$8,MATCH(F418,Lookups!$Y$5:$Y$8,0)),0.3)*0.5^((Assumptions!$C$33-E418)/365.25/Assumptions!$C$31))</f>
        <v/>
      </c>
    </row>
    <row r="419">
      <c r="G419" s="16">
        <f>IF(C419="","",IF(IFERROR(INDEX(Regions!$D$5:$D$400,MATCH(D419,Regions!$A$5:$A$400,0))&lt;&gt;"",FALSE),INDEX(Regions!$D$5:$D$400,MATCH(D419,Regions!$A$5:$A$400,0)),IF(IFERROR(INDEX(Regions!$D$5:$D$400,MATCH(LEFT(D419,2),Regions!$A$5:$A$400,0))&lt;&gt;"",FALSE),INDEX(Regions!$D$5:$D$400,MATCH(LEFT(D419,2),Regions!$A$5:$A$400,0)),INDEX(Regions!$D$5:$D$400,MATCH("US",Regions!$A$5:$A$400,0)))))</f>
        <v/>
      </c>
      <c r="H419" s="28">
        <f>IF(C419="","",(1+Assumptions!$C$32)^((Assumptions!$C$33-E419)/365.25))</f>
        <v/>
      </c>
      <c r="I419" s="36">
        <f>IF(C419="",0,C419/G419*H419)</f>
        <v/>
      </c>
      <c r="J419" s="28">
        <f>IF(C419="",0,IFERROR(INDEX(Lookups!$Z$5:$Z$8,MATCH(F419,Lookups!$Y$5:$Y$8,0)),0.3)*0.5^((Assumptions!$C$33-E419)/365.25/Assumptions!$C$31))</f>
        <v/>
      </c>
    </row>
    <row r="420">
      <c r="G420" s="16">
        <f>IF(C420="","",IF(IFERROR(INDEX(Regions!$D$5:$D$400,MATCH(D420,Regions!$A$5:$A$400,0))&lt;&gt;"",FALSE),INDEX(Regions!$D$5:$D$400,MATCH(D420,Regions!$A$5:$A$400,0)),IF(IFERROR(INDEX(Regions!$D$5:$D$400,MATCH(LEFT(D420,2),Regions!$A$5:$A$400,0))&lt;&gt;"",FALSE),INDEX(Regions!$D$5:$D$400,MATCH(LEFT(D420,2),Regions!$A$5:$A$400,0)),INDEX(Regions!$D$5:$D$400,MATCH("US",Regions!$A$5:$A$400,0)))))</f>
        <v/>
      </c>
      <c r="H420" s="28">
        <f>IF(C420="","",(1+Assumptions!$C$32)^((Assumptions!$C$33-E420)/365.25))</f>
        <v/>
      </c>
      <c r="I420" s="36">
        <f>IF(C420="",0,C420/G420*H420)</f>
        <v/>
      </c>
      <c r="J420" s="28">
        <f>IF(C420="",0,IFERROR(INDEX(Lookups!$Z$5:$Z$8,MATCH(F420,Lookups!$Y$5:$Y$8,0)),0.3)*0.5^((Assumptions!$C$33-E420)/365.25/Assumptions!$C$31))</f>
        <v/>
      </c>
    </row>
    <row r="421">
      <c r="G421" s="16">
        <f>IF(C421="","",IF(IFERROR(INDEX(Regions!$D$5:$D$400,MATCH(D421,Regions!$A$5:$A$400,0))&lt;&gt;"",FALSE),INDEX(Regions!$D$5:$D$400,MATCH(D421,Regions!$A$5:$A$400,0)),IF(IFERROR(INDEX(Regions!$D$5:$D$400,MATCH(LEFT(D421,2),Regions!$A$5:$A$400,0))&lt;&gt;"",FALSE),INDEX(Regions!$D$5:$D$400,MATCH(LEFT(D421,2),Regions!$A$5:$A$400,0)),INDEX(Regions!$D$5:$D$400,MATCH("US",Regions!$A$5:$A$400,0)))))</f>
        <v/>
      </c>
      <c r="H421" s="28">
        <f>IF(C421="","",(1+Assumptions!$C$32)^((Assumptions!$C$33-E421)/365.25))</f>
        <v/>
      </c>
      <c r="I421" s="36">
        <f>IF(C421="",0,C421/G421*H421)</f>
        <v/>
      </c>
      <c r="J421" s="28">
        <f>IF(C421="",0,IFERROR(INDEX(Lookups!$Z$5:$Z$8,MATCH(F421,Lookups!$Y$5:$Y$8,0)),0.3)*0.5^((Assumptions!$C$33-E421)/365.25/Assumptions!$C$31))</f>
        <v/>
      </c>
    </row>
    <row r="422">
      <c r="G422" s="16">
        <f>IF(C422="","",IF(IFERROR(INDEX(Regions!$D$5:$D$400,MATCH(D422,Regions!$A$5:$A$400,0))&lt;&gt;"",FALSE),INDEX(Regions!$D$5:$D$400,MATCH(D422,Regions!$A$5:$A$400,0)),IF(IFERROR(INDEX(Regions!$D$5:$D$400,MATCH(LEFT(D422,2),Regions!$A$5:$A$400,0))&lt;&gt;"",FALSE),INDEX(Regions!$D$5:$D$400,MATCH(LEFT(D422,2),Regions!$A$5:$A$400,0)),INDEX(Regions!$D$5:$D$400,MATCH("US",Regions!$A$5:$A$400,0)))))</f>
        <v/>
      </c>
      <c r="H422" s="28">
        <f>IF(C422="","",(1+Assumptions!$C$32)^((Assumptions!$C$33-E422)/365.25))</f>
        <v/>
      </c>
      <c r="I422" s="36">
        <f>IF(C422="",0,C422/G422*H422)</f>
        <v/>
      </c>
      <c r="J422" s="28">
        <f>IF(C422="",0,IFERROR(INDEX(Lookups!$Z$5:$Z$8,MATCH(F422,Lookups!$Y$5:$Y$8,0)),0.3)*0.5^((Assumptions!$C$33-E422)/365.25/Assumptions!$C$31))</f>
        <v/>
      </c>
    </row>
    <row r="423">
      <c r="G423" s="16">
        <f>IF(C423="","",IF(IFERROR(INDEX(Regions!$D$5:$D$400,MATCH(D423,Regions!$A$5:$A$400,0))&lt;&gt;"",FALSE),INDEX(Regions!$D$5:$D$400,MATCH(D423,Regions!$A$5:$A$400,0)),IF(IFERROR(INDEX(Regions!$D$5:$D$400,MATCH(LEFT(D423,2),Regions!$A$5:$A$400,0))&lt;&gt;"",FALSE),INDEX(Regions!$D$5:$D$400,MATCH(LEFT(D423,2),Regions!$A$5:$A$400,0)),INDEX(Regions!$D$5:$D$400,MATCH("US",Regions!$A$5:$A$400,0)))))</f>
        <v/>
      </c>
      <c r="H423" s="28">
        <f>IF(C423="","",(1+Assumptions!$C$32)^((Assumptions!$C$33-E423)/365.25))</f>
        <v/>
      </c>
      <c r="I423" s="36">
        <f>IF(C423="",0,C423/G423*H423)</f>
        <v/>
      </c>
      <c r="J423" s="28">
        <f>IF(C423="",0,IFERROR(INDEX(Lookups!$Z$5:$Z$8,MATCH(F423,Lookups!$Y$5:$Y$8,0)),0.3)*0.5^((Assumptions!$C$33-E423)/365.25/Assumptions!$C$31))</f>
        <v/>
      </c>
    </row>
    <row r="424">
      <c r="G424" s="16">
        <f>IF(C424="","",IF(IFERROR(INDEX(Regions!$D$5:$D$400,MATCH(D424,Regions!$A$5:$A$400,0))&lt;&gt;"",FALSE),INDEX(Regions!$D$5:$D$400,MATCH(D424,Regions!$A$5:$A$400,0)),IF(IFERROR(INDEX(Regions!$D$5:$D$400,MATCH(LEFT(D424,2),Regions!$A$5:$A$400,0))&lt;&gt;"",FALSE),INDEX(Regions!$D$5:$D$400,MATCH(LEFT(D424,2),Regions!$A$5:$A$400,0)),INDEX(Regions!$D$5:$D$400,MATCH("US",Regions!$A$5:$A$400,0)))))</f>
        <v/>
      </c>
      <c r="H424" s="28">
        <f>IF(C424="","",(1+Assumptions!$C$32)^((Assumptions!$C$33-E424)/365.25))</f>
        <v/>
      </c>
      <c r="I424" s="36">
        <f>IF(C424="",0,C424/G424*H424)</f>
        <v/>
      </c>
      <c r="J424" s="28">
        <f>IF(C424="",0,IFERROR(INDEX(Lookups!$Z$5:$Z$8,MATCH(F424,Lookups!$Y$5:$Y$8,0)),0.3)*0.5^((Assumptions!$C$33-E424)/365.25/Assumptions!$C$31))</f>
        <v/>
      </c>
    </row>
    <row r="425">
      <c r="G425" s="16">
        <f>IF(C425="","",IF(IFERROR(INDEX(Regions!$D$5:$D$400,MATCH(D425,Regions!$A$5:$A$400,0))&lt;&gt;"",FALSE),INDEX(Regions!$D$5:$D$400,MATCH(D425,Regions!$A$5:$A$400,0)),IF(IFERROR(INDEX(Regions!$D$5:$D$400,MATCH(LEFT(D425,2),Regions!$A$5:$A$400,0))&lt;&gt;"",FALSE),INDEX(Regions!$D$5:$D$400,MATCH(LEFT(D425,2),Regions!$A$5:$A$400,0)),INDEX(Regions!$D$5:$D$400,MATCH("US",Regions!$A$5:$A$400,0)))))</f>
        <v/>
      </c>
      <c r="H425" s="28">
        <f>IF(C425="","",(1+Assumptions!$C$32)^((Assumptions!$C$33-E425)/365.25))</f>
        <v/>
      </c>
      <c r="I425" s="36">
        <f>IF(C425="",0,C425/G425*H425)</f>
        <v/>
      </c>
      <c r="J425" s="28">
        <f>IF(C425="",0,IFERROR(INDEX(Lookups!$Z$5:$Z$8,MATCH(F425,Lookups!$Y$5:$Y$8,0)),0.3)*0.5^((Assumptions!$C$33-E425)/365.25/Assumptions!$C$31))</f>
        <v/>
      </c>
    </row>
    <row r="426">
      <c r="G426" s="16">
        <f>IF(C426="","",IF(IFERROR(INDEX(Regions!$D$5:$D$400,MATCH(D426,Regions!$A$5:$A$400,0))&lt;&gt;"",FALSE),INDEX(Regions!$D$5:$D$400,MATCH(D426,Regions!$A$5:$A$400,0)),IF(IFERROR(INDEX(Regions!$D$5:$D$400,MATCH(LEFT(D426,2),Regions!$A$5:$A$400,0))&lt;&gt;"",FALSE),INDEX(Regions!$D$5:$D$400,MATCH(LEFT(D426,2),Regions!$A$5:$A$400,0)),INDEX(Regions!$D$5:$D$400,MATCH("US",Regions!$A$5:$A$400,0)))))</f>
        <v/>
      </c>
      <c r="H426" s="28">
        <f>IF(C426="","",(1+Assumptions!$C$32)^((Assumptions!$C$33-E426)/365.25))</f>
        <v/>
      </c>
      <c r="I426" s="36">
        <f>IF(C426="",0,C426/G426*H426)</f>
        <v/>
      </c>
      <c r="J426" s="28">
        <f>IF(C426="",0,IFERROR(INDEX(Lookups!$Z$5:$Z$8,MATCH(F426,Lookups!$Y$5:$Y$8,0)),0.3)*0.5^((Assumptions!$C$33-E426)/365.25/Assumptions!$C$31))</f>
        <v/>
      </c>
    </row>
    <row r="427">
      <c r="G427" s="16">
        <f>IF(C427="","",IF(IFERROR(INDEX(Regions!$D$5:$D$400,MATCH(D427,Regions!$A$5:$A$400,0))&lt;&gt;"",FALSE),INDEX(Regions!$D$5:$D$400,MATCH(D427,Regions!$A$5:$A$400,0)),IF(IFERROR(INDEX(Regions!$D$5:$D$400,MATCH(LEFT(D427,2),Regions!$A$5:$A$400,0))&lt;&gt;"",FALSE),INDEX(Regions!$D$5:$D$400,MATCH(LEFT(D427,2),Regions!$A$5:$A$400,0)),INDEX(Regions!$D$5:$D$400,MATCH("US",Regions!$A$5:$A$400,0)))))</f>
        <v/>
      </c>
      <c r="H427" s="28">
        <f>IF(C427="","",(1+Assumptions!$C$32)^((Assumptions!$C$33-E427)/365.25))</f>
        <v/>
      </c>
      <c r="I427" s="36">
        <f>IF(C427="",0,C427/G427*H427)</f>
        <v/>
      </c>
      <c r="J427" s="28">
        <f>IF(C427="",0,IFERROR(INDEX(Lookups!$Z$5:$Z$8,MATCH(F427,Lookups!$Y$5:$Y$8,0)),0.3)*0.5^((Assumptions!$C$33-E427)/365.25/Assumptions!$C$31))</f>
        <v/>
      </c>
    </row>
    <row r="428">
      <c r="G428" s="16">
        <f>IF(C428="","",IF(IFERROR(INDEX(Regions!$D$5:$D$400,MATCH(D428,Regions!$A$5:$A$400,0))&lt;&gt;"",FALSE),INDEX(Regions!$D$5:$D$400,MATCH(D428,Regions!$A$5:$A$400,0)),IF(IFERROR(INDEX(Regions!$D$5:$D$400,MATCH(LEFT(D428,2),Regions!$A$5:$A$400,0))&lt;&gt;"",FALSE),INDEX(Regions!$D$5:$D$400,MATCH(LEFT(D428,2),Regions!$A$5:$A$400,0)),INDEX(Regions!$D$5:$D$400,MATCH("US",Regions!$A$5:$A$400,0)))))</f>
        <v/>
      </c>
      <c r="H428" s="28">
        <f>IF(C428="","",(1+Assumptions!$C$32)^((Assumptions!$C$33-E428)/365.25))</f>
        <v/>
      </c>
      <c r="I428" s="36">
        <f>IF(C428="",0,C428/G428*H428)</f>
        <v/>
      </c>
      <c r="J428" s="28">
        <f>IF(C428="",0,IFERROR(INDEX(Lookups!$Z$5:$Z$8,MATCH(F428,Lookups!$Y$5:$Y$8,0)),0.3)*0.5^((Assumptions!$C$33-E428)/365.25/Assumptions!$C$31))</f>
        <v/>
      </c>
    </row>
    <row r="429">
      <c r="G429" s="16">
        <f>IF(C429="","",IF(IFERROR(INDEX(Regions!$D$5:$D$400,MATCH(D429,Regions!$A$5:$A$400,0))&lt;&gt;"",FALSE),INDEX(Regions!$D$5:$D$400,MATCH(D429,Regions!$A$5:$A$400,0)),IF(IFERROR(INDEX(Regions!$D$5:$D$400,MATCH(LEFT(D429,2),Regions!$A$5:$A$400,0))&lt;&gt;"",FALSE),INDEX(Regions!$D$5:$D$400,MATCH(LEFT(D429,2),Regions!$A$5:$A$400,0)),INDEX(Regions!$D$5:$D$400,MATCH("US",Regions!$A$5:$A$400,0)))))</f>
        <v/>
      </c>
      <c r="H429" s="28">
        <f>IF(C429="","",(1+Assumptions!$C$32)^((Assumptions!$C$33-E429)/365.25))</f>
        <v/>
      </c>
      <c r="I429" s="36">
        <f>IF(C429="",0,C429/G429*H429)</f>
        <v/>
      </c>
      <c r="J429" s="28">
        <f>IF(C429="",0,IFERROR(INDEX(Lookups!$Z$5:$Z$8,MATCH(F429,Lookups!$Y$5:$Y$8,0)),0.3)*0.5^((Assumptions!$C$33-E429)/365.25/Assumptions!$C$31))</f>
        <v/>
      </c>
    </row>
    <row r="430">
      <c r="G430" s="16">
        <f>IF(C430="","",IF(IFERROR(INDEX(Regions!$D$5:$D$400,MATCH(D430,Regions!$A$5:$A$400,0))&lt;&gt;"",FALSE),INDEX(Regions!$D$5:$D$400,MATCH(D430,Regions!$A$5:$A$400,0)),IF(IFERROR(INDEX(Regions!$D$5:$D$400,MATCH(LEFT(D430,2),Regions!$A$5:$A$400,0))&lt;&gt;"",FALSE),INDEX(Regions!$D$5:$D$400,MATCH(LEFT(D430,2),Regions!$A$5:$A$400,0)),INDEX(Regions!$D$5:$D$400,MATCH("US",Regions!$A$5:$A$400,0)))))</f>
        <v/>
      </c>
      <c r="H430" s="28">
        <f>IF(C430="","",(1+Assumptions!$C$32)^((Assumptions!$C$33-E430)/365.25))</f>
        <v/>
      </c>
      <c r="I430" s="36">
        <f>IF(C430="",0,C430/G430*H430)</f>
        <v/>
      </c>
      <c r="J430" s="28">
        <f>IF(C430="",0,IFERROR(INDEX(Lookups!$Z$5:$Z$8,MATCH(F430,Lookups!$Y$5:$Y$8,0)),0.3)*0.5^((Assumptions!$C$33-E430)/365.25/Assumptions!$C$31))</f>
        <v/>
      </c>
    </row>
    <row r="431">
      <c r="G431" s="16">
        <f>IF(C431="","",IF(IFERROR(INDEX(Regions!$D$5:$D$400,MATCH(D431,Regions!$A$5:$A$400,0))&lt;&gt;"",FALSE),INDEX(Regions!$D$5:$D$400,MATCH(D431,Regions!$A$5:$A$400,0)),IF(IFERROR(INDEX(Regions!$D$5:$D$400,MATCH(LEFT(D431,2),Regions!$A$5:$A$400,0))&lt;&gt;"",FALSE),INDEX(Regions!$D$5:$D$400,MATCH(LEFT(D431,2),Regions!$A$5:$A$400,0)),INDEX(Regions!$D$5:$D$400,MATCH("US",Regions!$A$5:$A$400,0)))))</f>
        <v/>
      </c>
      <c r="H431" s="28">
        <f>IF(C431="","",(1+Assumptions!$C$32)^((Assumptions!$C$33-E431)/365.25))</f>
        <v/>
      </c>
      <c r="I431" s="36">
        <f>IF(C431="",0,C431/G431*H431)</f>
        <v/>
      </c>
      <c r="J431" s="28">
        <f>IF(C431="",0,IFERROR(INDEX(Lookups!$Z$5:$Z$8,MATCH(F431,Lookups!$Y$5:$Y$8,0)),0.3)*0.5^((Assumptions!$C$33-E431)/365.25/Assumptions!$C$31))</f>
        <v/>
      </c>
    </row>
    <row r="432">
      <c r="G432" s="16">
        <f>IF(C432="","",IF(IFERROR(INDEX(Regions!$D$5:$D$400,MATCH(D432,Regions!$A$5:$A$400,0))&lt;&gt;"",FALSE),INDEX(Regions!$D$5:$D$400,MATCH(D432,Regions!$A$5:$A$400,0)),IF(IFERROR(INDEX(Regions!$D$5:$D$400,MATCH(LEFT(D432,2),Regions!$A$5:$A$400,0))&lt;&gt;"",FALSE),INDEX(Regions!$D$5:$D$400,MATCH(LEFT(D432,2),Regions!$A$5:$A$400,0)),INDEX(Regions!$D$5:$D$400,MATCH("US",Regions!$A$5:$A$400,0)))))</f>
        <v/>
      </c>
      <c r="H432" s="28">
        <f>IF(C432="","",(1+Assumptions!$C$32)^((Assumptions!$C$33-E432)/365.25))</f>
        <v/>
      </c>
      <c r="I432" s="36">
        <f>IF(C432="",0,C432/G432*H432)</f>
        <v/>
      </c>
      <c r="J432" s="28">
        <f>IF(C432="",0,IFERROR(INDEX(Lookups!$Z$5:$Z$8,MATCH(F432,Lookups!$Y$5:$Y$8,0)),0.3)*0.5^((Assumptions!$C$33-E432)/365.25/Assumptions!$C$31))</f>
        <v/>
      </c>
    </row>
    <row r="433">
      <c r="G433" s="16">
        <f>IF(C433="","",IF(IFERROR(INDEX(Regions!$D$5:$D$400,MATCH(D433,Regions!$A$5:$A$400,0))&lt;&gt;"",FALSE),INDEX(Regions!$D$5:$D$400,MATCH(D433,Regions!$A$5:$A$400,0)),IF(IFERROR(INDEX(Regions!$D$5:$D$400,MATCH(LEFT(D433,2),Regions!$A$5:$A$400,0))&lt;&gt;"",FALSE),INDEX(Regions!$D$5:$D$400,MATCH(LEFT(D433,2),Regions!$A$5:$A$400,0)),INDEX(Regions!$D$5:$D$400,MATCH("US",Regions!$A$5:$A$400,0)))))</f>
        <v/>
      </c>
      <c r="H433" s="28">
        <f>IF(C433="","",(1+Assumptions!$C$32)^((Assumptions!$C$33-E433)/365.25))</f>
        <v/>
      </c>
      <c r="I433" s="36">
        <f>IF(C433="",0,C433/G433*H433)</f>
        <v/>
      </c>
      <c r="J433" s="28">
        <f>IF(C433="",0,IFERROR(INDEX(Lookups!$Z$5:$Z$8,MATCH(F433,Lookups!$Y$5:$Y$8,0)),0.3)*0.5^((Assumptions!$C$33-E433)/365.25/Assumptions!$C$31))</f>
        <v/>
      </c>
    </row>
    <row r="434">
      <c r="G434" s="16">
        <f>IF(C434="","",IF(IFERROR(INDEX(Regions!$D$5:$D$400,MATCH(D434,Regions!$A$5:$A$400,0))&lt;&gt;"",FALSE),INDEX(Regions!$D$5:$D$400,MATCH(D434,Regions!$A$5:$A$400,0)),IF(IFERROR(INDEX(Regions!$D$5:$D$400,MATCH(LEFT(D434,2),Regions!$A$5:$A$400,0))&lt;&gt;"",FALSE),INDEX(Regions!$D$5:$D$400,MATCH(LEFT(D434,2),Regions!$A$5:$A$400,0)),INDEX(Regions!$D$5:$D$400,MATCH("US",Regions!$A$5:$A$400,0)))))</f>
        <v/>
      </c>
      <c r="H434" s="28">
        <f>IF(C434="","",(1+Assumptions!$C$32)^((Assumptions!$C$33-E434)/365.25))</f>
        <v/>
      </c>
      <c r="I434" s="36">
        <f>IF(C434="",0,C434/G434*H434)</f>
        <v/>
      </c>
      <c r="J434" s="28">
        <f>IF(C434="",0,IFERROR(INDEX(Lookups!$Z$5:$Z$8,MATCH(F434,Lookups!$Y$5:$Y$8,0)),0.3)*0.5^((Assumptions!$C$33-E434)/365.25/Assumptions!$C$31))</f>
        <v/>
      </c>
    </row>
    <row r="435">
      <c r="G435" s="16">
        <f>IF(C435="","",IF(IFERROR(INDEX(Regions!$D$5:$D$400,MATCH(D435,Regions!$A$5:$A$400,0))&lt;&gt;"",FALSE),INDEX(Regions!$D$5:$D$400,MATCH(D435,Regions!$A$5:$A$400,0)),IF(IFERROR(INDEX(Regions!$D$5:$D$400,MATCH(LEFT(D435,2),Regions!$A$5:$A$400,0))&lt;&gt;"",FALSE),INDEX(Regions!$D$5:$D$400,MATCH(LEFT(D435,2),Regions!$A$5:$A$400,0)),INDEX(Regions!$D$5:$D$400,MATCH("US",Regions!$A$5:$A$400,0)))))</f>
        <v/>
      </c>
      <c r="H435" s="28">
        <f>IF(C435="","",(1+Assumptions!$C$32)^((Assumptions!$C$33-E435)/365.25))</f>
        <v/>
      </c>
      <c r="I435" s="36">
        <f>IF(C435="",0,C435/G435*H435)</f>
        <v/>
      </c>
      <c r="J435" s="28">
        <f>IF(C435="",0,IFERROR(INDEX(Lookups!$Z$5:$Z$8,MATCH(F435,Lookups!$Y$5:$Y$8,0)),0.3)*0.5^((Assumptions!$C$33-E435)/365.25/Assumptions!$C$31))</f>
        <v/>
      </c>
    </row>
    <row r="436">
      <c r="G436" s="16">
        <f>IF(C436="","",IF(IFERROR(INDEX(Regions!$D$5:$D$400,MATCH(D436,Regions!$A$5:$A$400,0))&lt;&gt;"",FALSE),INDEX(Regions!$D$5:$D$400,MATCH(D436,Regions!$A$5:$A$400,0)),IF(IFERROR(INDEX(Regions!$D$5:$D$400,MATCH(LEFT(D436,2),Regions!$A$5:$A$400,0))&lt;&gt;"",FALSE),INDEX(Regions!$D$5:$D$400,MATCH(LEFT(D436,2),Regions!$A$5:$A$400,0)),INDEX(Regions!$D$5:$D$400,MATCH("US",Regions!$A$5:$A$400,0)))))</f>
        <v/>
      </c>
      <c r="H436" s="28">
        <f>IF(C436="","",(1+Assumptions!$C$32)^((Assumptions!$C$33-E436)/365.25))</f>
        <v/>
      </c>
      <c r="I436" s="36">
        <f>IF(C436="",0,C436/G436*H436)</f>
        <v/>
      </c>
      <c r="J436" s="28">
        <f>IF(C436="",0,IFERROR(INDEX(Lookups!$Z$5:$Z$8,MATCH(F436,Lookups!$Y$5:$Y$8,0)),0.3)*0.5^((Assumptions!$C$33-E436)/365.25/Assumptions!$C$31))</f>
        <v/>
      </c>
    </row>
    <row r="437">
      <c r="G437" s="16">
        <f>IF(C437="","",IF(IFERROR(INDEX(Regions!$D$5:$D$400,MATCH(D437,Regions!$A$5:$A$400,0))&lt;&gt;"",FALSE),INDEX(Regions!$D$5:$D$400,MATCH(D437,Regions!$A$5:$A$400,0)),IF(IFERROR(INDEX(Regions!$D$5:$D$400,MATCH(LEFT(D437,2),Regions!$A$5:$A$400,0))&lt;&gt;"",FALSE),INDEX(Regions!$D$5:$D$400,MATCH(LEFT(D437,2),Regions!$A$5:$A$400,0)),INDEX(Regions!$D$5:$D$400,MATCH("US",Regions!$A$5:$A$400,0)))))</f>
        <v/>
      </c>
      <c r="H437" s="28">
        <f>IF(C437="","",(1+Assumptions!$C$32)^((Assumptions!$C$33-E437)/365.25))</f>
        <v/>
      </c>
      <c r="I437" s="36">
        <f>IF(C437="",0,C437/G437*H437)</f>
        <v/>
      </c>
      <c r="J437" s="28">
        <f>IF(C437="",0,IFERROR(INDEX(Lookups!$Z$5:$Z$8,MATCH(F437,Lookups!$Y$5:$Y$8,0)),0.3)*0.5^((Assumptions!$C$33-E437)/365.25/Assumptions!$C$31))</f>
        <v/>
      </c>
    </row>
    <row r="438">
      <c r="G438" s="16">
        <f>IF(C438="","",IF(IFERROR(INDEX(Regions!$D$5:$D$400,MATCH(D438,Regions!$A$5:$A$400,0))&lt;&gt;"",FALSE),INDEX(Regions!$D$5:$D$400,MATCH(D438,Regions!$A$5:$A$400,0)),IF(IFERROR(INDEX(Regions!$D$5:$D$400,MATCH(LEFT(D438,2),Regions!$A$5:$A$400,0))&lt;&gt;"",FALSE),INDEX(Regions!$D$5:$D$400,MATCH(LEFT(D438,2),Regions!$A$5:$A$400,0)),INDEX(Regions!$D$5:$D$400,MATCH("US",Regions!$A$5:$A$400,0)))))</f>
        <v/>
      </c>
      <c r="H438" s="28">
        <f>IF(C438="","",(1+Assumptions!$C$32)^((Assumptions!$C$33-E438)/365.25))</f>
        <v/>
      </c>
      <c r="I438" s="36">
        <f>IF(C438="",0,C438/G438*H438)</f>
        <v/>
      </c>
      <c r="J438" s="28">
        <f>IF(C438="",0,IFERROR(INDEX(Lookups!$Z$5:$Z$8,MATCH(F438,Lookups!$Y$5:$Y$8,0)),0.3)*0.5^((Assumptions!$C$33-E438)/365.25/Assumptions!$C$31))</f>
        <v/>
      </c>
    </row>
    <row r="439">
      <c r="G439" s="16">
        <f>IF(C439="","",IF(IFERROR(INDEX(Regions!$D$5:$D$400,MATCH(D439,Regions!$A$5:$A$400,0))&lt;&gt;"",FALSE),INDEX(Regions!$D$5:$D$400,MATCH(D439,Regions!$A$5:$A$400,0)),IF(IFERROR(INDEX(Regions!$D$5:$D$400,MATCH(LEFT(D439,2),Regions!$A$5:$A$400,0))&lt;&gt;"",FALSE),INDEX(Regions!$D$5:$D$400,MATCH(LEFT(D439,2),Regions!$A$5:$A$400,0)),INDEX(Regions!$D$5:$D$400,MATCH("US",Regions!$A$5:$A$400,0)))))</f>
        <v/>
      </c>
      <c r="H439" s="28">
        <f>IF(C439="","",(1+Assumptions!$C$32)^((Assumptions!$C$33-E439)/365.25))</f>
        <v/>
      </c>
      <c r="I439" s="36">
        <f>IF(C439="",0,C439/G439*H439)</f>
        <v/>
      </c>
      <c r="J439" s="28">
        <f>IF(C439="",0,IFERROR(INDEX(Lookups!$Z$5:$Z$8,MATCH(F439,Lookups!$Y$5:$Y$8,0)),0.3)*0.5^((Assumptions!$C$33-E439)/365.25/Assumptions!$C$31))</f>
        <v/>
      </c>
    </row>
    <row r="440">
      <c r="G440" s="16">
        <f>IF(C440="","",IF(IFERROR(INDEX(Regions!$D$5:$D$400,MATCH(D440,Regions!$A$5:$A$400,0))&lt;&gt;"",FALSE),INDEX(Regions!$D$5:$D$400,MATCH(D440,Regions!$A$5:$A$400,0)),IF(IFERROR(INDEX(Regions!$D$5:$D$400,MATCH(LEFT(D440,2),Regions!$A$5:$A$400,0))&lt;&gt;"",FALSE),INDEX(Regions!$D$5:$D$400,MATCH(LEFT(D440,2),Regions!$A$5:$A$400,0)),INDEX(Regions!$D$5:$D$400,MATCH("US",Regions!$A$5:$A$400,0)))))</f>
        <v/>
      </c>
      <c r="H440" s="28">
        <f>IF(C440="","",(1+Assumptions!$C$32)^((Assumptions!$C$33-E440)/365.25))</f>
        <v/>
      </c>
      <c r="I440" s="36">
        <f>IF(C440="",0,C440/G440*H440)</f>
        <v/>
      </c>
      <c r="J440" s="28">
        <f>IF(C440="",0,IFERROR(INDEX(Lookups!$Z$5:$Z$8,MATCH(F440,Lookups!$Y$5:$Y$8,0)),0.3)*0.5^((Assumptions!$C$33-E440)/365.25/Assumptions!$C$31))</f>
        <v/>
      </c>
    </row>
    <row r="441">
      <c r="G441" s="16">
        <f>IF(C441="","",IF(IFERROR(INDEX(Regions!$D$5:$D$400,MATCH(D441,Regions!$A$5:$A$400,0))&lt;&gt;"",FALSE),INDEX(Regions!$D$5:$D$400,MATCH(D441,Regions!$A$5:$A$400,0)),IF(IFERROR(INDEX(Regions!$D$5:$D$400,MATCH(LEFT(D441,2),Regions!$A$5:$A$400,0))&lt;&gt;"",FALSE),INDEX(Regions!$D$5:$D$400,MATCH(LEFT(D441,2),Regions!$A$5:$A$400,0)),INDEX(Regions!$D$5:$D$400,MATCH("US",Regions!$A$5:$A$400,0)))))</f>
        <v/>
      </c>
      <c r="H441" s="28">
        <f>IF(C441="","",(1+Assumptions!$C$32)^((Assumptions!$C$33-E441)/365.25))</f>
        <v/>
      </c>
      <c r="I441" s="36">
        <f>IF(C441="",0,C441/G441*H441)</f>
        <v/>
      </c>
      <c r="J441" s="28">
        <f>IF(C441="",0,IFERROR(INDEX(Lookups!$Z$5:$Z$8,MATCH(F441,Lookups!$Y$5:$Y$8,0)),0.3)*0.5^((Assumptions!$C$33-E441)/365.25/Assumptions!$C$31))</f>
        <v/>
      </c>
    </row>
    <row r="442">
      <c r="G442" s="16">
        <f>IF(C442="","",IF(IFERROR(INDEX(Regions!$D$5:$D$400,MATCH(D442,Regions!$A$5:$A$400,0))&lt;&gt;"",FALSE),INDEX(Regions!$D$5:$D$400,MATCH(D442,Regions!$A$5:$A$400,0)),IF(IFERROR(INDEX(Regions!$D$5:$D$400,MATCH(LEFT(D442,2),Regions!$A$5:$A$400,0))&lt;&gt;"",FALSE),INDEX(Regions!$D$5:$D$400,MATCH(LEFT(D442,2),Regions!$A$5:$A$400,0)),INDEX(Regions!$D$5:$D$400,MATCH("US",Regions!$A$5:$A$400,0)))))</f>
        <v/>
      </c>
      <c r="H442" s="28">
        <f>IF(C442="","",(1+Assumptions!$C$32)^((Assumptions!$C$33-E442)/365.25))</f>
        <v/>
      </c>
      <c r="I442" s="36">
        <f>IF(C442="",0,C442/G442*H442)</f>
        <v/>
      </c>
      <c r="J442" s="28">
        <f>IF(C442="",0,IFERROR(INDEX(Lookups!$Z$5:$Z$8,MATCH(F442,Lookups!$Y$5:$Y$8,0)),0.3)*0.5^((Assumptions!$C$33-E442)/365.25/Assumptions!$C$31))</f>
        <v/>
      </c>
    </row>
    <row r="443">
      <c r="G443" s="16">
        <f>IF(C443="","",IF(IFERROR(INDEX(Regions!$D$5:$D$400,MATCH(D443,Regions!$A$5:$A$400,0))&lt;&gt;"",FALSE),INDEX(Regions!$D$5:$D$400,MATCH(D443,Regions!$A$5:$A$400,0)),IF(IFERROR(INDEX(Regions!$D$5:$D$400,MATCH(LEFT(D443,2),Regions!$A$5:$A$400,0))&lt;&gt;"",FALSE),INDEX(Regions!$D$5:$D$400,MATCH(LEFT(D443,2),Regions!$A$5:$A$400,0)),INDEX(Regions!$D$5:$D$400,MATCH("US",Regions!$A$5:$A$400,0)))))</f>
        <v/>
      </c>
      <c r="H443" s="28">
        <f>IF(C443="","",(1+Assumptions!$C$32)^((Assumptions!$C$33-E443)/365.25))</f>
        <v/>
      </c>
      <c r="I443" s="36">
        <f>IF(C443="",0,C443/G443*H443)</f>
        <v/>
      </c>
      <c r="J443" s="28">
        <f>IF(C443="",0,IFERROR(INDEX(Lookups!$Z$5:$Z$8,MATCH(F443,Lookups!$Y$5:$Y$8,0)),0.3)*0.5^((Assumptions!$C$33-E443)/365.25/Assumptions!$C$31))</f>
        <v/>
      </c>
    </row>
    <row r="444">
      <c r="G444" s="16">
        <f>IF(C444="","",IF(IFERROR(INDEX(Regions!$D$5:$D$400,MATCH(D444,Regions!$A$5:$A$400,0))&lt;&gt;"",FALSE),INDEX(Regions!$D$5:$D$400,MATCH(D444,Regions!$A$5:$A$400,0)),IF(IFERROR(INDEX(Regions!$D$5:$D$400,MATCH(LEFT(D444,2),Regions!$A$5:$A$400,0))&lt;&gt;"",FALSE),INDEX(Regions!$D$5:$D$400,MATCH(LEFT(D444,2),Regions!$A$5:$A$400,0)),INDEX(Regions!$D$5:$D$400,MATCH("US",Regions!$A$5:$A$400,0)))))</f>
        <v/>
      </c>
      <c r="H444" s="28">
        <f>IF(C444="","",(1+Assumptions!$C$32)^((Assumptions!$C$33-E444)/365.25))</f>
        <v/>
      </c>
      <c r="I444" s="36">
        <f>IF(C444="",0,C444/G444*H444)</f>
        <v/>
      </c>
      <c r="J444" s="28">
        <f>IF(C444="",0,IFERROR(INDEX(Lookups!$Z$5:$Z$8,MATCH(F444,Lookups!$Y$5:$Y$8,0)),0.3)*0.5^((Assumptions!$C$33-E444)/365.25/Assumptions!$C$31))</f>
        <v/>
      </c>
    </row>
    <row r="445">
      <c r="G445" s="16">
        <f>IF(C445="","",IF(IFERROR(INDEX(Regions!$D$5:$D$400,MATCH(D445,Regions!$A$5:$A$400,0))&lt;&gt;"",FALSE),INDEX(Regions!$D$5:$D$400,MATCH(D445,Regions!$A$5:$A$400,0)),IF(IFERROR(INDEX(Regions!$D$5:$D$400,MATCH(LEFT(D445,2),Regions!$A$5:$A$400,0))&lt;&gt;"",FALSE),INDEX(Regions!$D$5:$D$400,MATCH(LEFT(D445,2),Regions!$A$5:$A$400,0)),INDEX(Regions!$D$5:$D$400,MATCH("US",Regions!$A$5:$A$400,0)))))</f>
        <v/>
      </c>
      <c r="H445" s="28">
        <f>IF(C445="","",(1+Assumptions!$C$32)^((Assumptions!$C$33-E445)/365.25))</f>
        <v/>
      </c>
      <c r="I445" s="36">
        <f>IF(C445="",0,C445/G445*H445)</f>
        <v/>
      </c>
      <c r="J445" s="28">
        <f>IF(C445="",0,IFERROR(INDEX(Lookups!$Z$5:$Z$8,MATCH(F445,Lookups!$Y$5:$Y$8,0)),0.3)*0.5^((Assumptions!$C$33-E445)/365.25/Assumptions!$C$31))</f>
        <v/>
      </c>
    </row>
    <row r="446">
      <c r="G446" s="16">
        <f>IF(C446="","",IF(IFERROR(INDEX(Regions!$D$5:$D$400,MATCH(D446,Regions!$A$5:$A$400,0))&lt;&gt;"",FALSE),INDEX(Regions!$D$5:$D$400,MATCH(D446,Regions!$A$5:$A$400,0)),IF(IFERROR(INDEX(Regions!$D$5:$D$400,MATCH(LEFT(D446,2),Regions!$A$5:$A$400,0))&lt;&gt;"",FALSE),INDEX(Regions!$D$5:$D$400,MATCH(LEFT(D446,2),Regions!$A$5:$A$400,0)),INDEX(Regions!$D$5:$D$400,MATCH("US",Regions!$A$5:$A$400,0)))))</f>
        <v/>
      </c>
      <c r="H446" s="28">
        <f>IF(C446="","",(1+Assumptions!$C$32)^((Assumptions!$C$33-E446)/365.25))</f>
        <v/>
      </c>
      <c r="I446" s="36">
        <f>IF(C446="",0,C446/G446*H446)</f>
        <v/>
      </c>
      <c r="J446" s="28">
        <f>IF(C446="",0,IFERROR(INDEX(Lookups!$Z$5:$Z$8,MATCH(F446,Lookups!$Y$5:$Y$8,0)),0.3)*0.5^((Assumptions!$C$33-E446)/365.25/Assumptions!$C$31))</f>
        <v/>
      </c>
    </row>
    <row r="447">
      <c r="G447" s="16">
        <f>IF(C447="","",IF(IFERROR(INDEX(Regions!$D$5:$D$400,MATCH(D447,Regions!$A$5:$A$400,0))&lt;&gt;"",FALSE),INDEX(Regions!$D$5:$D$400,MATCH(D447,Regions!$A$5:$A$400,0)),IF(IFERROR(INDEX(Regions!$D$5:$D$400,MATCH(LEFT(D447,2),Regions!$A$5:$A$400,0))&lt;&gt;"",FALSE),INDEX(Regions!$D$5:$D$400,MATCH(LEFT(D447,2),Regions!$A$5:$A$400,0)),INDEX(Regions!$D$5:$D$400,MATCH("US",Regions!$A$5:$A$400,0)))))</f>
        <v/>
      </c>
      <c r="H447" s="28">
        <f>IF(C447="","",(1+Assumptions!$C$32)^((Assumptions!$C$33-E447)/365.25))</f>
        <v/>
      </c>
      <c r="I447" s="36">
        <f>IF(C447="",0,C447/G447*H447)</f>
        <v/>
      </c>
      <c r="J447" s="28">
        <f>IF(C447="",0,IFERROR(INDEX(Lookups!$Z$5:$Z$8,MATCH(F447,Lookups!$Y$5:$Y$8,0)),0.3)*0.5^((Assumptions!$C$33-E447)/365.25/Assumptions!$C$31))</f>
        <v/>
      </c>
    </row>
    <row r="448">
      <c r="G448" s="16">
        <f>IF(C448="","",IF(IFERROR(INDEX(Regions!$D$5:$D$400,MATCH(D448,Regions!$A$5:$A$400,0))&lt;&gt;"",FALSE),INDEX(Regions!$D$5:$D$400,MATCH(D448,Regions!$A$5:$A$400,0)),IF(IFERROR(INDEX(Regions!$D$5:$D$400,MATCH(LEFT(D448,2),Regions!$A$5:$A$400,0))&lt;&gt;"",FALSE),INDEX(Regions!$D$5:$D$400,MATCH(LEFT(D448,2),Regions!$A$5:$A$400,0)),INDEX(Regions!$D$5:$D$400,MATCH("US",Regions!$A$5:$A$400,0)))))</f>
        <v/>
      </c>
      <c r="H448" s="28">
        <f>IF(C448="","",(1+Assumptions!$C$32)^((Assumptions!$C$33-E448)/365.25))</f>
        <v/>
      </c>
      <c r="I448" s="36">
        <f>IF(C448="",0,C448/G448*H448)</f>
        <v/>
      </c>
      <c r="J448" s="28">
        <f>IF(C448="",0,IFERROR(INDEX(Lookups!$Z$5:$Z$8,MATCH(F448,Lookups!$Y$5:$Y$8,0)),0.3)*0.5^((Assumptions!$C$33-E448)/365.25/Assumptions!$C$31))</f>
        <v/>
      </c>
    </row>
    <row r="449">
      <c r="G449" s="16">
        <f>IF(C449="","",IF(IFERROR(INDEX(Regions!$D$5:$D$400,MATCH(D449,Regions!$A$5:$A$400,0))&lt;&gt;"",FALSE),INDEX(Regions!$D$5:$D$400,MATCH(D449,Regions!$A$5:$A$400,0)),IF(IFERROR(INDEX(Regions!$D$5:$D$400,MATCH(LEFT(D449,2),Regions!$A$5:$A$400,0))&lt;&gt;"",FALSE),INDEX(Regions!$D$5:$D$400,MATCH(LEFT(D449,2),Regions!$A$5:$A$400,0)),INDEX(Regions!$D$5:$D$400,MATCH("US",Regions!$A$5:$A$400,0)))))</f>
        <v/>
      </c>
      <c r="H449" s="28">
        <f>IF(C449="","",(1+Assumptions!$C$32)^((Assumptions!$C$33-E449)/365.25))</f>
        <v/>
      </c>
      <c r="I449" s="36">
        <f>IF(C449="",0,C449/G449*H449)</f>
        <v/>
      </c>
      <c r="J449" s="28">
        <f>IF(C449="",0,IFERROR(INDEX(Lookups!$Z$5:$Z$8,MATCH(F449,Lookups!$Y$5:$Y$8,0)),0.3)*0.5^((Assumptions!$C$33-E449)/365.25/Assumptions!$C$31))</f>
        <v/>
      </c>
    </row>
    <row r="450">
      <c r="G450" s="16">
        <f>IF(C450="","",IF(IFERROR(INDEX(Regions!$D$5:$D$400,MATCH(D450,Regions!$A$5:$A$400,0))&lt;&gt;"",FALSE),INDEX(Regions!$D$5:$D$400,MATCH(D450,Regions!$A$5:$A$400,0)),IF(IFERROR(INDEX(Regions!$D$5:$D$400,MATCH(LEFT(D450,2),Regions!$A$5:$A$400,0))&lt;&gt;"",FALSE),INDEX(Regions!$D$5:$D$400,MATCH(LEFT(D450,2),Regions!$A$5:$A$400,0)),INDEX(Regions!$D$5:$D$400,MATCH("US",Regions!$A$5:$A$400,0)))))</f>
        <v/>
      </c>
      <c r="H450" s="28">
        <f>IF(C450="","",(1+Assumptions!$C$32)^((Assumptions!$C$33-E450)/365.25))</f>
        <v/>
      </c>
      <c r="I450" s="36">
        <f>IF(C450="",0,C450/G450*H450)</f>
        <v/>
      </c>
      <c r="J450" s="28">
        <f>IF(C450="",0,IFERROR(INDEX(Lookups!$Z$5:$Z$8,MATCH(F450,Lookups!$Y$5:$Y$8,0)),0.3)*0.5^((Assumptions!$C$33-E450)/365.25/Assumptions!$C$31))</f>
        <v/>
      </c>
    </row>
    <row r="451">
      <c r="G451" s="16">
        <f>IF(C451="","",IF(IFERROR(INDEX(Regions!$D$5:$D$400,MATCH(D451,Regions!$A$5:$A$400,0))&lt;&gt;"",FALSE),INDEX(Regions!$D$5:$D$400,MATCH(D451,Regions!$A$5:$A$400,0)),IF(IFERROR(INDEX(Regions!$D$5:$D$400,MATCH(LEFT(D451,2),Regions!$A$5:$A$400,0))&lt;&gt;"",FALSE),INDEX(Regions!$D$5:$D$400,MATCH(LEFT(D451,2),Regions!$A$5:$A$400,0)),INDEX(Regions!$D$5:$D$400,MATCH("US",Regions!$A$5:$A$400,0)))))</f>
        <v/>
      </c>
      <c r="H451" s="28">
        <f>IF(C451="","",(1+Assumptions!$C$32)^((Assumptions!$C$33-E451)/365.25))</f>
        <v/>
      </c>
      <c r="I451" s="36">
        <f>IF(C451="",0,C451/G451*H451)</f>
        <v/>
      </c>
      <c r="J451" s="28">
        <f>IF(C451="",0,IFERROR(INDEX(Lookups!$Z$5:$Z$8,MATCH(F451,Lookups!$Y$5:$Y$8,0)),0.3)*0.5^((Assumptions!$C$33-E451)/365.25/Assumptions!$C$31))</f>
        <v/>
      </c>
    </row>
    <row r="452">
      <c r="G452" s="16">
        <f>IF(C452="","",IF(IFERROR(INDEX(Regions!$D$5:$D$400,MATCH(D452,Regions!$A$5:$A$400,0))&lt;&gt;"",FALSE),INDEX(Regions!$D$5:$D$400,MATCH(D452,Regions!$A$5:$A$400,0)),IF(IFERROR(INDEX(Regions!$D$5:$D$400,MATCH(LEFT(D452,2),Regions!$A$5:$A$400,0))&lt;&gt;"",FALSE),INDEX(Regions!$D$5:$D$400,MATCH(LEFT(D452,2),Regions!$A$5:$A$400,0)),INDEX(Regions!$D$5:$D$400,MATCH("US",Regions!$A$5:$A$400,0)))))</f>
        <v/>
      </c>
      <c r="H452" s="28">
        <f>IF(C452="","",(1+Assumptions!$C$32)^((Assumptions!$C$33-E452)/365.25))</f>
        <v/>
      </c>
      <c r="I452" s="36">
        <f>IF(C452="",0,C452/G452*H452)</f>
        <v/>
      </c>
      <c r="J452" s="28">
        <f>IF(C452="",0,IFERROR(INDEX(Lookups!$Z$5:$Z$8,MATCH(F452,Lookups!$Y$5:$Y$8,0)),0.3)*0.5^((Assumptions!$C$33-E452)/365.25/Assumptions!$C$31))</f>
        <v/>
      </c>
    </row>
    <row r="453">
      <c r="G453" s="16">
        <f>IF(C453="","",IF(IFERROR(INDEX(Regions!$D$5:$D$400,MATCH(D453,Regions!$A$5:$A$400,0))&lt;&gt;"",FALSE),INDEX(Regions!$D$5:$D$400,MATCH(D453,Regions!$A$5:$A$400,0)),IF(IFERROR(INDEX(Regions!$D$5:$D$400,MATCH(LEFT(D453,2),Regions!$A$5:$A$400,0))&lt;&gt;"",FALSE),INDEX(Regions!$D$5:$D$400,MATCH(LEFT(D453,2),Regions!$A$5:$A$400,0)),INDEX(Regions!$D$5:$D$400,MATCH("US",Regions!$A$5:$A$400,0)))))</f>
        <v/>
      </c>
      <c r="H453" s="28">
        <f>IF(C453="","",(1+Assumptions!$C$32)^((Assumptions!$C$33-E453)/365.25))</f>
        <v/>
      </c>
      <c r="I453" s="36">
        <f>IF(C453="",0,C453/G453*H453)</f>
        <v/>
      </c>
      <c r="J453" s="28">
        <f>IF(C453="",0,IFERROR(INDEX(Lookups!$Z$5:$Z$8,MATCH(F453,Lookups!$Y$5:$Y$8,0)),0.3)*0.5^((Assumptions!$C$33-E453)/365.25/Assumptions!$C$31))</f>
        <v/>
      </c>
    </row>
    <row r="454">
      <c r="G454" s="16">
        <f>IF(C454="","",IF(IFERROR(INDEX(Regions!$D$5:$D$400,MATCH(D454,Regions!$A$5:$A$400,0))&lt;&gt;"",FALSE),INDEX(Regions!$D$5:$D$400,MATCH(D454,Regions!$A$5:$A$400,0)),IF(IFERROR(INDEX(Regions!$D$5:$D$400,MATCH(LEFT(D454,2),Regions!$A$5:$A$400,0))&lt;&gt;"",FALSE),INDEX(Regions!$D$5:$D$400,MATCH(LEFT(D454,2),Regions!$A$5:$A$400,0)),INDEX(Regions!$D$5:$D$400,MATCH("US",Regions!$A$5:$A$400,0)))))</f>
        <v/>
      </c>
      <c r="H454" s="28">
        <f>IF(C454="","",(1+Assumptions!$C$32)^((Assumptions!$C$33-E454)/365.25))</f>
        <v/>
      </c>
      <c r="I454" s="36">
        <f>IF(C454="",0,C454/G454*H454)</f>
        <v/>
      </c>
      <c r="J454" s="28">
        <f>IF(C454="",0,IFERROR(INDEX(Lookups!$Z$5:$Z$8,MATCH(F454,Lookups!$Y$5:$Y$8,0)),0.3)*0.5^((Assumptions!$C$33-E454)/365.25/Assumptions!$C$31))</f>
        <v/>
      </c>
    </row>
    <row r="455">
      <c r="G455" s="16">
        <f>IF(C455="","",IF(IFERROR(INDEX(Regions!$D$5:$D$400,MATCH(D455,Regions!$A$5:$A$400,0))&lt;&gt;"",FALSE),INDEX(Regions!$D$5:$D$400,MATCH(D455,Regions!$A$5:$A$400,0)),IF(IFERROR(INDEX(Regions!$D$5:$D$400,MATCH(LEFT(D455,2),Regions!$A$5:$A$400,0))&lt;&gt;"",FALSE),INDEX(Regions!$D$5:$D$400,MATCH(LEFT(D455,2),Regions!$A$5:$A$400,0)),INDEX(Regions!$D$5:$D$400,MATCH("US",Regions!$A$5:$A$400,0)))))</f>
        <v/>
      </c>
      <c r="H455" s="28">
        <f>IF(C455="","",(1+Assumptions!$C$32)^((Assumptions!$C$33-E455)/365.25))</f>
        <v/>
      </c>
      <c r="I455" s="36">
        <f>IF(C455="",0,C455/G455*H455)</f>
        <v/>
      </c>
      <c r="J455" s="28">
        <f>IF(C455="",0,IFERROR(INDEX(Lookups!$Z$5:$Z$8,MATCH(F455,Lookups!$Y$5:$Y$8,0)),0.3)*0.5^((Assumptions!$C$33-E455)/365.25/Assumptions!$C$31))</f>
        <v/>
      </c>
    </row>
    <row r="456">
      <c r="G456" s="16">
        <f>IF(C456="","",IF(IFERROR(INDEX(Regions!$D$5:$D$400,MATCH(D456,Regions!$A$5:$A$400,0))&lt;&gt;"",FALSE),INDEX(Regions!$D$5:$D$400,MATCH(D456,Regions!$A$5:$A$400,0)),IF(IFERROR(INDEX(Regions!$D$5:$D$400,MATCH(LEFT(D456,2),Regions!$A$5:$A$400,0))&lt;&gt;"",FALSE),INDEX(Regions!$D$5:$D$400,MATCH(LEFT(D456,2),Regions!$A$5:$A$400,0)),INDEX(Regions!$D$5:$D$400,MATCH("US",Regions!$A$5:$A$400,0)))))</f>
        <v/>
      </c>
      <c r="H456" s="28">
        <f>IF(C456="","",(1+Assumptions!$C$32)^((Assumptions!$C$33-E456)/365.25))</f>
        <v/>
      </c>
      <c r="I456" s="36">
        <f>IF(C456="",0,C456/G456*H456)</f>
        <v/>
      </c>
      <c r="J456" s="28">
        <f>IF(C456="",0,IFERROR(INDEX(Lookups!$Z$5:$Z$8,MATCH(F456,Lookups!$Y$5:$Y$8,0)),0.3)*0.5^((Assumptions!$C$33-E456)/365.25/Assumptions!$C$31))</f>
        <v/>
      </c>
    </row>
    <row r="457">
      <c r="G457" s="16">
        <f>IF(C457="","",IF(IFERROR(INDEX(Regions!$D$5:$D$400,MATCH(D457,Regions!$A$5:$A$400,0))&lt;&gt;"",FALSE),INDEX(Regions!$D$5:$D$400,MATCH(D457,Regions!$A$5:$A$400,0)),IF(IFERROR(INDEX(Regions!$D$5:$D$400,MATCH(LEFT(D457,2),Regions!$A$5:$A$400,0))&lt;&gt;"",FALSE),INDEX(Regions!$D$5:$D$400,MATCH(LEFT(D457,2),Regions!$A$5:$A$400,0)),INDEX(Regions!$D$5:$D$400,MATCH("US",Regions!$A$5:$A$400,0)))))</f>
        <v/>
      </c>
      <c r="H457" s="28">
        <f>IF(C457="","",(1+Assumptions!$C$32)^((Assumptions!$C$33-E457)/365.25))</f>
        <v/>
      </c>
      <c r="I457" s="36">
        <f>IF(C457="",0,C457/G457*H457)</f>
        <v/>
      </c>
      <c r="J457" s="28">
        <f>IF(C457="",0,IFERROR(INDEX(Lookups!$Z$5:$Z$8,MATCH(F457,Lookups!$Y$5:$Y$8,0)),0.3)*0.5^((Assumptions!$C$33-E457)/365.25/Assumptions!$C$31))</f>
        <v/>
      </c>
    </row>
    <row r="458">
      <c r="G458" s="16">
        <f>IF(C458="","",IF(IFERROR(INDEX(Regions!$D$5:$D$400,MATCH(D458,Regions!$A$5:$A$400,0))&lt;&gt;"",FALSE),INDEX(Regions!$D$5:$D$400,MATCH(D458,Regions!$A$5:$A$400,0)),IF(IFERROR(INDEX(Regions!$D$5:$D$400,MATCH(LEFT(D458,2),Regions!$A$5:$A$400,0))&lt;&gt;"",FALSE),INDEX(Regions!$D$5:$D$400,MATCH(LEFT(D458,2),Regions!$A$5:$A$400,0)),INDEX(Regions!$D$5:$D$400,MATCH("US",Regions!$A$5:$A$400,0)))))</f>
        <v/>
      </c>
      <c r="H458" s="28">
        <f>IF(C458="","",(1+Assumptions!$C$32)^((Assumptions!$C$33-E458)/365.25))</f>
        <v/>
      </c>
      <c r="I458" s="36">
        <f>IF(C458="",0,C458/G458*H458)</f>
        <v/>
      </c>
      <c r="J458" s="28">
        <f>IF(C458="",0,IFERROR(INDEX(Lookups!$Z$5:$Z$8,MATCH(F458,Lookups!$Y$5:$Y$8,0)),0.3)*0.5^((Assumptions!$C$33-E458)/365.25/Assumptions!$C$31))</f>
        <v/>
      </c>
    </row>
    <row r="459">
      <c r="G459" s="16">
        <f>IF(C459="","",IF(IFERROR(INDEX(Regions!$D$5:$D$400,MATCH(D459,Regions!$A$5:$A$400,0))&lt;&gt;"",FALSE),INDEX(Regions!$D$5:$D$400,MATCH(D459,Regions!$A$5:$A$400,0)),IF(IFERROR(INDEX(Regions!$D$5:$D$400,MATCH(LEFT(D459,2),Regions!$A$5:$A$400,0))&lt;&gt;"",FALSE),INDEX(Regions!$D$5:$D$400,MATCH(LEFT(D459,2),Regions!$A$5:$A$400,0)),INDEX(Regions!$D$5:$D$400,MATCH("US",Regions!$A$5:$A$400,0)))))</f>
        <v/>
      </c>
      <c r="H459" s="28">
        <f>IF(C459="","",(1+Assumptions!$C$32)^((Assumptions!$C$33-E459)/365.25))</f>
        <v/>
      </c>
      <c r="I459" s="36">
        <f>IF(C459="",0,C459/G459*H459)</f>
        <v/>
      </c>
      <c r="J459" s="28">
        <f>IF(C459="",0,IFERROR(INDEX(Lookups!$Z$5:$Z$8,MATCH(F459,Lookups!$Y$5:$Y$8,0)),0.3)*0.5^((Assumptions!$C$33-E459)/365.25/Assumptions!$C$31))</f>
        <v/>
      </c>
    </row>
    <row r="460">
      <c r="G460" s="16">
        <f>IF(C460="","",IF(IFERROR(INDEX(Regions!$D$5:$D$400,MATCH(D460,Regions!$A$5:$A$400,0))&lt;&gt;"",FALSE),INDEX(Regions!$D$5:$D$400,MATCH(D460,Regions!$A$5:$A$400,0)),IF(IFERROR(INDEX(Regions!$D$5:$D$400,MATCH(LEFT(D460,2),Regions!$A$5:$A$400,0))&lt;&gt;"",FALSE),INDEX(Regions!$D$5:$D$400,MATCH(LEFT(D460,2),Regions!$A$5:$A$400,0)),INDEX(Regions!$D$5:$D$400,MATCH("US",Regions!$A$5:$A$400,0)))))</f>
        <v/>
      </c>
      <c r="H460" s="28">
        <f>IF(C460="","",(1+Assumptions!$C$32)^((Assumptions!$C$33-E460)/365.25))</f>
        <v/>
      </c>
      <c r="I460" s="36">
        <f>IF(C460="",0,C460/G460*H460)</f>
        <v/>
      </c>
      <c r="J460" s="28">
        <f>IF(C460="",0,IFERROR(INDEX(Lookups!$Z$5:$Z$8,MATCH(F460,Lookups!$Y$5:$Y$8,0)),0.3)*0.5^((Assumptions!$C$33-E460)/365.25/Assumptions!$C$31))</f>
        <v/>
      </c>
    </row>
    <row r="461">
      <c r="G461" s="16">
        <f>IF(C461="","",IF(IFERROR(INDEX(Regions!$D$5:$D$400,MATCH(D461,Regions!$A$5:$A$400,0))&lt;&gt;"",FALSE),INDEX(Regions!$D$5:$D$400,MATCH(D461,Regions!$A$5:$A$400,0)),IF(IFERROR(INDEX(Regions!$D$5:$D$400,MATCH(LEFT(D461,2),Regions!$A$5:$A$400,0))&lt;&gt;"",FALSE),INDEX(Regions!$D$5:$D$400,MATCH(LEFT(D461,2),Regions!$A$5:$A$400,0)),INDEX(Regions!$D$5:$D$400,MATCH("US",Regions!$A$5:$A$400,0)))))</f>
        <v/>
      </c>
      <c r="H461" s="28">
        <f>IF(C461="","",(1+Assumptions!$C$32)^((Assumptions!$C$33-E461)/365.25))</f>
        <v/>
      </c>
      <c r="I461" s="36">
        <f>IF(C461="",0,C461/G461*H461)</f>
        <v/>
      </c>
      <c r="J461" s="28">
        <f>IF(C461="",0,IFERROR(INDEX(Lookups!$Z$5:$Z$8,MATCH(F461,Lookups!$Y$5:$Y$8,0)),0.3)*0.5^((Assumptions!$C$33-E461)/365.25/Assumptions!$C$31))</f>
        <v/>
      </c>
    </row>
    <row r="462">
      <c r="G462" s="16">
        <f>IF(C462="","",IF(IFERROR(INDEX(Regions!$D$5:$D$400,MATCH(D462,Regions!$A$5:$A$400,0))&lt;&gt;"",FALSE),INDEX(Regions!$D$5:$D$400,MATCH(D462,Regions!$A$5:$A$400,0)),IF(IFERROR(INDEX(Regions!$D$5:$D$400,MATCH(LEFT(D462,2),Regions!$A$5:$A$400,0))&lt;&gt;"",FALSE),INDEX(Regions!$D$5:$D$400,MATCH(LEFT(D462,2),Regions!$A$5:$A$400,0)),INDEX(Regions!$D$5:$D$400,MATCH("US",Regions!$A$5:$A$400,0)))))</f>
        <v/>
      </c>
      <c r="H462" s="28">
        <f>IF(C462="","",(1+Assumptions!$C$32)^((Assumptions!$C$33-E462)/365.25))</f>
        <v/>
      </c>
      <c r="I462" s="36">
        <f>IF(C462="",0,C462/G462*H462)</f>
        <v/>
      </c>
      <c r="J462" s="28">
        <f>IF(C462="",0,IFERROR(INDEX(Lookups!$Z$5:$Z$8,MATCH(F462,Lookups!$Y$5:$Y$8,0)),0.3)*0.5^((Assumptions!$C$33-E462)/365.25/Assumptions!$C$31))</f>
        <v/>
      </c>
    </row>
    <row r="463">
      <c r="G463" s="16">
        <f>IF(C463="","",IF(IFERROR(INDEX(Regions!$D$5:$D$400,MATCH(D463,Regions!$A$5:$A$400,0))&lt;&gt;"",FALSE),INDEX(Regions!$D$5:$D$400,MATCH(D463,Regions!$A$5:$A$400,0)),IF(IFERROR(INDEX(Regions!$D$5:$D$400,MATCH(LEFT(D463,2),Regions!$A$5:$A$400,0))&lt;&gt;"",FALSE),INDEX(Regions!$D$5:$D$400,MATCH(LEFT(D463,2),Regions!$A$5:$A$400,0)),INDEX(Regions!$D$5:$D$400,MATCH("US",Regions!$A$5:$A$400,0)))))</f>
        <v/>
      </c>
      <c r="H463" s="28">
        <f>IF(C463="","",(1+Assumptions!$C$32)^((Assumptions!$C$33-E463)/365.25))</f>
        <v/>
      </c>
      <c r="I463" s="36">
        <f>IF(C463="",0,C463/G463*H463)</f>
        <v/>
      </c>
      <c r="J463" s="28">
        <f>IF(C463="",0,IFERROR(INDEX(Lookups!$Z$5:$Z$8,MATCH(F463,Lookups!$Y$5:$Y$8,0)),0.3)*0.5^((Assumptions!$C$33-E463)/365.25/Assumptions!$C$31))</f>
        <v/>
      </c>
    </row>
    <row r="464">
      <c r="G464" s="16">
        <f>IF(C464="","",IF(IFERROR(INDEX(Regions!$D$5:$D$400,MATCH(D464,Regions!$A$5:$A$400,0))&lt;&gt;"",FALSE),INDEX(Regions!$D$5:$D$400,MATCH(D464,Regions!$A$5:$A$400,0)),IF(IFERROR(INDEX(Regions!$D$5:$D$400,MATCH(LEFT(D464,2),Regions!$A$5:$A$400,0))&lt;&gt;"",FALSE),INDEX(Regions!$D$5:$D$400,MATCH(LEFT(D464,2),Regions!$A$5:$A$400,0)),INDEX(Regions!$D$5:$D$400,MATCH("US",Regions!$A$5:$A$400,0)))))</f>
        <v/>
      </c>
      <c r="H464" s="28">
        <f>IF(C464="","",(1+Assumptions!$C$32)^((Assumptions!$C$33-E464)/365.25))</f>
        <v/>
      </c>
      <c r="I464" s="36">
        <f>IF(C464="",0,C464/G464*H464)</f>
        <v/>
      </c>
      <c r="J464" s="28">
        <f>IF(C464="",0,IFERROR(INDEX(Lookups!$Z$5:$Z$8,MATCH(F464,Lookups!$Y$5:$Y$8,0)),0.3)*0.5^((Assumptions!$C$33-E464)/365.25/Assumptions!$C$31))</f>
        <v/>
      </c>
    </row>
    <row r="465">
      <c r="G465" s="16">
        <f>IF(C465="","",IF(IFERROR(INDEX(Regions!$D$5:$D$400,MATCH(D465,Regions!$A$5:$A$400,0))&lt;&gt;"",FALSE),INDEX(Regions!$D$5:$D$400,MATCH(D465,Regions!$A$5:$A$400,0)),IF(IFERROR(INDEX(Regions!$D$5:$D$400,MATCH(LEFT(D465,2),Regions!$A$5:$A$400,0))&lt;&gt;"",FALSE),INDEX(Regions!$D$5:$D$400,MATCH(LEFT(D465,2),Regions!$A$5:$A$400,0)),INDEX(Regions!$D$5:$D$400,MATCH("US",Regions!$A$5:$A$400,0)))))</f>
        <v/>
      </c>
      <c r="H465" s="28">
        <f>IF(C465="","",(1+Assumptions!$C$32)^((Assumptions!$C$33-E465)/365.25))</f>
        <v/>
      </c>
      <c r="I465" s="36">
        <f>IF(C465="",0,C465/G465*H465)</f>
        <v/>
      </c>
      <c r="J465" s="28">
        <f>IF(C465="",0,IFERROR(INDEX(Lookups!$Z$5:$Z$8,MATCH(F465,Lookups!$Y$5:$Y$8,0)),0.3)*0.5^((Assumptions!$C$33-E465)/365.25/Assumptions!$C$31))</f>
        <v/>
      </c>
    </row>
    <row r="466">
      <c r="G466" s="16">
        <f>IF(C466="","",IF(IFERROR(INDEX(Regions!$D$5:$D$400,MATCH(D466,Regions!$A$5:$A$400,0))&lt;&gt;"",FALSE),INDEX(Regions!$D$5:$D$400,MATCH(D466,Regions!$A$5:$A$400,0)),IF(IFERROR(INDEX(Regions!$D$5:$D$400,MATCH(LEFT(D466,2),Regions!$A$5:$A$400,0))&lt;&gt;"",FALSE),INDEX(Regions!$D$5:$D$400,MATCH(LEFT(D466,2),Regions!$A$5:$A$400,0)),INDEX(Regions!$D$5:$D$400,MATCH("US",Regions!$A$5:$A$400,0)))))</f>
        <v/>
      </c>
      <c r="H466" s="28">
        <f>IF(C466="","",(1+Assumptions!$C$32)^((Assumptions!$C$33-E466)/365.25))</f>
        <v/>
      </c>
      <c r="I466" s="36">
        <f>IF(C466="",0,C466/G466*H466)</f>
        <v/>
      </c>
      <c r="J466" s="28">
        <f>IF(C466="",0,IFERROR(INDEX(Lookups!$Z$5:$Z$8,MATCH(F466,Lookups!$Y$5:$Y$8,0)),0.3)*0.5^((Assumptions!$C$33-E466)/365.25/Assumptions!$C$31))</f>
        <v/>
      </c>
    </row>
    <row r="467">
      <c r="G467" s="16">
        <f>IF(C467="","",IF(IFERROR(INDEX(Regions!$D$5:$D$400,MATCH(D467,Regions!$A$5:$A$400,0))&lt;&gt;"",FALSE),INDEX(Regions!$D$5:$D$400,MATCH(D467,Regions!$A$5:$A$400,0)),IF(IFERROR(INDEX(Regions!$D$5:$D$400,MATCH(LEFT(D467,2),Regions!$A$5:$A$400,0))&lt;&gt;"",FALSE),INDEX(Regions!$D$5:$D$400,MATCH(LEFT(D467,2),Regions!$A$5:$A$400,0)),INDEX(Regions!$D$5:$D$400,MATCH("US",Regions!$A$5:$A$400,0)))))</f>
        <v/>
      </c>
      <c r="H467" s="28">
        <f>IF(C467="","",(1+Assumptions!$C$32)^((Assumptions!$C$33-E467)/365.25))</f>
        <v/>
      </c>
      <c r="I467" s="36">
        <f>IF(C467="",0,C467/G467*H467)</f>
        <v/>
      </c>
      <c r="J467" s="28">
        <f>IF(C467="",0,IFERROR(INDEX(Lookups!$Z$5:$Z$8,MATCH(F467,Lookups!$Y$5:$Y$8,0)),0.3)*0.5^((Assumptions!$C$33-E467)/365.25/Assumptions!$C$31))</f>
        <v/>
      </c>
    </row>
    <row r="468">
      <c r="G468" s="16">
        <f>IF(C468="","",IF(IFERROR(INDEX(Regions!$D$5:$D$400,MATCH(D468,Regions!$A$5:$A$400,0))&lt;&gt;"",FALSE),INDEX(Regions!$D$5:$D$400,MATCH(D468,Regions!$A$5:$A$400,0)),IF(IFERROR(INDEX(Regions!$D$5:$D$400,MATCH(LEFT(D468,2),Regions!$A$5:$A$400,0))&lt;&gt;"",FALSE),INDEX(Regions!$D$5:$D$400,MATCH(LEFT(D468,2),Regions!$A$5:$A$400,0)),INDEX(Regions!$D$5:$D$400,MATCH("US",Regions!$A$5:$A$400,0)))))</f>
        <v/>
      </c>
      <c r="H468" s="28">
        <f>IF(C468="","",(1+Assumptions!$C$32)^((Assumptions!$C$33-E468)/365.25))</f>
        <v/>
      </c>
      <c r="I468" s="36">
        <f>IF(C468="",0,C468/G468*H468)</f>
        <v/>
      </c>
      <c r="J468" s="28">
        <f>IF(C468="",0,IFERROR(INDEX(Lookups!$Z$5:$Z$8,MATCH(F468,Lookups!$Y$5:$Y$8,0)),0.3)*0.5^((Assumptions!$C$33-E468)/365.25/Assumptions!$C$31))</f>
        <v/>
      </c>
    </row>
    <row r="469">
      <c r="G469" s="16">
        <f>IF(C469="","",IF(IFERROR(INDEX(Regions!$D$5:$D$400,MATCH(D469,Regions!$A$5:$A$400,0))&lt;&gt;"",FALSE),INDEX(Regions!$D$5:$D$400,MATCH(D469,Regions!$A$5:$A$400,0)),IF(IFERROR(INDEX(Regions!$D$5:$D$400,MATCH(LEFT(D469,2),Regions!$A$5:$A$400,0))&lt;&gt;"",FALSE),INDEX(Regions!$D$5:$D$400,MATCH(LEFT(D469,2),Regions!$A$5:$A$400,0)),INDEX(Regions!$D$5:$D$400,MATCH("US",Regions!$A$5:$A$400,0)))))</f>
        <v/>
      </c>
      <c r="H469" s="28">
        <f>IF(C469="","",(1+Assumptions!$C$32)^((Assumptions!$C$33-E469)/365.25))</f>
        <v/>
      </c>
      <c r="I469" s="36">
        <f>IF(C469="",0,C469/G469*H469)</f>
        <v/>
      </c>
      <c r="J469" s="28">
        <f>IF(C469="",0,IFERROR(INDEX(Lookups!$Z$5:$Z$8,MATCH(F469,Lookups!$Y$5:$Y$8,0)),0.3)*0.5^((Assumptions!$C$33-E469)/365.25/Assumptions!$C$31))</f>
        <v/>
      </c>
    </row>
    <row r="470">
      <c r="G470" s="16">
        <f>IF(C470="","",IF(IFERROR(INDEX(Regions!$D$5:$D$400,MATCH(D470,Regions!$A$5:$A$400,0))&lt;&gt;"",FALSE),INDEX(Regions!$D$5:$D$400,MATCH(D470,Regions!$A$5:$A$400,0)),IF(IFERROR(INDEX(Regions!$D$5:$D$400,MATCH(LEFT(D470,2),Regions!$A$5:$A$400,0))&lt;&gt;"",FALSE),INDEX(Regions!$D$5:$D$400,MATCH(LEFT(D470,2),Regions!$A$5:$A$400,0)),INDEX(Regions!$D$5:$D$400,MATCH("US",Regions!$A$5:$A$400,0)))))</f>
        <v/>
      </c>
      <c r="H470" s="28">
        <f>IF(C470="","",(1+Assumptions!$C$32)^((Assumptions!$C$33-E470)/365.25))</f>
        <v/>
      </c>
      <c r="I470" s="36">
        <f>IF(C470="",0,C470/G470*H470)</f>
        <v/>
      </c>
      <c r="J470" s="28">
        <f>IF(C470="",0,IFERROR(INDEX(Lookups!$Z$5:$Z$8,MATCH(F470,Lookups!$Y$5:$Y$8,0)),0.3)*0.5^((Assumptions!$C$33-E470)/365.25/Assumptions!$C$31))</f>
        <v/>
      </c>
    </row>
    <row r="471">
      <c r="G471" s="16">
        <f>IF(C471="","",IF(IFERROR(INDEX(Regions!$D$5:$D$400,MATCH(D471,Regions!$A$5:$A$400,0))&lt;&gt;"",FALSE),INDEX(Regions!$D$5:$D$400,MATCH(D471,Regions!$A$5:$A$400,0)),IF(IFERROR(INDEX(Regions!$D$5:$D$400,MATCH(LEFT(D471,2),Regions!$A$5:$A$400,0))&lt;&gt;"",FALSE),INDEX(Regions!$D$5:$D$400,MATCH(LEFT(D471,2),Regions!$A$5:$A$400,0)),INDEX(Regions!$D$5:$D$400,MATCH("US",Regions!$A$5:$A$400,0)))))</f>
        <v/>
      </c>
      <c r="H471" s="28">
        <f>IF(C471="","",(1+Assumptions!$C$32)^((Assumptions!$C$33-E471)/365.25))</f>
        <v/>
      </c>
      <c r="I471" s="36">
        <f>IF(C471="",0,C471/G471*H471)</f>
        <v/>
      </c>
      <c r="J471" s="28">
        <f>IF(C471="",0,IFERROR(INDEX(Lookups!$Z$5:$Z$8,MATCH(F471,Lookups!$Y$5:$Y$8,0)),0.3)*0.5^((Assumptions!$C$33-E471)/365.25/Assumptions!$C$31))</f>
        <v/>
      </c>
    </row>
    <row r="472">
      <c r="G472" s="16">
        <f>IF(C472="","",IF(IFERROR(INDEX(Regions!$D$5:$D$400,MATCH(D472,Regions!$A$5:$A$400,0))&lt;&gt;"",FALSE),INDEX(Regions!$D$5:$D$400,MATCH(D472,Regions!$A$5:$A$400,0)),IF(IFERROR(INDEX(Regions!$D$5:$D$400,MATCH(LEFT(D472,2),Regions!$A$5:$A$400,0))&lt;&gt;"",FALSE),INDEX(Regions!$D$5:$D$400,MATCH(LEFT(D472,2),Regions!$A$5:$A$400,0)),INDEX(Regions!$D$5:$D$400,MATCH("US",Regions!$A$5:$A$400,0)))))</f>
        <v/>
      </c>
      <c r="H472" s="28">
        <f>IF(C472="","",(1+Assumptions!$C$32)^((Assumptions!$C$33-E472)/365.25))</f>
        <v/>
      </c>
      <c r="I472" s="36">
        <f>IF(C472="",0,C472/G472*H472)</f>
        <v/>
      </c>
      <c r="J472" s="28">
        <f>IF(C472="",0,IFERROR(INDEX(Lookups!$Z$5:$Z$8,MATCH(F472,Lookups!$Y$5:$Y$8,0)),0.3)*0.5^((Assumptions!$C$33-E472)/365.25/Assumptions!$C$31))</f>
        <v/>
      </c>
    </row>
    <row r="473">
      <c r="G473" s="16">
        <f>IF(C473="","",IF(IFERROR(INDEX(Regions!$D$5:$D$400,MATCH(D473,Regions!$A$5:$A$400,0))&lt;&gt;"",FALSE),INDEX(Regions!$D$5:$D$400,MATCH(D473,Regions!$A$5:$A$400,0)),IF(IFERROR(INDEX(Regions!$D$5:$D$400,MATCH(LEFT(D473,2),Regions!$A$5:$A$400,0))&lt;&gt;"",FALSE),INDEX(Regions!$D$5:$D$400,MATCH(LEFT(D473,2),Regions!$A$5:$A$400,0)),INDEX(Regions!$D$5:$D$400,MATCH("US",Regions!$A$5:$A$400,0)))))</f>
        <v/>
      </c>
      <c r="H473" s="28">
        <f>IF(C473="","",(1+Assumptions!$C$32)^((Assumptions!$C$33-E473)/365.25))</f>
        <v/>
      </c>
      <c r="I473" s="36">
        <f>IF(C473="",0,C473/G473*H473)</f>
        <v/>
      </c>
      <c r="J473" s="28">
        <f>IF(C473="",0,IFERROR(INDEX(Lookups!$Z$5:$Z$8,MATCH(F473,Lookups!$Y$5:$Y$8,0)),0.3)*0.5^((Assumptions!$C$33-E473)/365.25/Assumptions!$C$31))</f>
        <v/>
      </c>
    </row>
    <row r="474">
      <c r="G474" s="16">
        <f>IF(C474="","",IF(IFERROR(INDEX(Regions!$D$5:$D$400,MATCH(D474,Regions!$A$5:$A$400,0))&lt;&gt;"",FALSE),INDEX(Regions!$D$5:$D$400,MATCH(D474,Regions!$A$5:$A$400,0)),IF(IFERROR(INDEX(Regions!$D$5:$D$400,MATCH(LEFT(D474,2),Regions!$A$5:$A$400,0))&lt;&gt;"",FALSE),INDEX(Regions!$D$5:$D$400,MATCH(LEFT(D474,2),Regions!$A$5:$A$400,0)),INDEX(Regions!$D$5:$D$400,MATCH("US",Regions!$A$5:$A$400,0)))))</f>
        <v/>
      </c>
      <c r="H474" s="28">
        <f>IF(C474="","",(1+Assumptions!$C$32)^((Assumptions!$C$33-E474)/365.25))</f>
        <v/>
      </c>
      <c r="I474" s="36">
        <f>IF(C474="",0,C474/G474*H474)</f>
        <v/>
      </c>
      <c r="J474" s="28">
        <f>IF(C474="",0,IFERROR(INDEX(Lookups!$Z$5:$Z$8,MATCH(F474,Lookups!$Y$5:$Y$8,0)),0.3)*0.5^((Assumptions!$C$33-E474)/365.25/Assumptions!$C$31))</f>
        <v/>
      </c>
    </row>
    <row r="475">
      <c r="G475" s="16">
        <f>IF(C475="","",IF(IFERROR(INDEX(Regions!$D$5:$D$400,MATCH(D475,Regions!$A$5:$A$400,0))&lt;&gt;"",FALSE),INDEX(Regions!$D$5:$D$400,MATCH(D475,Regions!$A$5:$A$400,0)),IF(IFERROR(INDEX(Regions!$D$5:$D$400,MATCH(LEFT(D475,2),Regions!$A$5:$A$400,0))&lt;&gt;"",FALSE),INDEX(Regions!$D$5:$D$400,MATCH(LEFT(D475,2),Regions!$A$5:$A$400,0)),INDEX(Regions!$D$5:$D$400,MATCH("US",Regions!$A$5:$A$400,0)))))</f>
        <v/>
      </c>
      <c r="H475" s="28">
        <f>IF(C475="","",(1+Assumptions!$C$32)^((Assumptions!$C$33-E475)/365.25))</f>
        <v/>
      </c>
      <c r="I475" s="36">
        <f>IF(C475="",0,C475/G475*H475)</f>
        <v/>
      </c>
      <c r="J475" s="28">
        <f>IF(C475="",0,IFERROR(INDEX(Lookups!$Z$5:$Z$8,MATCH(F475,Lookups!$Y$5:$Y$8,0)),0.3)*0.5^((Assumptions!$C$33-E475)/365.25/Assumptions!$C$31))</f>
        <v/>
      </c>
    </row>
    <row r="476">
      <c r="G476" s="16">
        <f>IF(C476="","",IF(IFERROR(INDEX(Regions!$D$5:$D$400,MATCH(D476,Regions!$A$5:$A$400,0))&lt;&gt;"",FALSE),INDEX(Regions!$D$5:$D$400,MATCH(D476,Regions!$A$5:$A$400,0)),IF(IFERROR(INDEX(Regions!$D$5:$D$400,MATCH(LEFT(D476,2),Regions!$A$5:$A$400,0))&lt;&gt;"",FALSE),INDEX(Regions!$D$5:$D$400,MATCH(LEFT(D476,2),Regions!$A$5:$A$400,0)),INDEX(Regions!$D$5:$D$400,MATCH("US",Regions!$A$5:$A$400,0)))))</f>
        <v/>
      </c>
      <c r="H476" s="28">
        <f>IF(C476="","",(1+Assumptions!$C$32)^((Assumptions!$C$33-E476)/365.25))</f>
        <v/>
      </c>
      <c r="I476" s="36">
        <f>IF(C476="",0,C476/G476*H476)</f>
        <v/>
      </c>
      <c r="J476" s="28">
        <f>IF(C476="",0,IFERROR(INDEX(Lookups!$Z$5:$Z$8,MATCH(F476,Lookups!$Y$5:$Y$8,0)),0.3)*0.5^((Assumptions!$C$33-E476)/365.25/Assumptions!$C$31))</f>
        <v/>
      </c>
    </row>
    <row r="477">
      <c r="G477" s="16">
        <f>IF(C477="","",IF(IFERROR(INDEX(Regions!$D$5:$D$400,MATCH(D477,Regions!$A$5:$A$400,0))&lt;&gt;"",FALSE),INDEX(Regions!$D$5:$D$400,MATCH(D477,Regions!$A$5:$A$400,0)),IF(IFERROR(INDEX(Regions!$D$5:$D$400,MATCH(LEFT(D477,2),Regions!$A$5:$A$400,0))&lt;&gt;"",FALSE),INDEX(Regions!$D$5:$D$400,MATCH(LEFT(D477,2),Regions!$A$5:$A$400,0)),INDEX(Regions!$D$5:$D$400,MATCH("US",Regions!$A$5:$A$400,0)))))</f>
        <v/>
      </c>
      <c r="H477" s="28">
        <f>IF(C477="","",(1+Assumptions!$C$32)^((Assumptions!$C$33-E477)/365.25))</f>
        <v/>
      </c>
      <c r="I477" s="36">
        <f>IF(C477="",0,C477/G477*H477)</f>
        <v/>
      </c>
      <c r="J477" s="28">
        <f>IF(C477="",0,IFERROR(INDEX(Lookups!$Z$5:$Z$8,MATCH(F477,Lookups!$Y$5:$Y$8,0)),0.3)*0.5^((Assumptions!$C$33-E477)/365.25/Assumptions!$C$31))</f>
        <v/>
      </c>
    </row>
    <row r="478">
      <c r="G478" s="16">
        <f>IF(C478="","",IF(IFERROR(INDEX(Regions!$D$5:$D$400,MATCH(D478,Regions!$A$5:$A$400,0))&lt;&gt;"",FALSE),INDEX(Regions!$D$5:$D$400,MATCH(D478,Regions!$A$5:$A$400,0)),IF(IFERROR(INDEX(Regions!$D$5:$D$400,MATCH(LEFT(D478,2),Regions!$A$5:$A$400,0))&lt;&gt;"",FALSE),INDEX(Regions!$D$5:$D$400,MATCH(LEFT(D478,2),Regions!$A$5:$A$400,0)),INDEX(Regions!$D$5:$D$400,MATCH("US",Regions!$A$5:$A$400,0)))))</f>
        <v/>
      </c>
      <c r="H478" s="28">
        <f>IF(C478="","",(1+Assumptions!$C$32)^((Assumptions!$C$33-E478)/365.25))</f>
        <v/>
      </c>
      <c r="I478" s="36">
        <f>IF(C478="",0,C478/G478*H478)</f>
        <v/>
      </c>
      <c r="J478" s="28">
        <f>IF(C478="",0,IFERROR(INDEX(Lookups!$Z$5:$Z$8,MATCH(F478,Lookups!$Y$5:$Y$8,0)),0.3)*0.5^((Assumptions!$C$33-E478)/365.25/Assumptions!$C$31))</f>
        <v/>
      </c>
    </row>
    <row r="479">
      <c r="G479" s="16">
        <f>IF(C479="","",IF(IFERROR(INDEX(Regions!$D$5:$D$400,MATCH(D479,Regions!$A$5:$A$400,0))&lt;&gt;"",FALSE),INDEX(Regions!$D$5:$D$400,MATCH(D479,Regions!$A$5:$A$400,0)),IF(IFERROR(INDEX(Regions!$D$5:$D$400,MATCH(LEFT(D479,2),Regions!$A$5:$A$400,0))&lt;&gt;"",FALSE),INDEX(Regions!$D$5:$D$400,MATCH(LEFT(D479,2),Regions!$A$5:$A$400,0)),INDEX(Regions!$D$5:$D$400,MATCH("US",Regions!$A$5:$A$400,0)))))</f>
        <v/>
      </c>
      <c r="H479" s="28">
        <f>IF(C479="","",(1+Assumptions!$C$32)^((Assumptions!$C$33-E479)/365.25))</f>
        <v/>
      </c>
      <c r="I479" s="36">
        <f>IF(C479="",0,C479/G479*H479)</f>
        <v/>
      </c>
      <c r="J479" s="28">
        <f>IF(C479="",0,IFERROR(INDEX(Lookups!$Z$5:$Z$8,MATCH(F479,Lookups!$Y$5:$Y$8,0)),0.3)*0.5^((Assumptions!$C$33-E479)/365.25/Assumptions!$C$31))</f>
        <v/>
      </c>
    </row>
    <row r="480">
      <c r="G480" s="16">
        <f>IF(C480="","",IF(IFERROR(INDEX(Regions!$D$5:$D$400,MATCH(D480,Regions!$A$5:$A$400,0))&lt;&gt;"",FALSE),INDEX(Regions!$D$5:$D$400,MATCH(D480,Regions!$A$5:$A$400,0)),IF(IFERROR(INDEX(Regions!$D$5:$D$400,MATCH(LEFT(D480,2),Regions!$A$5:$A$400,0))&lt;&gt;"",FALSE),INDEX(Regions!$D$5:$D$400,MATCH(LEFT(D480,2),Regions!$A$5:$A$400,0)),INDEX(Regions!$D$5:$D$400,MATCH("US",Regions!$A$5:$A$400,0)))))</f>
        <v/>
      </c>
      <c r="H480" s="28">
        <f>IF(C480="","",(1+Assumptions!$C$32)^((Assumptions!$C$33-E480)/365.25))</f>
        <v/>
      </c>
      <c r="I480" s="36">
        <f>IF(C480="",0,C480/G480*H480)</f>
        <v/>
      </c>
      <c r="J480" s="28">
        <f>IF(C480="",0,IFERROR(INDEX(Lookups!$Z$5:$Z$8,MATCH(F480,Lookups!$Y$5:$Y$8,0)),0.3)*0.5^((Assumptions!$C$33-E480)/365.25/Assumptions!$C$31))</f>
        <v/>
      </c>
    </row>
    <row r="481">
      <c r="G481" s="16">
        <f>IF(C481="","",IF(IFERROR(INDEX(Regions!$D$5:$D$400,MATCH(D481,Regions!$A$5:$A$400,0))&lt;&gt;"",FALSE),INDEX(Regions!$D$5:$D$400,MATCH(D481,Regions!$A$5:$A$400,0)),IF(IFERROR(INDEX(Regions!$D$5:$D$400,MATCH(LEFT(D481,2),Regions!$A$5:$A$400,0))&lt;&gt;"",FALSE),INDEX(Regions!$D$5:$D$400,MATCH(LEFT(D481,2),Regions!$A$5:$A$400,0)),INDEX(Regions!$D$5:$D$400,MATCH("US",Regions!$A$5:$A$400,0)))))</f>
        <v/>
      </c>
      <c r="H481" s="28">
        <f>IF(C481="","",(1+Assumptions!$C$32)^((Assumptions!$C$33-E481)/365.25))</f>
        <v/>
      </c>
      <c r="I481" s="36">
        <f>IF(C481="",0,C481/G481*H481)</f>
        <v/>
      </c>
      <c r="J481" s="28">
        <f>IF(C481="",0,IFERROR(INDEX(Lookups!$Z$5:$Z$8,MATCH(F481,Lookups!$Y$5:$Y$8,0)),0.3)*0.5^((Assumptions!$C$33-E481)/365.25/Assumptions!$C$31))</f>
        <v/>
      </c>
    </row>
    <row r="482">
      <c r="G482" s="16">
        <f>IF(C482="","",IF(IFERROR(INDEX(Regions!$D$5:$D$400,MATCH(D482,Regions!$A$5:$A$400,0))&lt;&gt;"",FALSE),INDEX(Regions!$D$5:$D$400,MATCH(D482,Regions!$A$5:$A$400,0)),IF(IFERROR(INDEX(Regions!$D$5:$D$400,MATCH(LEFT(D482,2),Regions!$A$5:$A$400,0))&lt;&gt;"",FALSE),INDEX(Regions!$D$5:$D$400,MATCH(LEFT(D482,2),Regions!$A$5:$A$400,0)),INDEX(Regions!$D$5:$D$400,MATCH("US",Regions!$A$5:$A$400,0)))))</f>
        <v/>
      </c>
      <c r="H482" s="28">
        <f>IF(C482="","",(1+Assumptions!$C$32)^((Assumptions!$C$33-E482)/365.25))</f>
        <v/>
      </c>
      <c r="I482" s="36">
        <f>IF(C482="",0,C482/G482*H482)</f>
        <v/>
      </c>
      <c r="J482" s="28">
        <f>IF(C482="",0,IFERROR(INDEX(Lookups!$Z$5:$Z$8,MATCH(F482,Lookups!$Y$5:$Y$8,0)),0.3)*0.5^((Assumptions!$C$33-E482)/365.25/Assumptions!$C$31))</f>
        <v/>
      </c>
    </row>
    <row r="483">
      <c r="G483" s="16">
        <f>IF(C483="","",IF(IFERROR(INDEX(Regions!$D$5:$D$400,MATCH(D483,Regions!$A$5:$A$400,0))&lt;&gt;"",FALSE),INDEX(Regions!$D$5:$D$400,MATCH(D483,Regions!$A$5:$A$400,0)),IF(IFERROR(INDEX(Regions!$D$5:$D$400,MATCH(LEFT(D483,2),Regions!$A$5:$A$400,0))&lt;&gt;"",FALSE),INDEX(Regions!$D$5:$D$400,MATCH(LEFT(D483,2),Regions!$A$5:$A$400,0)),INDEX(Regions!$D$5:$D$400,MATCH("US",Regions!$A$5:$A$400,0)))))</f>
        <v/>
      </c>
      <c r="H483" s="28">
        <f>IF(C483="","",(1+Assumptions!$C$32)^((Assumptions!$C$33-E483)/365.25))</f>
        <v/>
      </c>
      <c r="I483" s="36">
        <f>IF(C483="",0,C483/G483*H483)</f>
        <v/>
      </c>
      <c r="J483" s="28">
        <f>IF(C483="",0,IFERROR(INDEX(Lookups!$Z$5:$Z$8,MATCH(F483,Lookups!$Y$5:$Y$8,0)),0.3)*0.5^((Assumptions!$C$33-E483)/365.25/Assumptions!$C$31))</f>
        <v/>
      </c>
    </row>
    <row r="484">
      <c r="G484" s="16">
        <f>IF(C484="","",IF(IFERROR(INDEX(Regions!$D$5:$D$400,MATCH(D484,Regions!$A$5:$A$400,0))&lt;&gt;"",FALSE),INDEX(Regions!$D$5:$D$400,MATCH(D484,Regions!$A$5:$A$400,0)),IF(IFERROR(INDEX(Regions!$D$5:$D$400,MATCH(LEFT(D484,2),Regions!$A$5:$A$400,0))&lt;&gt;"",FALSE),INDEX(Regions!$D$5:$D$400,MATCH(LEFT(D484,2),Regions!$A$5:$A$400,0)),INDEX(Regions!$D$5:$D$400,MATCH("US",Regions!$A$5:$A$400,0)))))</f>
        <v/>
      </c>
      <c r="H484" s="28">
        <f>IF(C484="","",(1+Assumptions!$C$32)^((Assumptions!$C$33-E484)/365.25))</f>
        <v/>
      </c>
      <c r="I484" s="36">
        <f>IF(C484="",0,C484/G484*H484)</f>
        <v/>
      </c>
      <c r="J484" s="28">
        <f>IF(C484="",0,IFERROR(INDEX(Lookups!$Z$5:$Z$8,MATCH(F484,Lookups!$Y$5:$Y$8,0)),0.3)*0.5^((Assumptions!$C$33-E484)/365.25/Assumptions!$C$31))</f>
        <v/>
      </c>
    </row>
    <row r="485">
      <c r="G485" s="16">
        <f>IF(C485="","",IF(IFERROR(INDEX(Regions!$D$5:$D$400,MATCH(D485,Regions!$A$5:$A$400,0))&lt;&gt;"",FALSE),INDEX(Regions!$D$5:$D$400,MATCH(D485,Regions!$A$5:$A$400,0)),IF(IFERROR(INDEX(Regions!$D$5:$D$400,MATCH(LEFT(D485,2),Regions!$A$5:$A$400,0))&lt;&gt;"",FALSE),INDEX(Regions!$D$5:$D$400,MATCH(LEFT(D485,2),Regions!$A$5:$A$400,0)),INDEX(Regions!$D$5:$D$400,MATCH("US",Regions!$A$5:$A$400,0)))))</f>
        <v/>
      </c>
      <c r="H485" s="28">
        <f>IF(C485="","",(1+Assumptions!$C$32)^((Assumptions!$C$33-E485)/365.25))</f>
        <v/>
      </c>
      <c r="I485" s="36">
        <f>IF(C485="",0,C485/G485*H485)</f>
        <v/>
      </c>
      <c r="J485" s="28">
        <f>IF(C485="",0,IFERROR(INDEX(Lookups!$Z$5:$Z$8,MATCH(F485,Lookups!$Y$5:$Y$8,0)),0.3)*0.5^((Assumptions!$C$33-E485)/365.25/Assumptions!$C$31))</f>
        <v/>
      </c>
    </row>
    <row r="486">
      <c r="G486" s="16">
        <f>IF(C486="","",IF(IFERROR(INDEX(Regions!$D$5:$D$400,MATCH(D486,Regions!$A$5:$A$400,0))&lt;&gt;"",FALSE),INDEX(Regions!$D$5:$D$400,MATCH(D486,Regions!$A$5:$A$400,0)),IF(IFERROR(INDEX(Regions!$D$5:$D$400,MATCH(LEFT(D486,2),Regions!$A$5:$A$400,0))&lt;&gt;"",FALSE),INDEX(Regions!$D$5:$D$400,MATCH(LEFT(D486,2),Regions!$A$5:$A$400,0)),INDEX(Regions!$D$5:$D$400,MATCH("US",Regions!$A$5:$A$400,0)))))</f>
        <v/>
      </c>
      <c r="H486" s="28">
        <f>IF(C486="","",(1+Assumptions!$C$32)^((Assumptions!$C$33-E486)/365.25))</f>
        <v/>
      </c>
      <c r="I486" s="36">
        <f>IF(C486="",0,C486/G486*H486)</f>
        <v/>
      </c>
      <c r="J486" s="28">
        <f>IF(C486="",0,IFERROR(INDEX(Lookups!$Z$5:$Z$8,MATCH(F486,Lookups!$Y$5:$Y$8,0)),0.3)*0.5^((Assumptions!$C$33-E486)/365.25/Assumptions!$C$31))</f>
        <v/>
      </c>
    </row>
    <row r="487">
      <c r="G487" s="16">
        <f>IF(C487="","",IF(IFERROR(INDEX(Regions!$D$5:$D$400,MATCH(D487,Regions!$A$5:$A$400,0))&lt;&gt;"",FALSE),INDEX(Regions!$D$5:$D$400,MATCH(D487,Regions!$A$5:$A$400,0)),IF(IFERROR(INDEX(Regions!$D$5:$D$400,MATCH(LEFT(D487,2),Regions!$A$5:$A$400,0))&lt;&gt;"",FALSE),INDEX(Regions!$D$5:$D$400,MATCH(LEFT(D487,2),Regions!$A$5:$A$400,0)),INDEX(Regions!$D$5:$D$400,MATCH("US",Regions!$A$5:$A$400,0)))))</f>
        <v/>
      </c>
      <c r="H487" s="28">
        <f>IF(C487="","",(1+Assumptions!$C$32)^((Assumptions!$C$33-E487)/365.25))</f>
        <v/>
      </c>
      <c r="I487" s="36">
        <f>IF(C487="",0,C487/G487*H487)</f>
        <v/>
      </c>
      <c r="J487" s="28">
        <f>IF(C487="",0,IFERROR(INDEX(Lookups!$Z$5:$Z$8,MATCH(F487,Lookups!$Y$5:$Y$8,0)),0.3)*0.5^((Assumptions!$C$33-E487)/365.25/Assumptions!$C$31))</f>
        <v/>
      </c>
    </row>
    <row r="488">
      <c r="G488" s="16">
        <f>IF(C488="","",IF(IFERROR(INDEX(Regions!$D$5:$D$400,MATCH(D488,Regions!$A$5:$A$400,0))&lt;&gt;"",FALSE),INDEX(Regions!$D$5:$D$400,MATCH(D488,Regions!$A$5:$A$400,0)),IF(IFERROR(INDEX(Regions!$D$5:$D$400,MATCH(LEFT(D488,2),Regions!$A$5:$A$400,0))&lt;&gt;"",FALSE),INDEX(Regions!$D$5:$D$400,MATCH(LEFT(D488,2),Regions!$A$5:$A$400,0)),INDEX(Regions!$D$5:$D$400,MATCH("US",Regions!$A$5:$A$400,0)))))</f>
        <v/>
      </c>
      <c r="H488" s="28">
        <f>IF(C488="","",(1+Assumptions!$C$32)^((Assumptions!$C$33-E488)/365.25))</f>
        <v/>
      </c>
      <c r="I488" s="36">
        <f>IF(C488="",0,C488/G488*H488)</f>
        <v/>
      </c>
      <c r="J488" s="28">
        <f>IF(C488="",0,IFERROR(INDEX(Lookups!$Z$5:$Z$8,MATCH(F488,Lookups!$Y$5:$Y$8,0)),0.3)*0.5^((Assumptions!$C$33-E488)/365.25/Assumptions!$C$31))</f>
        <v/>
      </c>
    </row>
    <row r="489">
      <c r="G489" s="16">
        <f>IF(C489="","",IF(IFERROR(INDEX(Regions!$D$5:$D$400,MATCH(D489,Regions!$A$5:$A$400,0))&lt;&gt;"",FALSE),INDEX(Regions!$D$5:$D$400,MATCH(D489,Regions!$A$5:$A$400,0)),IF(IFERROR(INDEX(Regions!$D$5:$D$400,MATCH(LEFT(D489,2),Regions!$A$5:$A$400,0))&lt;&gt;"",FALSE),INDEX(Regions!$D$5:$D$400,MATCH(LEFT(D489,2),Regions!$A$5:$A$400,0)),INDEX(Regions!$D$5:$D$400,MATCH("US",Regions!$A$5:$A$400,0)))))</f>
        <v/>
      </c>
      <c r="H489" s="28">
        <f>IF(C489="","",(1+Assumptions!$C$32)^((Assumptions!$C$33-E489)/365.25))</f>
        <v/>
      </c>
      <c r="I489" s="36">
        <f>IF(C489="",0,C489/G489*H489)</f>
        <v/>
      </c>
      <c r="J489" s="28">
        <f>IF(C489="",0,IFERROR(INDEX(Lookups!$Z$5:$Z$8,MATCH(F489,Lookups!$Y$5:$Y$8,0)),0.3)*0.5^((Assumptions!$C$33-E489)/365.25/Assumptions!$C$31))</f>
        <v/>
      </c>
    </row>
    <row r="490">
      <c r="G490" s="16">
        <f>IF(C490="","",IF(IFERROR(INDEX(Regions!$D$5:$D$400,MATCH(D490,Regions!$A$5:$A$400,0))&lt;&gt;"",FALSE),INDEX(Regions!$D$5:$D$400,MATCH(D490,Regions!$A$5:$A$400,0)),IF(IFERROR(INDEX(Regions!$D$5:$D$400,MATCH(LEFT(D490,2),Regions!$A$5:$A$400,0))&lt;&gt;"",FALSE),INDEX(Regions!$D$5:$D$400,MATCH(LEFT(D490,2),Regions!$A$5:$A$400,0)),INDEX(Regions!$D$5:$D$400,MATCH("US",Regions!$A$5:$A$400,0)))))</f>
        <v/>
      </c>
      <c r="H490" s="28">
        <f>IF(C490="","",(1+Assumptions!$C$32)^((Assumptions!$C$33-E490)/365.25))</f>
        <v/>
      </c>
      <c r="I490" s="36">
        <f>IF(C490="",0,C490/G490*H490)</f>
        <v/>
      </c>
      <c r="J490" s="28">
        <f>IF(C490="",0,IFERROR(INDEX(Lookups!$Z$5:$Z$8,MATCH(F490,Lookups!$Y$5:$Y$8,0)),0.3)*0.5^((Assumptions!$C$33-E490)/365.25/Assumptions!$C$31))</f>
        <v/>
      </c>
    </row>
    <row r="491">
      <c r="G491" s="16">
        <f>IF(C491="","",IF(IFERROR(INDEX(Regions!$D$5:$D$400,MATCH(D491,Regions!$A$5:$A$400,0))&lt;&gt;"",FALSE),INDEX(Regions!$D$5:$D$400,MATCH(D491,Regions!$A$5:$A$400,0)),IF(IFERROR(INDEX(Regions!$D$5:$D$400,MATCH(LEFT(D491,2),Regions!$A$5:$A$400,0))&lt;&gt;"",FALSE),INDEX(Regions!$D$5:$D$400,MATCH(LEFT(D491,2),Regions!$A$5:$A$400,0)),INDEX(Regions!$D$5:$D$400,MATCH("US",Regions!$A$5:$A$400,0)))))</f>
        <v/>
      </c>
      <c r="H491" s="28">
        <f>IF(C491="","",(1+Assumptions!$C$32)^((Assumptions!$C$33-E491)/365.25))</f>
        <v/>
      </c>
      <c r="I491" s="36">
        <f>IF(C491="",0,C491/G491*H491)</f>
        <v/>
      </c>
      <c r="J491" s="28">
        <f>IF(C491="",0,IFERROR(INDEX(Lookups!$Z$5:$Z$8,MATCH(F491,Lookups!$Y$5:$Y$8,0)),0.3)*0.5^((Assumptions!$C$33-E491)/365.25/Assumptions!$C$31))</f>
        <v/>
      </c>
    </row>
    <row r="492">
      <c r="G492" s="16">
        <f>IF(C492="","",IF(IFERROR(INDEX(Regions!$D$5:$D$400,MATCH(D492,Regions!$A$5:$A$400,0))&lt;&gt;"",FALSE),INDEX(Regions!$D$5:$D$400,MATCH(D492,Regions!$A$5:$A$400,0)),IF(IFERROR(INDEX(Regions!$D$5:$D$400,MATCH(LEFT(D492,2),Regions!$A$5:$A$400,0))&lt;&gt;"",FALSE),INDEX(Regions!$D$5:$D$400,MATCH(LEFT(D492,2),Regions!$A$5:$A$400,0)),INDEX(Regions!$D$5:$D$400,MATCH("US",Regions!$A$5:$A$400,0)))))</f>
        <v/>
      </c>
      <c r="H492" s="28">
        <f>IF(C492="","",(1+Assumptions!$C$32)^((Assumptions!$C$33-E492)/365.25))</f>
        <v/>
      </c>
      <c r="I492" s="36">
        <f>IF(C492="",0,C492/G492*H492)</f>
        <v/>
      </c>
      <c r="J492" s="28">
        <f>IF(C492="",0,IFERROR(INDEX(Lookups!$Z$5:$Z$8,MATCH(F492,Lookups!$Y$5:$Y$8,0)),0.3)*0.5^((Assumptions!$C$33-E492)/365.25/Assumptions!$C$31))</f>
        <v/>
      </c>
    </row>
    <row r="493">
      <c r="G493" s="16">
        <f>IF(C493="","",IF(IFERROR(INDEX(Regions!$D$5:$D$400,MATCH(D493,Regions!$A$5:$A$400,0))&lt;&gt;"",FALSE),INDEX(Regions!$D$5:$D$400,MATCH(D493,Regions!$A$5:$A$400,0)),IF(IFERROR(INDEX(Regions!$D$5:$D$400,MATCH(LEFT(D493,2),Regions!$A$5:$A$400,0))&lt;&gt;"",FALSE),INDEX(Regions!$D$5:$D$400,MATCH(LEFT(D493,2),Regions!$A$5:$A$400,0)),INDEX(Regions!$D$5:$D$400,MATCH("US",Regions!$A$5:$A$400,0)))))</f>
        <v/>
      </c>
      <c r="H493" s="28">
        <f>IF(C493="","",(1+Assumptions!$C$32)^((Assumptions!$C$33-E493)/365.25))</f>
        <v/>
      </c>
      <c r="I493" s="36">
        <f>IF(C493="",0,C493/G493*H493)</f>
        <v/>
      </c>
      <c r="J493" s="28">
        <f>IF(C493="",0,IFERROR(INDEX(Lookups!$Z$5:$Z$8,MATCH(F493,Lookups!$Y$5:$Y$8,0)),0.3)*0.5^((Assumptions!$C$33-E493)/365.25/Assumptions!$C$31))</f>
        <v/>
      </c>
    </row>
    <row r="494">
      <c r="G494" s="16">
        <f>IF(C494="","",IF(IFERROR(INDEX(Regions!$D$5:$D$400,MATCH(D494,Regions!$A$5:$A$400,0))&lt;&gt;"",FALSE),INDEX(Regions!$D$5:$D$400,MATCH(D494,Regions!$A$5:$A$400,0)),IF(IFERROR(INDEX(Regions!$D$5:$D$400,MATCH(LEFT(D494,2),Regions!$A$5:$A$400,0))&lt;&gt;"",FALSE),INDEX(Regions!$D$5:$D$400,MATCH(LEFT(D494,2),Regions!$A$5:$A$400,0)),INDEX(Regions!$D$5:$D$400,MATCH("US",Regions!$A$5:$A$400,0)))))</f>
        <v/>
      </c>
      <c r="H494" s="28">
        <f>IF(C494="","",(1+Assumptions!$C$32)^((Assumptions!$C$33-E494)/365.25))</f>
        <v/>
      </c>
      <c r="I494" s="36">
        <f>IF(C494="",0,C494/G494*H494)</f>
        <v/>
      </c>
      <c r="J494" s="28">
        <f>IF(C494="",0,IFERROR(INDEX(Lookups!$Z$5:$Z$8,MATCH(F494,Lookups!$Y$5:$Y$8,0)),0.3)*0.5^((Assumptions!$C$33-E494)/365.25/Assumptions!$C$31))</f>
        <v/>
      </c>
    </row>
    <row r="495">
      <c r="G495" s="16">
        <f>IF(C495="","",IF(IFERROR(INDEX(Regions!$D$5:$D$400,MATCH(D495,Regions!$A$5:$A$400,0))&lt;&gt;"",FALSE),INDEX(Regions!$D$5:$D$400,MATCH(D495,Regions!$A$5:$A$400,0)),IF(IFERROR(INDEX(Regions!$D$5:$D$400,MATCH(LEFT(D495,2),Regions!$A$5:$A$400,0))&lt;&gt;"",FALSE),INDEX(Regions!$D$5:$D$400,MATCH(LEFT(D495,2),Regions!$A$5:$A$400,0)),INDEX(Regions!$D$5:$D$400,MATCH("US",Regions!$A$5:$A$400,0)))))</f>
        <v/>
      </c>
      <c r="H495" s="28">
        <f>IF(C495="","",(1+Assumptions!$C$32)^((Assumptions!$C$33-E495)/365.25))</f>
        <v/>
      </c>
      <c r="I495" s="36">
        <f>IF(C495="",0,C495/G495*H495)</f>
        <v/>
      </c>
      <c r="J495" s="28">
        <f>IF(C495="",0,IFERROR(INDEX(Lookups!$Z$5:$Z$8,MATCH(F495,Lookups!$Y$5:$Y$8,0)),0.3)*0.5^((Assumptions!$C$33-E495)/365.25/Assumptions!$C$31))</f>
        <v/>
      </c>
    </row>
    <row r="496">
      <c r="G496" s="16">
        <f>IF(C496="","",IF(IFERROR(INDEX(Regions!$D$5:$D$400,MATCH(D496,Regions!$A$5:$A$400,0))&lt;&gt;"",FALSE),INDEX(Regions!$D$5:$D$400,MATCH(D496,Regions!$A$5:$A$400,0)),IF(IFERROR(INDEX(Regions!$D$5:$D$400,MATCH(LEFT(D496,2),Regions!$A$5:$A$400,0))&lt;&gt;"",FALSE),INDEX(Regions!$D$5:$D$400,MATCH(LEFT(D496,2),Regions!$A$5:$A$400,0)),INDEX(Regions!$D$5:$D$400,MATCH("US",Regions!$A$5:$A$400,0)))))</f>
        <v/>
      </c>
      <c r="H496" s="28">
        <f>IF(C496="","",(1+Assumptions!$C$32)^((Assumptions!$C$33-E496)/365.25))</f>
        <v/>
      </c>
      <c r="I496" s="36">
        <f>IF(C496="",0,C496/G496*H496)</f>
        <v/>
      </c>
      <c r="J496" s="28">
        <f>IF(C496="",0,IFERROR(INDEX(Lookups!$Z$5:$Z$8,MATCH(F496,Lookups!$Y$5:$Y$8,0)),0.3)*0.5^((Assumptions!$C$33-E496)/365.25/Assumptions!$C$31))</f>
        <v/>
      </c>
    </row>
    <row r="497">
      <c r="G497" s="16">
        <f>IF(C497="","",IF(IFERROR(INDEX(Regions!$D$5:$D$400,MATCH(D497,Regions!$A$5:$A$400,0))&lt;&gt;"",FALSE),INDEX(Regions!$D$5:$D$400,MATCH(D497,Regions!$A$5:$A$400,0)),IF(IFERROR(INDEX(Regions!$D$5:$D$400,MATCH(LEFT(D497,2),Regions!$A$5:$A$400,0))&lt;&gt;"",FALSE),INDEX(Regions!$D$5:$D$400,MATCH(LEFT(D497,2),Regions!$A$5:$A$400,0)),INDEX(Regions!$D$5:$D$400,MATCH("US",Regions!$A$5:$A$400,0)))))</f>
        <v/>
      </c>
      <c r="H497" s="28">
        <f>IF(C497="","",(1+Assumptions!$C$32)^((Assumptions!$C$33-E497)/365.25))</f>
        <v/>
      </c>
      <c r="I497" s="36">
        <f>IF(C497="",0,C497/G497*H497)</f>
        <v/>
      </c>
      <c r="J497" s="28">
        <f>IF(C497="",0,IFERROR(INDEX(Lookups!$Z$5:$Z$8,MATCH(F497,Lookups!$Y$5:$Y$8,0)),0.3)*0.5^((Assumptions!$C$33-E497)/365.25/Assumptions!$C$31))</f>
        <v/>
      </c>
    </row>
    <row r="498">
      <c r="G498" s="16">
        <f>IF(C498="","",IF(IFERROR(INDEX(Regions!$D$5:$D$400,MATCH(D498,Regions!$A$5:$A$400,0))&lt;&gt;"",FALSE),INDEX(Regions!$D$5:$D$400,MATCH(D498,Regions!$A$5:$A$400,0)),IF(IFERROR(INDEX(Regions!$D$5:$D$400,MATCH(LEFT(D498,2),Regions!$A$5:$A$400,0))&lt;&gt;"",FALSE),INDEX(Regions!$D$5:$D$400,MATCH(LEFT(D498,2),Regions!$A$5:$A$400,0)),INDEX(Regions!$D$5:$D$400,MATCH("US",Regions!$A$5:$A$400,0)))))</f>
        <v/>
      </c>
      <c r="H498" s="28">
        <f>IF(C498="","",(1+Assumptions!$C$32)^((Assumptions!$C$33-E498)/365.25))</f>
        <v/>
      </c>
      <c r="I498" s="36">
        <f>IF(C498="",0,C498/G498*H498)</f>
        <v/>
      </c>
      <c r="J498" s="28">
        <f>IF(C498="",0,IFERROR(INDEX(Lookups!$Z$5:$Z$8,MATCH(F498,Lookups!$Y$5:$Y$8,0)),0.3)*0.5^((Assumptions!$C$33-E498)/365.25/Assumptions!$C$31))</f>
        <v/>
      </c>
    </row>
    <row r="499">
      <c r="G499" s="16">
        <f>IF(C499="","",IF(IFERROR(INDEX(Regions!$D$5:$D$400,MATCH(D499,Regions!$A$5:$A$400,0))&lt;&gt;"",FALSE),INDEX(Regions!$D$5:$D$400,MATCH(D499,Regions!$A$5:$A$400,0)),IF(IFERROR(INDEX(Regions!$D$5:$D$400,MATCH(LEFT(D499,2),Regions!$A$5:$A$400,0))&lt;&gt;"",FALSE),INDEX(Regions!$D$5:$D$400,MATCH(LEFT(D499,2),Regions!$A$5:$A$400,0)),INDEX(Regions!$D$5:$D$400,MATCH("US",Regions!$A$5:$A$400,0)))))</f>
        <v/>
      </c>
      <c r="H499" s="28">
        <f>IF(C499="","",(1+Assumptions!$C$32)^((Assumptions!$C$33-E499)/365.25))</f>
        <v/>
      </c>
      <c r="I499" s="36">
        <f>IF(C499="",0,C499/G499*H499)</f>
        <v/>
      </c>
      <c r="J499" s="28">
        <f>IF(C499="",0,IFERROR(INDEX(Lookups!$Z$5:$Z$8,MATCH(F499,Lookups!$Y$5:$Y$8,0)),0.3)*0.5^((Assumptions!$C$33-E499)/365.25/Assumptions!$C$31))</f>
        <v/>
      </c>
    </row>
    <row r="500">
      <c r="G500" s="16">
        <f>IF(C500="","",IF(IFERROR(INDEX(Regions!$D$5:$D$400,MATCH(D500,Regions!$A$5:$A$400,0))&lt;&gt;"",FALSE),INDEX(Regions!$D$5:$D$400,MATCH(D500,Regions!$A$5:$A$400,0)),IF(IFERROR(INDEX(Regions!$D$5:$D$400,MATCH(LEFT(D500,2),Regions!$A$5:$A$400,0))&lt;&gt;"",FALSE),INDEX(Regions!$D$5:$D$400,MATCH(LEFT(D500,2),Regions!$A$5:$A$400,0)),INDEX(Regions!$D$5:$D$400,MATCH("US",Regions!$A$5:$A$400,0)))))</f>
        <v/>
      </c>
      <c r="H500" s="28">
        <f>IF(C500="","",(1+Assumptions!$C$32)^((Assumptions!$C$33-E500)/365.25))</f>
        <v/>
      </c>
      <c r="I500" s="36">
        <f>IF(C500="",0,C500/G500*H500)</f>
        <v/>
      </c>
      <c r="J500" s="28">
        <f>IF(C500="",0,IFERROR(INDEX(Lookups!$Z$5:$Z$8,MATCH(F500,Lookups!$Y$5:$Y$8,0)),0.3)*0.5^((Assumptions!$C$33-E500)/365.25/Assumptions!$C$31))</f>
        <v/>
      </c>
    </row>
    <row r="501">
      <c r="G501" s="16">
        <f>IF(C501="","",IF(IFERROR(INDEX(Regions!$D$5:$D$400,MATCH(D501,Regions!$A$5:$A$400,0))&lt;&gt;"",FALSE),INDEX(Regions!$D$5:$D$400,MATCH(D501,Regions!$A$5:$A$400,0)),IF(IFERROR(INDEX(Regions!$D$5:$D$400,MATCH(LEFT(D501,2),Regions!$A$5:$A$400,0))&lt;&gt;"",FALSE),INDEX(Regions!$D$5:$D$400,MATCH(LEFT(D501,2),Regions!$A$5:$A$400,0)),INDEX(Regions!$D$5:$D$400,MATCH("US",Regions!$A$5:$A$400,0)))))</f>
        <v/>
      </c>
      <c r="H501" s="28">
        <f>IF(C501="","",(1+Assumptions!$C$32)^((Assumptions!$C$33-E501)/365.25))</f>
        <v/>
      </c>
      <c r="I501" s="36">
        <f>IF(C501="",0,C501/G501*H501)</f>
        <v/>
      </c>
      <c r="J501" s="28">
        <f>IF(C501="",0,IFERROR(INDEX(Lookups!$Z$5:$Z$8,MATCH(F501,Lookups!$Y$5:$Y$8,0)),0.3)*0.5^((Assumptions!$C$33-E501)/365.25/Assumptions!$C$31))</f>
        <v/>
      </c>
    </row>
    <row r="502">
      <c r="G502" s="16">
        <f>IF(C502="","",IF(IFERROR(INDEX(Regions!$D$5:$D$400,MATCH(D502,Regions!$A$5:$A$400,0))&lt;&gt;"",FALSE),INDEX(Regions!$D$5:$D$400,MATCH(D502,Regions!$A$5:$A$400,0)),IF(IFERROR(INDEX(Regions!$D$5:$D$400,MATCH(LEFT(D502,2),Regions!$A$5:$A$400,0))&lt;&gt;"",FALSE),INDEX(Regions!$D$5:$D$400,MATCH(LEFT(D502,2),Regions!$A$5:$A$400,0)),INDEX(Regions!$D$5:$D$400,MATCH("US",Regions!$A$5:$A$400,0)))))</f>
        <v/>
      </c>
      <c r="H502" s="28">
        <f>IF(C502="","",(1+Assumptions!$C$32)^((Assumptions!$C$33-E502)/365.25))</f>
        <v/>
      </c>
      <c r="I502" s="36">
        <f>IF(C502="",0,C502/G502*H502)</f>
        <v/>
      </c>
      <c r="J502" s="28">
        <f>IF(C502="",0,IFERROR(INDEX(Lookups!$Z$5:$Z$8,MATCH(F502,Lookups!$Y$5:$Y$8,0)),0.3)*0.5^((Assumptions!$C$33-E502)/365.25/Assumptions!$C$31))</f>
        <v/>
      </c>
    </row>
    <row r="503">
      <c r="G503" s="16">
        <f>IF(C503="","",IF(IFERROR(INDEX(Regions!$D$5:$D$400,MATCH(D503,Regions!$A$5:$A$400,0))&lt;&gt;"",FALSE),INDEX(Regions!$D$5:$D$400,MATCH(D503,Regions!$A$5:$A$400,0)),IF(IFERROR(INDEX(Regions!$D$5:$D$400,MATCH(LEFT(D503,2),Regions!$A$5:$A$400,0))&lt;&gt;"",FALSE),INDEX(Regions!$D$5:$D$400,MATCH(LEFT(D503,2),Regions!$A$5:$A$400,0)),INDEX(Regions!$D$5:$D$400,MATCH("US",Regions!$A$5:$A$400,0)))))</f>
        <v/>
      </c>
      <c r="H503" s="28">
        <f>IF(C503="","",(1+Assumptions!$C$32)^((Assumptions!$C$33-E503)/365.25))</f>
        <v/>
      </c>
      <c r="I503" s="36">
        <f>IF(C503="",0,C503/G503*H503)</f>
        <v/>
      </c>
      <c r="J503" s="28">
        <f>IF(C503="",0,IFERROR(INDEX(Lookups!$Z$5:$Z$8,MATCH(F503,Lookups!$Y$5:$Y$8,0)),0.3)*0.5^((Assumptions!$C$33-E503)/365.25/Assumptions!$C$31))</f>
        <v/>
      </c>
    </row>
    <row r="504">
      <c r="G504" s="16">
        <f>IF(C504="","",IF(IFERROR(INDEX(Regions!$D$5:$D$400,MATCH(D504,Regions!$A$5:$A$400,0))&lt;&gt;"",FALSE),INDEX(Regions!$D$5:$D$400,MATCH(D504,Regions!$A$5:$A$400,0)),IF(IFERROR(INDEX(Regions!$D$5:$D$400,MATCH(LEFT(D504,2),Regions!$A$5:$A$400,0))&lt;&gt;"",FALSE),INDEX(Regions!$D$5:$D$400,MATCH(LEFT(D504,2),Regions!$A$5:$A$400,0)),INDEX(Regions!$D$5:$D$400,MATCH("US",Regions!$A$5:$A$400,0)))))</f>
        <v/>
      </c>
      <c r="H504" s="28">
        <f>IF(C504="","",(1+Assumptions!$C$32)^((Assumptions!$C$33-E504)/365.25))</f>
        <v/>
      </c>
      <c r="I504" s="36">
        <f>IF(C504="",0,C504/G504*H504)</f>
        <v/>
      </c>
      <c r="J504" s="28">
        <f>IF(C504="",0,IFERROR(INDEX(Lookups!$Z$5:$Z$8,MATCH(F504,Lookups!$Y$5:$Y$8,0)),0.3)*0.5^((Assumptions!$C$33-E504)/365.25/Assumptions!$C$31))</f>
        <v/>
      </c>
    </row>
  </sheetData>
  <dataValidations count="1">
    <dataValidation sqref="F5:F504" showDropDown="0" showInputMessage="0" showErrorMessage="0" allowBlank="1" type="list">
      <formula1>=Lookups!$Y$5:$Y$8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40" customWidth="1" min="30" max="30"/>
  </cols>
  <sheetData>
    <row r="1">
      <c r="A1" s="1" t="inlineStr">
        <is>
          <t>Regions - location hierarchy (National &gt; State &gt; County &gt; City)</t>
        </is>
      </c>
    </row>
    <row r="2">
      <c r="A2" s="2" t="inlineStr">
        <is>
          <t>Blank = inherit from the level above. Indices are relative to the use library's reference basis (Grayson County, TX = 1.0). ALL VALUES ARE PLACEHOLDERS.</t>
        </is>
      </c>
    </row>
    <row r="4" ht="60" customHeight="1">
      <c r="A4" s="8" t="inlineStr">
        <is>
          <t>Key (US / ST / ST|County / ST|County|City)</t>
        </is>
      </c>
      <c r="B4" s="8" t="inlineStr">
        <is>
          <t>Level</t>
        </is>
      </c>
      <c r="C4" s="8" t="inlineStr">
        <is>
          <t>Name</t>
        </is>
      </c>
      <c r="D4" s="8" t="inlineStr">
        <is>
          <t>Construction cost index</t>
        </is>
      </c>
      <c r="E4" s="8" t="inlineStr">
        <is>
          <t>Sale price index (homes, lots, pads)</t>
        </is>
      </c>
      <c r="F4" s="8" t="inlineStr">
        <is>
          <t>Rent index</t>
        </is>
      </c>
      <c r="G4" s="8" t="inlineStr">
        <is>
          <t>Cap rate adjustment (+ = higher cap)</t>
        </is>
      </c>
      <c r="H4" s="8" t="inlineStr">
        <is>
          <t>Opex index (insurance, utilities, labor)</t>
        </is>
      </c>
      <c r="I4" s="8" t="inlineStr">
        <is>
          <t>Raw land value $ / acre</t>
        </is>
      </c>
      <c r="J4" s="8" t="inlineStr">
        <is>
          <t>Property tax rate (all jurisdictions)</t>
        </is>
      </c>
      <c r="K4" s="8" t="inlineStr">
        <is>
          <t>Assessed value as % of total cost</t>
        </is>
      </c>
      <c r="L4" s="8" t="inlineStr">
        <is>
          <t>Buyer closing costs % of land</t>
        </is>
      </c>
      <c r="M4" s="8" t="inlineStr">
        <is>
          <t>Seller transfer tax % of sale</t>
        </is>
      </c>
      <c r="N4" s="8" t="inlineStr">
        <is>
          <t>Land carry % of land / yr (tax + insurance)</t>
        </is>
      </c>
      <c r="O4" s="8" t="inlineStr">
        <is>
          <t>Ag/open-space conversion penalty % of land price</t>
        </is>
      </c>
      <c r="P4" s="8" t="inlineStr">
        <is>
          <t>Impact / capital recovery fees $ per dwelling</t>
        </is>
      </c>
      <c r="Q4" s="8" t="inlineStr">
        <is>
          <t>Cities zone (Y/N)</t>
        </is>
      </c>
      <c r="R4" s="8" t="inlineStr">
        <is>
          <t>ETJ / extraterritorial zoning (Y/N)</t>
        </is>
      </c>
      <c r="S4" s="8" t="inlineStr">
        <is>
          <t>Counties zone unincorporated land (Y/N)</t>
        </is>
      </c>
      <c r="T4" s="8" t="inlineStr">
        <is>
          <t>Min septic lot, public water (ac)</t>
        </is>
      </c>
      <c r="U4" s="8" t="inlineStr">
        <is>
          <t>Min septic lot, private well (ac)</t>
        </is>
      </c>
      <c r="V4" s="8" t="inlineStr">
        <is>
          <t>On-site septic capacity, gal/day per usable acre (good soil)</t>
        </is>
      </c>
      <c r="W4" s="8" t="inlineStr">
        <is>
          <t>Wastewater flow needing a state permit (gal/day)</t>
        </is>
      </c>
      <c r="X4" s="8" t="inlineStr">
        <is>
          <t>State wastewater permit months</t>
        </is>
      </c>
      <c r="Y4" s="8" t="inlineStr">
        <is>
          <t>Connections that make a public water system</t>
        </is>
      </c>
      <c r="Z4" s="8" t="inlineStr">
        <is>
          <t>Rezoning cost $</t>
        </is>
      </c>
      <c r="AA4" s="8" t="inlineStr">
        <is>
          <t>Rezoning months</t>
        </is>
      </c>
      <c r="AB4" s="8" t="inlineStr">
        <is>
          <t>Source</t>
        </is>
      </c>
      <c r="AC4" s="8" t="inlineStr">
        <is>
          <t>As of</t>
        </is>
      </c>
      <c r="AD4" s="8" t="inlineStr">
        <is>
          <t>Notes</t>
        </is>
      </c>
    </row>
    <row r="5">
      <c r="A5" s="4" t="inlineStr">
        <is>
          <t>US</t>
        </is>
      </c>
      <c r="B5" s="2" t="inlineStr">
        <is>
          <t>National</t>
        </is>
      </c>
      <c r="C5" s="2" t="inlineStr">
        <is>
          <t>United States (defaults)</t>
        </is>
      </c>
      <c r="D5" s="46" t="n">
        <v>1</v>
      </c>
      <c r="E5" s="46" t="n">
        <v>1</v>
      </c>
      <c r="F5" s="46" t="n">
        <v>1</v>
      </c>
      <c r="G5" s="47" t="n">
        <v>0</v>
      </c>
      <c r="H5" s="46" t="n">
        <v>1</v>
      </c>
      <c r="I5" s="13" t="n">
        <v>8000</v>
      </c>
      <c r="J5" s="47" t="n">
        <v>0.011</v>
      </c>
      <c r="K5" s="11" t="n">
        <v>1</v>
      </c>
      <c r="L5" s="11" t="n">
        <v>0.02</v>
      </c>
      <c r="M5" s="47" t="n">
        <v>0.005</v>
      </c>
      <c r="N5" s="11" t="n">
        <v>0.015</v>
      </c>
      <c r="O5" s="11" t="n">
        <v>0</v>
      </c>
      <c r="P5" s="13" t="n">
        <v>5000</v>
      </c>
      <c r="Q5" s="6" t="inlineStr">
        <is>
          <t>Y</t>
        </is>
      </c>
      <c r="R5" s="6" t="inlineStr">
        <is>
          <t>N</t>
        </is>
      </c>
      <c r="S5" s="6" t="inlineStr">
        <is>
          <t>Y</t>
        </is>
      </c>
      <c r="T5" s="46" t="n">
        <v>0.5</v>
      </c>
      <c r="U5" s="46" t="n">
        <v>1</v>
      </c>
      <c r="V5" s="12" t="n">
        <v>1000</v>
      </c>
      <c r="W5" s="12" t="n">
        <v>5000</v>
      </c>
      <c r="X5" s="46" t="n">
        <v>9</v>
      </c>
      <c r="Y5" s="46" t="n">
        <v>15</v>
      </c>
      <c r="Z5" s="13" t="n">
        <v>40000</v>
      </c>
      <c r="AA5" s="46" t="n">
        <v>6</v>
      </c>
      <c r="AB5" s="2" t="inlineStr">
        <is>
          <t>Placeholder</t>
        </is>
      </c>
      <c r="AC5" s="2" t="inlineStr">
        <is>
          <t>2026-10</t>
        </is>
      </c>
      <c r="AD5" s="2" t="inlineStr">
        <is>
          <t>Public water system = 15 connections or 25 people (federal Safe Drinking Water Act definition)</t>
        </is>
      </c>
    </row>
    <row r="6">
      <c r="A6" s="4" t="inlineStr">
        <is>
          <t>TX</t>
        </is>
      </c>
      <c r="B6" s="2" t="inlineStr">
        <is>
          <t>State</t>
        </is>
      </c>
      <c r="C6" s="2" t="inlineStr">
        <is>
          <t>Texas</t>
        </is>
      </c>
      <c r="J6" s="47" t="n">
        <v>0.02</v>
      </c>
      <c r="K6" s="11" t="n">
        <v>0.85</v>
      </c>
      <c r="M6" s="47" t="n">
        <v>0</v>
      </c>
      <c r="N6" s="11" t="n">
        <v>0.025</v>
      </c>
      <c r="O6" s="11" t="n">
        <v>0.06</v>
      </c>
      <c r="P6" s="13" t="n">
        <v>3000</v>
      </c>
      <c r="R6" s="6" t="inlineStr">
        <is>
          <t>N</t>
        </is>
      </c>
      <c r="S6" s="6" t="inlineStr">
        <is>
          <t>N</t>
        </is>
      </c>
      <c r="AB6" s="2" t="inlineStr">
        <is>
          <t>Placeholder</t>
        </is>
      </c>
      <c r="AC6" s="2" t="inlineStr">
        <is>
          <t>2026-10</t>
        </is>
      </c>
      <c r="AD6" s="2" t="inlineStr">
        <is>
          <t>No state transfer tax. Counties generally lack zoning power. TCEQ OSSF rules: 0.5 ac with public water, 1 ac with private well; 5,000+ gpd needs a TCEQ permit. Ag rollback on conversion</t>
        </is>
      </c>
    </row>
    <row r="7">
      <c r="A7" s="4" t="inlineStr">
        <is>
          <t>OK</t>
        </is>
      </c>
      <c r="B7" s="2" t="inlineStr">
        <is>
          <t>State</t>
        </is>
      </c>
      <c r="C7" s="2" t="inlineStr">
        <is>
          <t>Oklahoma</t>
        </is>
      </c>
      <c r="J7" s="47" t="n">
        <v>0.008999999999999999</v>
      </c>
      <c r="M7" s="47" t="n">
        <v>0.0015</v>
      </c>
      <c r="S7" s="6" t="inlineStr">
        <is>
          <t>N</t>
        </is>
      </c>
      <c r="AB7" s="2" t="inlineStr">
        <is>
          <t>Placeholder</t>
        </is>
      </c>
      <c r="AC7" s="2" t="inlineStr">
        <is>
          <t>2026-10</t>
        </is>
      </c>
      <c r="AD7" s="2" t="inlineStr">
        <is>
          <t>Many counties unzoned - verify by county</t>
        </is>
      </c>
    </row>
    <row r="8">
      <c r="A8" s="4" t="inlineStr">
        <is>
          <t>FL</t>
        </is>
      </c>
      <c r="B8" s="2" t="inlineStr">
        <is>
          <t>State</t>
        </is>
      </c>
      <c r="C8" s="2" t="inlineStr">
        <is>
          <t>Florida</t>
        </is>
      </c>
      <c r="E8" s="46" t="n">
        <v>1.2</v>
      </c>
      <c r="F8" s="46" t="n">
        <v>1.15</v>
      </c>
      <c r="H8" s="46" t="n">
        <v>1.5</v>
      </c>
      <c r="J8" s="47" t="n">
        <v>0.0095</v>
      </c>
      <c r="M8" s="47" t="n">
        <v>0.007</v>
      </c>
      <c r="P8" s="13" t="n">
        <v>9000</v>
      </c>
      <c r="AB8" s="2" t="inlineStr">
        <is>
          <t>Placeholder</t>
        </is>
      </c>
      <c r="AC8" s="2" t="inlineStr">
        <is>
          <t>2026-10</t>
        </is>
      </c>
      <c r="AD8" s="2" t="inlineStr">
        <is>
          <t>Doc stamps on deeds; hurricane insurance drives opex; CDD special districts common</t>
        </is>
      </c>
    </row>
    <row r="9">
      <c r="A9" s="4" t="inlineStr">
        <is>
          <t>AZ</t>
        </is>
      </c>
      <c r="B9" s="2" t="inlineStr">
        <is>
          <t>State</t>
        </is>
      </c>
      <c r="C9" s="2" t="inlineStr">
        <is>
          <t>Arizona</t>
        </is>
      </c>
      <c r="E9" s="46" t="n">
        <v>1.25</v>
      </c>
      <c r="F9" s="46" t="n">
        <v>1.15</v>
      </c>
      <c r="J9" s="47" t="n">
        <v>0.006</v>
      </c>
      <c r="M9" s="47" t="n">
        <v>0</v>
      </c>
      <c r="V9" s="12" t="n">
        <v>900</v>
      </c>
      <c r="AB9" s="2" t="inlineStr">
        <is>
          <t>Placeholder</t>
        </is>
      </c>
      <c r="AC9" s="2" t="inlineStr">
        <is>
          <t>2026-10</t>
        </is>
      </c>
      <c r="AD9" s="2" t="inlineStr">
        <is>
          <t>Groundwater: assured water supply rules in active management areas can block subdivisions</t>
        </is>
      </c>
    </row>
    <row r="10">
      <c r="A10" s="4" t="inlineStr">
        <is>
          <t>TN</t>
        </is>
      </c>
      <c r="B10" s="2" t="inlineStr">
        <is>
          <t>State</t>
        </is>
      </c>
      <c r="C10" s="2" t="inlineStr">
        <is>
          <t>Tennessee</t>
        </is>
      </c>
      <c r="E10" s="46" t="n">
        <v>1.1</v>
      </c>
      <c r="F10" s="46" t="n">
        <v>1.05</v>
      </c>
      <c r="J10" s="47" t="n">
        <v>0.007</v>
      </c>
      <c r="M10" s="47" t="n">
        <v>0.0037</v>
      </c>
      <c r="AB10" s="2" t="inlineStr">
        <is>
          <t>Placeholder</t>
        </is>
      </c>
      <c r="AC10" s="2" t="inlineStr">
        <is>
          <t>2026-10</t>
        </is>
      </c>
    </row>
    <row r="11">
      <c r="A11" s="4" t="inlineStr">
        <is>
          <t>GA</t>
        </is>
      </c>
      <c r="B11" s="2" t="inlineStr">
        <is>
          <t>State</t>
        </is>
      </c>
      <c r="C11" s="2" t="inlineStr">
        <is>
          <t>Georgia</t>
        </is>
      </c>
      <c r="E11" s="46" t="n">
        <v>1.05</v>
      </c>
      <c r="F11" s="46" t="n">
        <v>1.05</v>
      </c>
      <c r="J11" s="47" t="n">
        <v>0.008999999999999999</v>
      </c>
      <c r="M11" s="47" t="n">
        <v>0.001</v>
      </c>
      <c r="AB11" s="2" t="inlineStr">
        <is>
          <t>Placeholder</t>
        </is>
      </c>
      <c r="AC11" s="2" t="inlineStr">
        <is>
          <t>2026-10</t>
        </is>
      </c>
    </row>
    <row r="12">
      <c r="A12" s="4" t="inlineStr">
        <is>
          <t>NC</t>
        </is>
      </c>
      <c r="B12" s="2" t="inlineStr">
        <is>
          <t>State</t>
        </is>
      </c>
      <c r="C12" s="2" t="inlineStr">
        <is>
          <t>North Carolina</t>
        </is>
      </c>
      <c r="E12" s="46" t="n">
        <v>1.1</v>
      </c>
      <c r="F12" s="46" t="n">
        <v>1.05</v>
      </c>
      <c r="J12" s="47" t="n">
        <v>0.008</v>
      </c>
      <c r="M12" s="47" t="n">
        <v>0.002</v>
      </c>
      <c r="AB12" s="2" t="inlineStr">
        <is>
          <t>Placeholder</t>
        </is>
      </c>
      <c r="AC12" s="2" t="inlineStr">
        <is>
          <t>2026-10</t>
        </is>
      </c>
    </row>
    <row r="13">
      <c r="A13" s="4" t="inlineStr">
        <is>
          <t>CO</t>
        </is>
      </c>
      <c r="B13" s="2" t="inlineStr">
        <is>
          <t>State</t>
        </is>
      </c>
      <c r="C13" s="2" t="inlineStr">
        <is>
          <t>Colorado</t>
        </is>
      </c>
      <c r="D13" s="46" t="n">
        <v>1.12</v>
      </c>
      <c r="E13" s="46" t="n">
        <v>1.45</v>
      </c>
      <c r="F13" s="46" t="n">
        <v>1.25</v>
      </c>
      <c r="J13" s="47" t="n">
        <v>0.005</v>
      </c>
      <c r="M13" s="47" t="n">
        <v>0.0001</v>
      </c>
      <c r="AB13" s="2" t="inlineStr">
        <is>
          <t>Placeholder</t>
        </is>
      </c>
      <c r="AC13" s="2" t="inlineStr">
        <is>
          <t>2026-10</t>
        </is>
      </c>
      <c r="AD13" s="2" t="inlineStr">
        <is>
          <t>Metro districts finance infrastructure; frost depth adds foundation cost</t>
        </is>
      </c>
    </row>
    <row r="14">
      <c r="A14" s="4" t="inlineStr">
        <is>
          <t>OH</t>
        </is>
      </c>
      <c r="B14" s="2" t="inlineStr">
        <is>
          <t>State</t>
        </is>
      </c>
      <c r="C14" s="2" t="inlineStr">
        <is>
          <t>Ohio</t>
        </is>
      </c>
      <c r="D14" s="46" t="n">
        <v>1.03</v>
      </c>
      <c r="E14" s="46" t="n">
        <v>0.85</v>
      </c>
      <c r="F14" s="46" t="n">
        <v>0.9</v>
      </c>
      <c r="J14" s="47" t="n">
        <v>0.015</v>
      </c>
      <c r="M14" s="47" t="n">
        <v>0.004</v>
      </c>
      <c r="T14" s="46" t="n">
        <v>1</v>
      </c>
      <c r="U14" s="46" t="n">
        <v>1</v>
      </c>
      <c r="AB14" s="2" t="inlineStr">
        <is>
          <t>Placeholder</t>
        </is>
      </c>
      <c r="AC14" s="2" t="inlineStr">
        <is>
          <t>2026-10</t>
        </is>
      </c>
    </row>
    <row r="15">
      <c r="A15" s="4" t="inlineStr">
        <is>
          <t>PA</t>
        </is>
      </c>
      <c r="B15" s="2" t="inlineStr">
        <is>
          <t>State</t>
        </is>
      </c>
      <c r="C15" s="2" t="inlineStr">
        <is>
          <t>Pennsylvania</t>
        </is>
      </c>
      <c r="D15" s="46" t="n">
        <v>1.1</v>
      </c>
      <c r="E15" s="46" t="n">
        <v>0.95</v>
      </c>
      <c r="F15" s="46" t="n">
        <v>0.95</v>
      </c>
      <c r="J15" s="47" t="n">
        <v>0.015</v>
      </c>
      <c r="M15" s="47" t="n">
        <v>0.02</v>
      </c>
      <c r="AB15" s="2" t="inlineStr">
        <is>
          <t>Placeholder</t>
        </is>
      </c>
      <c r="AC15" s="2" t="inlineStr">
        <is>
          <t>2026-10</t>
        </is>
      </c>
    </row>
    <row r="16">
      <c r="A16" s="4" t="inlineStr">
        <is>
          <t>CA</t>
        </is>
      </c>
      <c r="B16" s="2" t="inlineStr">
        <is>
          <t>State</t>
        </is>
      </c>
      <c r="C16" s="2" t="inlineStr">
        <is>
          <t>California</t>
        </is>
      </c>
      <c r="D16" s="46" t="n">
        <v>1.35</v>
      </c>
      <c r="E16" s="46" t="n">
        <v>2.2</v>
      </c>
      <c r="F16" s="46" t="n">
        <v>1.7</v>
      </c>
      <c r="G16" s="47" t="n">
        <v>-0.005</v>
      </c>
      <c r="H16" s="46" t="n">
        <v>1.3</v>
      </c>
      <c r="J16" s="47" t="n">
        <v>0.011</v>
      </c>
      <c r="M16" s="47" t="n">
        <v>0.0011</v>
      </c>
      <c r="P16" s="13" t="n">
        <v>30000</v>
      </c>
      <c r="X16" s="46" t="n">
        <v>18</v>
      </c>
      <c r="AA16" s="46" t="n">
        <v>18</v>
      </c>
      <c r="AB16" s="2" t="inlineStr">
        <is>
          <t>Placeholder</t>
        </is>
      </c>
      <c r="AC16" s="2" t="inlineStr">
        <is>
          <t>2026-10</t>
        </is>
      </c>
      <c r="AD16" s="2" t="inlineStr">
        <is>
          <t>Prop 13 reassesses at sale; CEQA review lengthens entitlement; Mello-Roos districts</t>
        </is>
      </c>
    </row>
    <row r="17">
      <c r="A17" s="4" t="inlineStr">
        <is>
          <t>TX|Grayson</t>
        </is>
      </c>
      <c r="B17" s="2" t="inlineStr">
        <is>
          <t>County</t>
        </is>
      </c>
      <c r="C17" s="2" t="inlineStr">
        <is>
          <t>Grayson County, TX</t>
        </is>
      </c>
      <c r="D17" s="46" t="n">
        <v>1</v>
      </c>
      <c r="E17" s="46" t="n">
        <v>1</v>
      </c>
      <c r="F17" s="46" t="n">
        <v>1</v>
      </c>
      <c r="I17" s="13" t="n">
        <v>12000</v>
      </c>
      <c r="AB17" s="2" t="inlineStr">
        <is>
          <t>Placeholder</t>
        </is>
      </c>
      <c r="AC17" s="2" t="inlineStr">
        <is>
          <t>2026-10</t>
        </is>
      </c>
    </row>
    <row r="18">
      <c r="A18" s="4" t="inlineStr">
        <is>
          <t>TX|Collin</t>
        </is>
      </c>
      <c r="B18" s="2" t="inlineStr">
        <is>
          <t>County</t>
        </is>
      </c>
      <c r="C18" s="2" t="inlineStr">
        <is>
          <t>Collin County, TX</t>
        </is>
      </c>
      <c r="D18" s="46" t="n">
        <v>1.12</v>
      </c>
      <c r="E18" s="46" t="n">
        <v>1.55</v>
      </c>
      <c r="F18" s="46" t="n">
        <v>1.3</v>
      </c>
      <c r="G18" s="47" t="n">
        <v>-0.0035</v>
      </c>
      <c r="I18" s="13" t="n">
        <v>60000</v>
      </c>
      <c r="P18" s="13" t="n">
        <v>8000</v>
      </c>
      <c r="AB18" s="2" t="inlineStr">
        <is>
          <t>Placeholder</t>
        </is>
      </c>
      <c r="AC18" s="2" t="inlineStr">
        <is>
          <t>2026-10</t>
        </is>
      </c>
    </row>
    <row r="19">
      <c r="A19" s="4" t="inlineStr">
        <is>
          <t>TX|Denton</t>
        </is>
      </c>
      <c r="B19" s="2" t="inlineStr">
        <is>
          <t>County</t>
        </is>
      </c>
      <c r="C19" s="2" t="inlineStr">
        <is>
          <t>Denton County, TX</t>
        </is>
      </c>
      <c r="D19" s="46" t="n">
        <v>1.1</v>
      </c>
      <c r="E19" s="46" t="n">
        <v>1.4</v>
      </c>
      <c r="F19" s="46" t="n">
        <v>1.25</v>
      </c>
      <c r="G19" s="47" t="n">
        <v>-0.0025</v>
      </c>
      <c r="I19" s="13" t="n">
        <v>45000</v>
      </c>
      <c r="P19" s="13" t="n">
        <v>7000</v>
      </c>
      <c r="AB19" s="2" t="inlineStr">
        <is>
          <t>Placeholder</t>
        </is>
      </c>
      <c r="AC19" s="2" t="inlineStr">
        <is>
          <t>2026-10</t>
        </is>
      </c>
    </row>
    <row r="20">
      <c r="A20" s="4" t="inlineStr">
        <is>
          <t>TX|Cooke</t>
        </is>
      </c>
      <c r="B20" s="2" t="inlineStr">
        <is>
          <t>County</t>
        </is>
      </c>
      <c r="C20" s="2" t="inlineStr">
        <is>
          <t>Cooke County, TX</t>
        </is>
      </c>
      <c r="D20" s="46" t="n">
        <v>0.97</v>
      </c>
      <c r="E20" s="46" t="n">
        <v>0.85</v>
      </c>
      <c r="F20" s="46" t="n">
        <v>0.9</v>
      </c>
      <c r="G20" s="47" t="n">
        <v>0.0025</v>
      </c>
      <c r="I20" s="13" t="n">
        <v>9000</v>
      </c>
      <c r="AB20" s="2" t="inlineStr">
        <is>
          <t>Placeholder</t>
        </is>
      </c>
      <c r="AC20" s="2" t="inlineStr">
        <is>
          <t>2026-10</t>
        </is>
      </c>
    </row>
    <row r="21">
      <c r="A21" s="4" t="inlineStr">
        <is>
          <t>TX|Fannin</t>
        </is>
      </c>
      <c r="B21" s="2" t="inlineStr">
        <is>
          <t>County</t>
        </is>
      </c>
      <c r="C21" s="2" t="inlineStr">
        <is>
          <t>Fannin County, TX</t>
        </is>
      </c>
      <c r="D21" s="46" t="n">
        <v>0.96</v>
      </c>
      <c r="E21" s="46" t="n">
        <v>0.85</v>
      </c>
      <c r="F21" s="46" t="n">
        <v>0.88</v>
      </c>
      <c r="G21" s="47" t="n">
        <v>0.003</v>
      </c>
      <c r="I21" s="13" t="n">
        <v>9000</v>
      </c>
      <c r="AB21" s="2" t="inlineStr">
        <is>
          <t>Placeholder</t>
        </is>
      </c>
      <c r="AC21" s="2" t="inlineStr">
        <is>
          <t>2026-10</t>
        </is>
      </c>
    </row>
    <row r="22">
      <c r="A22" s="4" t="inlineStr">
        <is>
          <t>TX|Dallas</t>
        </is>
      </c>
      <c r="B22" s="2" t="inlineStr">
        <is>
          <t>County</t>
        </is>
      </c>
      <c r="C22" s="2" t="inlineStr">
        <is>
          <t>Dallas County, TX</t>
        </is>
      </c>
      <c r="D22" s="46" t="n">
        <v>1.08</v>
      </c>
      <c r="E22" s="46" t="n">
        <v>1.4</v>
      </c>
      <c r="F22" s="46" t="n">
        <v>1.3</v>
      </c>
      <c r="G22" s="47" t="n">
        <v>-0.003</v>
      </c>
      <c r="I22" s="13" t="n">
        <v>150000</v>
      </c>
      <c r="AB22" s="2" t="inlineStr">
        <is>
          <t>Placeholder</t>
        </is>
      </c>
      <c r="AC22" s="2" t="inlineStr">
        <is>
          <t>2026-10</t>
        </is>
      </c>
    </row>
    <row r="23">
      <c r="A23" s="4" t="inlineStr">
        <is>
          <t>TX|Tarrant</t>
        </is>
      </c>
      <c r="B23" s="2" t="inlineStr">
        <is>
          <t>County</t>
        </is>
      </c>
      <c r="C23" s="2" t="inlineStr">
        <is>
          <t>Tarrant County, TX</t>
        </is>
      </c>
      <c r="D23" s="46" t="n">
        <v>1.05</v>
      </c>
      <c r="E23" s="46" t="n">
        <v>1.35</v>
      </c>
      <c r="F23" s="46" t="n">
        <v>1.2</v>
      </c>
      <c r="G23" s="47" t="n">
        <v>-0.002</v>
      </c>
      <c r="I23" s="13" t="n">
        <v>80000</v>
      </c>
      <c r="AB23" s="2" t="inlineStr">
        <is>
          <t>Placeholder</t>
        </is>
      </c>
      <c r="AC23" s="2" t="inlineStr">
        <is>
          <t>2026-10</t>
        </is>
      </c>
    </row>
    <row r="24">
      <c r="A24" s="4" t="inlineStr">
        <is>
          <t>TX|Harris</t>
        </is>
      </c>
      <c r="B24" s="2" t="inlineStr">
        <is>
          <t>County</t>
        </is>
      </c>
      <c r="C24" s="2" t="inlineStr">
        <is>
          <t>Harris County, TX</t>
        </is>
      </c>
      <c r="D24" s="46" t="n">
        <v>1.03</v>
      </c>
      <c r="E24" s="46" t="n">
        <v>1.15</v>
      </c>
      <c r="F24" s="46" t="n">
        <v>1.15</v>
      </c>
      <c r="H24" s="46" t="n">
        <v>1.15</v>
      </c>
      <c r="I24" s="13" t="n">
        <v>70000</v>
      </c>
      <c r="AB24" s="2" t="inlineStr">
        <is>
          <t>Placeholder</t>
        </is>
      </c>
      <c r="AC24" s="2" t="inlineStr">
        <is>
          <t>2026-10</t>
        </is>
      </c>
      <c r="AD24" s="2" t="inlineStr">
        <is>
          <t>Flood: Atlas 14 detention rules; MUDs finance most suburban infrastructure</t>
        </is>
      </c>
    </row>
    <row r="25">
      <c r="A25" s="4" t="inlineStr">
        <is>
          <t>TX|Fort Bend</t>
        </is>
      </c>
      <c r="B25" s="2" t="inlineStr">
        <is>
          <t>County</t>
        </is>
      </c>
      <c r="C25" s="2" t="inlineStr">
        <is>
          <t>Fort Bend County, TX</t>
        </is>
      </c>
      <c r="D25" s="46" t="n">
        <v>1.03</v>
      </c>
      <c r="E25" s="46" t="n">
        <v>1.25</v>
      </c>
      <c r="F25" s="46" t="n">
        <v>1.15</v>
      </c>
      <c r="H25" s="46" t="n">
        <v>1.15</v>
      </c>
      <c r="I25" s="13" t="n">
        <v>50000</v>
      </c>
      <c r="AB25" s="2" t="inlineStr">
        <is>
          <t>Placeholder</t>
        </is>
      </c>
      <c r="AC25" s="2" t="inlineStr">
        <is>
          <t>2026-10</t>
        </is>
      </c>
    </row>
    <row r="26">
      <c r="A26" s="4" t="inlineStr">
        <is>
          <t>TX|Montgomery</t>
        </is>
      </c>
      <c r="B26" s="2" t="inlineStr">
        <is>
          <t>County</t>
        </is>
      </c>
      <c r="C26" s="2" t="inlineStr">
        <is>
          <t>Montgomery County, TX</t>
        </is>
      </c>
      <c r="D26" s="46" t="n">
        <v>1</v>
      </c>
      <c r="E26" s="46" t="n">
        <v>1.15</v>
      </c>
      <c r="F26" s="46" t="n">
        <v>1.05</v>
      </c>
      <c r="H26" s="46" t="n">
        <v>1.1</v>
      </c>
      <c r="I26" s="13" t="n">
        <v>35000</v>
      </c>
      <c r="AB26" s="2" t="inlineStr">
        <is>
          <t>Placeholder</t>
        </is>
      </c>
      <c r="AC26" s="2" t="inlineStr">
        <is>
          <t>2026-10</t>
        </is>
      </c>
    </row>
    <row r="27">
      <c r="A27" s="4" t="inlineStr">
        <is>
          <t>TX|Galveston</t>
        </is>
      </c>
      <c r="B27" s="2" t="inlineStr">
        <is>
          <t>County</t>
        </is>
      </c>
      <c r="C27" s="2" t="inlineStr">
        <is>
          <t>Galveston County, TX</t>
        </is>
      </c>
      <c r="D27" s="46" t="n">
        <v>1.05</v>
      </c>
      <c r="E27" s="46" t="n">
        <v>1.1</v>
      </c>
      <c r="F27" s="46" t="n">
        <v>1.05</v>
      </c>
      <c r="G27" s="47" t="n">
        <v>0.005</v>
      </c>
      <c r="H27" s="46" t="n">
        <v>1.4</v>
      </c>
      <c r="I27" s="13" t="n">
        <v>40000</v>
      </c>
      <c r="AB27" s="2" t="inlineStr">
        <is>
          <t>Placeholder</t>
        </is>
      </c>
      <c r="AC27" s="2" t="inlineStr">
        <is>
          <t>2026-10</t>
        </is>
      </c>
      <c r="AD27" s="2" t="inlineStr">
        <is>
          <t>Coastal windstorm insurance (TWIA) and flood drive opex</t>
        </is>
      </c>
    </row>
    <row r="28">
      <c r="A28" s="4" t="inlineStr">
        <is>
          <t>TX|Travis</t>
        </is>
      </c>
      <c r="B28" s="2" t="inlineStr">
        <is>
          <t>County</t>
        </is>
      </c>
      <c r="C28" s="2" t="inlineStr">
        <is>
          <t>Travis County, TX</t>
        </is>
      </c>
      <c r="D28" s="46" t="n">
        <v>1.12</v>
      </c>
      <c r="E28" s="46" t="n">
        <v>1.7</v>
      </c>
      <c r="F28" s="46" t="n">
        <v>1.35</v>
      </c>
      <c r="G28" s="47" t="n">
        <v>-0.003</v>
      </c>
      <c r="I28" s="13" t="n">
        <v>120000</v>
      </c>
      <c r="AB28" s="2" t="inlineStr">
        <is>
          <t>Placeholder</t>
        </is>
      </c>
      <c r="AC28" s="2" t="inlineStr">
        <is>
          <t>2026-10</t>
        </is>
      </c>
    </row>
    <row r="29">
      <c r="A29" s="4" t="inlineStr">
        <is>
          <t>TX|Williamson</t>
        </is>
      </c>
      <c r="B29" s="2" t="inlineStr">
        <is>
          <t>County</t>
        </is>
      </c>
      <c r="C29" s="2" t="inlineStr">
        <is>
          <t>Williamson County, TX</t>
        </is>
      </c>
      <c r="D29" s="46" t="n">
        <v>1.08</v>
      </c>
      <c r="E29" s="46" t="n">
        <v>1.35</v>
      </c>
      <c r="F29" s="46" t="n">
        <v>1.2</v>
      </c>
      <c r="G29" s="47" t="n">
        <v>-0.002</v>
      </c>
      <c r="I29" s="13" t="n">
        <v>60000</v>
      </c>
      <c r="AB29" s="2" t="inlineStr">
        <is>
          <t>Placeholder</t>
        </is>
      </c>
      <c r="AC29" s="2" t="inlineStr">
        <is>
          <t>2026-10</t>
        </is>
      </c>
    </row>
    <row r="30">
      <c r="A30" s="4" t="inlineStr">
        <is>
          <t>TX|Hays</t>
        </is>
      </c>
      <c r="B30" s="2" t="inlineStr">
        <is>
          <t>County</t>
        </is>
      </c>
      <c r="C30" s="2" t="inlineStr">
        <is>
          <t>Hays County, TX</t>
        </is>
      </c>
      <c r="D30" s="46" t="n">
        <v>1.05</v>
      </c>
      <c r="E30" s="46" t="n">
        <v>1.3</v>
      </c>
      <c r="F30" s="46" t="n">
        <v>1.15</v>
      </c>
      <c r="I30" s="13" t="n">
        <v>40000</v>
      </c>
      <c r="V30" s="12" t="n">
        <v>700</v>
      </c>
      <c r="AB30" s="2" t="inlineStr">
        <is>
          <t>Placeholder</t>
        </is>
      </c>
      <c r="AC30" s="2" t="inlineStr">
        <is>
          <t>2026-10</t>
        </is>
      </c>
      <c r="AD30" s="2" t="inlineStr">
        <is>
          <t>Hill Country: rock excavation and aerobic septic common; Edwards Aquifer rules</t>
        </is>
      </c>
    </row>
    <row r="31">
      <c r="A31" s="4" t="inlineStr">
        <is>
          <t>TX|Comal</t>
        </is>
      </c>
      <c r="B31" s="2" t="inlineStr">
        <is>
          <t>County</t>
        </is>
      </c>
      <c r="C31" s="2" t="inlineStr">
        <is>
          <t>Comal County, TX</t>
        </is>
      </c>
      <c r="D31" s="46" t="n">
        <v>1.03</v>
      </c>
      <c r="E31" s="46" t="n">
        <v>1.3</v>
      </c>
      <c r="F31" s="46" t="n">
        <v>1.1</v>
      </c>
      <c r="I31" s="13" t="n">
        <v>45000</v>
      </c>
      <c r="V31" s="12" t="n">
        <v>700</v>
      </c>
      <c r="AB31" s="2" t="inlineStr">
        <is>
          <t>Placeholder</t>
        </is>
      </c>
      <c r="AC31" s="2" t="inlineStr">
        <is>
          <t>2026-10</t>
        </is>
      </c>
      <c r="AD31" s="2" t="inlineStr">
        <is>
          <t>Edwards Aquifer recharge zone; rock</t>
        </is>
      </c>
    </row>
    <row r="32">
      <c r="A32" s="4" t="inlineStr">
        <is>
          <t>TX|Bexar</t>
        </is>
      </c>
      <c r="B32" s="2" t="inlineStr">
        <is>
          <t>County</t>
        </is>
      </c>
      <c r="C32" s="2" t="inlineStr">
        <is>
          <t>Bexar County, TX</t>
        </is>
      </c>
      <c r="D32" s="46" t="n">
        <v>0.98</v>
      </c>
      <c r="E32" s="46" t="n">
        <v>1.05</v>
      </c>
      <c r="F32" s="46" t="n">
        <v>1</v>
      </c>
      <c r="I32" s="13" t="n">
        <v>50000</v>
      </c>
      <c r="AB32" s="2" t="inlineStr">
        <is>
          <t>Placeholder</t>
        </is>
      </c>
      <c r="AC32" s="2" t="inlineStr">
        <is>
          <t>2026-10</t>
        </is>
      </c>
    </row>
    <row r="33">
      <c r="A33" s="4" t="inlineStr">
        <is>
          <t>TX|Midland</t>
        </is>
      </c>
      <c r="B33" s="2" t="inlineStr">
        <is>
          <t>County</t>
        </is>
      </c>
      <c r="C33" s="2" t="inlineStr">
        <is>
          <t>Midland County, TX</t>
        </is>
      </c>
      <c r="D33" s="46" t="n">
        <v>1.1</v>
      </c>
      <c r="E33" s="46" t="n">
        <v>1</v>
      </c>
      <c r="F33" s="46" t="n">
        <v>1.25</v>
      </c>
      <c r="G33" s="47" t="n">
        <v>0.01</v>
      </c>
      <c r="I33" s="13" t="n">
        <v>15000</v>
      </c>
      <c r="AB33" s="2" t="inlineStr">
        <is>
          <t>Placeholder</t>
        </is>
      </c>
      <c r="AC33" s="2" t="inlineStr">
        <is>
          <t>2026-10</t>
        </is>
      </c>
      <c r="AD33" s="2" t="inlineStr">
        <is>
          <t>Oil-cycle demand: workforce housing and RV parks swing with rig count</t>
        </is>
      </c>
    </row>
    <row r="34">
      <c r="A34" s="4" t="inlineStr">
        <is>
          <t>TX|Ector</t>
        </is>
      </c>
      <c r="B34" s="2" t="inlineStr">
        <is>
          <t>County</t>
        </is>
      </c>
      <c r="C34" s="2" t="inlineStr">
        <is>
          <t>Ector County, TX</t>
        </is>
      </c>
      <c r="D34" s="46" t="n">
        <v>1.08</v>
      </c>
      <c r="E34" s="46" t="n">
        <v>0.9</v>
      </c>
      <c r="F34" s="46" t="n">
        <v>1.2</v>
      </c>
      <c r="G34" s="47" t="n">
        <v>0.01</v>
      </c>
      <c r="I34" s="13" t="n">
        <v>12000</v>
      </c>
      <c r="AB34" s="2" t="inlineStr">
        <is>
          <t>Placeholder</t>
        </is>
      </c>
      <c r="AC34" s="2" t="inlineStr">
        <is>
          <t>2026-10</t>
        </is>
      </c>
    </row>
    <row r="35">
      <c r="A35" s="4" t="inlineStr">
        <is>
          <t>TX|Lubbock</t>
        </is>
      </c>
      <c r="B35" s="2" t="inlineStr">
        <is>
          <t>County</t>
        </is>
      </c>
      <c r="C35" s="2" t="inlineStr">
        <is>
          <t>Lubbock County, TX</t>
        </is>
      </c>
      <c r="D35" s="46" t="n">
        <v>0.95</v>
      </c>
      <c r="E35" s="46" t="n">
        <v>0.95</v>
      </c>
      <c r="F35" s="46" t="n">
        <v>0.95</v>
      </c>
      <c r="I35" s="13" t="n">
        <v>10000</v>
      </c>
      <c r="AB35" s="2" t="inlineStr">
        <is>
          <t>Placeholder</t>
        </is>
      </c>
      <c r="AC35" s="2" t="inlineStr">
        <is>
          <t>2026-10</t>
        </is>
      </c>
    </row>
    <row r="36">
      <c r="A36" s="4" t="inlineStr">
        <is>
          <t>TX|El Paso</t>
        </is>
      </c>
      <c r="B36" s="2" t="inlineStr">
        <is>
          <t>County</t>
        </is>
      </c>
      <c r="C36" s="2" t="inlineStr">
        <is>
          <t>El Paso County, TX</t>
        </is>
      </c>
      <c r="D36" s="46" t="n">
        <v>0.9399999999999999</v>
      </c>
      <c r="E36" s="46" t="n">
        <v>0.9</v>
      </c>
      <c r="F36" s="46" t="n">
        <v>0.95</v>
      </c>
      <c r="I36" s="13" t="n">
        <v>15000</v>
      </c>
      <c r="AB36" s="2" t="inlineStr">
        <is>
          <t>Placeholder</t>
        </is>
      </c>
      <c r="AC36" s="2" t="inlineStr">
        <is>
          <t>2026-10</t>
        </is>
      </c>
    </row>
    <row r="37">
      <c r="A37" s="4" t="inlineStr">
        <is>
          <t>TX|Nueces</t>
        </is>
      </c>
      <c r="B37" s="2" t="inlineStr">
        <is>
          <t>County</t>
        </is>
      </c>
      <c r="C37" s="2" t="inlineStr">
        <is>
          <t>Nueces County, TX</t>
        </is>
      </c>
      <c r="D37" s="46" t="n">
        <v>1</v>
      </c>
      <c r="E37" s="46" t="n">
        <v>0.95</v>
      </c>
      <c r="F37" s="46" t="n">
        <v>1</v>
      </c>
      <c r="G37" s="47" t="n">
        <v>0.005</v>
      </c>
      <c r="H37" s="46" t="n">
        <v>1.35</v>
      </c>
      <c r="I37" s="13" t="n">
        <v>20000</v>
      </c>
      <c r="AB37" s="2" t="inlineStr">
        <is>
          <t>Placeholder</t>
        </is>
      </c>
      <c r="AC37" s="2" t="inlineStr">
        <is>
          <t>2026-10</t>
        </is>
      </c>
    </row>
    <row r="38">
      <c r="A38" s="4" t="inlineStr">
        <is>
          <t>TX|Harris|Houston</t>
        </is>
      </c>
      <c r="B38" s="2" t="inlineStr">
        <is>
          <t>City</t>
        </is>
      </c>
      <c r="C38" s="2" t="inlineStr">
        <is>
          <t>City of Houston</t>
        </is>
      </c>
      <c r="Q38" s="6" t="inlineStr">
        <is>
          <t>N</t>
        </is>
      </c>
      <c r="AB38" s="2" t="inlineStr">
        <is>
          <t>Placeholder</t>
        </is>
      </c>
      <c r="AC38" s="2" t="inlineStr">
        <is>
          <t>2026-10</t>
        </is>
      </c>
      <c r="AD38" s="2" t="inlineStr">
        <is>
          <t>No zoning; deed restrictions enforced by the city</t>
        </is>
      </c>
    </row>
    <row r="39">
      <c r="A39" s="4" t="inlineStr">
        <is>
          <t>TX|Grayson|Sherman</t>
        </is>
      </c>
      <c r="B39" s="2" t="inlineStr">
        <is>
          <t>City</t>
        </is>
      </c>
      <c r="C39" s="2" t="inlineStr">
        <is>
          <t>City of Sherman</t>
        </is>
      </c>
      <c r="P39" s="13" t="n">
        <v>4000</v>
      </c>
      <c r="AB39" s="2" t="inlineStr">
        <is>
          <t>Placeholder</t>
        </is>
      </c>
      <c r="AC39" s="2" t="inlineStr">
        <is>
          <t>2026-10</t>
        </is>
      </c>
    </row>
  </sheetData>
  <dataValidations count="3">
    <dataValidation sqref="Q5:Q400" showDropDown="0" showInputMessage="0" showErrorMessage="0" allowBlank="1" type="list">
      <formula1>=Lookups!$C$5:$C$6</formula1>
    </dataValidation>
    <dataValidation sqref="R5:R400" showDropDown="0" showInputMessage="0" showErrorMessage="0" allowBlank="1" type="list">
      <formula1>=Lookups!$C$5:$C$6</formula1>
    </dataValidation>
    <dataValidation sqref="S5:S400" showDropDown="0" showInputMessage="0" showErrorMessage="0" allowBlank="1" type="list">
      <formula1>=Lookups!$C$5:$C$6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2" customWidth="1" min="4" max="4"/>
    <col width="9" customWidth="1" min="5" max="5"/>
    <col width="7" customWidth="1" min="6" max="6"/>
    <col width="15" customWidth="1" min="7" max="7"/>
    <col width="10" customWidth="1" min="8" max="8"/>
    <col width="30" customWidth="1" min="9" max="9"/>
    <col width="8" customWidth="1" min="10" max="10"/>
    <col width="60" customWidth="1" min="11" max="11"/>
  </cols>
  <sheetData>
    <row r="1">
      <c r="A1" s="1" t="inlineStr">
        <is>
          <t>Market Data - local comps and pooled benchmarks by location x use x field</t>
        </is>
      </c>
    </row>
    <row r="2">
      <c r="A2" s="2" t="inlineStr">
        <is>
          <t>Values here are LOCAL (not indexed). Pooled rows count only with enough records and orgs (Assumptions). Example rows - placeholders.</t>
        </is>
      </c>
    </row>
    <row r="4" ht="32" customHeight="1">
      <c r="A4" s="8" t="inlineStr">
        <is>
          <t>Region key</t>
        </is>
      </c>
      <c r="B4" s="8" t="inlineStr">
        <is>
          <t>Use</t>
        </is>
      </c>
      <c r="C4" s="8" t="inlineStr">
        <is>
          <t>Field</t>
        </is>
      </c>
      <c r="D4" s="8" t="inlineStr">
        <is>
          <t>Value</t>
        </is>
      </c>
      <c r="E4" s="8" t="inlineStr">
        <is>
          <t>Records</t>
        </is>
      </c>
      <c r="F4" s="8" t="inlineStr">
        <is>
          <t>Orgs</t>
        </is>
      </c>
      <c r="G4" s="8" t="inlineStr">
        <is>
          <t>Layer</t>
        </is>
      </c>
      <c r="H4" s="8" t="inlineStr">
        <is>
          <t>As of</t>
        </is>
      </c>
      <c r="I4" s="8" t="inlineStr">
        <is>
          <t>Source</t>
        </is>
      </c>
      <c r="J4" s="8" t="inlineStr">
        <is>
          <t>Valid</t>
        </is>
      </c>
      <c r="K4" s="8" t="inlineStr">
        <is>
          <t>Lookup key</t>
        </is>
      </c>
    </row>
    <row r="5">
      <c r="A5" s="43" t="inlineStr">
        <is>
          <t>TX|Collin</t>
        </is>
      </c>
      <c r="B5" s="43" t="inlineStr">
        <is>
          <t>Homesites (stick-built, for sale)</t>
        </is>
      </c>
      <c r="C5" s="43" t="inlineStr">
        <is>
          <t>saleprice</t>
        </is>
      </c>
      <c r="D5" s="44" t="n">
        <v>520000</v>
      </c>
      <c r="E5" s="43" t="n">
        <v>42</v>
      </c>
      <c r="F5" s="43" t="n">
        <v>1</v>
      </c>
      <c r="G5" s="43" t="inlineStr">
        <is>
          <t>Landova comps</t>
        </is>
      </c>
      <c r="H5" s="43" t="inlineStr">
        <is>
          <t>2026-09</t>
        </is>
      </c>
      <c r="I5" s="43" t="inlineStr">
        <is>
          <t>MLS closed sales, 12 mo</t>
        </is>
      </c>
      <c r="J5" s="9">
        <f>IF(A5="","",IF(G5="Pooled",AND(E5&gt;=Assumptions!$C$34,F5&gt;=Assumptions!$C$35),TRUE))</f>
        <v/>
      </c>
      <c r="K5" s="2">
        <f>IF(J5=TRUE,A5&amp;"|"&amp;B5&amp;"|"&amp;C5,"")</f>
        <v/>
      </c>
    </row>
    <row r="6">
      <c r="A6" s="43" t="inlineStr">
        <is>
          <t>TX|Collin</t>
        </is>
      </c>
      <c r="B6" s="43" t="inlineStr">
        <is>
          <t>Finished / entitled lots</t>
        </is>
      </c>
      <c r="C6" s="43" t="inlineStr">
        <is>
          <t>lotprice</t>
        </is>
      </c>
      <c r="D6" s="44" t="n">
        <v>110000</v>
      </c>
      <c r="E6" s="43" t="n">
        <v>11</v>
      </c>
      <c r="F6" s="43" t="n">
        <v>1</v>
      </c>
      <c r="G6" s="43" t="inlineStr">
        <is>
          <t>Landova comps</t>
        </is>
      </c>
      <c r="H6" s="43" t="inlineStr">
        <is>
          <t>2026-09</t>
        </is>
      </c>
      <c r="I6" s="43" t="inlineStr">
        <is>
          <t>Lot takedown comps</t>
        </is>
      </c>
      <c r="J6" s="9">
        <f>IF(A6="","",IF(G6="Pooled",AND(E6&gt;=Assumptions!$C$34,F6&gt;=Assumptions!$C$35),TRUE))</f>
        <v/>
      </c>
      <c r="K6" s="2">
        <f>IF(J6=TRUE,A6&amp;"|"&amp;B6&amp;"|"&amp;C6,"")</f>
        <v/>
      </c>
    </row>
    <row r="7">
      <c r="A7" s="43" t="inlineStr">
        <is>
          <t>TX|Grayson</t>
        </is>
      </c>
      <c r="B7" s="43" t="inlineStr">
        <is>
          <t>Boat &amp; RV storage</t>
        </is>
      </c>
      <c r="C7" s="43" t="inlineStr">
        <is>
          <t>rent</t>
        </is>
      </c>
      <c r="D7" s="44" t="n">
        <v>1380</v>
      </c>
      <c r="E7" s="43" t="n">
        <v>12</v>
      </c>
      <c r="F7" s="43" t="n">
        <v>4</v>
      </c>
      <c r="G7" s="43" t="inlineStr">
        <is>
          <t>Pooled</t>
        </is>
      </c>
      <c r="H7" s="43" t="inlineStr">
        <is>
          <t>2026-08</t>
        </is>
      </c>
      <c r="I7" s="43" t="inlineStr">
        <is>
          <t>Pooled rent rolls</t>
        </is>
      </c>
      <c r="J7" s="9">
        <f>IF(A7="","",IF(G7="Pooled",AND(E7&gt;=Assumptions!$C$34,F7&gt;=Assumptions!$C$35),TRUE))</f>
        <v/>
      </c>
      <c r="K7" s="2">
        <f>IF(J7=TRUE,A7&amp;"|"&amp;B7&amp;"|"&amp;C7,"")</f>
        <v/>
      </c>
    </row>
    <row r="8">
      <c r="A8" s="43" t="inlineStr">
        <is>
          <t>TX|Grayson</t>
        </is>
      </c>
      <c r="B8" s="43" t="inlineStr">
        <is>
          <t>Workforce / extended-stay RV park</t>
        </is>
      </c>
      <c r="C8" s="43" t="inlineStr">
        <is>
          <t>rent</t>
        </is>
      </c>
      <c r="D8" s="44" t="n">
        <v>8400</v>
      </c>
      <c r="E8" s="43" t="n">
        <v>3</v>
      </c>
      <c r="F8" s="43" t="n">
        <v>2</v>
      </c>
      <c r="G8" s="43" t="inlineStr">
        <is>
          <t>Pooled</t>
        </is>
      </c>
      <c r="H8" s="43" t="inlineStr">
        <is>
          <t>2026-08</t>
        </is>
      </c>
      <c r="I8" s="43" t="inlineStr">
        <is>
          <t>Suppressed: too few records</t>
        </is>
      </c>
      <c r="J8" s="9">
        <f>IF(A8="","",IF(G8="Pooled",AND(E8&gt;=Assumptions!$C$34,F8&gt;=Assumptions!$C$35),TRUE))</f>
        <v/>
      </c>
      <c r="K8" s="2">
        <f>IF(J8=TRUE,A8&amp;"|"&amp;B8&amp;"|"&amp;C8,"")</f>
        <v/>
      </c>
    </row>
    <row r="9">
      <c r="A9" s="43" t="inlineStr">
        <is>
          <t>TX|Midland</t>
        </is>
      </c>
      <c r="B9" s="43" t="inlineStr">
        <is>
          <t>Workforce / extended-stay RV park</t>
        </is>
      </c>
      <c r="C9" s="43" t="inlineStr">
        <is>
          <t>rent</t>
        </is>
      </c>
      <c r="D9" s="44" t="n">
        <v>10800</v>
      </c>
      <c r="E9" s="43" t="n">
        <v>9</v>
      </c>
      <c r="F9" s="43" t="n">
        <v>3</v>
      </c>
      <c r="G9" s="43" t="inlineStr">
        <is>
          <t>Pooled</t>
        </is>
      </c>
      <c r="H9" s="43" t="inlineStr">
        <is>
          <t>2026-07</t>
        </is>
      </c>
      <c r="I9" s="43" t="inlineStr">
        <is>
          <t>Pooled rent rolls</t>
        </is>
      </c>
      <c r="J9" s="9">
        <f>IF(A9="","",IF(G9="Pooled",AND(E9&gt;=Assumptions!$C$34,F9&gt;=Assumptions!$C$35),TRUE))</f>
        <v/>
      </c>
      <c r="K9" s="2">
        <f>IF(J9=TRUE,A9&amp;"|"&amp;B9&amp;"|"&amp;C9,"")</f>
        <v/>
      </c>
    </row>
    <row r="10">
      <c r="A10" s="43" t="inlineStr">
        <is>
          <t>TX|Grayson</t>
        </is>
      </c>
      <c r="B10" s="43" t="inlineStr">
        <is>
          <t>Frontage split lots (no new road)</t>
        </is>
      </c>
      <c r="C10" s="43" t="inlineStr">
        <is>
          <t>landac</t>
        </is>
      </c>
      <c r="D10" s="44" t="n">
        <v>16500</v>
      </c>
      <c r="E10" s="43" t="n">
        <v>18</v>
      </c>
      <c r="F10" s="43" t="n">
        <v>1</v>
      </c>
      <c r="G10" s="43" t="inlineStr">
        <is>
          <t>Landova comps</t>
        </is>
      </c>
      <c r="H10" s="43" t="inlineStr">
        <is>
          <t>2026-09</t>
        </is>
      </c>
      <c r="I10" s="43" t="inlineStr">
        <is>
          <t>Rural 2-10 ac sales</t>
        </is>
      </c>
      <c r="J10" s="9">
        <f>IF(A10="","",IF(G10="Pooled",AND(E10&gt;=Assumptions!$C$34,F10&gt;=Assumptions!$C$35),TRUE))</f>
        <v/>
      </c>
      <c r="K10" s="2">
        <f>IF(J10=TRUE,A10&amp;"|"&amp;B10&amp;"|"&amp;C10,"")</f>
        <v/>
      </c>
    </row>
    <row r="11">
      <c r="A11" s="43" t="inlineStr">
        <is>
          <t>TX</t>
        </is>
      </c>
      <c r="B11" s="43" t="inlineStr">
        <is>
          <t>Manufactured home community (MHC)</t>
        </is>
      </c>
      <c r="C11" s="43" t="inlineStr">
        <is>
          <t>cap</t>
        </is>
      </c>
      <c r="D11" s="48" t="n">
        <v>0.07000000000000001</v>
      </c>
      <c r="E11" s="43" t="n">
        <v>25</v>
      </c>
      <c r="F11" s="43" t="n">
        <v>1</v>
      </c>
      <c r="G11" s="43" t="inlineStr">
        <is>
          <t>Landova comps</t>
        </is>
      </c>
      <c r="H11" s="43" t="inlineStr">
        <is>
          <t>2026-06</t>
        </is>
      </c>
      <c r="I11" s="43" t="inlineStr">
        <is>
          <t>Statewide MHC trades</t>
        </is>
      </c>
      <c r="J11" s="9">
        <f>IF(A11="","",IF(G11="Pooled",AND(E11&gt;=Assumptions!$C$34,F11&gt;=Assumptions!$C$35),TRUE))</f>
        <v/>
      </c>
      <c r="K11" s="2">
        <f>IF(J11=TRUE,A11&amp;"|"&amp;B11&amp;"|"&amp;C11,"")</f>
        <v/>
      </c>
    </row>
    <row r="12">
      <c r="J12" s="9">
        <f>IF(A12="","",IF(G12="Pooled",AND(E12&gt;=Assumptions!$C$34,F12&gt;=Assumptions!$C$35),TRUE))</f>
        <v/>
      </c>
      <c r="K12" s="2">
        <f>IF(J12=TRUE,A12&amp;"|"&amp;B12&amp;"|"&amp;C12,"")</f>
        <v/>
      </c>
    </row>
    <row r="13">
      <c r="J13" s="9">
        <f>IF(A13="","",IF(G13="Pooled",AND(E13&gt;=Assumptions!$C$34,F13&gt;=Assumptions!$C$35),TRUE))</f>
        <v/>
      </c>
      <c r="K13" s="2">
        <f>IF(J13=TRUE,A13&amp;"|"&amp;B13&amp;"|"&amp;C13,"")</f>
        <v/>
      </c>
    </row>
    <row r="14">
      <c r="J14" s="9">
        <f>IF(A14="","",IF(G14="Pooled",AND(E14&gt;=Assumptions!$C$34,F14&gt;=Assumptions!$C$35),TRUE))</f>
        <v/>
      </c>
      <c r="K14" s="2">
        <f>IF(J14=TRUE,A14&amp;"|"&amp;B14&amp;"|"&amp;C14,"")</f>
        <v/>
      </c>
    </row>
    <row r="15">
      <c r="J15" s="9">
        <f>IF(A15="","",IF(G15="Pooled",AND(E15&gt;=Assumptions!$C$34,F15&gt;=Assumptions!$C$35),TRUE))</f>
        <v/>
      </c>
      <c r="K15" s="2">
        <f>IF(J15=TRUE,A15&amp;"|"&amp;B15&amp;"|"&amp;C15,"")</f>
        <v/>
      </c>
    </row>
    <row r="16">
      <c r="J16" s="9">
        <f>IF(A16="","",IF(G16="Pooled",AND(E16&gt;=Assumptions!$C$34,F16&gt;=Assumptions!$C$35),TRUE))</f>
        <v/>
      </c>
      <c r="K16" s="2">
        <f>IF(J16=TRUE,A16&amp;"|"&amp;B16&amp;"|"&amp;C16,"")</f>
        <v/>
      </c>
    </row>
    <row r="17">
      <c r="J17" s="9">
        <f>IF(A17="","",IF(G17="Pooled",AND(E17&gt;=Assumptions!$C$34,F17&gt;=Assumptions!$C$35),TRUE))</f>
        <v/>
      </c>
      <c r="K17" s="2">
        <f>IF(J17=TRUE,A17&amp;"|"&amp;B17&amp;"|"&amp;C17,"")</f>
        <v/>
      </c>
    </row>
    <row r="18">
      <c r="J18" s="9">
        <f>IF(A18="","",IF(G18="Pooled",AND(E18&gt;=Assumptions!$C$34,F18&gt;=Assumptions!$C$35),TRUE))</f>
        <v/>
      </c>
      <c r="K18" s="2">
        <f>IF(J18=TRUE,A18&amp;"|"&amp;B18&amp;"|"&amp;C18,"")</f>
        <v/>
      </c>
    </row>
    <row r="19">
      <c r="J19" s="9">
        <f>IF(A19="","",IF(G19="Pooled",AND(E19&gt;=Assumptions!$C$34,F19&gt;=Assumptions!$C$35),TRUE))</f>
        <v/>
      </c>
      <c r="K19" s="2">
        <f>IF(J19=TRUE,A19&amp;"|"&amp;B19&amp;"|"&amp;C19,"")</f>
        <v/>
      </c>
    </row>
    <row r="20">
      <c r="J20" s="9">
        <f>IF(A20="","",IF(G20="Pooled",AND(E20&gt;=Assumptions!$C$34,F20&gt;=Assumptions!$C$35),TRUE))</f>
        <v/>
      </c>
      <c r="K20" s="2">
        <f>IF(J20=TRUE,A20&amp;"|"&amp;B20&amp;"|"&amp;C20,"")</f>
        <v/>
      </c>
    </row>
    <row r="21">
      <c r="J21" s="9">
        <f>IF(A21="","",IF(G21="Pooled",AND(E21&gt;=Assumptions!$C$34,F21&gt;=Assumptions!$C$35),TRUE))</f>
        <v/>
      </c>
      <c r="K21" s="2">
        <f>IF(J21=TRUE,A21&amp;"|"&amp;B21&amp;"|"&amp;C21,"")</f>
        <v/>
      </c>
    </row>
    <row r="22">
      <c r="J22" s="9">
        <f>IF(A22="","",IF(G22="Pooled",AND(E22&gt;=Assumptions!$C$34,F22&gt;=Assumptions!$C$35),TRUE))</f>
        <v/>
      </c>
      <c r="K22" s="2">
        <f>IF(J22=TRUE,A22&amp;"|"&amp;B22&amp;"|"&amp;C22,"")</f>
        <v/>
      </c>
    </row>
    <row r="23">
      <c r="J23" s="9">
        <f>IF(A23="","",IF(G23="Pooled",AND(E23&gt;=Assumptions!$C$34,F23&gt;=Assumptions!$C$35),TRUE))</f>
        <v/>
      </c>
      <c r="K23" s="2">
        <f>IF(J23=TRUE,A23&amp;"|"&amp;B23&amp;"|"&amp;C23,"")</f>
        <v/>
      </c>
    </row>
    <row r="24">
      <c r="J24" s="9">
        <f>IF(A24="","",IF(G24="Pooled",AND(E24&gt;=Assumptions!$C$34,F24&gt;=Assumptions!$C$35),TRUE))</f>
        <v/>
      </c>
      <c r="K24" s="2">
        <f>IF(J24=TRUE,A24&amp;"|"&amp;B24&amp;"|"&amp;C24,"")</f>
        <v/>
      </c>
    </row>
    <row r="25">
      <c r="J25" s="9">
        <f>IF(A25="","",IF(G25="Pooled",AND(E25&gt;=Assumptions!$C$34,F25&gt;=Assumptions!$C$35),TRUE))</f>
        <v/>
      </c>
      <c r="K25" s="2">
        <f>IF(J25=TRUE,A25&amp;"|"&amp;B25&amp;"|"&amp;C25,"")</f>
        <v/>
      </c>
    </row>
    <row r="26">
      <c r="J26" s="9">
        <f>IF(A26="","",IF(G26="Pooled",AND(E26&gt;=Assumptions!$C$34,F26&gt;=Assumptions!$C$35),TRUE))</f>
        <v/>
      </c>
      <c r="K26" s="2">
        <f>IF(J26=TRUE,A26&amp;"|"&amp;B26&amp;"|"&amp;C26,"")</f>
        <v/>
      </c>
    </row>
    <row r="27">
      <c r="J27" s="9">
        <f>IF(A27="","",IF(G27="Pooled",AND(E27&gt;=Assumptions!$C$34,F27&gt;=Assumptions!$C$35),TRUE))</f>
        <v/>
      </c>
      <c r="K27" s="2">
        <f>IF(J27=TRUE,A27&amp;"|"&amp;B27&amp;"|"&amp;C27,"")</f>
        <v/>
      </c>
    </row>
    <row r="28">
      <c r="J28" s="9">
        <f>IF(A28="","",IF(G28="Pooled",AND(E28&gt;=Assumptions!$C$34,F28&gt;=Assumptions!$C$35),TRUE))</f>
        <v/>
      </c>
      <c r="K28" s="2">
        <f>IF(J28=TRUE,A28&amp;"|"&amp;B28&amp;"|"&amp;C28,"")</f>
        <v/>
      </c>
    </row>
    <row r="29">
      <c r="J29" s="9">
        <f>IF(A29="","",IF(G29="Pooled",AND(E29&gt;=Assumptions!$C$34,F29&gt;=Assumptions!$C$35),TRUE))</f>
        <v/>
      </c>
      <c r="K29" s="2">
        <f>IF(J29=TRUE,A29&amp;"|"&amp;B29&amp;"|"&amp;C29,"")</f>
        <v/>
      </c>
    </row>
    <row r="30">
      <c r="J30" s="9">
        <f>IF(A30="","",IF(G30="Pooled",AND(E30&gt;=Assumptions!$C$34,F30&gt;=Assumptions!$C$35),TRUE))</f>
        <v/>
      </c>
      <c r="K30" s="2">
        <f>IF(J30=TRUE,A30&amp;"|"&amp;B30&amp;"|"&amp;C30,"")</f>
        <v/>
      </c>
    </row>
    <row r="31">
      <c r="J31" s="9">
        <f>IF(A31="","",IF(G31="Pooled",AND(E31&gt;=Assumptions!$C$34,F31&gt;=Assumptions!$C$35),TRUE))</f>
        <v/>
      </c>
      <c r="K31" s="2">
        <f>IF(J31=TRUE,A31&amp;"|"&amp;B31&amp;"|"&amp;C31,"")</f>
        <v/>
      </c>
    </row>
    <row r="32">
      <c r="J32" s="9">
        <f>IF(A32="","",IF(G32="Pooled",AND(E32&gt;=Assumptions!$C$34,F32&gt;=Assumptions!$C$35),TRUE))</f>
        <v/>
      </c>
      <c r="K32" s="2">
        <f>IF(J32=TRUE,A32&amp;"|"&amp;B32&amp;"|"&amp;C32,"")</f>
        <v/>
      </c>
    </row>
    <row r="33">
      <c r="J33" s="9">
        <f>IF(A33="","",IF(G33="Pooled",AND(E33&gt;=Assumptions!$C$34,F33&gt;=Assumptions!$C$35),TRUE))</f>
        <v/>
      </c>
      <c r="K33" s="2">
        <f>IF(J33=TRUE,A33&amp;"|"&amp;B33&amp;"|"&amp;C33,"")</f>
        <v/>
      </c>
    </row>
    <row r="34">
      <c r="J34" s="9">
        <f>IF(A34="","",IF(G34="Pooled",AND(E34&gt;=Assumptions!$C$34,F34&gt;=Assumptions!$C$35),TRUE))</f>
        <v/>
      </c>
      <c r="K34" s="2">
        <f>IF(J34=TRUE,A34&amp;"|"&amp;B34&amp;"|"&amp;C34,"")</f>
        <v/>
      </c>
    </row>
    <row r="35">
      <c r="J35" s="9">
        <f>IF(A35="","",IF(G35="Pooled",AND(E35&gt;=Assumptions!$C$34,F35&gt;=Assumptions!$C$35),TRUE))</f>
        <v/>
      </c>
      <c r="K35" s="2">
        <f>IF(J35=TRUE,A35&amp;"|"&amp;B35&amp;"|"&amp;C35,"")</f>
        <v/>
      </c>
    </row>
    <row r="36">
      <c r="J36" s="9">
        <f>IF(A36="","",IF(G36="Pooled",AND(E36&gt;=Assumptions!$C$34,F36&gt;=Assumptions!$C$35),TRUE))</f>
        <v/>
      </c>
      <c r="K36" s="2">
        <f>IF(J36=TRUE,A36&amp;"|"&amp;B36&amp;"|"&amp;C36,"")</f>
        <v/>
      </c>
    </row>
    <row r="37">
      <c r="J37" s="9">
        <f>IF(A37="","",IF(G37="Pooled",AND(E37&gt;=Assumptions!$C$34,F37&gt;=Assumptions!$C$35),TRUE))</f>
        <v/>
      </c>
      <c r="K37" s="2">
        <f>IF(J37=TRUE,A37&amp;"|"&amp;B37&amp;"|"&amp;C37,"")</f>
        <v/>
      </c>
    </row>
    <row r="38">
      <c r="J38" s="9">
        <f>IF(A38="","",IF(G38="Pooled",AND(E38&gt;=Assumptions!$C$34,F38&gt;=Assumptions!$C$35),TRUE))</f>
        <v/>
      </c>
      <c r="K38" s="2">
        <f>IF(J38=TRUE,A38&amp;"|"&amp;B38&amp;"|"&amp;C38,"")</f>
        <v/>
      </c>
    </row>
    <row r="39">
      <c r="J39" s="9">
        <f>IF(A39="","",IF(G39="Pooled",AND(E39&gt;=Assumptions!$C$34,F39&gt;=Assumptions!$C$35),TRUE))</f>
        <v/>
      </c>
      <c r="K39" s="2">
        <f>IF(J39=TRUE,A39&amp;"|"&amp;B39&amp;"|"&amp;C39,"")</f>
        <v/>
      </c>
    </row>
    <row r="40">
      <c r="J40" s="9">
        <f>IF(A40="","",IF(G40="Pooled",AND(E40&gt;=Assumptions!$C$34,F40&gt;=Assumptions!$C$35),TRUE))</f>
        <v/>
      </c>
      <c r="K40" s="2">
        <f>IF(J40=TRUE,A40&amp;"|"&amp;B40&amp;"|"&amp;C40,"")</f>
        <v/>
      </c>
    </row>
    <row r="41">
      <c r="J41" s="9">
        <f>IF(A41="","",IF(G41="Pooled",AND(E41&gt;=Assumptions!$C$34,F41&gt;=Assumptions!$C$35),TRUE))</f>
        <v/>
      </c>
      <c r="K41" s="2">
        <f>IF(J41=TRUE,A41&amp;"|"&amp;B41&amp;"|"&amp;C41,"")</f>
        <v/>
      </c>
    </row>
    <row r="42">
      <c r="J42" s="9">
        <f>IF(A42="","",IF(G42="Pooled",AND(E42&gt;=Assumptions!$C$34,F42&gt;=Assumptions!$C$35),TRUE))</f>
        <v/>
      </c>
      <c r="K42" s="2">
        <f>IF(J42=TRUE,A42&amp;"|"&amp;B42&amp;"|"&amp;C42,"")</f>
        <v/>
      </c>
    </row>
    <row r="43">
      <c r="J43" s="9">
        <f>IF(A43="","",IF(G43="Pooled",AND(E43&gt;=Assumptions!$C$34,F43&gt;=Assumptions!$C$35),TRUE))</f>
        <v/>
      </c>
      <c r="K43" s="2">
        <f>IF(J43=TRUE,A43&amp;"|"&amp;B43&amp;"|"&amp;C43,"")</f>
        <v/>
      </c>
    </row>
    <row r="44">
      <c r="J44" s="9">
        <f>IF(A44="","",IF(G44="Pooled",AND(E44&gt;=Assumptions!$C$34,F44&gt;=Assumptions!$C$35),TRUE))</f>
        <v/>
      </c>
      <c r="K44" s="2">
        <f>IF(J44=TRUE,A44&amp;"|"&amp;B44&amp;"|"&amp;C44,"")</f>
        <v/>
      </c>
    </row>
    <row r="45">
      <c r="J45" s="9">
        <f>IF(A45="","",IF(G45="Pooled",AND(E45&gt;=Assumptions!$C$34,F45&gt;=Assumptions!$C$35),TRUE))</f>
        <v/>
      </c>
      <c r="K45" s="2">
        <f>IF(J45=TRUE,A45&amp;"|"&amp;B45&amp;"|"&amp;C45,"")</f>
        <v/>
      </c>
    </row>
    <row r="46">
      <c r="J46" s="9">
        <f>IF(A46="","",IF(G46="Pooled",AND(E46&gt;=Assumptions!$C$34,F46&gt;=Assumptions!$C$35),TRUE))</f>
        <v/>
      </c>
      <c r="K46" s="2">
        <f>IF(J46=TRUE,A46&amp;"|"&amp;B46&amp;"|"&amp;C46,"")</f>
        <v/>
      </c>
    </row>
    <row r="47">
      <c r="J47" s="9">
        <f>IF(A47="","",IF(G47="Pooled",AND(E47&gt;=Assumptions!$C$34,F47&gt;=Assumptions!$C$35),TRUE))</f>
        <v/>
      </c>
      <c r="K47" s="2">
        <f>IF(J47=TRUE,A47&amp;"|"&amp;B47&amp;"|"&amp;C47,"")</f>
        <v/>
      </c>
    </row>
    <row r="48">
      <c r="J48" s="9">
        <f>IF(A48="","",IF(G48="Pooled",AND(E48&gt;=Assumptions!$C$34,F48&gt;=Assumptions!$C$35),TRUE))</f>
        <v/>
      </c>
      <c r="K48" s="2">
        <f>IF(J48=TRUE,A48&amp;"|"&amp;B48&amp;"|"&amp;C48,"")</f>
        <v/>
      </c>
    </row>
    <row r="49">
      <c r="J49" s="9">
        <f>IF(A49="","",IF(G49="Pooled",AND(E49&gt;=Assumptions!$C$34,F49&gt;=Assumptions!$C$35),TRUE))</f>
        <v/>
      </c>
      <c r="K49" s="2">
        <f>IF(J49=TRUE,A49&amp;"|"&amp;B49&amp;"|"&amp;C49,"")</f>
        <v/>
      </c>
    </row>
    <row r="50">
      <c r="J50" s="9">
        <f>IF(A50="","",IF(G50="Pooled",AND(E50&gt;=Assumptions!$C$34,F50&gt;=Assumptions!$C$35),TRUE))</f>
        <v/>
      </c>
      <c r="K50" s="2">
        <f>IF(J50=TRUE,A50&amp;"|"&amp;B50&amp;"|"&amp;C50,"")</f>
        <v/>
      </c>
    </row>
    <row r="51">
      <c r="J51" s="9">
        <f>IF(A51="","",IF(G51="Pooled",AND(E51&gt;=Assumptions!$C$34,F51&gt;=Assumptions!$C$35),TRUE))</f>
        <v/>
      </c>
      <c r="K51" s="2">
        <f>IF(J51=TRUE,A51&amp;"|"&amp;B51&amp;"|"&amp;C51,"")</f>
        <v/>
      </c>
    </row>
    <row r="52">
      <c r="J52" s="9">
        <f>IF(A52="","",IF(G52="Pooled",AND(E52&gt;=Assumptions!$C$34,F52&gt;=Assumptions!$C$35),TRUE))</f>
        <v/>
      </c>
      <c r="K52" s="2">
        <f>IF(J52=TRUE,A52&amp;"|"&amp;B52&amp;"|"&amp;C52,"")</f>
        <v/>
      </c>
    </row>
    <row r="53">
      <c r="J53" s="9">
        <f>IF(A53="","",IF(G53="Pooled",AND(E53&gt;=Assumptions!$C$34,F53&gt;=Assumptions!$C$35),TRUE))</f>
        <v/>
      </c>
      <c r="K53" s="2">
        <f>IF(J53=TRUE,A53&amp;"|"&amp;B53&amp;"|"&amp;C53,"")</f>
        <v/>
      </c>
    </row>
    <row r="54">
      <c r="J54" s="9">
        <f>IF(A54="","",IF(G54="Pooled",AND(E54&gt;=Assumptions!$C$34,F54&gt;=Assumptions!$C$35),TRUE))</f>
        <v/>
      </c>
      <c r="K54" s="2">
        <f>IF(J54=TRUE,A54&amp;"|"&amp;B54&amp;"|"&amp;C54,"")</f>
        <v/>
      </c>
    </row>
    <row r="55">
      <c r="J55" s="9">
        <f>IF(A55="","",IF(G55="Pooled",AND(E55&gt;=Assumptions!$C$34,F55&gt;=Assumptions!$C$35),TRUE))</f>
        <v/>
      </c>
      <c r="K55" s="2">
        <f>IF(J55=TRUE,A55&amp;"|"&amp;B55&amp;"|"&amp;C55,"")</f>
        <v/>
      </c>
    </row>
    <row r="56">
      <c r="J56" s="9">
        <f>IF(A56="","",IF(G56="Pooled",AND(E56&gt;=Assumptions!$C$34,F56&gt;=Assumptions!$C$35),TRUE))</f>
        <v/>
      </c>
      <c r="K56" s="2">
        <f>IF(J56=TRUE,A56&amp;"|"&amp;B56&amp;"|"&amp;C56,"")</f>
        <v/>
      </c>
    </row>
    <row r="57">
      <c r="J57" s="9">
        <f>IF(A57="","",IF(G57="Pooled",AND(E57&gt;=Assumptions!$C$34,F57&gt;=Assumptions!$C$35),TRUE))</f>
        <v/>
      </c>
      <c r="K57" s="2">
        <f>IF(J57=TRUE,A57&amp;"|"&amp;B57&amp;"|"&amp;C57,"")</f>
        <v/>
      </c>
    </row>
    <row r="58">
      <c r="J58" s="9">
        <f>IF(A58="","",IF(G58="Pooled",AND(E58&gt;=Assumptions!$C$34,F58&gt;=Assumptions!$C$35),TRUE))</f>
        <v/>
      </c>
      <c r="K58" s="2">
        <f>IF(J58=TRUE,A58&amp;"|"&amp;B58&amp;"|"&amp;C58,"")</f>
        <v/>
      </c>
    </row>
    <row r="59">
      <c r="J59" s="9">
        <f>IF(A59="","",IF(G59="Pooled",AND(E59&gt;=Assumptions!$C$34,F59&gt;=Assumptions!$C$35),TRUE))</f>
        <v/>
      </c>
      <c r="K59" s="2">
        <f>IF(J59=TRUE,A59&amp;"|"&amp;B59&amp;"|"&amp;C59,"")</f>
        <v/>
      </c>
    </row>
    <row r="60">
      <c r="J60" s="9">
        <f>IF(A60="","",IF(G60="Pooled",AND(E60&gt;=Assumptions!$C$34,F60&gt;=Assumptions!$C$35),TRUE))</f>
        <v/>
      </c>
      <c r="K60" s="2">
        <f>IF(J60=TRUE,A60&amp;"|"&amp;B60&amp;"|"&amp;C60,"")</f>
        <v/>
      </c>
    </row>
    <row r="61">
      <c r="J61" s="9">
        <f>IF(A61="","",IF(G61="Pooled",AND(E61&gt;=Assumptions!$C$34,F61&gt;=Assumptions!$C$35),TRUE))</f>
        <v/>
      </c>
      <c r="K61" s="2">
        <f>IF(J61=TRUE,A61&amp;"|"&amp;B61&amp;"|"&amp;C61,"")</f>
        <v/>
      </c>
    </row>
    <row r="62">
      <c r="J62" s="9">
        <f>IF(A62="","",IF(G62="Pooled",AND(E62&gt;=Assumptions!$C$34,F62&gt;=Assumptions!$C$35),TRUE))</f>
        <v/>
      </c>
      <c r="K62" s="2">
        <f>IF(J62=TRUE,A62&amp;"|"&amp;B62&amp;"|"&amp;C62,"")</f>
        <v/>
      </c>
    </row>
    <row r="63">
      <c r="J63" s="9">
        <f>IF(A63="","",IF(G63="Pooled",AND(E63&gt;=Assumptions!$C$34,F63&gt;=Assumptions!$C$35),TRUE))</f>
        <v/>
      </c>
      <c r="K63" s="2">
        <f>IF(J63=TRUE,A63&amp;"|"&amp;B63&amp;"|"&amp;C63,"")</f>
        <v/>
      </c>
    </row>
    <row r="64">
      <c r="J64" s="9">
        <f>IF(A64="","",IF(G64="Pooled",AND(E64&gt;=Assumptions!$C$34,F64&gt;=Assumptions!$C$35),TRUE))</f>
        <v/>
      </c>
      <c r="K64" s="2">
        <f>IF(J64=TRUE,A64&amp;"|"&amp;B64&amp;"|"&amp;C64,"")</f>
        <v/>
      </c>
    </row>
    <row r="65">
      <c r="J65" s="9">
        <f>IF(A65="","",IF(G65="Pooled",AND(E65&gt;=Assumptions!$C$34,F65&gt;=Assumptions!$C$35),TRUE))</f>
        <v/>
      </c>
      <c r="K65" s="2">
        <f>IF(J65=TRUE,A65&amp;"|"&amp;B65&amp;"|"&amp;C65,"")</f>
        <v/>
      </c>
    </row>
    <row r="66">
      <c r="J66" s="9">
        <f>IF(A66="","",IF(G66="Pooled",AND(E66&gt;=Assumptions!$C$34,F66&gt;=Assumptions!$C$35),TRUE))</f>
        <v/>
      </c>
      <c r="K66" s="2">
        <f>IF(J66=TRUE,A66&amp;"|"&amp;B66&amp;"|"&amp;C66,"")</f>
        <v/>
      </c>
    </row>
    <row r="67">
      <c r="J67" s="9">
        <f>IF(A67="","",IF(G67="Pooled",AND(E67&gt;=Assumptions!$C$34,F67&gt;=Assumptions!$C$35),TRUE))</f>
        <v/>
      </c>
      <c r="K67" s="2">
        <f>IF(J67=TRUE,A67&amp;"|"&amp;B67&amp;"|"&amp;C67,"")</f>
        <v/>
      </c>
    </row>
    <row r="68">
      <c r="J68" s="9">
        <f>IF(A68="","",IF(G68="Pooled",AND(E68&gt;=Assumptions!$C$34,F68&gt;=Assumptions!$C$35),TRUE))</f>
        <v/>
      </c>
      <c r="K68" s="2">
        <f>IF(J68=TRUE,A68&amp;"|"&amp;B68&amp;"|"&amp;C68,"")</f>
        <v/>
      </c>
    </row>
    <row r="69">
      <c r="J69" s="9">
        <f>IF(A69="","",IF(G69="Pooled",AND(E69&gt;=Assumptions!$C$34,F69&gt;=Assumptions!$C$35),TRUE))</f>
        <v/>
      </c>
      <c r="K69" s="2">
        <f>IF(J69=TRUE,A69&amp;"|"&amp;B69&amp;"|"&amp;C69,"")</f>
        <v/>
      </c>
    </row>
    <row r="70">
      <c r="J70" s="9">
        <f>IF(A70="","",IF(G70="Pooled",AND(E70&gt;=Assumptions!$C$34,F70&gt;=Assumptions!$C$35),TRUE))</f>
        <v/>
      </c>
      <c r="K70" s="2">
        <f>IF(J70=TRUE,A70&amp;"|"&amp;B70&amp;"|"&amp;C70,"")</f>
        <v/>
      </c>
    </row>
    <row r="71">
      <c r="J71" s="9">
        <f>IF(A71="","",IF(G71="Pooled",AND(E71&gt;=Assumptions!$C$34,F71&gt;=Assumptions!$C$35),TRUE))</f>
        <v/>
      </c>
      <c r="K71" s="2">
        <f>IF(J71=TRUE,A71&amp;"|"&amp;B71&amp;"|"&amp;C71,"")</f>
        <v/>
      </c>
    </row>
    <row r="72">
      <c r="J72" s="9">
        <f>IF(A72="","",IF(G72="Pooled",AND(E72&gt;=Assumptions!$C$34,F72&gt;=Assumptions!$C$35),TRUE))</f>
        <v/>
      </c>
      <c r="K72" s="2">
        <f>IF(J72=TRUE,A72&amp;"|"&amp;B72&amp;"|"&amp;C72,"")</f>
        <v/>
      </c>
    </row>
    <row r="73">
      <c r="J73" s="9">
        <f>IF(A73="","",IF(G73="Pooled",AND(E73&gt;=Assumptions!$C$34,F73&gt;=Assumptions!$C$35),TRUE))</f>
        <v/>
      </c>
      <c r="K73" s="2">
        <f>IF(J73=TRUE,A73&amp;"|"&amp;B73&amp;"|"&amp;C73,"")</f>
        <v/>
      </c>
    </row>
    <row r="74">
      <c r="J74" s="9">
        <f>IF(A74="","",IF(G74="Pooled",AND(E74&gt;=Assumptions!$C$34,F74&gt;=Assumptions!$C$35),TRUE))</f>
        <v/>
      </c>
      <c r="K74" s="2">
        <f>IF(J74=TRUE,A74&amp;"|"&amp;B74&amp;"|"&amp;C74,"")</f>
        <v/>
      </c>
    </row>
    <row r="75">
      <c r="J75" s="9">
        <f>IF(A75="","",IF(G75="Pooled",AND(E75&gt;=Assumptions!$C$34,F75&gt;=Assumptions!$C$35),TRUE))</f>
        <v/>
      </c>
      <c r="K75" s="2">
        <f>IF(J75=TRUE,A75&amp;"|"&amp;B75&amp;"|"&amp;C75,"")</f>
        <v/>
      </c>
    </row>
    <row r="76">
      <c r="J76" s="9">
        <f>IF(A76="","",IF(G76="Pooled",AND(E76&gt;=Assumptions!$C$34,F76&gt;=Assumptions!$C$35),TRUE))</f>
        <v/>
      </c>
      <c r="K76" s="2">
        <f>IF(J76=TRUE,A76&amp;"|"&amp;B76&amp;"|"&amp;C76,"")</f>
        <v/>
      </c>
    </row>
    <row r="77">
      <c r="J77" s="9">
        <f>IF(A77="","",IF(G77="Pooled",AND(E77&gt;=Assumptions!$C$34,F77&gt;=Assumptions!$C$35),TRUE))</f>
        <v/>
      </c>
      <c r="K77" s="2">
        <f>IF(J77=TRUE,A77&amp;"|"&amp;B77&amp;"|"&amp;C77,"")</f>
        <v/>
      </c>
    </row>
    <row r="78">
      <c r="J78" s="9">
        <f>IF(A78="","",IF(G78="Pooled",AND(E78&gt;=Assumptions!$C$34,F78&gt;=Assumptions!$C$35),TRUE))</f>
        <v/>
      </c>
      <c r="K78" s="2">
        <f>IF(J78=TRUE,A78&amp;"|"&amp;B78&amp;"|"&amp;C78,"")</f>
        <v/>
      </c>
    </row>
    <row r="79">
      <c r="J79" s="9">
        <f>IF(A79="","",IF(G79="Pooled",AND(E79&gt;=Assumptions!$C$34,F79&gt;=Assumptions!$C$35),TRUE))</f>
        <v/>
      </c>
      <c r="K79" s="2">
        <f>IF(J79=TRUE,A79&amp;"|"&amp;B79&amp;"|"&amp;C79,"")</f>
        <v/>
      </c>
    </row>
    <row r="80">
      <c r="J80" s="9">
        <f>IF(A80="","",IF(G80="Pooled",AND(E80&gt;=Assumptions!$C$34,F80&gt;=Assumptions!$C$35),TRUE))</f>
        <v/>
      </c>
      <c r="K80" s="2">
        <f>IF(J80=TRUE,A80&amp;"|"&amp;B80&amp;"|"&amp;C80,"")</f>
        <v/>
      </c>
    </row>
    <row r="81">
      <c r="J81" s="9">
        <f>IF(A81="","",IF(G81="Pooled",AND(E81&gt;=Assumptions!$C$34,F81&gt;=Assumptions!$C$35),TRUE))</f>
        <v/>
      </c>
      <c r="K81" s="2">
        <f>IF(J81=TRUE,A81&amp;"|"&amp;B81&amp;"|"&amp;C81,"")</f>
        <v/>
      </c>
    </row>
    <row r="82">
      <c r="J82" s="9">
        <f>IF(A82="","",IF(G82="Pooled",AND(E82&gt;=Assumptions!$C$34,F82&gt;=Assumptions!$C$35),TRUE))</f>
        <v/>
      </c>
      <c r="K82" s="2">
        <f>IF(J82=TRUE,A82&amp;"|"&amp;B82&amp;"|"&amp;C82,"")</f>
        <v/>
      </c>
    </row>
    <row r="83">
      <c r="J83" s="9">
        <f>IF(A83="","",IF(G83="Pooled",AND(E83&gt;=Assumptions!$C$34,F83&gt;=Assumptions!$C$35),TRUE))</f>
        <v/>
      </c>
      <c r="K83" s="2">
        <f>IF(J83=TRUE,A83&amp;"|"&amp;B83&amp;"|"&amp;C83,"")</f>
        <v/>
      </c>
    </row>
    <row r="84">
      <c r="J84" s="9">
        <f>IF(A84="","",IF(G84="Pooled",AND(E84&gt;=Assumptions!$C$34,F84&gt;=Assumptions!$C$35),TRUE))</f>
        <v/>
      </c>
      <c r="K84" s="2">
        <f>IF(J84=TRUE,A84&amp;"|"&amp;B84&amp;"|"&amp;C84,"")</f>
        <v/>
      </c>
    </row>
    <row r="85">
      <c r="J85" s="9">
        <f>IF(A85="","",IF(G85="Pooled",AND(E85&gt;=Assumptions!$C$34,F85&gt;=Assumptions!$C$35),TRUE))</f>
        <v/>
      </c>
      <c r="K85" s="2">
        <f>IF(J85=TRUE,A85&amp;"|"&amp;B85&amp;"|"&amp;C85,"")</f>
        <v/>
      </c>
    </row>
    <row r="86">
      <c r="J86" s="9">
        <f>IF(A86="","",IF(G86="Pooled",AND(E86&gt;=Assumptions!$C$34,F86&gt;=Assumptions!$C$35),TRUE))</f>
        <v/>
      </c>
      <c r="K86" s="2">
        <f>IF(J86=TRUE,A86&amp;"|"&amp;B86&amp;"|"&amp;C86,"")</f>
        <v/>
      </c>
    </row>
    <row r="87">
      <c r="J87" s="9">
        <f>IF(A87="","",IF(G87="Pooled",AND(E87&gt;=Assumptions!$C$34,F87&gt;=Assumptions!$C$35),TRUE))</f>
        <v/>
      </c>
      <c r="K87" s="2">
        <f>IF(J87=TRUE,A87&amp;"|"&amp;B87&amp;"|"&amp;C87,"")</f>
        <v/>
      </c>
    </row>
    <row r="88">
      <c r="J88" s="9">
        <f>IF(A88="","",IF(G88="Pooled",AND(E88&gt;=Assumptions!$C$34,F88&gt;=Assumptions!$C$35),TRUE))</f>
        <v/>
      </c>
      <c r="K88" s="2">
        <f>IF(J88=TRUE,A88&amp;"|"&amp;B88&amp;"|"&amp;C88,"")</f>
        <v/>
      </c>
    </row>
    <row r="89">
      <c r="J89" s="9">
        <f>IF(A89="","",IF(G89="Pooled",AND(E89&gt;=Assumptions!$C$34,F89&gt;=Assumptions!$C$35),TRUE))</f>
        <v/>
      </c>
      <c r="K89" s="2">
        <f>IF(J89=TRUE,A89&amp;"|"&amp;B89&amp;"|"&amp;C89,"")</f>
        <v/>
      </c>
    </row>
    <row r="90">
      <c r="J90" s="9">
        <f>IF(A90="","",IF(G90="Pooled",AND(E90&gt;=Assumptions!$C$34,F90&gt;=Assumptions!$C$35),TRUE))</f>
        <v/>
      </c>
      <c r="K90" s="2">
        <f>IF(J90=TRUE,A90&amp;"|"&amp;B90&amp;"|"&amp;C90,"")</f>
        <v/>
      </c>
    </row>
    <row r="91">
      <c r="J91" s="9">
        <f>IF(A91="","",IF(G91="Pooled",AND(E91&gt;=Assumptions!$C$34,F91&gt;=Assumptions!$C$35),TRUE))</f>
        <v/>
      </c>
      <c r="K91" s="2">
        <f>IF(J91=TRUE,A91&amp;"|"&amp;B91&amp;"|"&amp;C91,"")</f>
        <v/>
      </c>
    </row>
    <row r="92">
      <c r="J92" s="9">
        <f>IF(A92="","",IF(G92="Pooled",AND(E92&gt;=Assumptions!$C$34,F92&gt;=Assumptions!$C$35),TRUE))</f>
        <v/>
      </c>
      <c r="K92" s="2">
        <f>IF(J92=TRUE,A92&amp;"|"&amp;B92&amp;"|"&amp;C92,"")</f>
        <v/>
      </c>
    </row>
    <row r="93">
      <c r="J93" s="9">
        <f>IF(A93="","",IF(G93="Pooled",AND(E93&gt;=Assumptions!$C$34,F93&gt;=Assumptions!$C$35),TRUE))</f>
        <v/>
      </c>
      <c r="K93" s="2">
        <f>IF(J93=TRUE,A93&amp;"|"&amp;B93&amp;"|"&amp;C93,"")</f>
        <v/>
      </c>
    </row>
    <row r="94">
      <c r="J94" s="9">
        <f>IF(A94="","",IF(G94="Pooled",AND(E94&gt;=Assumptions!$C$34,F94&gt;=Assumptions!$C$35),TRUE))</f>
        <v/>
      </c>
      <c r="K94" s="2">
        <f>IF(J94=TRUE,A94&amp;"|"&amp;B94&amp;"|"&amp;C94,"")</f>
        <v/>
      </c>
    </row>
    <row r="95">
      <c r="J95" s="9">
        <f>IF(A95="","",IF(G95="Pooled",AND(E95&gt;=Assumptions!$C$34,F95&gt;=Assumptions!$C$35),TRUE))</f>
        <v/>
      </c>
      <c r="K95" s="2">
        <f>IF(J95=TRUE,A95&amp;"|"&amp;B95&amp;"|"&amp;C95,"")</f>
        <v/>
      </c>
    </row>
    <row r="96">
      <c r="J96" s="9">
        <f>IF(A96="","",IF(G96="Pooled",AND(E96&gt;=Assumptions!$C$34,F96&gt;=Assumptions!$C$35),TRUE))</f>
        <v/>
      </c>
      <c r="K96" s="2">
        <f>IF(J96=TRUE,A96&amp;"|"&amp;B96&amp;"|"&amp;C96,"")</f>
        <v/>
      </c>
    </row>
    <row r="97">
      <c r="J97" s="9">
        <f>IF(A97="","",IF(G97="Pooled",AND(E97&gt;=Assumptions!$C$34,F97&gt;=Assumptions!$C$35),TRUE))</f>
        <v/>
      </c>
      <c r="K97" s="2">
        <f>IF(J97=TRUE,A97&amp;"|"&amp;B97&amp;"|"&amp;C97,"")</f>
        <v/>
      </c>
    </row>
    <row r="98">
      <c r="J98" s="9">
        <f>IF(A98="","",IF(G98="Pooled",AND(E98&gt;=Assumptions!$C$34,F98&gt;=Assumptions!$C$35),TRUE))</f>
        <v/>
      </c>
      <c r="K98" s="2">
        <f>IF(J98=TRUE,A98&amp;"|"&amp;B98&amp;"|"&amp;C98,"")</f>
        <v/>
      </c>
    </row>
    <row r="99">
      <c r="J99" s="9">
        <f>IF(A99="","",IF(G99="Pooled",AND(E99&gt;=Assumptions!$C$34,F99&gt;=Assumptions!$C$35),TRUE))</f>
        <v/>
      </c>
      <c r="K99" s="2">
        <f>IF(J99=TRUE,A99&amp;"|"&amp;B99&amp;"|"&amp;C99,"")</f>
        <v/>
      </c>
    </row>
    <row r="100">
      <c r="J100" s="9">
        <f>IF(A100="","",IF(G100="Pooled",AND(E100&gt;=Assumptions!$C$34,F100&gt;=Assumptions!$C$35),TRUE))</f>
        <v/>
      </c>
      <c r="K100" s="2">
        <f>IF(J100=TRUE,A100&amp;"|"&amp;B100&amp;"|"&amp;C100,"")</f>
        <v/>
      </c>
    </row>
    <row r="101">
      <c r="J101" s="9">
        <f>IF(A101="","",IF(G101="Pooled",AND(E101&gt;=Assumptions!$C$34,F101&gt;=Assumptions!$C$35),TRUE))</f>
        <v/>
      </c>
      <c r="K101" s="2">
        <f>IF(J101=TRUE,A101&amp;"|"&amp;B101&amp;"|"&amp;C101,"")</f>
        <v/>
      </c>
    </row>
    <row r="102">
      <c r="J102" s="9">
        <f>IF(A102="","",IF(G102="Pooled",AND(E102&gt;=Assumptions!$C$34,F102&gt;=Assumptions!$C$35),TRUE))</f>
        <v/>
      </c>
      <c r="K102" s="2">
        <f>IF(J102=TRUE,A102&amp;"|"&amp;B102&amp;"|"&amp;C102,"")</f>
        <v/>
      </c>
    </row>
    <row r="103">
      <c r="J103" s="9">
        <f>IF(A103="","",IF(G103="Pooled",AND(E103&gt;=Assumptions!$C$34,F103&gt;=Assumptions!$C$35),TRUE))</f>
        <v/>
      </c>
      <c r="K103" s="2">
        <f>IF(J103=TRUE,A103&amp;"|"&amp;B103&amp;"|"&amp;C103,"")</f>
        <v/>
      </c>
    </row>
    <row r="104">
      <c r="J104" s="9">
        <f>IF(A104="","",IF(G104="Pooled",AND(E104&gt;=Assumptions!$C$34,F104&gt;=Assumptions!$C$35),TRUE))</f>
        <v/>
      </c>
      <c r="K104" s="2">
        <f>IF(J104=TRUE,A104&amp;"|"&amp;B104&amp;"|"&amp;C104,"")</f>
        <v/>
      </c>
    </row>
    <row r="105">
      <c r="J105" s="9">
        <f>IF(A105="","",IF(G105="Pooled",AND(E105&gt;=Assumptions!$C$34,F105&gt;=Assumptions!$C$35),TRUE))</f>
        <v/>
      </c>
      <c r="K105" s="2">
        <f>IF(J105=TRUE,A105&amp;"|"&amp;B105&amp;"|"&amp;C105,"")</f>
        <v/>
      </c>
    </row>
    <row r="106">
      <c r="J106" s="9">
        <f>IF(A106="","",IF(G106="Pooled",AND(E106&gt;=Assumptions!$C$34,F106&gt;=Assumptions!$C$35),TRUE))</f>
        <v/>
      </c>
      <c r="K106" s="2">
        <f>IF(J106=TRUE,A106&amp;"|"&amp;B106&amp;"|"&amp;C106,"")</f>
        <v/>
      </c>
    </row>
    <row r="107">
      <c r="J107" s="9">
        <f>IF(A107="","",IF(G107="Pooled",AND(E107&gt;=Assumptions!$C$34,F107&gt;=Assumptions!$C$35),TRUE))</f>
        <v/>
      </c>
      <c r="K107" s="2">
        <f>IF(J107=TRUE,A107&amp;"|"&amp;B107&amp;"|"&amp;C107,"")</f>
        <v/>
      </c>
    </row>
    <row r="108">
      <c r="J108" s="9">
        <f>IF(A108="","",IF(G108="Pooled",AND(E108&gt;=Assumptions!$C$34,F108&gt;=Assumptions!$C$35),TRUE))</f>
        <v/>
      </c>
      <c r="K108" s="2">
        <f>IF(J108=TRUE,A108&amp;"|"&amp;B108&amp;"|"&amp;C108,"")</f>
        <v/>
      </c>
    </row>
    <row r="109">
      <c r="J109" s="9">
        <f>IF(A109="","",IF(G109="Pooled",AND(E109&gt;=Assumptions!$C$34,F109&gt;=Assumptions!$C$35),TRUE))</f>
        <v/>
      </c>
      <c r="K109" s="2">
        <f>IF(J109=TRUE,A109&amp;"|"&amp;B109&amp;"|"&amp;C109,"")</f>
        <v/>
      </c>
    </row>
    <row r="110">
      <c r="J110" s="9">
        <f>IF(A110="","",IF(G110="Pooled",AND(E110&gt;=Assumptions!$C$34,F110&gt;=Assumptions!$C$35),TRUE))</f>
        <v/>
      </c>
      <c r="K110" s="2">
        <f>IF(J110=TRUE,A110&amp;"|"&amp;B110&amp;"|"&amp;C110,"")</f>
        <v/>
      </c>
    </row>
    <row r="111">
      <c r="J111" s="9">
        <f>IF(A111="","",IF(G111="Pooled",AND(E111&gt;=Assumptions!$C$34,F111&gt;=Assumptions!$C$35),TRUE))</f>
        <v/>
      </c>
      <c r="K111" s="2">
        <f>IF(J111=TRUE,A111&amp;"|"&amp;B111&amp;"|"&amp;C111,"")</f>
        <v/>
      </c>
    </row>
    <row r="112">
      <c r="J112" s="9">
        <f>IF(A112="","",IF(G112="Pooled",AND(E112&gt;=Assumptions!$C$34,F112&gt;=Assumptions!$C$35),TRUE))</f>
        <v/>
      </c>
      <c r="K112" s="2">
        <f>IF(J112=TRUE,A112&amp;"|"&amp;B112&amp;"|"&amp;C112,"")</f>
        <v/>
      </c>
    </row>
    <row r="113">
      <c r="J113" s="9">
        <f>IF(A113="","",IF(G113="Pooled",AND(E113&gt;=Assumptions!$C$34,F113&gt;=Assumptions!$C$35),TRUE))</f>
        <v/>
      </c>
      <c r="K113" s="2">
        <f>IF(J113=TRUE,A113&amp;"|"&amp;B113&amp;"|"&amp;C113,"")</f>
        <v/>
      </c>
    </row>
    <row r="114">
      <c r="J114" s="9">
        <f>IF(A114="","",IF(G114="Pooled",AND(E114&gt;=Assumptions!$C$34,F114&gt;=Assumptions!$C$35),TRUE))</f>
        <v/>
      </c>
      <c r="K114" s="2">
        <f>IF(J114=TRUE,A114&amp;"|"&amp;B114&amp;"|"&amp;C114,"")</f>
        <v/>
      </c>
    </row>
    <row r="115">
      <c r="J115" s="9">
        <f>IF(A115="","",IF(G115="Pooled",AND(E115&gt;=Assumptions!$C$34,F115&gt;=Assumptions!$C$35),TRUE))</f>
        <v/>
      </c>
      <c r="K115" s="2">
        <f>IF(J115=TRUE,A115&amp;"|"&amp;B115&amp;"|"&amp;C115,"")</f>
        <v/>
      </c>
    </row>
    <row r="116">
      <c r="J116" s="9">
        <f>IF(A116="","",IF(G116="Pooled",AND(E116&gt;=Assumptions!$C$34,F116&gt;=Assumptions!$C$35),TRUE))</f>
        <v/>
      </c>
      <c r="K116" s="2">
        <f>IF(J116=TRUE,A116&amp;"|"&amp;B116&amp;"|"&amp;C116,"")</f>
        <v/>
      </c>
    </row>
    <row r="117">
      <c r="J117" s="9">
        <f>IF(A117="","",IF(G117="Pooled",AND(E117&gt;=Assumptions!$C$34,F117&gt;=Assumptions!$C$35),TRUE))</f>
        <v/>
      </c>
      <c r="K117" s="2">
        <f>IF(J117=TRUE,A117&amp;"|"&amp;B117&amp;"|"&amp;C117,"")</f>
        <v/>
      </c>
    </row>
    <row r="118">
      <c r="J118" s="9">
        <f>IF(A118="","",IF(G118="Pooled",AND(E118&gt;=Assumptions!$C$34,F118&gt;=Assumptions!$C$35),TRUE))</f>
        <v/>
      </c>
      <c r="K118" s="2">
        <f>IF(J118=TRUE,A118&amp;"|"&amp;B118&amp;"|"&amp;C118,"")</f>
        <v/>
      </c>
    </row>
    <row r="119">
      <c r="J119" s="9">
        <f>IF(A119="","",IF(G119="Pooled",AND(E119&gt;=Assumptions!$C$34,F119&gt;=Assumptions!$C$35),TRUE))</f>
        <v/>
      </c>
      <c r="K119" s="2">
        <f>IF(J119=TRUE,A119&amp;"|"&amp;B119&amp;"|"&amp;C119,"")</f>
        <v/>
      </c>
    </row>
    <row r="120">
      <c r="J120" s="9">
        <f>IF(A120="","",IF(G120="Pooled",AND(E120&gt;=Assumptions!$C$34,F120&gt;=Assumptions!$C$35),TRUE))</f>
        <v/>
      </c>
      <c r="K120" s="2">
        <f>IF(J120=TRUE,A120&amp;"|"&amp;B120&amp;"|"&amp;C120,"")</f>
        <v/>
      </c>
    </row>
    <row r="121">
      <c r="J121" s="9">
        <f>IF(A121="","",IF(G121="Pooled",AND(E121&gt;=Assumptions!$C$34,F121&gt;=Assumptions!$C$35),TRUE))</f>
        <v/>
      </c>
      <c r="K121" s="2">
        <f>IF(J121=TRUE,A121&amp;"|"&amp;B121&amp;"|"&amp;C121,"")</f>
        <v/>
      </c>
    </row>
    <row r="122">
      <c r="J122" s="9">
        <f>IF(A122="","",IF(G122="Pooled",AND(E122&gt;=Assumptions!$C$34,F122&gt;=Assumptions!$C$35),TRUE))</f>
        <v/>
      </c>
      <c r="K122" s="2">
        <f>IF(J122=TRUE,A122&amp;"|"&amp;B122&amp;"|"&amp;C122,"")</f>
        <v/>
      </c>
    </row>
    <row r="123">
      <c r="J123" s="9">
        <f>IF(A123="","",IF(G123="Pooled",AND(E123&gt;=Assumptions!$C$34,F123&gt;=Assumptions!$C$35),TRUE))</f>
        <v/>
      </c>
      <c r="K123" s="2">
        <f>IF(J123=TRUE,A123&amp;"|"&amp;B123&amp;"|"&amp;C123,"")</f>
        <v/>
      </c>
    </row>
    <row r="124">
      <c r="J124" s="9">
        <f>IF(A124="","",IF(G124="Pooled",AND(E124&gt;=Assumptions!$C$34,F124&gt;=Assumptions!$C$35),TRUE))</f>
        <v/>
      </c>
      <c r="K124" s="2">
        <f>IF(J124=TRUE,A124&amp;"|"&amp;B124&amp;"|"&amp;C124,"")</f>
        <v/>
      </c>
    </row>
    <row r="125">
      <c r="J125" s="9">
        <f>IF(A125="","",IF(G125="Pooled",AND(E125&gt;=Assumptions!$C$34,F125&gt;=Assumptions!$C$35),TRUE))</f>
        <v/>
      </c>
      <c r="K125" s="2">
        <f>IF(J125=TRUE,A125&amp;"|"&amp;B125&amp;"|"&amp;C125,"")</f>
        <v/>
      </c>
    </row>
    <row r="126">
      <c r="J126" s="9">
        <f>IF(A126="","",IF(G126="Pooled",AND(E126&gt;=Assumptions!$C$34,F126&gt;=Assumptions!$C$35),TRUE))</f>
        <v/>
      </c>
      <c r="K126" s="2">
        <f>IF(J126=TRUE,A126&amp;"|"&amp;B126&amp;"|"&amp;C126,"")</f>
        <v/>
      </c>
    </row>
    <row r="127">
      <c r="J127" s="9">
        <f>IF(A127="","",IF(G127="Pooled",AND(E127&gt;=Assumptions!$C$34,F127&gt;=Assumptions!$C$35),TRUE))</f>
        <v/>
      </c>
      <c r="K127" s="2">
        <f>IF(J127=TRUE,A127&amp;"|"&amp;B127&amp;"|"&amp;C127,"")</f>
        <v/>
      </c>
    </row>
    <row r="128">
      <c r="J128" s="9">
        <f>IF(A128="","",IF(G128="Pooled",AND(E128&gt;=Assumptions!$C$34,F128&gt;=Assumptions!$C$35),TRUE))</f>
        <v/>
      </c>
      <c r="K128" s="2">
        <f>IF(J128=TRUE,A128&amp;"|"&amp;B128&amp;"|"&amp;C128,"")</f>
        <v/>
      </c>
    </row>
    <row r="129">
      <c r="J129" s="9">
        <f>IF(A129="","",IF(G129="Pooled",AND(E129&gt;=Assumptions!$C$34,F129&gt;=Assumptions!$C$35),TRUE))</f>
        <v/>
      </c>
      <c r="K129" s="2">
        <f>IF(J129=TRUE,A129&amp;"|"&amp;B129&amp;"|"&amp;C129,"")</f>
        <v/>
      </c>
    </row>
    <row r="130">
      <c r="J130" s="9">
        <f>IF(A130="","",IF(G130="Pooled",AND(E130&gt;=Assumptions!$C$34,F130&gt;=Assumptions!$C$35),TRUE))</f>
        <v/>
      </c>
      <c r="K130" s="2">
        <f>IF(J130=TRUE,A130&amp;"|"&amp;B130&amp;"|"&amp;C130,"")</f>
        <v/>
      </c>
    </row>
    <row r="131">
      <c r="J131" s="9">
        <f>IF(A131="","",IF(G131="Pooled",AND(E131&gt;=Assumptions!$C$34,F131&gt;=Assumptions!$C$35),TRUE))</f>
        <v/>
      </c>
      <c r="K131" s="2">
        <f>IF(J131=TRUE,A131&amp;"|"&amp;B131&amp;"|"&amp;C131,"")</f>
        <v/>
      </c>
    </row>
    <row r="132">
      <c r="J132" s="9">
        <f>IF(A132="","",IF(G132="Pooled",AND(E132&gt;=Assumptions!$C$34,F132&gt;=Assumptions!$C$35),TRUE))</f>
        <v/>
      </c>
      <c r="K132" s="2">
        <f>IF(J132=TRUE,A132&amp;"|"&amp;B132&amp;"|"&amp;C132,"")</f>
        <v/>
      </c>
    </row>
    <row r="133">
      <c r="J133" s="9">
        <f>IF(A133="","",IF(G133="Pooled",AND(E133&gt;=Assumptions!$C$34,F133&gt;=Assumptions!$C$35),TRUE))</f>
        <v/>
      </c>
      <c r="K133" s="2">
        <f>IF(J133=TRUE,A133&amp;"|"&amp;B133&amp;"|"&amp;C133,"")</f>
        <v/>
      </c>
    </row>
    <row r="134">
      <c r="J134" s="9">
        <f>IF(A134="","",IF(G134="Pooled",AND(E134&gt;=Assumptions!$C$34,F134&gt;=Assumptions!$C$35),TRUE))</f>
        <v/>
      </c>
      <c r="K134" s="2">
        <f>IF(J134=TRUE,A134&amp;"|"&amp;B134&amp;"|"&amp;C134,"")</f>
        <v/>
      </c>
    </row>
    <row r="135">
      <c r="J135" s="9">
        <f>IF(A135="","",IF(G135="Pooled",AND(E135&gt;=Assumptions!$C$34,F135&gt;=Assumptions!$C$35),TRUE))</f>
        <v/>
      </c>
      <c r="K135" s="2">
        <f>IF(J135=TRUE,A135&amp;"|"&amp;B135&amp;"|"&amp;C135,"")</f>
        <v/>
      </c>
    </row>
    <row r="136">
      <c r="J136" s="9">
        <f>IF(A136="","",IF(G136="Pooled",AND(E136&gt;=Assumptions!$C$34,F136&gt;=Assumptions!$C$35),TRUE))</f>
        <v/>
      </c>
      <c r="K136" s="2">
        <f>IF(J136=TRUE,A136&amp;"|"&amp;B136&amp;"|"&amp;C136,"")</f>
        <v/>
      </c>
    </row>
    <row r="137">
      <c r="J137" s="9">
        <f>IF(A137="","",IF(G137="Pooled",AND(E137&gt;=Assumptions!$C$34,F137&gt;=Assumptions!$C$35),TRUE))</f>
        <v/>
      </c>
      <c r="K137" s="2">
        <f>IF(J137=TRUE,A137&amp;"|"&amp;B137&amp;"|"&amp;C137,"")</f>
        <v/>
      </c>
    </row>
    <row r="138">
      <c r="J138" s="9">
        <f>IF(A138="","",IF(G138="Pooled",AND(E138&gt;=Assumptions!$C$34,F138&gt;=Assumptions!$C$35),TRUE))</f>
        <v/>
      </c>
      <c r="K138" s="2">
        <f>IF(J138=TRUE,A138&amp;"|"&amp;B138&amp;"|"&amp;C138,"")</f>
        <v/>
      </c>
    </row>
    <row r="139">
      <c r="J139" s="9">
        <f>IF(A139="","",IF(G139="Pooled",AND(E139&gt;=Assumptions!$C$34,F139&gt;=Assumptions!$C$35),TRUE))</f>
        <v/>
      </c>
      <c r="K139" s="2">
        <f>IF(J139=TRUE,A139&amp;"|"&amp;B139&amp;"|"&amp;C139,"")</f>
        <v/>
      </c>
    </row>
    <row r="140">
      <c r="J140" s="9">
        <f>IF(A140="","",IF(G140="Pooled",AND(E140&gt;=Assumptions!$C$34,F140&gt;=Assumptions!$C$35),TRUE))</f>
        <v/>
      </c>
      <c r="K140" s="2">
        <f>IF(J140=TRUE,A140&amp;"|"&amp;B140&amp;"|"&amp;C140,"")</f>
        <v/>
      </c>
    </row>
    <row r="141">
      <c r="J141" s="9">
        <f>IF(A141="","",IF(G141="Pooled",AND(E141&gt;=Assumptions!$C$34,F141&gt;=Assumptions!$C$35),TRUE))</f>
        <v/>
      </c>
      <c r="K141" s="2">
        <f>IF(J141=TRUE,A141&amp;"|"&amp;B141&amp;"|"&amp;C141,"")</f>
        <v/>
      </c>
    </row>
    <row r="142">
      <c r="J142" s="9">
        <f>IF(A142="","",IF(G142="Pooled",AND(E142&gt;=Assumptions!$C$34,F142&gt;=Assumptions!$C$35),TRUE))</f>
        <v/>
      </c>
      <c r="K142" s="2">
        <f>IF(J142=TRUE,A142&amp;"|"&amp;B142&amp;"|"&amp;C142,"")</f>
        <v/>
      </c>
    </row>
    <row r="143">
      <c r="J143" s="9">
        <f>IF(A143="","",IF(G143="Pooled",AND(E143&gt;=Assumptions!$C$34,F143&gt;=Assumptions!$C$35),TRUE))</f>
        <v/>
      </c>
      <c r="K143" s="2">
        <f>IF(J143=TRUE,A143&amp;"|"&amp;B143&amp;"|"&amp;C143,"")</f>
        <v/>
      </c>
    </row>
    <row r="144">
      <c r="J144" s="9">
        <f>IF(A144="","",IF(G144="Pooled",AND(E144&gt;=Assumptions!$C$34,F144&gt;=Assumptions!$C$35),TRUE))</f>
        <v/>
      </c>
      <c r="K144" s="2">
        <f>IF(J144=TRUE,A144&amp;"|"&amp;B144&amp;"|"&amp;C144,"")</f>
        <v/>
      </c>
    </row>
    <row r="145">
      <c r="J145" s="9">
        <f>IF(A145="","",IF(G145="Pooled",AND(E145&gt;=Assumptions!$C$34,F145&gt;=Assumptions!$C$35),TRUE))</f>
        <v/>
      </c>
      <c r="K145" s="2">
        <f>IF(J145=TRUE,A145&amp;"|"&amp;B145&amp;"|"&amp;C145,"")</f>
        <v/>
      </c>
    </row>
    <row r="146">
      <c r="J146" s="9">
        <f>IF(A146="","",IF(G146="Pooled",AND(E146&gt;=Assumptions!$C$34,F146&gt;=Assumptions!$C$35),TRUE))</f>
        <v/>
      </c>
      <c r="K146" s="2">
        <f>IF(J146=TRUE,A146&amp;"|"&amp;B146&amp;"|"&amp;C146,"")</f>
        <v/>
      </c>
    </row>
    <row r="147">
      <c r="J147" s="9">
        <f>IF(A147="","",IF(G147="Pooled",AND(E147&gt;=Assumptions!$C$34,F147&gt;=Assumptions!$C$35),TRUE))</f>
        <v/>
      </c>
      <c r="K147" s="2">
        <f>IF(J147=TRUE,A147&amp;"|"&amp;B147&amp;"|"&amp;C147,"")</f>
        <v/>
      </c>
    </row>
    <row r="148">
      <c r="J148" s="9">
        <f>IF(A148="","",IF(G148="Pooled",AND(E148&gt;=Assumptions!$C$34,F148&gt;=Assumptions!$C$35),TRUE))</f>
        <v/>
      </c>
      <c r="K148" s="2">
        <f>IF(J148=TRUE,A148&amp;"|"&amp;B148&amp;"|"&amp;C148,"")</f>
        <v/>
      </c>
    </row>
    <row r="149">
      <c r="J149" s="9">
        <f>IF(A149="","",IF(G149="Pooled",AND(E149&gt;=Assumptions!$C$34,F149&gt;=Assumptions!$C$35),TRUE))</f>
        <v/>
      </c>
      <c r="K149" s="2">
        <f>IF(J149=TRUE,A149&amp;"|"&amp;B149&amp;"|"&amp;C149,"")</f>
        <v/>
      </c>
    </row>
    <row r="150">
      <c r="J150" s="9">
        <f>IF(A150="","",IF(G150="Pooled",AND(E150&gt;=Assumptions!$C$34,F150&gt;=Assumptions!$C$35),TRUE))</f>
        <v/>
      </c>
      <c r="K150" s="2">
        <f>IF(J150=TRUE,A150&amp;"|"&amp;B150&amp;"|"&amp;C150,"")</f>
        <v/>
      </c>
    </row>
    <row r="151">
      <c r="J151" s="9">
        <f>IF(A151="","",IF(G151="Pooled",AND(E151&gt;=Assumptions!$C$34,F151&gt;=Assumptions!$C$35),TRUE))</f>
        <v/>
      </c>
      <c r="K151" s="2">
        <f>IF(J151=TRUE,A151&amp;"|"&amp;B151&amp;"|"&amp;C151,"")</f>
        <v/>
      </c>
    </row>
    <row r="152">
      <c r="J152" s="9">
        <f>IF(A152="","",IF(G152="Pooled",AND(E152&gt;=Assumptions!$C$34,F152&gt;=Assumptions!$C$35),TRUE))</f>
        <v/>
      </c>
      <c r="K152" s="2">
        <f>IF(J152=TRUE,A152&amp;"|"&amp;B152&amp;"|"&amp;C152,"")</f>
        <v/>
      </c>
    </row>
    <row r="153">
      <c r="J153" s="9">
        <f>IF(A153="","",IF(G153="Pooled",AND(E153&gt;=Assumptions!$C$34,F153&gt;=Assumptions!$C$35),TRUE))</f>
        <v/>
      </c>
      <c r="K153" s="2">
        <f>IF(J153=TRUE,A153&amp;"|"&amp;B153&amp;"|"&amp;C153,"")</f>
        <v/>
      </c>
    </row>
    <row r="154">
      <c r="J154" s="9">
        <f>IF(A154="","",IF(G154="Pooled",AND(E154&gt;=Assumptions!$C$34,F154&gt;=Assumptions!$C$35),TRUE))</f>
        <v/>
      </c>
      <c r="K154" s="2">
        <f>IF(J154=TRUE,A154&amp;"|"&amp;B154&amp;"|"&amp;C154,"")</f>
        <v/>
      </c>
    </row>
    <row r="155">
      <c r="J155" s="9">
        <f>IF(A155="","",IF(G155="Pooled",AND(E155&gt;=Assumptions!$C$34,F155&gt;=Assumptions!$C$35),TRUE))</f>
        <v/>
      </c>
      <c r="K155" s="2">
        <f>IF(J155=TRUE,A155&amp;"|"&amp;B155&amp;"|"&amp;C155,"")</f>
        <v/>
      </c>
    </row>
    <row r="156">
      <c r="J156" s="9">
        <f>IF(A156="","",IF(G156="Pooled",AND(E156&gt;=Assumptions!$C$34,F156&gt;=Assumptions!$C$35),TRUE))</f>
        <v/>
      </c>
      <c r="K156" s="2">
        <f>IF(J156=TRUE,A156&amp;"|"&amp;B156&amp;"|"&amp;C156,"")</f>
        <v/>
      </c>
    </row>
    <row r="157">
      <c r="J157" s="9">
        <f>IF(A157="","",IF(G157="Pooled",AND(E157&gt;=Assumptions!$C$34,F157&gt;=Assumptions!$C$35),TRUE))</f>
        <v/>
      </c>
      <c r="K157" s="2">
        <f>IF(J157=TRUE,A157&amp;"|"&amp;B157&amp;"|"&amp;C157,"")</f>
        <v/>
      </c>
    </row>
    <row r="158">
      <c r="J158" s="9">
        <f>IF(A158="","",IF(G158="Pooled",AND(E158&gt;=Assumptions!$C$34,F158&gt;=Assumptions!$C$35),TRUE))</f>
        <v/>
      </c>
      <c r="K158" s="2">
        <f>IF(J158=TRUE,A158&amp;"|"&amp;B158&amp;"|"&amp;C158,"")</f>
        <v/>
      </c>
    </row>
    <row r="159">
      <c r="J159" s="9">
        <f>IF(A159="","",IF(G159="Pooled",AND(E159&gt;=Assumptions!$C$34,F159&gt;=Assumptions!$C$35),TRUE))</f>
        <v/>
      </c>
      <c r="K159" s="2">
        <f>IF(J159=TRUE,A159&amp;"|"&amp;B159&amp;"|"&amp;C159,"")</f>
        <v/>
      </c>
    </row>
    <row r="160">
      <c r="J160" s="9">
        <f>IF(A160="","",IF(G160="Pooled",AND(E160&gt;=Assumptions!$C$34,F160&gt;=Assumptions!$C$35),TRUE))</f>
        <v/>
      </c>
      <c r="K160" s="2">
        <f>IF(J160=TRUE,A160&amp;"|"&amp;B160&amp;"|"&amp;C160,"")</f>
        <v/>
      </c>
    </row>
    <row r="161">
      <c r="J161" s="9">
        <f>IF(A161="","",IF(G161="Pooled",AND(E161&gt;=Assumptions!$C$34,F161&gt;=Assumptions!$C$35),TRUE))</f>
        <v/>
      </c>
      <c r="K161" s="2">
        <f>IF(J161=TRUE,A161&amp;"|"&amp;B161&amp;"|"&amp;C161,"")</f>
        <v/>
      </c>
    </row>
    <row r="162">
      <c r="J162" s="9">
        <f>IF(A162="","",IF(G162="Pooled",AND(E162&gt;=Assumptions!$C$34,F162&gt;=Assumptions!$C$35),TRUE))</f>
        <v/>
      </c>
      <c r="K162" s="2">
        <f>IF(J162=TRUE,A162&amp;"|"&amp;B162&amp;"|"&amp;C162,"")</f>
        <v/>
      </c>
    </row>
    <row r="163">
      <c r="J163" s="9">
        <f>IF(A163="","",IF(G163="Pooled",AND(E163&gt;=Assumptions!$C$34,F163&gt;=Assumptions!$C$35),TRUE))</f>
        <v/>
      </c>
      <c r="K163" s="2">
        <f>IF(J163=TRUE,A163&amp;"|"&amp;B163&amp;"|"&amp;C163,"")</f>
        <v/>
      </c>
    </row>
    <row r="164">
      <c r="J164" s="9">
        <f>IF(A164="","",IF(G164="Pooled",AND(E164&gt;=Assumptions!$C$34,F164&gt;=Assumptions!$C$35),TRUE))</f>
        <v/>
      </c>
      <c r="K164" s="2">
        <f>IF(J164=TRUE,A164&amp;"|"&amp;B164&amp;"|"&amp;C164,"")</f>
        <v/>
      </c>
    </row>
    <row r="165">
      <c r="J165" s="9">
        <f>IF(A165="","",IF(G165="Pooled",AND(E165&gt;=Assumptions!$C$34,F165&gt;=Assumptions!$C$35),TRUE))</f>
        <v/>
      </c>
      <c r="K165" s="2">
        <f>IF(J165=TRUE,A165&amp;"|"&amp;B165&amp;"|"&amp;C165,"")</f>
        <v/>
      </c>
    </row>
    <row r="166">
      <c r="J166" s="9">
        <f>IF(A166="","",IF(G166="Pooled",AND(E166&gt;=Assumptions!$C$34,F166&gt;=Assumptions!$C$35),TRUE))</f>
        <v/>
      </c>
      <c r="K166" s="2">
        <f>IF(J166=TRUE,A166&amp;"|"&amp;B166&amp;"|"&amp;C166,"")</f>
        <v/>
      </c>
    </row>
    <row r="167">
      <c r="J167" s="9">
        <f>IF(A167="","",IF(G167="Pooled",AND(E167&gt;=Assumptions!$C$34,F167&gt;=Assumptions!$C$35),TRUE))</f>
        <v/>
      </c>
      <c r="K167" s="2">
        <f>IF(J167=TRUE,A167&amp;"|"&amp;B167&amp;"|"&amp;C167,"")</f>
        <v/>
      </c>
    </row>
    <row r="168">
      <c r="J168" s="9">
        <f>IF(A168="","",IF(G168="Pooled",AND(E168&gt;=Assumptions!$C$34,F168&gt;=Assumptions!$C$35),TRUE))</f>
        <v/>
      </c>
      <c r="K168" s="2">
        <f>IF(J168=TRUE,A168&amp;"|"&amp;B168&amp;"|"&amp;C168,"")</f>
        <v/>
      </c>
    </row>
    <row r="169">
      <c r="J169" s="9">
        <f>IF(A169="","",IF(G169="Pooled",AND(E169&gt;=Assumptions!$C$34,F169&gt;=Assumptions!$C$35),TRUE))</f>
        <v/>
      </c>
      <c r="K169" s="2">
        <f>IF(J169=TRUE,A169&amp;"|"&amp;B169&amp;"|"&amp;C169,"")</f>
        <v/>
      </c>
    </row>
    <row r="170">
      <c r="J170" s="9">
        <f>IF(A170="","",IF(G170="Pooled",AND(E170&gt;=Assumptions!$C$34,F170&gt;=Assumptions!$C$35),TRUE))</f>
        <v/>
      </c>
      <c r="K170" s="2">
        <f>IF(J170=TRUE,A170&amp;"|"&amp;B170&amp;"|"&amp;C170,"")</f>
        <v/>
      </c>
    </row>
    <row r="171">
      <c r="J171" s="9">
        <f>IF(A171="","",IF(G171="Pooled",AND(E171&gt;=Assumptions!$C$34,F171&gt;=Assumptions!$C$35),TRUE))</f>
        <v/>
      </c>
      <c r="K171" s="2">
        <f>IF(J171=TRUE,A171&amp;"|"&amp;B171&amp;"|"&amp;C171,"")</f>
        <v/>
      </c>
    </row>
    <row r="172">
      <c r="J172" s="9">
        <f>IF(A172="","",IF(G172="Pooled",AND(E172&gt;=Assumptions!$C$34,F172&gt;=Assumptions!$C$35),TRUE))</f>
        <v/>
      </c>
      <c r="K172" s="2">
        <f>IF(J172=TRUE,A172&amp;"|"&amp;B172&amp;"|"&amp;C172,"")</f>
        <v/>
      </c>
    </row>
    <row r="173">
      <c r="J173" s="9">
        <f>IF(A173="","",IF(G173="Pooled",AND(E173&gt;=Assumptions!$C$34,F173&gt;=Assumptions!$C$35),TRUE))</f>
        <v/>
      </c>
      <c r="K173" s="2">
        <f>IF(J173=TRUE,A173&amp;"|"&amp;B173&amp;"|"&amp;C173,"")</f>
        <v/>
      </c>
    </row>
    <row r="174">
      <c r="J174" s="9">
        <f>IF(A174="","",IF(G174="Pooled",AND(E174&gt;=Assumptions!$C$34,F174&gt;=Assumptions!$C$35),TRUE))</f>
        <v/>
      </c>
      <c r="K174" s="2">
        <f>IF(J174=TRUE,A174&amp;"|"&amp;B174&amp;"|"&amp;C174,"")</f>
        <v/>
      </c>
    </row>
    <row r="175">
      <c r="J175" s="9">
        <f>IF(A175="","",IF(G175="Pooled",AND(E175&gt;=Assumptions!$C$34,F175&gt;=Assumptions!$C$35),TRUE))</f>
        <v/>
      </c>
      <c r="K175" s="2">
        <f>IF(J175=TRUE,A175&amp;"|"&amp;B175&amp;"|"&amp;C175,"")</f>
        <v/>
      </c>
    </row>
    <row r="176">
      <c r="J176" s="9">
        <f>IF(A176="","",IF(G176="Pooled",AND(E176&gt;=Assumptions!$C$34,F176&gt;=Assumptions!$C$35),TRUE))</f>
        <v/>
      </c>
      <c r="K176" s="2">
        <f>IF(J176=TRUE,A176&amp;"|"&amp;B176&amp;"|"&amp;C176,"")</f>
        <v/>
      </c>
    </row>
    <row r="177">
      <c r="J177" s="9">
        <f>IF(A177="","",IF(G177="Pooled",AND(E177&gt;=Assumptions!$C$34,F177&gt;=Assumptions!$C$35),TRUE))</f>
        <v/>
      </c>
      <c r="K177" s="2">
        <f>IF(J177=TRUE,A177&amp;"|"&amp;B177&amp;"|"&amp;C177,"")</f>
        <v/>
      </c>
    </row>
    <row r="178">
      <c r="J178" s="9">
        <f>IF(A178="","",IF(G178="Pooled",AND(E178&gt;=Assumptions!$C$34,F178&gt;=Assumptions!$C$35),TRUE))</f>
        <v/>
      </c>
      <c r="K178" s="2">
        <f>IF(J178=TRUE,A178&amp;"|"&amp;B178&amp;"|"&amp;C178,"")</f>
        <v/>
      </c>
    </row>
    <row r="179">
      <c r="J179" s="9">
        <f>IF(A179="","",IF(G179="Pooled",AND(E179&gt;=Assumptions!$C$34,F179&gt;=Assumptions!$C$35),TRUE))</f>
        <v/>
      </c>
      <c r="K179" s="2">
        <f>IF(J179=TRUE,A179&amp;"|"&amp;B179&amp;"|"&amp;C179,"")</f>
        <v/>
      </c>
    </row>
    <row r="180">
      <c r="J180" s="9">
        <f>IF(A180="","",IF(G180="Pooled",AND(E180&gt;=Assumptions!$C$34,F180&gt;=Assumptions!$C$35),TRUE))</f>
        <v/>
      </c>
      <c r="K180" s="2">
        <f>IF(J180=TRUE,A180&amp;"|"&amp;B180&amp;"|"&amp;C180,"")</f>
        <v/>
      </c>
    </row>
    <row r="181">
      <c r="J181" s="9">
        <f>IF(A181="","",IF(G181="Pooled",AND(E181&gt;=Assumptions!$C$34,F181&gt;=Assumptions!$C$35),TRUE))</f>
        <v/>
      </c>
      <c r="K181" s="2">
        <f>IF(J181=TRUE,A181&amp;"|"&amp;B181&amp;"|"&amp;C181,"")</f>
        <v/>
      </c>
    </row>
    <row r="182">
      <c r="J182" s="9">
        <f>IF(A182="","",IF(G182="Pooled",AND(E182&gt;=Assumptions!$C$34,F182&gt;=Assumptions!$C$35),TRUE))</f>
        <v/>
      </c>
      <c r="K182" s="2">
        <f>IF(J182=TRUE,A182&amp;"|"&amp;B182&amp;"|"&amp;C182,"")</f>
        <v/>
      </c>
    </row>
    <row r="183">
      <c r="J183" s="9">
        <f>IF(A183="","",IF(G183="Pooled",AND(E183&gt;=Assumptions!$C$34,F183&gt;=Assumptions!$C$35),TRUE))</f>
        <v/>
      </c>
      <c r="K183" s="2">
        <f>IF(J183=TRUE,A183&amp;"|"&amp;B183&amp;"|"&amp;C183,"")</f>
        <v/>
      </c>
    </row>
    <row r="184">
      <c r="J184" s="9">
        <f>IF(A184="","",IF(G184="Pooled",AND(E184&gt;=Assumptions!$C$34,F184&gt;=Assumptions!$C$35),TRUE))</f>
        <v/>
      </c>
      <c r="K184" s="2">
        <f>IF(J184=TRUE,A184&amp;"|"&amp;B184&amp;"|"&amp;C184,"")</f>
        <v/>
      </c>
    </row>
    <row r="185">
      <c r="J185" s="9">
        <f>IF(A185="","",IF(G185="Pooled",AND(E185&gt;=Assumptions!$C$34,F185&gt;=Assumptions!$C$35),TRUE))</f>
        <v/>
      </c>
      <c r="K185" s="2">
        <f>IF(J185=TRUE,A185&amp;"|"&amp;B185&amp;"|"&amp;C185,"")</f>
        <v/>
      </c>
    </row>
    <row r="186">
      <c r="J186" s="9">
        <f>IF(A186="","",IF(G186="Pooled",AND(E186&gt;=Assumptions!$C$34,F186&gt;=Assumptions!$C$35),TRUE))</f>
        <v/>
      </c>
      <c r="K186" s="2">
        <f>IF(J186=TRUE,A186&amp;"|"&amp;B186&amp;"|"&amp;C186,"")</f>
        <v/>
      </c>
    </row>
    <row r="187">
      <c r="J187" s="9">
        <f>IF(A187="","",IF(G187="Pooled",AND(E187&gt;=Assumptions!$C$34,F187&gt;=Assumptions!$C$35),TRUE))</f>
        <v/>
      </c>
      <c r="K187" s="2">
        <f>IF(J187=TRUE,A187&amp;"|"&amp;B187&amp;"|"&amp;C187,"")</f>
        <v/>
      </c>
    </row>
    <row r="188">
      <c r="J188" s="9">
        <f>IF(A188="","",IF(G188="Pooled",AND(E188&gt;=Assumptions!$C$34,F188&gt;=Assumptions!$C$35),TRUE))</f>
        <v/>
      </c>
      <c r="K188" s="2">
        <f>IF(J188=TRUE,A188&amp;"|"&amp;B188&amp;"|"&amp;C188,"")</f>
        <v/>
      </c>
    </row>
    <row r="189">
      <c r="J189" s="9">
        <f>IF(A189="","",IF(G189="Pooled",AND(E189&gt;=Assumptions!$C$34,F189&gt;=Assumptions!$C$35),TRUE))</f>
        <v/>
      </c>
      <c r="K189" s="2">
        <f>IF(J189=TRUE,A189&amp;"|"&amp;B189&amp;"|"&amp;C189,"")</f>
        <v/>
      </c>
    </row>
    <row r="190">
      <c r="J190" s="9">
        <f>IF(A190="","",IF(G190="Pooled",AND(E190&gt;=Assumptions!$C$34,F190&gt;=Assumptions!$C$35),TRUE))</f>
        <v/>
      </c>
      <c r="K190" s="2">
        <f>IF(J190=TRUE,A190&amp;"|"&amp;B190&amp;"|"&amp;C190,"")</f>
        <v/>
      </c>
    </row>
    <row r="191">
      <c r="J191" s="9">
        <f>IF(A191="","",IF(G191="Pooled",AND(E191&gt;=Assumptions!$C$34,F191&gt;=Assumptions!$C$35),TRUE))</f>
        <v/>
      </c>
      <c r="K191" s="2">
        <f>IF(J191=TRUE,A191&amp;"|"&amp;B191&amp;"|"&amp;C191,"")</f>
        <v/>
      </c>
    </row>
    <row r="192">
      <c r="J192" s="9">
        <f>IF(A192="","",IF(G192="Pooled",AND(E192&gt;=Assumptions!$C$34,F192&gt;=Assumptions!$C$35),TRUE))</f>
        <v/>
      </c>
      <c r="K192" s="2">
        <f>IF(J192=TRUE,A192&amp;"|"&amp;B192&amp;"|"&amp;C192,"")</f>
        <v/>
      </c>
    </row>
    <row r="193">
      <c r="J193" s="9">
        <f>IF(A193="","",IF(G193="Pooled",AND(E193&gt;=Assumptions!$C$34,F193&gt;=Assumptions!$C$35),TRUE))</f>
        <v/>
      </c>
      <c r="K193" s="2">
        <f>IF(J193=TRUE,A193&amp;"|"&amp;B193&amp;"|"&amp;C193,"")</f>
        <v/>
      </c>
    </row>
    <row r="194">
      <c r="J194" s="9">
        <f>IF(A194="","",IF(G194="Pooled",AND(E194&gt;=Assumptions!$C$34,F194&gt;=Assumptions!$C$35),TRUE))</f>
        <v/>
      </c>
      <c r="K194" s="2">
        <f>IF(J194=TRUE,A194&amp;"|"&amp;B194&amp;"|"&amp;C194,"")</f>
        <v/>
      </c>
    </row>
    <row r="195">
      <c r="J195" s="9">
        <f>IF(A195="","",IF(G195="Pooled",AND(E195&gt;=Assumptions!$C$34,F195&gt;=Assumptions!$C$35),TRUE))</f>
        <v/>
      </c>
      <c r="K195" s="2">
        <f>IF(J195=TRUE,A195&amp;"|"&amp;B195&amp;"|"&amp;C195,"")</f>
        <v/>
      </c>
    </row>
    <row r="196">
      <c r="J196" s="9">
        <f>IF(A196="","",IF(G196="Pooled",AND(E196&gt;=Assumptions!$C$34,F196&gt;=Assumptions!$C$35),TRUE))</f>
        <v/>
      </c>
      <c r="K196" s="2">
        <f>IF(J196=TRUE,A196&amp;"|"&amp;B196&amp;"|"&amp;C196,"")</f>
        <v/>
      </c>
    </row>
    <row r="197">
      <c r="J197" s="9">
        <f>IF(A197="","",IF(G197="Pooled",AND(E197&gt;=Assumptions!$C$34,F197&gt;=Assumptions!$C$35),TRUE))</f>
        <v/>
      </c>
      <c r="K197" s="2">
        <f>IF(J197=TRUE,A197&amp;"|"&amp;B197&amp;"|"&amp;C197,"")</f>
        <v/>
      </c>
    </row>
    <row r="198">
      <c r="J198" s="9">
        <f>IF(A198="","",IF(G198="Pooled",AND(E198&gt;=Assumptions!$C$34,F198&gt;=Assumptions!$C$35),TRUE))</f>
        <v/>
      </c>
      <c r="K198" s="2">
        <f>IF(J198=TRUE,A198&amp;"|"&amp;B198&amp;"|"&amp;C198,"")</f>
        <v/>
      </c>
    </row>
    <row r="199">
      <c r="J199" s="9">
        <f>IF(A199="","",IF(G199="Pooled",AND(E199&gt;=Assumptions!$C$34,F199&gt;=Assumptions!$C$35),TRUE))</f>
        <v/>
      </c>
      <c r="K199" s="2">
        <f>IF(J199=TRUE,A199&amp;"|"&amp;B199&amp;"|"&amp;C199,"")</f>
        <v/>
      </c>
    </row>
    <row r="200">
      <c r="J200" s="9">
        <f>IF(A200="","",IF(G200="Pooled",AND(E200&gt;=Assumptions!$C$34,F200&gt;=Assumptions!$C$35),TRUE))</f>
        <v/>
      </c>
      <c r="K200" s="2">
        <f>IF(J200=TRUE,A200&amp;"|"&amp;B200&amp;"|"&amp;C200,"")</f>
        <v/>
      </c>
    </row>
    <row r="201">
      <c r="J201" s="9">
        <f>IF(A201="","",IF(G201="Pooled",AND(E201&gt;=Assumptions!$C$34,F201&gt;=Assumptions!$C$35),TRUE))</f>
        <v/>
      </c>
      <c r="K201" s="2">
        <f>IF(J201=TRUE,A201&amp;"|"&amp;B201&amp;"|"&amp;C201,"")</f>
        <v/>
      </c>
    </row>
    <row r="202">
      <c r="J202" s="9">
        <f>IF(A202="","",IF(G202="Pooled",AND(E202&gt;=Assumptions!$C$34,F202&gt;=Assumptions!$C$35),TRUE))</f>
        <v/>
      </c>
      <c r="K202" s="2">
        <f>IF(J202=TRUE,A202&amp;"|"&amp;B202&amp;"|"&amp;C202,"")</f>
        <v/>
      </c>
    </row>
    <row r="203">
      <c r="J203" s="9">
        <f>IF(A203="","",IF(G203="Pooled",AND(E203&gt;=Assumptions!$C$34,F203&gt;=Assumptions!$C$35),TRUE))</f>
        <v/>
      </c>
      <c r="K203" s="2">
        <f>IF(J203=TRUE,A203&amp;"|"&amp;B203&amp;"|"&amp;C203,"")</f>
        <v/>
      </c>
    </row>
    <row r="204">
      <c r="J204" s="9">
        <f>IF(A204="","",IF(G204="Pooled",AND(E204&gt;=Assumptions!$C$34,F204&gt;=Assumptions!$C$35),TRUE))</f>
        <v/>
      </c>
      <c r="K204" s="2">
        <f>IF(J204=TRUE,A204&amp;"|"&amp;B204&amp;"|"&amp;C204,"")</f>
        <v/>
      </c>
    </row>
    <row r="205">
      <c r="J205" s="9">
        <f>IF(A205="","",IF(G205="Pooled",AND(E205&gt;=Assumptions!$C$34,F205&gt;=Assumptions!$C$35),TRUE))</f>
        <v/>
      </c>
      <c r="K205" s="2">
        <f>IF(J205=TRUE,A205&amp;"|"&amp;B205&amp;"|"&amp;C205,"")</f>
        <v/>
      </c>
    </row>
    <row r="206">
      <c r="J206" s="9">
        <f>IF(A206="","",IF(G206="Pooled",AND(E206&gt;=Assumptions!$C$34,F206&gt;=Assumptions!$C$35),TRUE))</f>
        <v/>
      </c>
      <c r="K206" s="2">
        <f>IF(J206=TRUE,A206&amp;"|"&amp;B206&amp;"|"&amp;C206,"")</f>
        <v/>
      </c>
    </row>
    <row r="207">
      <c r="J207" s="9">
        <f>IF(A207="","",IF(G207="Pooled",AND(E207&gt;=Assumptions!$C$34,F207&gt;=Assumptions!$C$35),TRUE))</f>
        <v/>
      </c>
      <c r="K207" s="2">
        <f>IF(J207=TRUE,A207&amp;"|"&amp;B207&amp;"|"&amp;C207,"")</f>
        <v/>
      </c>
    </row>
    <row r="208">
      <c r="J208" s="9">
        <f>IF(A208="","",IF(G208="Pooled",AND(E208&gt;=Assumptions!$C$34,F208&gt;=Assumptions!$C$35),TRUE))</f>
        <v/>
      </c>
      <c r="K208" s="2">
        <f>IF(J208=TRUE,A208&amp;"|"&amp;B208&amp;"|"&amp;C208,"")</f>
        <v/>
      </c>
    </row>
    <row r="209">
      <c r="J209" s="9">
        <f>IF(A209="","",IF(G209="Pooled",AND(E209&gt;=Assumptions!$C$34,F209&gt;=Assumptions!$C$35),TRUE))</f>
        <v/>
      </c>
      <c r="K209" s="2">
        <f>IF(J209=TRUE,A209&amp;"|"&amp;B209&amp;"|"&amp;C209,"")</f>
        <v/>
      </c>
    </row>
    <row r="210">
      <c r="J210" s="9">
        <f>IF(A210="","",IF(G210="Pooled",AND(E210&gt;=Assumptions!$C$34,F210&gt;=Assumptions!$C$35),TRUE))</f>
        <v/>
      </c>
      <c r="K210" s="2">
        <f>IF(J210=TRUE,A210&amp;"|"&amp;B210&amp;"|"&amp;C210,"")</f>
        <v/>
      </c>
    </row>
    <row r="211">
      <c r="J211" s="9">
        <f>IF(A211="","",IF(G211="Pooled",AND(E211&gt;=Assumptions!$C$34,F211&gt;=Assumptions!$C$35),TRUE))</f>
        <v/>
      </c>
      <c r="K211" s="2">
        <f>IF(J211=TRUE,A211&amp;"|"&amp;B211&amp;"|"&amp;C211,"")</f>
        <v/>
      </c>
    </row>
    <row r="212">
      <c r="J212" s="9">
        <f>IF(A212="","",IF(G212="Pooled",AND(E212&gt;=Assumptions!$C$34,F212&gt;=Assumptions!$C$35),TRUE))</f>
        <v/>
      </c>
      <c r="K212" s="2">
        <f>IF(J212=TRUE,A212&amp;"|"&amp;B212&amp;"|"&amp;C212,"")</f>
        <v/>
      </c>
    </row>
    <row r="213">
      <c r="J213" s="9">
        <f>IF(A213="","",IF(G213="Pooled",AND(E213&gt;=Assumptions!$C$34,F213&gt;=Assumptions!$C$35),TRUE))</f>
        <v/>
      </c>
      <c r="K213" s="2">
        <f>IF(J213=TRUE,A213&amp;"|"&amp;B213&amp;"|"&amp;C213,"")</f>
        <v/>
      </c>
    </row>
    <row r="214">
      <c r="J214" s="9">
        <f>IF(A214="","",IF(G214="Pooled",AND(E214&gt;=Assumptions!$C$34,F214&gt;=Assumptions!$C$35),TRUE))</f>
        <v/>
      </c>
      <c r="K214" s="2">
        <f>IF(J214=TRUE,A214&amp;"|"&amp;B214&amp;"|"&amp;C214,"")</f>
        <v/>
      </c>
    </row>
    <row r="215">
      <c r="J215" s="9">
        <f>IF(A215="","",IF(G215="Pooled",AND(E215&gt;=Assumptions!$C$34,F215&gt;=Assumptions!$C$35),TRUE))</f>
        <v/>
      </c>
      <c r="K215" s="2">
        <f>IF(J215=TRUE,A215&amp;"|"&amp;B215&amp;"|"&amp;C215,"")</f>
        <v/>
      </c>
    </row>
    <row r="216">
      <c r="J216" s="9">
        <f>IF(A216="","",IF(G216="Pooled",AND(E216&gt;=Assumptions!$C$34,F216&gt;=Assumptions!$C$35),TRUE))</f>
        <v/>
      </c>
      <c r="K216" s="2">
        <f>IF(J216=TRUE,A216&amp;"|"&amp;B216&amp;"|"&amp;C216,"")</f>
        <v/>
      </c>
    </row>
    <row r="217">
      <c r="J217" s="9">
        <f>IF(A217="","",IF(G217="Pooled",AND(E217&gt;=Assumptions!$C$34,F217&gt;=Assumptions!$C$35),TRUE))</f>
        <v/>
      </c>
      <c r="K217" s="2">
        <f>IF(J217=TRUE,A217&amp;"|"&amp;B217&amp;"|"&amp;C217,"")</f>
        <v/>
      </c>
    </row>
    <row r="218">
      <c r="J218" s="9">
        <f>IF(A218="","",IF(G218="Pooled",AND(E218&gt;=Assumptions!$C$34,F218&gt;=Assumptions!$C$35),TRUE))</f>
        <v/>
      </c>
      <c r="K218" s="2">
        <f>IF(J218=TRUE,A218&amp;"|"&amp;B218&amp;"|"&amp;C218,"")</f>
        <v/>
      </c>
    </row>
    <row r="219">
      <c r="J219" s="9">
        <f>IF(A219="","",IF(G219="Pooled",AND(E219&gt;=Assumptions!$C$34,F219&gt;=Assumptions!$C$35),TRUE))</f>
        <v/>
      </c>
      <c r="K219" s="2">
        <f>IF(J219=TRUE,A219&amp;"|"&amp;B219&amp;"|"&amp;C219,"")</f>
        <v/>
      </c>
    </row>
    <row r="220">
      <c r="J220" s="9">
        <f>IF(A220="","",IF(G220="Pooled",AND(E220&gt;=Assumptions!$C$34,F220&gt;=Assumptions!$C$35),TRUE))</f>
        <v/>
      </c>
      <c r="K220" s="2">
        <f>IF(J220=TRUE,A220&amp;"|"&amp;B220&amp;"|"&amp;C220,"")</f>
        <v/>
      </c>
    </row>
    <row r="221">
      <c r="J221" s="9">
        <f>IF(A221="","",IF(G221="Pooled",AND(E221&gt;=Assumptions!$C$34,F221&gt;=Assumptions!$C$35),TRUE))</f>
        <v/>
      </c>
      <c r="K221" s="2">
        <f>IF(J221=TRUE,A221&amp;"|"&amp;B221&amp;"|"&amp;C221,"")</f>
        <v/>
      </c>
    </row>
    <row r="222">
      <c r="J222" s="9">
        <f>IF(A222="","",IF(G222="Pooled",AND(E222&gt;=Assumptions!$C$34,F222&gt;=Assumptions!$C$35),TRUE))</f>
        <v/>
      </c>
      <c r="K222" s="2">
        <f>IF(J222=TRUE,A222&amp;"|"&amp;B222&amp;"|"&amp;C222,"")</f>
        <v/>
      </c>
    </row>
    <row r="223">
      <c r="J223" s="9">
        <f>IF(A223="","",IF(G223="Pooled",AND(E223&gt;=Assumptions!$C$34,F223&gt;=Assumptions!$C$35),TRUE))</f>
        <v/>
      </c>
      <c r="K223" s="2">
        <f>IF(J223=TRUE,A223&amp;"|"&amp;B223&amp;"|"&amp;C223,"")</f>
        <v/>
      </c>
    </row>
    <row r="224">
      <c r="J224" s="9">
        <f>IF(A224="","",IF(G224="Pooled",AND(E224&gt;=Assumptions!$C$34,F224&gt;=Assumptions!$C$35),TRUE))</f>
        <v/>
      </c>
      <c r="K224" s="2">
        <f>IF(J224=TRUE,A224&amp;"|"&amp;B224&amp;"|"&amp;C224,"")</f>
        <v/>
      </c>
    </row>
    <row r="225">
      <c r="J225" s="9">
        <f>IF(A225="","",IF(G225="Pooled",AND(E225&gt;=Assumptions!$C$34,F225&gt;=Assumptions!$C$35),TRUE))</f>
        <v/>
      </c>
      <c r="K225" s="2">
        <f>IF(J225=TRUE,A225&amp;"|"&amp;B225&amp;"|"&amp;C225,"")</f>
        <v/>
      </c>
    </row>
    <row r="226">
      <c r="J226" s="9">
        <f>IF(A226="","",IF(G226="Pooled",AND(E226&gt;=Assumptions!$C$34,F226&gt;=Assumptions!$C$35),TRUE))</f>
        <v/>
      </c>
      <c r="K226" s="2">
        <f>IF(J226=TRUE,A226&amp;"|"&amp;B226&amp;"|"&amp;C226,"")</f>
        <v/>
      </c>
    </row>
    <row r="227">
      <c r="J227" s="9">
        <f>IF(A227="","",IF(G227="Pooled",AND(E227&gt;=Assumptions!$C$34,F227&gt;=Assumptions!$C$35),TRUE))</f>
        <v/>
      </c>
      <c r="K227" s="2">
        <f>IF(J227=TRUE,A227&amp;"|"&amp;B227&amp;"|"&amp;C227,"")</f>
        <v/>
      </c>
    </row>
    <row r="228">
      <c r="J228" s="9">
        <f>IF(A228="","",IF(G228="Pooled",AND(E228&gt;=Assumptions!$C$34,F228&gt;=Assumptions!$C$35),TRUE))</f>
        <v/>
      </c>
      <c r="K228" s="2">
        <f>IF(J228=TRUE,A228&amp;"|"&amp;B228&amp;"|"&amp;C228,"")</f>
        <v/>
      </c>
    </row>
    <row r="229">
      <c r="J229" s="9">
        <f>IF(A229="","",IF(G229="Pooled",AND(E229&gt;=Assumptions!$C$34,F229&gt;=Assumptions!$C$35),TRUE))</f>
        <v/>
      </c>
      <c r="K229" s="2">
        <f>IF(J229=TRUE,A229&amp;"|"&amp;B229&amp;"|"&amp;C229,"")</f>
        <v/>
      </c>
    </row>
    <row r="230">
      <c r="J230" s="9">
        <f>IF(A230="","",IF(G230="Pooled",AND(E230&gt;=Assumptions!$C$34,F230&gt;=Assumptions!$C$35),TRUE))</f>
        <v/>
      </c>
      <c r="K230" s="2">
        <f>IF(J230=TRUE,A230&amp;"|"&amp;B230&amp;"|"&amp;C230,"")</f>
        <v/>
      </c>
    </row>
    <row r="231">
      <c r="J231" s="9">
        <f>IF(A231="","",IF(G231="Pooled",AND(E231&gt;=Assumptions!$C$34,F231&gt;=Assumptions!$C$35),TRUE))</f>
        <v/>
      </c>
      <c r="K231" s="2">
        <f>IF(J231=TRUE,A231&amp;"|"&amp;B231&amp;"|"&amp;C231,"")</f>
        <v/>
      </c>
    </row>
    <row r="232">
      <c r="J232" s="9">
        <f>IF(A232="","",IF(G232="Pooled",AND(E232&gt;=Assumptions!$C$34,F232&gt;=Assumptions!$C$35),TRUE))</f>
        <v/>
      </c>
      <c r="K232" s="2">
        <f>IF(J232=TRUE,A232&amp;"|"&amp;B232&amp;"|"&amp;C232,"")</f>
        <v/>
      </c>
    </row>
    <row r="233">
      <c r="J233" s="9">
        <f>IF(A233="","",IF(G233="Pooled",AND(E233&gt;=Assumptions!$C$34,F233&gt;=Assumptions!$C$35),TRUE))</f>
        <v/>
      </c>
      <c r="K233" s="2">
        <f>IF(J233=TRUE,A233&amp;"|"&amp;B233&amp;"|"&amp;C233,"")</f>
        <v/>
      </c>
    </row>
    <row r="234">
      <c r="J234" s="9">
        <f>IF(A234="","",IF(G234="Pooled",AND(E234&gt;=Assumptions!$C$34,F234&gt;=Assumptions!$C$35),TRUE))</f>
        <v/>
      </c>
      <c r="K234" s="2">
        <f>IF(J234=TRUE,A234&amp;"|"&amp;B234&amp;"|"&amp;C234,"")</f>
        <v/>
      </c>
    </row>
    <row r="235">
      <c r="J235" s="9">
        <f>IF(A235="","",IF(G235="Pooled",AND(E235&gt;=Assumptions!$C$34,F235&gt;=Assumptions!$C$35),TRUE))</f>
        <v/>
      </c>
      <c r="K235" s="2">
        <f>IF(J235=TRUE,A235&amp;"|"&amp;B235&amp;"|"&amp;C235,"")</f>
        <v/>
      </c>
    </row>
    <row r="236">
      <c r="J236" s="9">
        <f>IF(A236="","",IF(G236="Pooled",AND(E236&gt;=Assumptions!$C$34,F236&gt;=Assumptions!$C$35),TRUE))</f>
        <v/>
      </c>
      <c r="K236" s="2">
        <f>IF(J236=TRUE,A236&amp;"|"&amp;B236&amp;"|"&amp;C236,"")</f>
        <v/>
      </c>
    </row>
    <row r="237">
      <c r="J237" s="9">
        <f>IF(A237="","",IF(G237="Pooled",AND(E237&gt;=Assumptions!$C$34,F237&gt;=Assumptions!$C$35),TRUE))</f>
        <v/>
      </c>
      <c r="K237" s="2">
        <f>IF(J237=TRUE,A237&amp;"|"&amp;B237&amp;"|"&amp;C237,"")</f>
        <v/>
      </c>
    </row>
    <row r="238">
      <c r="J238" s="9">
        <f>IF(A238="","",IF(G238="Pooled",AND(E238&gt;=Assumptions!$C$34,F238&gt;=Assumptions!$C$35),TRUE))</f>
        <v/>
      </c>
      <c r="K238" s="2">
        <f>IF(J238=TRUE,A238&amp;"|"&amp;B238&amp;"|"&amp;C238,"")</f>
        <v/>
      </c>
    </row>
    <row r="239">
      <c r="J239" s="9">
        <f>IF(A239="","",IF(G239="Pooled",AND(E239&gt;=Assumptions!$C$34,F239&gt;=Assumptions!$C$35),TRUE))</f>
        <v/>
      </c>
      <c r="K239" s="2">
        <f>IF(J239=TRUE,A239&amp;"|"&amp;B239&amp;"|"&amp;C239,"")</f>
        <v/>
      </c>
    </row>
    <row r="240">
      <c r="J240" s="9">
        <f>IF(A240="","",IF(G240="Pooled",AND(E240&gt;=Assumptions!$C$34,F240&gt;=Assumptions!$C$35),TRUE))</f>
        <v/>
      </c>
      <c r="K240" s="2">
        <f>IF(J240=TRUE,A240&amp;"|"&amp;B240&amp;"|"&amp;C240,"")</f>
        <v/>
      </c>
    </row>
    <row r="241">
      <c r="J241" s="9">
        <f>IF(A241="","",IF(G241="Pooled",AND(E241&gt;=Assumptions!$C$34,F241&gt;=Assumptions!$C$35),TRUE))</f>
        <v/>
      </c>
      <c r="K241" s="2">
        <f>IF(J241=TRUE,A241&amp;"|"&amp;B241&amp;"|"&amp;C241,"")</f>
        <v/>
      </c>
    </row>
    <row r="242">
      <c r="J242" s="9">
        <f>IF(A242="","",IF(G242="Pooled",AND(E242&gt;=Assumptions!$C$34,F242&gt;=Assumptions!$C$35),TRUE))</f>
        <v/>
      </c>
      <c r="K242" s="2">
        <f>IF(J242=TRUE,A242&amp;"|"&amp;B242&amp;"|"&amp;C242,"")</f>
        <v/>
      </c>
    </row>
    <row r="243">
      <c r="J243" s="9">
        <f>IF(A243="","",IF(G243="Pooled",AND(E243&gt;=Assumptions!$C$34,F243&gt;=Assumptions!$C$35),TRUE))</f>
        <v/>
      </c>
      <c r="K243" s="2">
        <f>IF(J243=TRUE,A243&amp;"|"&amp;B243&amp;"|"&amp;C243,"")</f>
        <v/>
      </c>
    </row>
    <row r="244">
      <c r="J244" s="9">
        <f>IF(A244="","",IF(G244="Pooled",AND(E244&gt;=Assumptions!$C$34,F244&gt;=Assumptions!$C$35),TRUE))</f>
        <v/>
      </c>
      <c r="K244" s="2">
        <f>IF(J244=TRUE,A244&amp;"|"&amp;B244&amp;"|"&amp;C244,"")</f>
        <v/>
      </c>
    </row>
    <row r="245">
      <c r="J245" s="9">
        <f>IF(A245="","",IF(G245="Pooled",AND(E245&gt;=Assumptions!$C$34,F245&gt;=Assumptions!$C$35),TRUE))</f>
        <v/>
      </c>
      <c r="K245" s="2">
        <f>IF(J245=TRUE,A245&amp;"|"&amp;B245&amp;"|"&amp;C245,"")</f>
        <v/>
      </c>
    </row>
    <row r="246">
      <c r="J246" s="9">
        <f>IF(A246="","",IF(G246="Pooled",AND(E246&gt;=Assumptions!$C$34,F246&gt;=Assumptions!$C$35),TRUE))</f>
        <v/>
      </c>
      <c r="K246" s="2">
        <f>IF(J246=TRUE,A246&amp;"|"&amp;B246&amp;"|"&amp;C246,"")</f>
        <v/>
      </c>
    </row>
    <row r="247">
      <c r="J247" s="9">
        <f>IF(A247="","",IF(G247="Pooled",AND(E247&gt;=Assumptions!$C$34,F247&gt;=Assumptions!$C$35),TRUE))</f>
        <v/>
      </c>
      <c r="K247" s="2">
        <f>IF(J247=TRUE,A247&amp;"|"&amp;B247&amp;"|"&amp;C247,"")</f>
        <v/>
      </c>
    </row>
    <row r="248">
      <c r="J248" s="9">
        <f>IF(A248="","",IF(G248="Pooled",AND(E248&gt;=Assumptions!$C$34,F248&gt;=Assumptions!$C$35),TRUE))</f>
        <v/>
      </c>
      <c r="K248" s="2">
        <f>IF(J248=TRUE,A248&amp;"|"&amp;B248&amp;"|"&amp;C248,"")</f>
        <v/>
      </c>
    </row>
    <row r="249">
      <c r="J249" s="9">
        <f>IF(A249="","",IF(G249="Pooled",AND(E249&gt;=Assumptions!$C$34,F249&gt;=Assumptions!$C$35),TRUE))</f>
        <v/>
      </c>
      <c r="K249" s="2">
        <f>IF(J249=TRUE,A249&amp;"|"&amp;B249&amp;"|"&amp;C249,"")</f>
        <v/>
      </c>
    </row>
    <row r="250">
      <c r="J250" s="9">
        <f>IF(A250="","",IF(G250="Pooled",AND(E250&gt;=Assumptions!$C$34,F250&gt;=Assumptions!$C$35),TRUE))</f>
        <v/>
      </c>
      <c r="K250" s="2">
        <f>IF(J250=TRUE,A250&amp;"|"&amp;B250&amp;"|"&amp;C250,"")</f>
        <v/>
      </c>
    </row>
    <row r="251">
      <c r="J251" s="9">
        <f>IF(A251="","",IF(G251="Pooled",AND(E251&gt;=Assumptions!$C$34,F251&gt;=Assumptions!$C$35),TRUE))</f>
        <v/>
      </c>
      <c r="K251" s="2">
        <f>IF(J251=TRUE,A251&amp;"|"&amp;B251&amp;"|"&amp;C251,"")</f>
        <v/>
      </c>
    </row>
    <row r="252">
      <c r="J252" s="9">
        <f>IF(A252="","",IF(G252="Pooled",AND(E252&gt;=Assumptions!$C$34,F252&gt;=Assumptions!$C$35),TRUE))</f>
        <v/>
      </c>
      <c r="K252" s="2">
        <f>IF(J252=TRUE,A252&amp;"|"&amp;B252&amp;"|"&amp;C252,"")</f>
        <v/>
      </c>
    </row>
    <row r="253">
      <c r="J253" s="9">
        <f>IF(A253="","",IF(G253="Pooled",AND(E253&gt;=Assumptions!$C$34,F253&gt;=Assumptions!$C$35),TRUE))</f>
        <v/>
      </c>
      <c r="K253" s="2">
        <f>IF(J253=TRUE,A253&amp;"|"&amp;B253&amp;"|"&amp;C253,"")</f>
        <v/>
      </c>
    </row>
    <row r="254">
      <c r="J254" s="9">
        <f>IF(A254="","",IF(G254="Pooled",AND(E254&gt;=Assumptions!$C$34,F254&gt;=Assumptions!$C$35),TRUE))</f>
        <v/>
      </c>
      <c r="K254" s="2">
        <f>IF(J254=TRUE,A254&amp;"|"&amp;B254&amp;"|"&amp;C254,"")</f>
        <v/>
      </c>
    </row>
    <row r="255">
      <c r="J255" s="9">
        <f>IF(A255="","",IF(G255="Pooled",AND(E255&gt;=Assumptions!$C$34,F255&gt;=Assumptions!$C$35),TRUE))</f>
        <v/>
      </c>
      <c r="K255" s="2">
        <f>IF(J255=TRUE,A255&amp;"|"&amp;B255&amp;"|"&amp;C255,"")</f>
        <v/>
      </c>
    </row>
    <row r="256">
      <c r="J256" s="9">
        <f>IF(A256="","",IF(G256="Pooled",AND(E256&gt;=Assumptions!$C$34,F256&gt;=Assumptions!$C$35),TRUE))</f>
        <v/>
      </c>
      <c r="K256" s="2">
        <f>IF(J256=TRUE,A256&amp;"|"&amp;B256&amp;"|"&amp;C256,"")</f>
        <v/>
      </c>
    </row>
    <row r="257">
      <c r="J257" s="9">
        <f>IF(A257="","",IF(G257="Pooled",AND(E257&gt;=Assumptions!$C$34,F257&gt;=Assumptions!$C$35),TRUE))</f>
        <v/>
      </c>
      <c r="K257" s="2">
        <f>IF(J257=TRUE,A257&amp;"|"&amp;B257&amp;"|"&amp;C257,"")</f>
        <v/>
      </c>
    </row>
    <row r="258">
      <c r="J258" s="9">
        <f>IF(A258="","",IF(G258="Pooled",AND(E258&gt;=Assumptions!$C$34,F258&gt;=Assumptions!$C$35),TRUE))</f>
        <v/>
      </c>
      <c r="K258" s="2">
        <f>IF(J258=TRUE,A258&amp;"|"&amp;B258&amp;"|"&amp;C258,"")</f>
        <v/>
      </c>
    </row>
    <row r="259">
      <c r="J259" s="9">
        <f>IF(A259="","",IF(G259="Pooled",AND(E259&gt;=Assumptions!$C$34,F259&gt;=Assumptions!$C$35),TRUE))</f>
        <v/>
      </c>
      <c r="K259" s="2">
        <f>IF(J259=TRUE,A259&amp;"|"&amp;B259&amp;"|"&amp;C259,"")</f>
        <v/>
      </c>
    </row>
    <row r="260">
      <c r="J260" s="9">
        <f>IF(A260="","",IF(G260="Pooled",AND(E260&gt;=Assumptions!$C$34,F260&gt;=Assumptions!$C$35),TRUE))</f>
        <v/>
      </c>
      <c r="K260" s="2">
        <f>IF(J260=TRUE,A260&amp;"|"&amp;B260&amp;"|"&amp;C260,"")</f>
        <v/>
      </c>
    </row>
    <row r="261">
      <c r="J261" s="9">
        <f>IF(A261="","",IF(G261="Pooled",AND(E261&gt;=Assumptions!$C$34,F261&gt;=Assumptions!$C$35),TRUE))</f>
        <v/>
      </c>
      <c r="K261" s="2">
        <f>IF(J261=TRUE,A261&amp;"|"&amp;B261&amp;"|"&amp;C261,"")</f>
        <v/>
      </c>
    </row>
    <row r="262">
      <c r="J262" s="9">
        <f>IF(A262="","",IF(G262="Pooled",AND(E262&gt;=Assumptions!$C$34,F262&gt;=Assumptions!$C$35),TRUE))</f>
        <v/>
      </c>
      <c r="K262" s="2">
        <f>IF(J262=TRUE,A262&amp;"|"&amp;B262&amp;"|"&amp;C262,"")</f>
        <v/>
      </c>
    </row>
    <row r="263">
      <c r="J263" s="9">
        <f>IF(A263="","",IF(G263="Pooled",AND(E263&gt;=Assumptions!$C$34,F263&gt;=Assumptions!$C$35),TRUE))</f>
        <v/>
      </c>
      <c r="K263" s="2">
        <f>IF(J263=TRUE,A263&amp;"|"&amp;B263&amp;"|"&amp;C263,"")</f>
        <v/>
      </c>
    </row>
    <row r="264">
      <c r="J264" s="9">
        <f>IF(A264="","",IF(G264="Pooled",AND(E264&gt;=Assumptions!$C$34,F264&gt;=Assumptions!$C$35),TRUE))</f>
        <v/>
      </c>
      <c r="K264" s="2">
        <f>IF(J264=TRUE,A264&amp;"|"&amp;B264&amp;"|"&amp;C264,"")</f>
        <v/>
      </c>
    </row>
    <row r="265">
      <c r="J265" s="9">
        <f>IF(A265="","",IF(G265="Pooled",AND(E265&gt;=Assumptions!$C$34,F265&gt;=Assumptions!$C$35),TRUE))</f>
        <v/>
      </c>
      <c r="K265" s="2">
        <f>IF(J265=TRUE,A265&amp;"|"&amp;B265&amp;"|"&amp;C265,"")</f>
        <v/>
      </c>
    </row>
    <row r="266">
      <c r="J266" s="9">
        <f>IF(A266="","",IF(G266="Pooled",AND(E266&gt;=Assumptions!$C$34,F266&gt;=Assumptions!$C$35),TRUE))</f>
        <v/>
      </c>
      <c r="K266" s="2">
        <f>IF(J266=TRUE,A266&amp;"|"&amp;B266&amp;"|"&amp;C266,"")</f>
        <v/>
      </c>
    </row>
    <row r="267">
      <c r="J267" s="9">
        <f>IF(A267="","",IF(G267="Pooled",AND(E267&gt;=Assumptions!$C$34,F267&gt;=Assumptions!$C$35),TRUE))</f>
        <v/>
      </c>
      <c r="K267" s="2">
        <f>IF(J267=TRUE,A267&amp;"|"&amp;B267&amp;"|"&amp;C267,"")</f>
        <v/>
      </c>
    </row>
    <row r="268">
      <c r="J268" s="9">
        <f>IF(A268="","",IF(G268="Pooled",AND(E268&gt;=Assumptions!$C$34,F268&gt;=Assumptions!$C$35),TRUE))</f>
        <v/>
      </c>
      <c r="K268" s="2">
        <f>IF(J268=TRUE,A268&amp;"|"&amp;B268&amp;"|"&amp;C268,"")</f>
        <v/>
      </c>
    </row>
    <row r="269">
      <c r="J269" s="9">
        <f>IF(A269="","",IF(G269="Pooled",AND(E269&gt;=Assumptions!$C$34,F269&gt;=Assumptions!$C$35),TRUE))</f>
        <v/>
      </c>
      <c r="K269" s="2">
        <f>IF(J269=TRUE,A269&amp;"|"&amp;B269&amp;"|"&amp;C269,"")</f>
        <v/>
      </c>
    </row>
    <row r="270">
      <c r="J270" s="9">
        <f>IF(A270="","",IF(G270="Pooled",AND(E270&gt;=Assumptions!$C$34,F270&gt;=Assumptions!$C$35),TRUE))</f>
        <v/>
      </c>
      <c r="K270" s="2">
        <f>IF(J270=TRUE,A270&amp;"|"&amp;B270&amp;"|"&amp;C270,"")</f>
        <v/>
      </c>
    </row>
    <row r="271">
      <c r="J271" s="9">
        <f>IF(A271="","",IF(G271="Pooled",AND(E271&gt;=Assumptions!$C$34,F271&gt;=Assumptions!$C$35),TRUE))</f>
        <v/>
      </c>
      <c r="K271" s="2">
        <f>IF(J271=TRUE,A271&amp;"|"&amp;B271&amp;"|"&amp;C271,"")</f>
        <v/>
      </c>
    </row>
    <row r="272">
      <c r="J272" s="9">
        <f>IF(A272="","",IF(G272="Pooled",AND(E272&gt;=Assumptions!$C$34,F272&gt;=Assumptions!$C$35),TRUE))</f>
        <v/>
      </c>
      <c r="K272" s="2">
        <f>IF(J272=TRUE,A272&amp;"|"&amp;B272&amp;"|"&amp;C272,"")</f>
        <v/>
      </c>
    </row>
    <row r="273">
      <c r="J273" s="9">
        <f>IF(A273="","",IF(G273="Pooled",AND(E273&gt;=Assumptions!$C$34,F273&gt;=Assumptions!$C$35),TRUE))</f>
        <v/>
      </c>
      <c r="K273" s="2">
        <f>IF(J273=TRUE,A273&amp;"|"&amp;B273&amp;"|"&amp;C273,"")</f>
        <v/>
      </c>
    </row>
    <row r="274">
      <c r="J274" s="9">
        <f>IF(A274="","",IF(G274="Pooled",AND(E274&gt;=Assumptions!$C$34,F274&gt;=Assumptions!$C$35),TRUE))</f>
        <v/>
      </c>
      <c r="K274" s="2">
        <f>IF(J274=TRUE,A274&amp;"|"&amp;B274&amp;"|"&amp;C274,"")</f>
        <v/>
      </c>
    </row>
    <row r="275">
      <c r="J275" s="9">
        <f>IF(A275="","",IF(G275="Pooled",AND(E275&gt;=Assumptions!$C$34,F275&gt;=Assumptions!$C$35),TRUE))</f>
        <v/>
      </c>
      <c r="K275" s="2">
        <f>IF(J275=TRUE,A275&amp;"|"&amp;B275&amp;"|"&amp;C275,"")</f>
        <v/>
      </c>
    </row>
    <row r="276">
      <c r="J276" s="9">
        <f>IF(A276="","",IF(G276="Pooled",AND(E276&gt;=Assumptions!$C$34,F276&gt;=Assumptions!$C$35),TRUE))</f>
        <v/>
      </c>
      <c r="K276" s="2">
        <f>IF(J276=TRUE,A276&amp;"|"&amp;B276&amp;"|"&amp;C276,"")</f>
        <v/>
      </c>
    </row>
    <row r="277">
      <c r="J277" s="9">
        <f>IF(A277="","",IF(G277="Pooled",AND(E277&gt;=Assumptions!$C$34,F277&gt;=Assumptions!$C$35),TRUE))</f>
        <v/>
      </c>
      <c r="K277" s="2">
        <f>IF(J277=TRUE,A277&amp;"|"&amp;B277&amp;"|"&amp;C277,"")</f>
        <v/>
      </c>
    </row>
    <row r="278">
      <c r="J278" s="9">
        <f>IF(A278="","",IF(G278="Pooled",AND(E278&gt;=Assumptions!$C$34,F278&gt;=Assumptions!$C$35),TRUE))</f>
        <v/>
      </c>
      <c r="K278" s="2">
        <f>IF(J278=TRUE,A278&amp;"|"&amp;B278&amp;"|"&amp;C278,"")</f>
        <v/>
      </c>
    </row>
    <row r="279">
      <c r="J279" s="9">
        <f>IF(A279="","",IF(G279="Pooled",AND(E279&gt;=Assumptions!$C$34,F279&gt;=Assumptions!$C$35),TRUE))</f>
        <v/>
      </c>
      <c r="K279" s="2">
        <f>IF(J279=TRUE,A279&amp;"|"&amp;B279&amp;"|"&amp;C279,"")</f>
        <v/>
      </c>
    </row>
    <row r="280">
      <c r="J280" s="9">
        <f>IF(A280="","",IF(G280="Pooled",AND(E280&gt;=Assumptions!$C$34,F280&gt;=Assumptions!$C$35),TRUE))</f>
        <v/>
      </c>
      <c r="K280" s="2">
        <f>IF(J280=TRUE,A280&amp;"|"&amp;B280&amp;"|"&amp;C280,"")</f>
        <v/>
      </c>
    </row>
    <row r="281">
      <c r="J281" s="9">
        <f>IF(A281="","",IF(G281="Pooled",AND(E281&gt;=Assumptions!$C$34,F281&gt;=Assumptions!$C$35),TRUE))</f>
        <v/>
      </c>
      <c r="K281" s="2">
        <f>IF(J281=TRUE,A281&amp;"|"&amp;B281&amp;"|"&amp;C281,"")</f>
        <v/>
      </c>
    </row>
    <row r="282">
      <c r="J282" s="9">
        <f>IF(A282="","",IF(G282="Pooled",AND(E282&gt;=Assumptions!$C$34,F282&gt;=Assumptions!$C$35),TRUE))</f>
        <v/>
      </c>
      <c r="K282" s="2">
        <f>IF(J282=TRUE,A282&amp;"|"&amp;B282&amp;"|"&amp;C282,"")</f>
        <v/>
      </c>
    </row>
    <row r="283">
      <c r="J283" s="9">
        <f>IF(A283="","",IF(G283="Pooled",AND(E283&gt;=Assumptions!$C$34,F283&gt;=Assumptions!$C$35),TRUE))</f>
        <v/>
      </c>
      <c r="K283" s="2">
        <f>IF(J283=TRUE,A283&amp;"|"&amp;B283&amp;"|"&amp;C283,"")</f>
        <v/>
      </c>
    </row>
    <row r="284">
      <c r="J284" s="9">
        <f>IF(A284="","",IF(G284="Pooled",AND(E284&gt;=Assumptions!$C$34,F284&gt;=Assumptions!$C$35),TRUE))</f>
        <v/>
      </c>
      <c r="K284" s="2">
        <f>IF(J284=TRUE,A284&amp;"|"&amp;B284&amp;"|"&amp;C284,"")</f>
        <v/>
      </c>
    </row>
    <row r="285">
      <c r="J285" s="9">
        <f>IF(A285="","",IF(G285="Pooled",AND(E285&gt;=Assumptions!$C$34,F285&gt;=Assumptions!$C$35),TRUE))</f>
        <v/>
      </c>
      <c r="K285" s="2">
        <f>IF(J285=TRUE,A285&amp;"|"&amp;B285&amp;"|"&amp;C285,"")</f>
        <v/>
      </c>
    </row>
    <row r="286">
      <c r="J286" s="9">
        <f>IF(A286="","",IF(G286="Pooled",AND(E286&gt;=Assumptions!$C$34,F286&gt;=Assumptions!$C$35),TRUE))</f>
        <v/>
      </c>
      <c r="K286" s="2">
        <f>IF(J286=TRUE,A286&amp;"|"&amp;B286&amp;"|"&amp;C286,"")</f>
        <v/>
      </c>
    </row>
    <row r="287">
      <c r="J287" s="9">
        <f>IF(A287="","",IF(G287="Pooled",AND(E287&gt;=Assumptions!$C$34,F287&gt;=Assumptions!$C$35),TRUE))</f>
        <v/>
      </c>
      <c r="K287" s="2">
        <f>IF(J287=TRUE,A287&amp;"|"&amp;B287&amp;"|"&amp;C287,"")</f>
        <v/>
      </c>
    </row>
    <row r="288">
      <c r="J288" s="9">
        <f>IF(A288="","",IF(G288="Pooled",AND(E288&gt;=Assumptions!$C$34,F288&gt;=Assumptions!$C$35),TRUE))</f>
        <v/>
      </c>
      <c r="K288" s="2">
        <f>IF(J288=TRUE,A288&amp;"|"&amp;B288&amp;"|"&amp;C288,"")</f>
        <v/>
      </c>
    </row>
    <row r="289">
      <c r="J289" s="9">
        <f>IF(A289="","",IF(G289="Pooled",AND(E289&gt;=Assumptions!$C$34,F289&gt;=Assumptions!$C$35),TRUE))</f>
        <v/>
      </c>
      <c r="K289" s="2">
        <f>IF(J289=TRUE,A289&amp;"|"&amp;B289&amp;"|"&amp;C289,"")</f>
        <v/>
      </c>
    </row>
    <row r="290">
      <c r="J290" s="9">
        <f>IF(A290="","",IF(G290="Pooled",AND(E290&gt;=Assumptions!$C$34,F290&gt;=Assumptions!$C$35),TRUE))</f>
        <v/>
      </c>
      <c r="K290" s="2">
        <f>IF(J290=TRUE,A290&amp;"|"&amp;B290&amp;"|"&amp;C290,"")</f>
        <v/>
      </c>
    </row>
    <row r="291">
      <c r="J291" s="9">
        <f>IF(A291="","",IF(G291="Pooled",AND(E291&gt;=Assumptions!$C$34,F291&gt;=Assumptions!$C$35),TRUE))</f>
        <v/>
      </c>
      <c r="K291" s="2">
        <f>IF(J291=TRUE,A291&amp;"|"&amp;B291&amp;"|"&amp;C291,"")</f>
        <v/>
      </c>
    </row>
    <row r="292">
      <c r="J292" s="9">
        <f>IF(A292="","",IF(G292="Pooled",AND(E292&gt;=Assumptions!$C$34,F292&gt;=Assumptions!$C$35),TRUE))</f>
        <v/>
      </c>
      <c r="K292" s="2">
        <f>IF(J292=TRUE,A292&amp;"|"&amp;B292&amp;"|"&amp;C292,"")</f>
        <v/>
      </c>
    </row>
    <row r="293">
      <c r="J293" s="9">
        <f>IF(A293="","",IF(G293="Pooled",AND(E293&gt;=Assumptions!$C$34,F293&gt;=Assumptions!$C$35),TRUE))</f>
        <v/>
      </c>
      <c r="K293" s="2">
        <f>IF(J293=TRUE,A293&amp;"|"&amp;B293&amp;"|"&amp;C293,"")</f>
        <v/>
      </c>
    </row>
    <row r="294">
      <c r="J294" s="9">
        <f>IF(A294="","",IF(G294="Pooled",AND(E294&gt;=Assumptions!$C$34,F294&gt;=Assumptions!$C$35),TRUE))</f>
        <v/>
      </c>
      <c r="K294" s="2">
        <f>IF(J294=TRUE,A294&amp;"|"&amp;B294&amp;"|"&amp;C294,"")</f>
        <v/>
      </c>
    </row>
    <row r="295">
      <c r="J295" s="9">
        <f>IF(A295="","",IF(G295="Pooled",AND(E295&gt;=Assumptions!$C$34,F295&gt;=Assumptions!$C$35),TRUE))</f>
        <v/>
      </c>
      <c r="K295" s="2">
        <f>IF(J295=TRUE,A295&amp;"|"&amp;B295&amp;"|"&amp;C295,"")</f>
        <v/>
      </c>
    </row>
    <row r="296">
      <c r="J296" s="9">
        <f>IF(A296="","",IF(G296="Pooled",AND(E296&gt;=Assumptions!$C$34,F296&gt;=Assumptions!$C$35),TRUE))</f>
        <v/>
      </c>
      <c r="K296" s="2">
        <f>IF(J296=TRUE,A296&amp;"|"&amp;B296&amp;"|"&amp;C296,"")</f>
        <v/>
      </c>
    </row>
    <row r="297">
      <c r="J297" s="9">
        <f>IF(A297="","",IF(G297="Pooled",AND(E297&gt;=Assumptions!$C$34,F297&gt;=Assumptions!$C$35),TRUE))</f>
        <v/>
      </c>
      <c r="K297" s="2">
        <f>IF(J297=TRUE,A297&amp;"|"&amp;B297&amp;"|"&amp;C297,"")</f>
        <v/>
      </c>
    </row>
    <row r="298">
      <c r="J298" s="9">
        <f>IF(A298="","",IF(G298="Pooled",AND(E298&gt;=Assumptions!$C$34,F298&gt;=Assumptions!$C$35),TRUE))</f>
        <v/>
      </c>
      <c r="K298" s="2">
        <f>IF(J298=TRUE,A298&amp;"|"&amp;B298&amp;"|"&amp;C298,"")</f>
        <v/>
      </c>
    </row>
    <row r="299">
      <c r="J299" s="9">
        <f>IF(A299="","",IF(G299="Pooled",AND(E299&gt;=Assumptions!$C$34,F299&gt;=Assumptions!$C$35),TRUE))</f>
        <v/>
      </c>
      <c r="K299" s="2">
        <f>IF(J299=TRUE,A299&amp;"|"&amp;B299&amp;"|"&amp;C299,"")</f>
        <v/>
      </c>
    </row>
    <row r="300">
      <c r="J300" s="9">
        <f>IF(A300="","",IF(G300="Pooled",AND(E300&gt;=Assumptions!$C$34,F300&gt;=Assumptions!$C$35),TRUE))</f>
        <v/>
      </c>
      <c r="K300" s="2">
        <f>IF(J300=TRUE,A300&amp;"|"&amp;B300&amp;"|"&amp;C300,"")</f>
        <v/>
      </c>
    </row>
    <row r="301">
      <c r="J301" s="9">
        <f>IF(A301="","",IF(G301="Pooled",AND(E301&gt;=Assumptions!$C$34,F301&gt;=Assumptions!$C$35),TRUE))</f>
        <v/>
      </c>
      <c r="K301" s="2">
        <f>IF(J301=TRUE,A301&amp;"|"&amp;B301&amp;"|"&amp;C301,"")</f>
        <v/>
      </c>
    </row>
    <row r="302">
      <c r="J302" s="9">
        <f>IF(A302="","",IF(G302="Pooled",AND(E302&gt;=Assumptions!$C$34,F302&gt;=Assumptions!$C$35),TRUE))</f>
        <v/>
      </c>
      <c r="K302" s="2">
        <f>IF(J302=TRUE,A302&amp;"|"&amp;B302&amp;"|"&amp;C302,"")</f>
        <v/>
      </c>
    </row>
    <row r="303">
      <c r="J303" s="9">
        <f>IF(A303="","",IF(G303="Pooled",AND(E303&gt;=Assumptions!$C$34,F303&gt;=Assumptions!$C$35),TRUE))</f>
        <v/>
      </c>
      <c r="K303" s="2">
        <f>IF(J303=TRUE,A303&amp;"|"&amp;B303&amp;"|"&amp;C303,"")</f>
        <v/>
      </c>
    </row>
    <row r="304">
      <c r="J304" s="9">
        <f>IF(A304="","",IF(G304="Pooled",AND(E304&gt;=Assumptions!$C$34,F304&gt;=Assumptions!$C$35),TRUE))</f>
        <v/>
      </c>
      <c r="K304" s="2">
        <f>IF(J304=TRUE,A304&amp;"|"&amp;B304&amp;"|"&amp;C304,"")</f>
        <v/>
      </c>
    </row>
  </sheetData>
  <dataValidations count="2">
    <dataValidation sqref="B5:B304" showDropDown="0" showInputMessage="0" showErrorMessage="0" allowBlank="1" type="list">
      <formula1>=Use_Library!$A$5:$A$66</formula1>
    </dataValidation>
    <dataValidation sqref="G5:G304" showDropDown="0" showInputMessage="0" showErrorMessage="0" allowBlank="1" type="list">
      <formula1>=Lookups!$AB$5:$AB$6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4" customWidth="1" min="4" max="4"/>
    <col width="10" customWidth="1" min="5" max="5"/>
    <col width="40" customWidth="1" min="6" max="6"/>
    <col width="10" customWidth="1" min="7" max="7"/>
    <col width="60" customWidth="1" min="8" max="8"/>
  </cols>
  <sheetData>
    <row r="1">
      <c r="A1" s="1" t="inlineStr">
        <is>
          <t>Org Overrides - an org's learned numbers by use x field</t>
        </is>
      </c>
    </row>
    <row r="2">
      <c r="A2" s="2" t="inlineStr">
        <is>
          <t>Written by the learner from the org's uploads and actuals, stored at the REFERENCE BASIS (divided by the deal location's index), so they travel to any market. Example rows.</t>
        </is>
      </c>
    </row>
    <row r="4" ht="32" customHeight="1">
      <c r="A4" s="8" t="inlineStr">
        <is>
          <t>Org</t>
        </is>
      </c>
      <c r="B4" s="8" t="inlineStr">
        <is>
          <t>Use</t>
        </is>
      </c>
      <c r="C4" s="8" t="inlineStr">
        <is>
          <t>Field</t>
        </is>
      </c>
      <c r="D4" s="8" t="inlineStr">
        <is>
          <t>Value (reference basis)</t>
        </is>
      </c>
      <c r="E4" s="8" t="inlineStr">
        <is>
          <t>Effective records</t>
        </is>
      </c>
      <c r="F4" s="8" t="inlineStr">
        <is>
          <t>Source</t>
        </is>
      </c>
      <c r="G4" s="8" t="inlineStr">
        <is>
          <t>As of</t>
        </is>
      </c>
      <c r="H4" s="8" t="inlineStr">
        <is>
          <t>Lookup key</t>
        </is>
      </c>
    </row>
    <row r="5">
      <c r="A5" s="43" t="inlineStr">
        <is>
          <t>Ridge Stone Homes</t>
        </is>
      </c>
      <c r="B5" s="43" t="inlineStr">
        <is>
          <t>Manufactured home subdivision</t>
        </is>
      </c>
      <c r="C5" s="43" t="inlineStr">
        <is>
          <t>vert</t>
        </is>
      </c>
      <c r="D5" s="44" t="n">
        <v>112000</v>
      </c>
      <c r="E5" s="43" t="n">
        <v>6</v>
      </c>
      <c r="F5" s="43" t="inlineStr">
        <is>
          <t>Deal_History actuals (Short Road, Sears Rd)</t>
        </is>
      </c>
      <c r="G5" s="43" t="inlineStr">
        <is>
          <t>2026-09</t>
        </is>
      </c>
      <c r="H5" s="2">
        <f>IF(A5="","",A5&amp;"|"&amp;B5&amp;"|"&amp;C5)</f>
        <v/>
      </c>
    </row>
    <row r="6">
      <c r="A6" s="43" t="inlineStr">
        <is>
          <t>Ridge Stone Homes</t>
        </is>
      </c>
      <c r="B6" s="43" t="inlineStr">
        <is>
          <t>Manufactured home community (MHC)</t>
        </is>
      </c>
      <c r="C6" s="43" t="inlineStr">
        <is>
          <t>opex</t>
        </is>
      </c>
      <c r="D6" s="44" t="n">
        <v>1100</v>
      </c>
      <c r="E6" s="43" t="n">
        <v>4</v>
      </c>
      <c r="F6" s="43" t="inlineStr">
        <is>
          <t>Uploaded T-12s</t>
        </is>
      </c>
      <c r="G6" s="43" t="inlineStr">
        <is>
          <t>2026-08</t>
        </is>
      </c>
      <c r="H6" s="2">
        <f>IF(A6="","",A6&amp;"|"&amp;B6&amp;"|"&amp;C6)</f>
        <v/>
      </c>
    </row>
    <row r="7">
      <c r="A7" s="43" t="inlineStr">
        <is>
          <t>Ridge Stone Homes</t>
        </is>
      </c>
      <c r="B7" s="43" t="inlineStr">
        <is>
          <t>Workforce / extended-stay RV park</t>
        </is>
      </c>
      <c r="C7" s="43" t="inlineStr">
        <is>
          <t>devmo</t>
        </is>
      </c>
      <c r="D7" s="49" t="n">
        <v>9</v>
      </c>
      <c r="E7" s="43" t="n">
        <v>3</v>
      </c>
      <c r="F7" s="43" t="inlineStr">
        <is>
          <t>Deal_History actuals</t>
        </is>
      </c>
      <c r="G7" s="43" t="inlineStr">
        <is>
          <t>2026-06</t>
        </is>
      </c>
      <c r="H7" s="2">
        <f>IF(A7="","",A7&amp;"|"&amp;B7&amp;"|"&amp;C7)</f>
        <v/>
      </c>
    </row>
    <row r="8">
      <c r="A8" s="43" t="inlineStr">
        <is>
          <t>Other Org LLC</t>
        </is>
      </c>
      <c r="B8" s="43" t="inlineStr">
        <is>
          <t>Homesites (stick-built, for sale)</t>
        </is>
      </c>
      <c r="C8" s="43" t="inlineStr">
        <is>
          <t>vert</t>
        </is>
      </c>
      <c r="D8" s="44" t="n">
        <v>260000</v>
      </c>
      <c r="E8" s="43" t="n">
        <v>5</v>
      </c>
      <c r="F8" s="43" t="inlineStr">
        <is>
          <t>Uploaded proformas</t>
        </is>
      </c>
      <c r="G8" s="43" t="inlineStr">
        <is>
          <t>2026-05</t>
        </is>
      </c>
      <c r="H8" s="2">
        <f>IF(A8="","",A8&amp;"|"&amp;B8&amp;"|"&amp;C8)</f>
        <v/>
      </c>
    </row>
    <row r="9">
      <c r="H9" s="2">
        <f>IF(A9="","",A9&amp;"|"&amp;B9&amp;"|"&amp;C9)</f>
        <v/>
      </c>
    </row>
    <row r="10">
      <c r="H10" s="2">
        <f>IF(A10="","",A10&amp;"|"&amp;B10&amp;"|"&amp;C10)</f>
        <v/>
      </c>
    </row>
    <row r="11">
      <c r="H11" s="2">
        <f>IF(A11="","",A11&amp;"|"&amp;B11&amp;"|"&amp;C11)</f>
        <v/>
      </c>
    </row>
    <row r="12">
      <c r="H12" s="2">
        <f>IF(A12="","",A12&amp;"|"&amp;B12&amp;"|"&amp;C12)</f>
        <v/>
      </c>
    </row>
    <row r="13">
      <c r="H13" s="2">
        <f>IF(A13="","",A13&amp;"|"&amp;B13&amp;"|"&amp;C13)</f>
        <v/>
      </c>
    </row>
    <row r="14">
      <c r="H14" s="2">
        <f>IF(A14="","",A14&amp;"|"&amp;B14&amp;"|"&amp;C14)</f>
        <v/>
      </c>
    </row>
    <row r="15">
      <c r="H15" s="2">
        <f>IF(A15="","",A15&amp;"|"&amp;B15&amp;"|"&amp;C15)</f>
        <v/>
      </c>
    </row>
    <row r="16">
      <c r="H16" s="2">
        <f>IF(A16="","",A16&amp;"|"&amp;B16&amp;"|"&amp;C16)</f>
        <v/>
      </c>
    </row>
    <row r="17">
      <c r="H17" s="2">
        <f>IF(A17="","",A17&amp;"|"&amp;B17&amp;"|"&amp;C17)</f>
        <v/>
      </c>
    </row>
    <row r="18">
      <c r="H18" s="2">
        <f>IF(A18="","",A18&amp;"|"&amp;B18&amp;"|"&amp;C18)</f>
        <v/>
      </c>
    </row>
    <row r="19">
      <c r="H19" s="2">
        <f>IF(A19="","",A19&amp;"|"&amp;B19&amp;"|"&amp;C19)</f>
        <v/>
      </c>
    </row>
    <row r="20">
      <c r="H20" s="2">
        <f>IF(A20="","",A20&amp;"|"&amp;B20&amp;"|"&amp;C20)</f>
        <v/>
      </c>
    </row>
    <row r="21">
      <c r="H21" s="2">
        <f>IF(A21="","",A21&amp;"|"&amp;B21&amp;"|"&amp;C21)</f>
        <v/>
      </c>
    </row>
    <row r="22">
      <c r="H22" s="2">
        <f>IF(A22="","",A22&amp;"|"&amp;B22&amp;"|"&amp;C22)</f>
        <v/>
      </c>
    </row>
    <row r="23">
      <c r="H23" s="2">
        <f>IF(A23="","",A23&amp;"|"&amp;B23&amp;"|"&amp;C23)</f>
        <v/>
      </c>
    </row>
    <row r="24">
      <c r="H24" s="2">
        <f>IF(A24="","",A24&amp;"|"&amp;B24&amp;"|"&amp;C24)</f>
        <v/>
      </c>
    </row>
    <row r="25">
      <c r="H25" s="2">
        <f>IF(A25="","",A25&amp;"|"&amp;B25&amp;"|"&amp;C25)</f>
        <v/>
      </c>
    </row>
    <row r="26">
      <c r="H26" s="2">
        <f>IF(A26="","",A26&amp;"|"&amp;B26&amp;"|"&amp;C26)</f>
        <v/>
      </c>
    </row>
    <row r="27">
      <c r="H27" s="2">
        <f>IF(A27="","",A27&amp;"|"&amp;B27&amp;"|"&amp;C27)</f>
        <v/>
      </c>
    </row>
    <row r="28">
      <c r="H28" s="2">
        <f>IF(A28="","",A28&amp;"|"&amp;B28&amp;"|"&amp;C28)</f>
        <v/>
      </c>
    </row>
    <row r="29">
      <c r="H29" s="2">
        <f>IF(A29="","",A29&amp;"|"&amp;B29&amp;"|"&amp;C29)</f>
        <v/>
      </c>
    </row>
    <row r="30">
      <c r="H30" s="2">
        <f>IF(A30="","",A30&amp;"|"&amp;B30&amp;"|"&amp;C30)</f>
        <v/>
      </c>
    </row>
    <row r="31">
      <c r="H31" s="2">
        <f>IF(A31="","",A31&amp;"|"&amp;B31&amp;"|"&amp;C31)</f>
        <v/>
      </c>
    </row>
    <row r="32">
      <c r="H32" s="2">
        <f>IF(A32="","",A32&amp;"|"&amp;B32&amp;"|"&amp;C32)</f>
        <v/>
      </c>
    </row>
    <row r="33">
      <c r="H33" s="2">
        <f>IF(A33="","",A33&amp;"|"&amp;B33&amp;"|"&amp;C33)</f>
        <v/>
      </c>
    </row>
    <row r="34">
      <c r="H34" s="2">
        <f>IF(A34="","",A34&amp;"|"&amp;B34&amp;"|"&amp;C34)</f>
        <v/>
      </c>
    </row>
    <row r="35">
      <c r="H35" s="2">
        <f>IF(A35="","",A35&amp;"|"&amp;B35&amp;"|"&amp;C35)</f>
        <v/>
      </c>
    </row>
    <row r="36">
      <c r="H36" s="2">
        <f>IF(A36="","",A36&amp;"|"&amp;B36&amp;"|"&amp;C36)</f>
        <v/>
      </c>
    </row>
    <row r="37">
      <c r="H37" s="2">
        <f>IF(A37="","",A37&amp;"|"&amp;B37&amp;"|"&amp;C37)</f>
        <v/>
      </c>
    </row>
    <row r="38">
      <c r="H38" s="2">
        <f>IF(A38="","",A38&amp;"|"&amp;B38&amp;"|"&amp;C38)</f>
        <v/>
      </c>
    </row>
    <row r="39">
      <c r="H39" s="2">
        <f>IF(A39="","",A39&amp;"|"&amp;B39&amp;"|"&amp;C39)</f>
        <v/>
      </c>
    </row>
    <row r="40">
      <c r="H40" s="2">
        <f>IF(A40="","",A40&amp;"|"&amp;B40&amp;"|"&amp;C40)</f>
        <v/>
      </c>
    </row>
    <row r="41">
      <c r="H41" s="2">
        <f>IF(A41="","",A41&amp;"|"&amp;B41&amp;"|"&amp;C41)</f>
        <v/>
      </c>
    </row>
    <row r="42">
      <c r="H42" s="2">
        <f>IF(A42="","",A42&amp;"|"&amp;B42&amp;"|"&amp;C42)</f>
        <v/>
      </c>
    </row>
    <row r="43">
      <c r="H43" s="2">
        <f>IF(A43="","",A43&amp;"|"&amp;B43&amp;"|"&amp;C43)</f>
        <v/>
      </c>
    </row>
    <row r="44">
      <c r="H44" s="2">
        <f>IF(A44="","",A44&amp;"|"&amp;B44&amp;"|"&amp;C44)</f>
        <v/>
      </c>
    </row>
    <row r="45">
      <c r="H45" s="2">
        <f>IF(A45="","",A45&amp;"|"&amp;B45&amp;"|"&amp;C45)</f>
        <v/>
      </c>
    </row>
    <row r="46">
      <c r="H46" s="2">
        <f>IF(A46="","",A46&amp;"|"&amp;B46&amp;"|"&amp;C46)</f>
        <v/>
      </c>
    </row>
    <row r="47">
      <c r="H47" s="2">
        <f>IF(A47="","",A47&amp;"|"&amp;B47&amp;"|"&amp;C47)</f>
        <v/>
      </c>
    </row>
    <row r="48">
      <c r="H48" s="2">
        <f>IF(A48="","",A48&amp;"|"&amp;B48&amp;"|"&amp;C48)</f>
        <v/>
      </c>
    </row>
    <row r="49">
      <c r="H49" s="2">
        <f>IF(A49="","",A49&amp;"|"&amp;B49&amp;"|"&amp;C49)</f>
        <v/>
      </c>
    </row>
    <row r="50">
      <c r="H50" s="2">
        <f>IF(A50="","",A50&amp;"|"&amp;B50&amp;"|"&amp;C50)</f>
        <v/>
      </c>
    </row>
    <row r="51">
      <c r="H51" s="2">
        <f>IF(A51="","",A51&amp;"|"&amp;B51&amp;"|"&amp;C51)</f>
        <v/>
      </c>
    </row>
    <row r="52">
      <c r="H52" s="2">
        <f>IF(A52="","",A52&amp;"|"&amp;B52&amp;"|"&amp;C52)</f>
        <v/>
      </c>
    </row>
    <row r="53">
      <c r="H53" s="2">
        <f>IF(A53="","",A53&amp;"|"&amp;B53&amp;"|"&amp;C53)</f>
        <v/>
      </c>
    </row>
    <row r="54">
      <c r="H54" s="2">
        <f>IF(A54="","",A54&amp;"|"&amp;B54&amp;"|"&amp;C54)</f>
        <v/>
      </c>
    </row>
    <row r="55">
      <c r="H55" s="2">
        <f>IF(A55="","",A55&amp;"|"&amp;B55&amp;"|"&amp;C55)</f>
        <v/>
      </c>
    </row>
    <row r="56">
      <c r="H56" s="2">
        <f>IF(A56="","",A56&amp;"|"&amp;B56&amp;"|"&amp;C56)</f>
        <v/>
      </c>
    </row>
    <row r="57">
      <c r="H57" s="2">
        <f>IF(A57="","",A57&amp;"|"&amp;B57&amp;"|"&amp;C57)</f>
        <v/>
      </c>
    </row>
    <row r="58">
      <c r="H58" s="2">
        <f>IF(A58="","",A58&amp;"|"&amp;B58&amp;"|"&amp;C58)</f>
        <v/>
      </c>
    </row>
    <row r="59">
      <c r="H59" s="2">
        <f>IF(A59="","",A59&amp;"|"&amp;B59&amp;"|"&amp;C59)</f>
        <v/>
      </c>
    </row>
    <row r="60">
      <c r="H60" s="2">
        <f>IF(A60="","",A60&amp;"|"&amp;B60&amp;"|"&amp;C60)</f>
        <v/>
      </c>
    </row>
    <row r="61">
      <c r="H61" s="2">
        <f>IF(A61="","",A61&amp;"|"&amp;B61&amp;"|"&amp;C61)</f>
        <v/>
      </c>
    </row>
    <row r="62">
      <c r="H62" s="2">
        <f>IF(A62="","",A62&amp;"|"&amp;B62&amp;"|"&amp;C62)</f>
        <v/>
      </c>
    </row>
    <row r="63">
      <c r="H63" s="2">
        <f>IF(A63="","",A63&amp;"|"&amp;B63&amp;"|"&amp;C63)</f>
        <v/>
      </c>
    </row>
    <row r="64">
      <c r="H64" s="2">
        <f>IF(A64="","",A64&amp;"|"&amp;B64&amp;"|"&amp;C64)</f>
        <v/>
      </c>
    </row>
    <row r="65">
      <c r="H65" s="2">
        <f>IF(A65="","",A65&amp;"|"&amp;B65&amp;"|"&amp;C65)</f>
        <v/>
      </c>
    </row>
    <row r="66">
      <c r="H66" s="2">
        <f>IF(A66="","",A66&amp;"|"&amp;B66&amp;"|"&amp;C66)</f>
        <v/>
      </c>
    </row>
    <row r="67">
      <c r="H67" s="2">
        <f>IF(A67="","",A67&amp;"|"&amp;B67&amp;"|"&amp;C67)</f>
        <v/>
      </c>
    </row>
    <row r="68">
      <c r="H68" s="2">
        <f>IF(A68="","",A68&amp;"|"&amp;B68&amp;"|"&amp;C68)</f>
        <v/>
      </c>
    </row>
    <row r="69">
      <c r="H69" s="2">
        <f>IF(A69="","",A69&amp;"|"&amp;B69&amp;"|"&amp;C69)</f>
        <v/>
      </c>
    </row>
    <row r="70">
      <c r="H70" s="2">
        <f>IF(A70="","",A70&amp;"|"&amp;B70&amp;"|"&amp;C70)</f>
        <v/>
      </c>
    </row>
    <row r="71">
      <c r="H71" s="2">
        <f>IF(A71="","",A71&amp;"|"&amp;B71&amp;"|"&amp;C71)</f>
        <v/>
      </c>
    </row>
    <row r="72">
      <c r="H72" s="2">
        <f>IF(A72="","",A72&amp;"|"&amp;B72&amp;"|"&amp;C72)</f>
        <v/>
      </c>
    </row>
    <row r="73">
      <c r="H73" s="2">
        <f>IF(A73="","",A73&amp;"|"&amp;B73&amp;"|"&amp;C73)</f>
        <v/>
      </c>
    </row>
    <row r="74">
      <c r="H74" s="2">
        <f>IF(A74="","",A74&amp;"|"&amp;B74&amp;"|"&amp;C74)</f>
        <v/>
      </c>
    </row>
    <row r="75">
      <c r="H75" s="2">
        <f>IF(A75="","",A75&amp;"|"&amp;B75&amp;"|"&amp;C75)</f>
        <v/>
      </c>
    </row>
    <row r="76">
      <c r="H76" s="2">
        <f>IF(A76="","",A76&amp;"|"&amp;B76&amp;"|"&amp;C76)</f>
        <v/>
      </c>
    </row>
    <row r="77">
      <c r="H77" s="2">
        <f>IF(A77="","",A77&amp;"|"&amp;B77&amp;"|"&amp;C77)</f>
        <v/>
      </c>
    </row>
    <row r="78">
      <c r="H78" s="2">
        <f>IF(A78="","",A78&amp;"|"&amp;B78&amp;"|"&amp;C78)</f>
        <v/>
      </c>
    </row>
    <row r="79">
      <c r="H79" s="2">
        <f>IF(A79="","",A79&amp;"|"&amp;B79&amp;"|"&amp;C79)</f>
        <v/>
      </c>
    </row>
    <row r="80">
      <c r="H80" s="2">
        <f>IF(A80="","",A80&amp;"|"&amp;B80&amp;"|"&amp;C80)</f>
        <v/>
      </c>
    </row>
    <row r="81">
      <c r="H81" s="2">
        <f>IF(A81="","",A81&amp;"|"&amp;B81&amp;"|"&amp;C81)</f>
        <v/>
      </c>
    </row>
    <row r="82">
      <c r="H82" s="2">
        <f>IF(A82="","",A82&amp;"|"&amp;B82&amp;"|"&amp;C82)</f>
        <v/>
      </c>
    </row>
    <row r="83">
      <c r="H83" s="2">
        <f>IF(A83="","",A83&amp;"|"&amp;B83&amp;"|"&amp;C83)</f>
        <v/>
      </c>
    </row>
    <row r="84">
      <c r="H84" s="2">
        <f>IF(A84="","",A84&amp;"|"&amp;B84&amp;"|"&amp;C84)</f>
        <v/>
      </c>
    </row>
    <row r="85">
      <c r="H85" s="2">
        <f>IF(A85="","",A85&amp;"|"&amp;B85&amp;"|"&amp;C85)</f>
        <v/>
      </c>
    </row>
    <row r="86">
      <c r="H86" s="2">
        <f>IF(A86="","",A86&amp;"|"&amp;B86&amp;"|"&amp;C86)</f>
        <v/>
      </c>
    </row>
    <row r="87">
      <c r="H87" s="2">
        <f>IF(A87="","",A87&amp;"|"&amp;B87&amp;"|"&amp;C87)</f>
        <v/>
      </c>
    </row>
    <row r="88">
      <c r="H88" s="2">
        <f>IF(A88="","",A88&amp;"|"&amp;B88&amp;"|"&amp;C88)</f>
        <v/>
      </c>
    </row>
    <row r="89">
      <c r="H89" s="2">
        <f>IF(A89="","",A89&amp;"|"&amp;B89&amp;"|"&amp;C89)</f>
        <v/>
      </c>
    </row>
    <row r="90">
      <c r="H90" s="2">
        <f>IF(A90="","",A90&amp;"|"&amp;B90&amp;"|"&amp;C90)</f>
        <v/>
      </c>
    </row>
    <row r="91">
      <c r="H91" s="2">
        <f>IF(A91="","",A91&amp;"|"&amp;B91&amp;"|"&amp;C91)</f>
        <v/>
      </c>
    </row>
    <row r="92">
      <c r="H92" s="2">
        <f>IF(A92="","",A92&amp;"|"&amp;B92&amp;"|"&amp;C92)</f>
        <v/>
      </c>
    </row>
    <row r="93">
      <c r="H93" s="2">
        <f>IF(A93="","",A93&amp;"|"&amp;B93&amp;"|"&amp;C93)</f>
        <v/>
      </c>
    </row>
    <row r="94">
      <c r="H94" s="2">
        <f>IF(A94="","",A94&amp;"|"&amp;B94&amp;"|"&amp;C94)</f>
        <v/>
      </c>
    </row>
    <row r="95">
      <c r="H95" s="2">
        <f>IF(A95="","",A95&amp;"|"&amp;B95&amp;"|"&amp;C95)</f>
        <v/>
      </c>
    </row>
    <row r="96">
      <c r="H96" s="2">
        <f>IF(A96="","",A96&amp;"|"&amp;B96&amp;"|"&amp;C96)</f>
        <v/>
      </c>
    </row>
    <row r="97">
      <c r="H97" s="2">
        <f>IF(A97="","",A97&amp;"|"&amp;B97&amp;"|"&amp;C97)</f>
        <v/>
      </c>
    </row>
    <row r="98">
      <c r="H98" s="2">
        <f>IF(A98="","",A98&amp;"|"&amp;B98&amp;"|"&amp;C98)</f>
        <v/>
      </c>
    </row>
    <row r="99">
      <c r="H99" s="2">
        <f>IF(A99="","",A99&amp;"|"&amp;B99&amp;"|"&amp;C99)</f>
        <v/>
      </c>
    </row>
    <row r="100">
      <c r="H100" s="2">
        <f>IF(A100="","",A100&amp;"|"&amp;B100&amp;"|"&amp;C100)</f>
        <v/>
      </c>
    </row>
    <row r="101">
      <c r="H101" s="2">
        <f>IF(A101="","",A101&amp;"|"&amp;B101&amp;"|"&amp;C101)</f>
        <v/>
      </c>
    </row>
    <row r="102">
      <c r="H102" s="2">
        <f>IF(A102="","",A102&amp;"|"&amp;B102&amp;"|"&amp;C102)</f>
        <v/>
      </c>
    </row>
    <row r="103">
      <c r="H103" s="2">
        <f>IF(A103="","",A103&amp;"|"&amp;B103&amp;"|"&amp;C103)</f>
        <v/>
      </c>
    </row>
    <row r="104">
      <c r="H104" s="2">
        <f>IF(A104="","",A104&amp;"|"&amp;B104&amp;"|"&amp;C104)</f>
        <v/>
      </c>
    </row>
    <row r="105">
      <c r="H105" s="2">
        <f>IF(A105="","",A105&amp;"|"&amp;B105&amp;"|"&amp;C105)</f>
        <v/>
      </c>
    </row>
    <row r="106">
      <c r="H106" s="2">
        <f>IF(A106="","",A106&amp;"|"&amp;B106&amp;"|"&amp;C106)</f>
        <v/>
      </c>
    </row>
    <row r="107">
      <c r="H107" s="2">
        <f>IF(A107="","",A107&amp;"|"&amp;B107&amp;"|"&amp;C107)</f>
        <v/>
      </c>
    </row>
    <row r="108">
      <c r="H108" s="2">
        <f>IF(A108="","",A108&amp;"|"&amp;B108&amp;"|"&amp;C108)</f>
        <v/>
      </c>
    </row>
    <row r="109">
      <c r="H109" s="2">
        <f>IF(A109="","",A109&amp;"|"&amp;B109&amp;"|"&amp;C109)</f>
        <v/>
      </c>
    </row>
    <row r="110">
      <c r="H110" s="2">
        <f>IF(A110="","",A110&amp;"|"&amp;B110&amp;"|"&amp;C110)</f>
        <v/>
      </c>
    </row>
    <row r="111">
      <c r="H111" s="2">
        <f>IF(A111="","",A111&amp;"|"&amp;B111&amp;"|"&amp;C111)</f>
        <v/>
      </c>
    </row>
    <row r="112">
      <c r="H112" s="2">
        <f>IF(A112="","",A112&amp;"|"&amp;B112&amp;"|"&amp;C112)</f>
        <v/>
      </c>
    </row>
    <row r="113">
      <c r="H113" s="2">
        <f>IF(A113="","",A113&amp;"|"&amp;B113&amp;"|"&amp;C113)</f>
        <v/>
      </c>
    </row>
    <row r="114">
      <c r="H114" s="2">
        <f>IF(A114="","",A114&amp;"|"&amp;B114&amp;"|"&amp;C114)</f>
        <v/>
      </c>
    </row>
    <row r="115">
      <c r="H115" s="2">
        <f>IF(A115="","",A115&amp;"|"&amp;B115&amp;"|"&amp;C115)</f>
        <v/>
      </c>
    </row>
    <row r="116">
      <c r="H116" s="2">
        <f>IF(A116="","",A116&amp;"|"&amp;B116&amp;"|"&amp;C116)</f>
        <v/>
      </c>
    </row>
    <row r="117">
      <c r="H117" s="2">
        <f>IF(A117="","",A117&amp;"|"&amp;B117&amp;"|"&amp;C117)</f>
        <v/>
      </c>
    </row>
    <row r="118">
      <c r="H118" s="2">
        <f>IF(A118="","",A118&amp;"|"&amp;B118&amp;"|"&amp;C118)</f>
        <v/>
      </c>
    </row>
    <row r="119">
      <c r="H119" s="2">
        <f>IF(A119="","",A119&amp;"|"&amp;B119&amp;"|"&amp;C119)</f>
        <v/>
      </c>
    </row>
    <row r="120">
      <c r="H120" s="2">
        <f>IF(A120="","",A120&amp;"|"&amp;B120&amp;"|"&amp;C120)</f>
        <v/>
      </c>
    </row>
    <row r="121">
      <c r="H121" s="2">
        <f>IF(A121="","",A121&amp;"|"&amp;B121&amp;"|"&amp;C121)</f>
        <v/>
      </c>
    </row>
    <row r="122">
      <c r="H122" s="2">
        <f>IF(A122="","",A122&amp;"|"&amp;B122&amp;"|"&amp;C122)</f>
        <v/>
      </c>
    </row>
    <row r="123">
      <c r="H123" s="2">
        <f>IF(A123="","",A123&amp;"|"&amp;B123&amp;"|"&amp;C123)</f>
        <v/>
      </c>
    </row>
    <row r="124">
      <c r="H124" s="2">
        <f>IF(A124="","",A124&amp;"|"&amp;B124&amp;"|"&amp;C124)</f>
        <v/>
      </c>
    </row>
    <row r="125">
      <c r="H125" s="2">
        <f>IF(A125="","",A125&amp;"|"&amp;B125&amp;"|"&amp;C125)</f>
        <v/>
      </c>
    </row>
    <row r="126">
      <c r="H126" s="2">
        <f>IF(A126="","",A126&amp;"|"&amp;B126&amp;"|"&amp;C126)</f>
        <v/>
      </c>
    </row>
    <row r="127">
      <c r="H127" s="2">
        <f>IF(A127="","",A127&amp;"|"&amp;B127&amp;"|"&amp;C127)</f>
        <v/>
      </c>
    </row>
    <row r="128">
      <c r="H128" s="2">
        <f>IF(A128="","",A128&amp;"|"&amp;B128&amp;"|"&amp;C128)</f>
        <v/>
      </c>
    </row>
    <row r="129">
      <c r="H129" s="2">
        <f>IF(A129="","",A129&amp;"|"&amp;B129&amp;"|"&amp;C129)</f>
        <v/>
      </c>
    </row>
    <row r="130">
      <c r="H130" s="2">
        <f>IF(A130="","",A130&amp;"|"&amp;B130&amp;"|"&amp;C130)</f>
        <v/>
      </c>
    </row>
    <row r="131">
      <c r="H131" s="2">
        <f>IF(A131="","",A131&amp;"|"&amp;B131&amp;"|"&amp;C131)</f>
        <v/>
      </c>
    </row>
    <row r="132">
      <c r="H132" s="2">
        <f>IF(A132="","",A132&amp;"|"&amp;B132&amp;"|"&amp;C132)</f>
        <v/>
      </c>
    </row>
    <row r="133">
      <c r="H133" s="2">
        <f>IF(A133="","",A133&amp;"|"&amp;B133&amp;"|"&amp;C133)</f>
        <v/>
      </c>
    </row>
    <row r="134">
      <c r="H134" s="2">
        <f>IF(A134="","",A134&amp;"|"&amp;B134&amp;"|"&amp;C134)</f>
        <v/>
      </c>
    </row>
    <row r="135">
      <c r="H135" s="2">
        <f>IF(A135="","",A135&amp;"|"&amp;B135&amp;"|"&amp;C135)</f>
        <v/>
      </c>
    </row>
    <row r="136">
      <c r="H136" s="2">
        <f>IF(A136="","",A136&amp;"|"&amp;B136&amp;"|"&amp;C136)</f>
        <v/>
      </c>
    </row>
    <row r="137">
      <c r="H137" s="2">
        <f>IF(A137="","",A137&amp;"|"&amp;B137&amp;"|"&amp;C137)</f>
        <v/>
      </c>
    </row>
    <row r="138">
      <c r="H138" s="2">
        <f>IF(A138="","",A138&amp;"|"&amp;B138&amp;"|"&amp;C138)</f>
        <v/>
      </c>
    </row>
    <row r="139">
      <c r="H139" s="2">
        <f>IF(A139="","",A139&amp;"|"&amp;B139&amp;"|"&amp;C139)</f>
        <v/>
      </c>
    </row>
    <row r="140">
      <c r="H140" s="2">
        <f>IF(A140="","",A140&amp;"|"&amp;B140&amp;"|"&amp;C140)</f>
        <v/>
      </c>
    </row>
    <row r="141">
      <c r="H141" s="2">
        <f>IF(A141="","",A141&amp;"|"&amp;B141&amp;"|"&amp;C141)</f>
        <v/>
      </c>
    </row>
    <row r="142">
      <c r="H142" s="2">
        <f>IF(A142="","",A142&amp;"|"&amp;B142&amp;"|"&amp;C142)</f>
        <v/>
      </c>
    </row>
    <row r="143">
      <c r="H143" s="2">
        <f>IF(A143="","",A143&amp;"|"&amp;B143&amp;"|"&amp;C143)</f>
        <v/>
      </c>
    </row>
    <row r="144">
      <c r="H144" s="2">
        <f>IF(A144="","",A144&amp;"|"&amp;B144&amp;"|"&amp;C144)</f>
        <v/>
      </c>
    </row>
    <row r="145">
      <c r="H145" s="2">
        <f>IF(A145="","",A145&amp;"|"&amp;B145&amp;"|"&amp;C145)</f>
        <v/>
      </c>
    </row>
    <row r="146">
      <c r="H146" s="2">
        <f>IF(A146="","",A146&amp;"|"&amp;B146&amp;"|"&amp;C146)</f>
        <v/>
      </c>
    </row>
    <row r="147">
      <c r="H147" s="2">
        <f>IF(A147="","",A147&amp;"|"&amp;B147&amp;"|"&amp;C147)</f>
        <v/>
      </c>
    </row>
    <row r="148">
      <c r="H148" s="2">
        <f>IF(A148="","",A148&amp;"|"&amp;B148&amp;"|"&amp;C148)</f>
        <v/>
      </c>
    </row>
    <row r="149">
      <c r="H149" s="2">
        <f>IF(A149="","",A149&amp;"|"&amp;B149&amp;"|"&amp;C149)</f>
        <v/>
      </c>
    </row>
    <row r="150">
      <c r="H150" s="2">
        <f>IF(A150="","",A150&amp;"|"&amp;B150&amp;"|"&amp;C150)</f>
        <v/>
      </c>
    </row>
    <row r="151">
      <c r="H151" s="2">
        <f>IF(A151="","",A151&amp;"|"&amp;B151&amp;"|"&amp;C151)</f>
        <v/>
      </c>
    </row>
    <row r="152">
      <c r="H152" s="2">
        <f>IF(A152="","",A152&amp;"|"&amp;B152&amp;"|"&amp;C152)</f>
        <v/>
      </c>
    </row>
    <row r="153">
      <c r="H153" s="2">
        <f>IF(A153="","",A153&amp;"|"&amp;B153&amp;"|"&amp;C153)</f>
        <v/>
      </c>
    </row>
    <row r="154">
      <c r="H154" s="2">
        <f>IF(A154="","",A154&amp;"|"&amp;B154&amp;"|"&amp;C154)</f>
        <v/>
      </c>
    </row>
    <row r="155">
      <c r="H155" s="2">
        <f>IF(A155="","",A155&amp;"|"&amp;B155&amp;"|"&amp;C155)</f>
        <v/>
      </c>
    </row>
    <row r="156">
      <c r="H156" s="2">
        <f>IF(A156="","",A156&amp;"|"&amp;B156&amp;"|"&amp;C156)</f>
        <v/>
      </c>
    </row>
    <row r="157">
      <c r="H157" s="2">
        <f>IF(A157="","",A157&amp;"|"&amp;B157&amp;"|"&amp;C157)</f>
        <v/>
      </c>
    </row>
    <row r="158">
      <c r="H158" s="2">
        <f>IF(A158="","",A158&amp;"|"&amp;B158&amp;"|"&amp;C158)</f>
        <v/>
      </c>
    </row>
    <row r="159">
      <c r="H159" s="2">
        <f>IF(A159="","",A159&amp;"|"&amp;B159&amp;"|"&amp;C159)</f>
        <v/>
      </c>
    </row>
    <row r="160">
      <c r="H160" s="2">
        <f>IF(A160="","",A160&amp;"|"&amp;B160&amp;"|"&amp;C160)</f>
        <v/>
      </c>
    </row>
    <row r="161">
      <c r="H161" s="2">
        <f>IF(A161="","",A161&amp;"|"&amp;B161&amp;"|"&amp;C161)</f>
        <v/>
      </c>
    </row>
    <row r="162">
      <c r="H162" s="2">
        <f>IF(A162="","",A162&amp;"|"&amp;B162&amp;"|"&amp;C162)</f>
        <v/>
      </c>
    </row>
    <row r="163">
      <c r="H163" s="2">
        <f>IF(A163="","",A163&amp;"|"&amp;B163&amp;"|"&amp;C163)</f>
        <v/>
      </c>
    </row>
    <row r="164">
      <c r="H164" s="2">
        <f>IF(A164="","",A164&amp;"|"&amp;B164&amp;"|"&amp;C164)</f>
        <v/>
      </c>
    </row>
    <row r="165">
      <c r="H165" s="2">
        <f>IF(A165="","",A165&amp;"|"&amp;B165&amp;"|"&amp;C165)</f>
        <v/>
      </c>
    </row>
    <row r="166">
      <c r="H166" s="2">
        <f>IF(A166="","",A166&amp;"|"&amp;B166&amp;"|"&amp;C166)</f>
        <v/>
      </c>
    </row>
    <row r="167">
      <c r="H167" s="2">
        <f>IF(A167="","",A167&amp;"|"&amp;B167&amp;"|"&amp;C167)</f>
        <v/>
      </c>
    </row>
    <row r="168">
      <c r="H168" s="2">
        <f>IF(A168="","",A168&amp;"|"&amp;B168&amp;"|"&amp;C168)</f>
        <v/>
      </c>
    </row>
    <row r="169">
      <c r="H169" s="2">
        <f>IF(A169="","",A169&amp;"|"&amp;B169&amp;"|"&amp;C169)</f>
        <v/>
      </c>
    </row>
    <row r="170">
      <c r="H170" s="2">
        <f>IF(A170="","",A170&amp;"|"&amp;B170&amp;"|"&amp;C170)</f>
        <v/>
      </c>
    </row>
    <row r="171">
      <c r="H171" s="2">
        <f>IF(A171="","",A171&amp;"|"&amp;B171&amp;"|"&amp;C171)</f>
        <v/>
      </c>
    </row>
    <row r="172">
      <c r="H172" s="2">
        <f>IF(A172="","",A172&amp;"|"&amp;B172&amp;"|"&amp;C172)</f>
        <v/>
      </c>
    </row>
    <row r="173">
      <c r="H173" s="2">
        <f>IF(A173="","",A173&amp;"|"&amp;B173&amp;"|"&amp;C173)</f>
        <v/>
      </c>
    </row>
    <row r="174">
      <c r="H174" s="2">
        <f>IF(A174="","",A174&amp;"|"&amp;B174&amp;"|"&amp;C174)</f>
        <v/>
      </c>
    </row>
    <row r="175">
      <c r="H175" s="2">
        <f>IF(A175="","",A175&amp;"|"&amp;B175&amp;"|"&amp;C175)</f>
        <v/>
      </c>
    </row>
    <row r="176">
      <c r="H176" s="2">
        <f>IF(A176="","",A176&amp;"|"&amp;B176&amp;"|"&amp;C176)</f>
        <v/>
      </c>
    </row>
    <row r="177">
      <c r="H177" s="2">
        <f>IF(A177="","",A177&amp;"|"&amp;B177&amp;"|"&amp;C177)</f>
        <v/>
      </c>
    </row>
    <row r="178">
      <c r="H178" s="2">
        <f>IF(A178="","",A178&amp;"|"&amp;B178&amp;"|"&amp;C178)</f>
        <v/>
      </c>
    </row>
    <row r="179">
      <c r="H179" s="2">
        <f>IF(A179="","",A179&amp;"|"&amp;B179&amp;"|"&amp;C179)</f>
        <v/>
      </c>
    </row>
    <row r="180">
      <c r="H180" s="2">
        <f>IF(A180="","",A180&amp;"|"&amp;B180&amp;"|"&amp;C180)</f>
        <v/>
      </c>
    </row>
    <row r="181">
      <c r="H181" s="2">
        <f>IF(A181="","",A181&amp;"|"&amp;B181&amp;"|"&amp;C181)</f>
        <v/>
      </c>
    </row>
    <row r="182">
      <c r="H182" s="2">
        <f>IF(A182="","",A182&amp;"|"&amp;B182&amp;"|"&amp;C182)</f>
        <v/>
      </c>
    </row>
    <row r="183">
      <c r="H183" s="2">
        <f>IF(A183="","",A183&amp;"|"&amp;B183&amp;"|"&amp;C183)</f>
        <v/>
      </c>
    </row>
    <row r="184">
      <c r="H184" s="2">
        <f>IF(A184="","",A184&amp;"|"&amp;B184&amp;"|"&amp;C184)</f>
        <v/>
      </c>
    </row>
    <row r="185">
      <c r="H185" s="2">
        <f>IF(A185="","",A185&amp;"|"&amp;B185&amp;"|"&amp;C185)</f>
        <v/>
      </c>
    </row>
    <row r="186">
      <c r="H186" s="2">
        <f>IF(A186="","",A186&amp;"|"&amp;B186&amp;"|"&amp;C186)</f>
        <v/>
      </c>
    </row>
    <row r="187">
      <c r="H187" s="2">
        <f>IF(A187="","",A187&amp;"|"&amp;B187&amp;"|"&amp;C187)</f>
        <v/>
      </c>
    </row>
    <row r="188">
      <c r="H188" s="2">
        <f>IF(A188="","",A188&amp;"|"&amp;B188&amp;"|"&amp;C188)</f>
        <v/>
      </c>
    </row>
    <row r="189">
      <c r="H189" s="2">
        <f>IF(A189="","",A189&amp;"|"&amp;B189&amp;"|"&amp;C189)</f>
        <v/>
      </c>
    </row>
    <row r="190">
      <c r="H190" s="2">
        <f>IF(A190="","",A190&amp;"|"&amp;B190&amp;"|"&amp;C190)</f>
        <v/>
      </c>
    </row>
    <row r="191">
      <c r="H191" s="2">
        <f>IF(A191="","",A191&amp;"|"&amp;B191&amp;"|"&amp;C191)</f>
        <v/>
      </c>
    </row>
    <row r="192">
      <c r="H192" s="2">
        <f>IF(A192="","",A192&amp;"|"&amp;B192&amp;"|"&amp;C192)</f>
        <v/>
      </c>
    </row>
    <row r="193">
      <c r="H193" s="2">
        <f>IF(A193="","",A193&amp;"|"&amp;B193&amp;"|"&amp;C193)</f>
        <v/>
      </c>
    </row>
    <row r="194">
      <c r="H194" s="2">
        <f>IF(A194="","",A194&amp;"|"&amp;B194&amp;"|"&amp;C194)</f>
        <v/>
      </c>
    </row>
    <row r="195">
      <c r="H195" s="2">
        <f>IF(A195="","",A195&amp;"|"&amp;B195&amp;"|"&amp;C195)</f>
        <v/>
      </c>
    </row>
    <row r="196">
      <c r="H196" s="2">
        <f>IF(A196="","",A196&amp;"|"&amp;B196&amp;"|"&amp;C196)</f>
        <v/>
      </c>
    </row>
    <row r="197">
      <c r="H197" s="2">
        <f>IF(A197="","",A197&amp;"|"&amp;B197&amp;"|"&amp;C197)</f>
        <v/>
      </c>
    </row>
    <row r="198">
      <c r="H198" s="2">
        <f>IF(A198="","",A198&amp;"|"&amp;B198&amp;"|"&amp;C198)</f>
        <v/>
      </c>
    </row>
    <row r="199">
      <c r="H199" s="2">
        <f>IF(A199="","",A199&amp;"|"&amp;B199&amp;"|"&amp;C199)</f>
        <v/>
      </c>
    </row>
    <row r="200">
      <c r="H200" s="2">
        <f>IF(A200="","",A200&amp;"|"&amp;B200&amp;"|"&amp;C200)</f>
        <v/>
      </c>
    </row>
    <row r="201">
      <c r="H201" s="2">
        <f>IF(A201="","",A201&amp;"|"&amp;B201&amp;"|"&amp;C201)</f>
        <v/>
      </c>
    </row>
    <row r="202">
      <c r="H202" s="2">
        <f>IF(A202="","",A202&amp;"|"&amp;B202&amp;"|"&amp;C202)</f>
        <v/>
      </c>
    </row>
    <row r="203">
      <c r="H203" s="2">
        <f>IF(A203="","",A203&amp;"|"&amp;B203&amp;"|"&amp;C203)</f>
        <v/>
      </c>
    </row>
    <row r="204">
      <c r="H204" s="2">
        <f>IF(A204="","",A204&amp;"|"&amp;B204&amp;"|"&amp;C204)</f>
        <v/>
      </c>
    </row>
    <row r="205">
      <c r="H205" s="2">
        <f>IF(A205="","",A205&amp;"|"&amp;B205&amp;"|"&amp;C205)</f>
        <v/>
      </c>
    </row>
    <row r="206">
      <c r="H206" s="2">
        <f>IF(A206="","",A206&amp;"|"&amp;B206&amp;"|"&amp;C206)</f>
        <v/>
      </c>
    </row>
    <row r="207">
      <c r="H207" s="2">
        <f>IF(A207="","",A207&amp;"|"&amp;B207&amp;"|"&amp;C207)</f>
        <v/>
      </c>
    </row>
    <row r="208">
      <c r="H208" s="2">
        <f>IF(A208="","",A208&amp;"|"&amp;B208&amp;"|"&amp;C208)</f>
        <v/>
      </c>
    </row>
    <row r="209">
      <c r="H209" s="2">
        <f>IF(A209="","",A209&amp;"|"&amp;B209&amp;"|"&amp;C209)</f>
        <v/>
      </c>
    </row>
    <row r="210">
      <c r="H210" s="2">
        <f>IF(A210="","",A210&amp;"|"&amp;B210&amp;"|"&amp;C210)</f>
        <v/>
      </c>
    </row>
    <row r="211">
      <c r="H211" s="2">
        <f>IF(A211="","",A211&amp;"|"&amp;B211&amp;"|"&amp;C211)</f>
        <v/>
      </c>
    </row>
    <row r="212">
      <c r="H212" s="2">
        <f>IF(A212="","",A212&amp;"|"&amp;B212&amp;"|"&amp;C212)</f>
        <v/>
      </c>
    </row>
    <row r="213">
      <c r="H213" s="2">
        <f>IF(A213="","",A213&amp;"|"&amp;B213&amp;"|"&amp;C213)</f>
        <v/>
      </c>
    </row>
    <row r="214">
      <c r="H214" s="2">
        <f>IF(A214="","",A214&amp;"|"&amp;B214&amp;"|"&amp;C214)</f>
        <v/>
      </c>
    </row>
    <row r="215">
      <c r="H215" s="2">
        <f>IF(A215="","",A215&amp;"|"&amp;B215&amp;"|"&amp;C215)</f>
        <v/>
      </c>
    </row>
    <row r="216">
      <c r="H216" s="2">
        <f>IF(A216="","",A216&amp;"|"&amp;B216&amp;"|"&amp;C216)</f>
        <v/>
      </c>
    </row>
    <row r="217">
      <c r="H217" s="2">
        <f>IF(A217="","",A217&amp;"|"&amp;B217&amp;"|"&amp;C217)</f>
        <v/>
      </c>
    </row>
    <row r="218">
      <c r="H218" s="2">
        <f>IF(A218="","",A218&amp;"|"&amp;B218&amp;"|"&amp;C218)</f>
        <v/>
      </c>
    </row>
    <row r="219">
      <c r="H219" s="2">
        <f>IF(A219="","",A219&amp;"|"&amp;B219&amp;"|"&amp;C219)</f>
        <v/>
      </c>
    </row>
    <row r="220">
      <c r="H220" s="2">
        <f>IF(A220="","",A220&amp;"|"&amp;B220&amp;"|"&amp;C220)</f>
        <v/>
      </c>
    </row>
    <row r="221">
      <c r="H221" s="2">
        <f>IF(A221="","",A221&amp;"|"&amp;B221&amp;"|"&amp;C221)</f>
        <v/>
      </c>
    </row>
    <row r="222">
      <c r="H222" s="2">
        <f>IF(A222="","",A222&amp;"|"&amp;B222&amp;"|"&amp;C222)</f>
        <v/>
      </c>
    </row>
    <row r="223">
      <c r="H223" s="2">
        <f>IF(A223="","",A223&amp;"|"&amp;B223&amp;"|"&amp;C223)</f>
        <v/>
      </c>
    </row>
    <row r="224">
      <c r="H224" s="2">
        <f>IF(A224="","",A224&amp;"|"&amp;B224&amp;"|"&amp;C224)</f>
        <v/>
      </c>
    </row>
    <row r="225">
      <c r="H225" s="2">
        <f>IF(A225="","",A225&amp;"|"&amp;B225&amp;"|"&amp;C225)</f>
        <v/>
      </c>
    </row>
    <row r="226">
      <c r="H226" s="2">
        <f>IF(A226="","",A226&amp;"|"&amp;B226&amp;"|"&amp;C226)</f>
        <v/>
      </c>
    </row>
    <row r="227">
      <c r="H227" s="2">
        <f>IF(A227="","",A227&amp;"|"&amp;B227&amp;"|"&amp;C227)</f>
        <v/>
      </c>
    </row>
    <row r="228">
      <c r="H228" s="2">
        <f>IF(A228="","",A228&amp;"|"&amp;B228&amp;"|"&amp;C228)</f>
        <v/>
      </c>
    </row>
    <row r="229">
      <c r="H229" s="2">
        <f>IF(A229="","",A229&amp;"|"&amp;B229&amp;"|"&amp;C229)</f>
        <v/>
      </c>
    </row>
    <row r="230">
      <c r="H230" s="2">
        <f>IF(A230="","",A230&amp;"|"&amp;B230&amp;"|"&amp;C230)</f>
        <v/>
      </c>
    </row>
    <row r="231">
      <c r="H231" s="2">
        <f>IF(A231="","",A231&amp;"|"&amp;B231&amp;"|"&amp;C231)</f>
        <v/>
      </c>
    </row>
    <row r="232">
      <c r="H232" s="2">
        <f>IF(A232="","",A232&amp;"|"&amp;B232&amp;"|"&amp;C232)</f>
        <v/>
      </c>
    </row>
    <row r="233">
      <c r="H233" s="2">
        <f>IF(A233="","",A233&amp;"|"&amp;B233&amp;"|"&amp;C233)</f>
        <v/>
      </c>
    </row>
    <row r="234">
      <c r="H234" s="2">
        <f>IF(A234="","",A234&amp;"|"&amp;B234&amp;"|"&amp;C234)</f>
        <v/>
      </c>
    </row>
    <row r="235">
      <c r="H235" s="2">
        <f>IF(A235="","",A235&amp;"|"&amp;B235&amp;"|"&amp;C235)</f>
        <v/>
      </c>
    </row>
    <row r="236">
      <c r="H236" s="2">
        <f>IF(A236="","",A236&amp;"|"&amp;B236&amp;"|"&amp;C236)</f>
        <v/>
      </c>
    </row>
    <row r="237">
      <c r="H237" s="2">
        <f>IF(A237="","",A237&amp;"|"&amp;B237&amp;"|"&amp;C237)</f>
        <v/>
      </c>
    </row>
    <row r="238">
      <c r="H238" s="2">
        <f>IF(A238="","",A238&amp;"|"&amp;B238&amp;"|"&amp;C238)</f>
        <v/>
      </c>
    </row>
    <row r="239">
      <c r="H239" s="2">
        <f>IF(A239="","",A239&amp;"|"&amp;B239&amp;"|"&amp;C239)</f>
        <v/>
      </c>
    </row>
    <row r="240">
      <c r="H240" s="2">
        <f>IF(A240="","",A240&amp;"|"&amp;B240&amp;"|"&amp;C240)</f>
        <v/>
      </c>
    </row>
    <row r="241">
      <c r="H241" s="2">
        <f>IF(A241="","",A241&amp;"|"&amp;B241&amp;"|"&amp;C241)</f>
        <v/>
      </c>
    </row>
    <row r="242">
      <c r="H242" s="2">
        <f>IF(A242="","",A242&amp;"|"&amp;B242&amp;"|"&amp;C242)</f>
        <v/>
      </c>
    </row>
    <row r="243">
      <c r="H243" s="2">
        <f>IF(A243="","",A243&amp;"|"&amp;B243&amp;"|"&amp;C243)</f>
        <v/>
      </c>
    </row>
    <row r="244">
      <c r="H244" s="2">
        <f>IF(A244="","",A244&amp;"|"&amp;B244&amp;"|"&amp;C244)</f>
        <v/>
      </c>
    </row>
    <row r="245">
      <c r="H245" s="2">
        <f>IF(A245="","",A245&amp;"|"&amp;B245&amp;"|"&amp;C245)</f>
        <v/>
      </c>
    </row>
    <row r="246">
      <c r="H246" s="2">
        <f>IF(A246="","",A246&amp;"|"&amp;B246&amp;"|"&amp;C246)</f>
        <v/>
      </c>
    </row>
    <row r="247">
      <c r="H247" s="2">
        <f>IF(A247="","",A247&amp;"|"&amp;B247&amp;"|"&amp;C247)</f>
        <v/>
      </c>
    </row>
    <row r="248">
      <c r="H248" s="2">
        <f>IF(A248="","",A248&amp;"|"&amp;B248&amp;"|"&amp;C248)</f>
        <v/>
      </c>
    </row>
    <row r="249">
      <c r="H249" s="2">
        <f>IF(A249="","",A249&amp;"|"&amp;B249&amp;"|"&amp;C249)</f>
        <v/>
      </c>
    </row>
    <row r="250">
      <c r="H250" s="2">
        <f>IF(A250="","",A250&amp;"|"&amp;B250&amp;"|"&amp;C250)</f>
        <v/>
      </c>
    </row>
    <row r="251">
      <c r="H251" s="2">
        <f>IF(A251="","",A251&amp;"|"&amp;B251&amp;"|"&amp;C251)</f>
        <v/>
      </c>
    </row>
    <row r="252">
      <c r="H252" s="2">
        <f>IF(A252="","",A252&amp;"|"&amp;B252&amp;"|"&amp;C252)</f>
        <v/>
      </c>
    </row>
    <row r="253">
      <c r="H253" s="2">
        <f>IF(A253="","",A253&amp;"|"&amp;B253&amp;"|"&amp;C253)</f>
        <v/>
      </c>
    </row>
    <row r="254">
      <c r="H254" s="2">
        <f>IF(A254="","",A254&amp;"|"&amp;B254&amp;"|"&amp;C254)</f>
        <v/>
      </c>
    </row>
    <row r="255">
      <c r="H255" s="2">
        <f>IF(A255="","",A255&amp;"|"&amp;B255&amp;"|"&amp;C255)</f>
        <v/>
      </c>
    </row>
    <row r="256">
      <c r="H256" s="2">
        <f>IF(A256="","",A256&amp;"|"&amp;B256&amp;"|"&amp;C256)</f>
        <v/>
      </c>
    </row>
    <row r="257">
      <c r="H257" s="2">
        <f>IF(A257="","",A257&amp;"|"&amp;B257&amp;"|"&amp;C257)</f>
        <v/>
      </c>
    </row>
    <row r="258">
      <c r="H258" s="2">
        <f>IF(A258="","",A258&amp;"|"&amp;B258&amp;"|"&amp;C258)</f>
        <v/>
      </c>
    </row>
    <row r="259">
      <c r="H259" s="2">
        <f>IF(A259="","",A259&amp;"|"&amp;B259&amp;"|"&amp;C259)</f>
        <v/>
      </c>
    </row>
    <row r="260">
      <c r="H260" s="2">
        <f>IF(A260="","",A260&amp;"|"&amp;B260&amp;"|"&amp;C260)</f>
        <v/>
      </c>
    </row>
    <row r="261">
      <c r="H261" s="2">
        <f>IF(A261="","",A261&amp;"|"&amp;B261&amp;"|"&amp;C261)</f>
        <v/>
      </c>
    </row>
    <row r="262">
      <c r="H262" s="2">
        <f>IF(A262="","",A262&amp;"|"&amp;B262&amp;"|"&amp;C262)</f>
        <v/>
      </c>
    </row>
    <row r="263">
      <c r="H263" s="2">
        <f>IF(A263="","",A263&amp;"|"&amp;B263&amp;"|"&amp;C263)</f>
        <v/>
      </c>
    </row>
    <row r="264">
      <c r="H264" s="2">
        <f>IF(A264="","",A264&amp;"|"&amp;B264&amp;"|"&amp;C264)</f>
        <v/>
      </c>
    </row>
    <row r="265">
      <c r="H265" s="2">
        <f>IF(A265="","",A265&amp;"|"&amp;B265&amp;"|"&amp;C265)</f>
        <v/>
      </c>
    </row>
    <row r="266">
      <c r="H266" s="2">
        <f>IF(A266="","",A266&amp;"|"&amp;B266&amp;"|"&amp;C266)</f>
        <v/>
      </c>
    </row>
    <row r="267">
      <c r="H267" s="2">
        <f>IF(A267="","",A267&amp;"|"&amp;B267&amp;"|"&amp;C267)</f>
        <v/>
      </c>
    </row>
    <row r="268">
      <c r="H268" s="2">
        <f>IF(A268="","",A268&amp;"|"&amp;B268&amp;"|"&amp;C268)</f>
        <v/>
      </c>
    </row>
    <row r="269">
      <c r="H269" s="2">
        <f>IF(A269="","",A269&amp;"|"&amp;B269&amp;"|"&amp;C269)</f>
        <v/>
      </c>
    </row>
    <row r="270">
      <c r="H270" s="2">
        <f>IF(A270="","",A270&amp;"|"&amp;B270&amp;"|"&amp;C270)</f>
        <v/>
      </c>
    </row>
    <row r="271">
      <c r="H271" s="2">
        <f>IF(A271="","",A271&amp;"|"&amp;B271&amp;"|"&amp;C271)</f>
        <v/>
      </c>
    </row>
    <row r="272">
      <c r="H272" s="2">
        <f>IF(A272="","",A272&amp;"|"&amp;B272&amp;"|"&amp;C272)</f>
        <v/>
      </c>
    </row>
    <row r="273">
      <c r="H273" s="2">
        <f>IF(A273="","",A273&amp;"|"&amp;B273&amp;"|"&amp;C273)</f>
        <v/>
      </c>
    </row>
    <row r="274">
      <c r="H274" s="2">
        <f>IF(A274="","",A274&amp;"|"&amp;B274&amp;"|"&amp;C274)</f>
        <v/>
      </c>
    </row>
    <row r="275">
      <c r="H275" s="2">
        <f>IF(A275="","",A275&amp;"|"&amp;B275&amp;"|"&amp;C275)</f>
        <v/>
      </c>
    </row>
    <row r="276">
      <c r="H276" s="2">
        <f>IF(A276="","",A276&amp;"|"&amp;B276&amp;"|"&amp;C276)</f>
        <v/>
      </c>
    </row>
    <row r="277">
      <c r="H277" s="2">
        <f>IF(A277="","",A277&amp;"|"&amp;B277&amp;"|"&amp;C277)</f>
        <v/>
      </c>
    </row>
    <row r="278">
      <c r="H278" s="2">
        <f>IF(A278="","",A278&amp;"|"&amp;B278&amp;"|"&amp;C278)</f>
        <v/>
      </c>
    </row>
    <row r="279">
      <c r="H279" s="2">
        <f>IF(A279="","",A279&amp;"|"&amp;B279&amp;"|"&amp;C279)</f>
        <v/>
      </c>
    </row>
    <row r="280">
      <c r="H280" s="2">
        <f>IF(A280="","",A280&amp;"|"&amp;B280&amp;"|"&amp;C280)</f>
        <v/>
      </c>
    </row>
    <row r="281">
      <c r="H281" s="2">
        <f>IF(A281="","",A281&amp;"|"&amp;B281&amp;"|"&amp;C281)</f>
        <v/>
      </c>
    </row>
    <row r="282">
      <c r="H282" s="2">
        <f>IF(A282="","",A282&amp;"|"&amp;B282&amp;"|"&amp;C282)</f>
        <v/>
      </c>
    </row>
    <row r="283">
      <c r="H283" s="2">
        <f>IF(A283="","",A283&amp;"|"&amp;B283&amp;"|"&amp;C283)</f>
        <v/>
      </c>
    </row>
    <row r="284">
      <c r="H284" s="2">
        <f>IF(A284="","",A284&amp;"|"&amp;B284&amp;"|"&amp;C284)</f>
        <v/>
      </c>
    </row>
    <row r="285">
      <c r="H285" s="2">
        <f>IF(A285="","",A285&amp;"|"&amp;B285&amp;"|"&amp;C285)</f>
        <v/>
      </c>
    </row>
    <row r="286">
      <c r="H286" s="2">
        <f>IF(A286="","",A286&amp;"|"&amp;B286&amp;"|"&amp;C286)</f>
        <v/>
      </c>
    </row>
    <row r="287">
      <c r="H287" s="2">
        <f>IF(A287="","",A287&amp;"|"&amp;B287&amp;"|"&amp;C287)</f>
        <v/>
      </c>
    </row>
    <row r="288">
      <c r="H288" s="2">
        <f>IF(A288="","",A288&amp;"|"&amp;B288&amp;"|"&amp;C288)</f>
        <v/>
      </c>
    </row>
    <row r="289">
      <c r="H289" s="2">
        <f>IF(A289="","",A289&amp;"|"&amp;B289&amp;"|"&amp;C289)</f>
        <v/>
      </c>
    </row>
    <row r="290">
      <c r="H290" s="2">
        <f>IF(A290="","",A290&amp;"|"&amp;B290&amp;"|"&amp;C290)</f>
        <v/>
      </c>
    </row>
    <row r="291">
      <c r="H291" s="2">
        <f>IF(A291="","",A291&amp;"|"&amp;B291&amp;"|"&amp;C291)</f>
        <v/>
      </c>
    </row>
    <row r="292">
      <c r="H292" s="2">
        <f>IF(A292="","",A292&amp;"|"&amp;B292&amp;"|"&amp;C292)</f>
        <v/>
      </c>
    </row>
    <row r="293">
      <c r="H293" s="2">
        <f>IF(A293="","",A293&amp;"|"&amp;B293&amp;"|"&amp;C293)</f>
        <v/>
      </c>
    </row>
    <row r="294">
      <c r="H294" s="2">
        <f>IF(A294="","",A294&amp;"|"&amp;B294&amp;"|"&amp;C294)</f>
        <v/>
      </c>
    </row>
    <row r="295">
      <c r="H295" s="2">
        <f>IF(A295="","",A295&amp;"|"&amp;B295&amp;"|"&amp;C295)</f>
        <v/>
      </c>
    </row>
    <row r="296">
      <c r="H296" s="2">
        <f>IF(A296="","",A296&amp;"|"&amp;B296&amp;"|"&amp;C296)</f>
        <v/>
      </c>
    </row>
    <row r="297">
      <c r="H297" s="2">
        <f>IF(A297="","",A297&amp;"|"&amp;B297&amp;"|"&amp;C297)</f>
        <v/>
      </c>
    </row>
    <row r="298">
      <c r="H298" s="2">
        <f>IF(A298="","",A298&amp;"|"&amp;B298&amp;"|"&amp;C298)</f>
        <v/>
      </c>
    </row>
    <row r="299">
      <c r="H299" s="2">
        <f>IF(A299="","",A299&amp;"|"&amp;B299&amp;"|"&amp;C299)</f>
        <v/>
      </c>
    </row>
    <row r="300">
      <c r="H300" s="2">
        <f>IF(A300="","",A300&amp;"|"&amp;B300&amp;"|"&amp;C300)</f>
        <v/>
      </c>
    </row>
    <row r="301">
      <c r="H301" s="2">
        <f>IF(A301="","",A301&amp;"|"&amp;B301&amp;"|"&amp;C301)</f>
        <v/>
      </c>
    </row>
    <row r="302">
      <c r="H302" s="2">
        <f>IF(A302="","",A302&amp;"|"&amp;B302&amp;"|"&amp;C302)</f>
        <v/>
      </c>
    </row>
    <row r="303">
      <c r="H303" s="2">
        <f>IF(A303="","",A303&amp;"|"&amp;B303&amp;"|"&amp;C303)</f>
        <v/>
      </c>
    </row>
    <row r="304">
      <c r="H304" s="2">
        <f>IF(A304="","",A304&amp;"|"&amp;B304&amp;"|"&amp;C304)</f>
        <v/>
      </c>
    </row>
  </sheetData>
  <dataValidations count="1">
    <dataValidation sqref="B5:B304" showDropDown="0" showInputMessage="0" showErrorMessage="0" allowBlank="1" type="list">
      <formula1>=Use_Library!$A$5:$A$66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Deal History - upload template</t>
        </is>
      </c>
    </row>
    <row r="2">
      <c r="A2" s="2" t="inlineStr">
        <is>
          <t>Past deals with projected AND actual numbers, including deals passed on. Drives estimating-bias correction and use-level learning. Example row.</t>
        </is>
      </c>
    </row>
    <row r="4" ht="32" customHeight="1">
      <c r="A4" s="8" t="inlineStr">
        <is>
          <t>Org</t>
        </is>
      </c>
      <c r="B4" s="8" t="inlineStr">
        <is>
          <t>Deal_ID</t>
        </is>
      </c>
      <c r="C4" s="8" t="inlineStr">
        <is>
          <t>Date_Underwritten</t>
        </is>
      </c>
      <c r="D4" s="8" t="inlineStr">
        <is>
          <t>Region_Key</t>
        </is>
      </c>
      <c r="E4" s="8" t="inlineStr">
        <is>
          <t>Use</t>
        </is>
      </c>
      <c r="F4" s="8" t="inlineStr">
        <is>
          <t>Gross_Acres</t>
        </is>
      </c>
      <c r="G4" s="8" t="inlineStr">
        <is>
          <t>Capacity</t>
        </is>
      </c>
      <c r="H4" s="8" t="inlineStr">
        <is>
          <t>Land_Price</t>
        </is>
      </c>
      <c r="I4" s="8" t="inlineStr">
        <is>
          <t>Decision</t>
        </is>
      </c>
      <c r="J4" s="8" t="inlineStr">
        <is>
          <t>Reason_if_Passed</t>
        </is>
      </c>
      <c r="K4" s="8" t="inlineStr">
        <is>
          <t>Horizontal_Projected</t>
        </is>
      </c>
      <c r="L4" s="8" t="inlineStr">
        <is>
          <t>Horizontal_Actual</t>
        </is>
      </c>
      <c r="M4" s="8" t="inlineStr">
        <is>
          <t>Vertical_Projected</t>
        </is>
      </c>
      <c r="N4" s="8" t="inlineStr">
        <is>
          <t>Vertical_Actual</t>
        </is>
      </c>
      <c r="O4" s="8" t="inlineStr">
        <is>
          <t>Revenue_or_Value_Projected</t>
        </is>
      </c>
      <c r="P4" s="8" t="inlineStr">
        <is>
          <t>Revenue_or_Value_Actual</t>
        </is>
      </c>
      <c r="Q4" s="8" t="inlineStr">
        <is>
          <t>NOI_Projected</t>
        </is>
      </c>
      <c r="R4" s="8" t="inlineStr">
        <is>
          <t>NOI_Actual</t>
        </is>
      </c>
      <c r="S4" s="8" t="inlineStr">
        <is>
          <t>Months_Projected</t>
        </is>
      </c>
      <c r="T4" s="8" t="inlineStr">
        <is>
          <t>Months_Actual</t>
        </is>
      </c>
      <c r="U4" s="8" t="inlineStr">
        <is>
          <t>Data_Quality</t>
        </is>
      </c>
      <c r="V4" s="8" t="inlineStr">
        <is>
          <t>Notes</t>
        </is>
      </c>
      <c r="W4" s="8" t="inlineStr">
        <is>
          <t>Cost_Variance_%</t>
        </is>
      </c>
      <c r="X4" s="8" t="inlineStr">
        <is>
          <t>Revenue_Variance_%</t>
        </is>
      </c>
    </row>
    <row r="5">
      <c r="A5" s="2" t="inlineStr">
        <is>
          <t>Text</t>
        </is>
      </c>
      <c r="B5" s="2" t="inlineStr">
        <is>
          <t>Text</t>
        </is>
      </c>
      <c r="C5" s="2" t="inlineStr">
        <is>
          <t>YYYY-MM-DD</t>
        </is>
      </c>
      <c r="D5" s="2" t="inlineStr">
        <is>
          <t>ST|County</t>
        </is>
      </c>
      <c r="E5" s="2" t="inlineStr">
        <is>
          <t>From Use_Library</t>
        </is>
      </c>
      <c r="F5" s="2" t="inlineStr">
        <is>
          <t>ac</t>
        </is>
      </c>
      <c r="G5" s="2" t="inlineStr">
        <is>
          <t>#</t>
        </is>
      </c>
      <c r="H5" s="2" t="inlineStr">
        <is>
          <t>$</t>
        </is>
      </c>
      <c r="I5" s="2" t="inlineStr">
        <is>
          <t>Bought / Passed / Lost</t>
        </is>
      </c>
      <c r="J5" s="2" t="inlineStr">
        <is>
          <t>Text</t>
        </is>
      </c>
      <c r="K5" s="2" t="inlineStr">
        <is>
          <t>$</t>
        </is>
      </c>
      <c r="L5" s="2" t="inlineStr">
        <is>
          <t>$</t>
        </is>
      </c>
      <c r="M5" s="2" t="inlineStr">
        <is>
          <t>$</t>
        </is>
      </c>
      <c r="N5" s="2" t="inlineStr">
        <is>
          <t>$</t>
        </is>
      </c>
      <c r="O5" s="2" t="inlineStr">
        <is>
          <t>$</t>
        </is>
      </c>
      <c r="P5" s="2" t="inlineStr">
        <is>
          <t>$</t>
        </is>
      </c>
      <c r="Q5" s="2" t="inlineStr">
        <is>
          <t>$</t>
        </is>
      </c>
      <c r="R5" s="2" t="inlineStr">
        <is>
          <t>$</t>
        </is>
      </c>
      <c r="S5" s="2" t="inlineStr">
        <is>
          <t>#</t>
        </is>
      </c>
      <c r="T5" s="2" t="inlineStr">
        <is>
          <t>#</t>
        </is>
      </c>
      <c r="U5" s="2" t="inlineStr">
        <is>
          <t>Actual / Bid / Estimate</t>
        </is>
      </c>
      <c r="V5" s="2" t="inlineStr">
        <is>
          <t>Text</t>
        </is>
      </c>
      <c r="W5" s="2" t="inlineStr">
        <is>
          <t>calc</t>
        </is>
      </c>
      <c r="X5" s="2" t="inlineStr">
        <is>
          <t>calc</t>
        </is>
      </c>
    </row>
    <row r="6">
      <c r="A6" s="43" t="inlineStr">
        <is>
          <t>Ridge Stone Homes</t>
        </is>
      </c>
      <c r="B6" s="43" t="inlineStr">
        <is>
          <t>EX-001</t>
        </is>
      </c>
      <c r="C6" s="43" t="inlineStr">
        <is>
          <t>2025-03-14</t>
        </is>
      </c>
      <c r="D6" s="43" t="inlineStr">
        <is>
          <t>TX|Grayson</t>
        </is>
      </c>
      <c r="E6" s="43" t="inlineStr">
        <is>
          <t>Manufactured home subdivision</t>
        </is>
      </c>
      <c r="F6" s="43" t="n">
        <v>12</v>
      </c>
      <c r="G6" s="43" t="n">
        <v>7</v>
      </c>
      <c r="H6" s="44" t="n">
        <v>140000</v>
      </c>
      <c r="I6" s="43" t="inlineStr">
        <is>
          <t>Bought</t>
        </is>
      </c>
      <c r="J6" s="43" t="inlineStr"/>
      <c r="K6" s="44" t="n">
        <v>177000</v>
      </c>
      <c r="L6" s="44" t="n">
        <v>188500</v>
      </c>
      <c r="M6" s="44" t="n">
        <v>815500</v>
      </c>
      <c r="N6" s="44" t="n">
        <v>830000</v>
      </c>
      <c r="O6" s="44" t="n">
        <v>1715000</v>
      </c>
      <c r="P6" s="44" t="n">
        <v>1690000</v>
      </c>
      <c r="Q6" s="43" t="n"/>
      <c r="R6" s="43" t="n"/>
      <c r="S6" s="43" t="n">
        <v>14</v>
      </c>
      <c r="T6" s="43" t="n">
        <v>19</v>
      </c>
      <c r="U6" s="43" t="inlineStr">
        <is>
          <t>Actual</t>
        </is>
      </c>
      <c r="V6" s="43" t="inlineStr">
        <is>
          <t>Example row</t>
        </is>
      </c>
      <c r="W6" s="23">
        <f>IF(OR(L6="",K6=""),"",(L6+N(N6))/(K6+N(M6))-1)</f>
        <v/>
      </c>
      <c r="X6" s="23">
        <f>IF(OR(P6="",N(O6)=0),"",P6/O6-1)</f>
        <v/>
      </c>
    </row>
    <row r="7">
      <c r="A7" s="43" t="inlineStr">
        <is>
          <t>Ridge Stone Homes</t>
        </is>
      </c>
      <c r="B7" s="43" t="inlineStr">
        <is>
          <t>EX-002</t>
        </is>
      </c>
      <c r="C7" s="43" t="inlineStr">
        <is>
          <t>2025-08-02</t>
        </is>
      </c>
      <c r="D7" s="43" t="inlineStr">
        <is>
          <t>TX|Fannin</t>
        </is>
      </c>
      <c r="E7" s="43" t="inlineStr">
        <is>
          <t>Frontage split lots (no new road)</t>
        </is>
      </c>
      <c r="F7" s="43" t="n">
        <v>22</v>
      </c>
      <c r="G7" s="43" t="n">
        <v>4</v>
      </c>
      <c r="H7" s="44" t="n">
        <v>210000</v>
      </c>
      <c r="I7" s="43" t="inlineStr">
        <is>
          <t>Bought</t>
        </is>
      </c>
      <c r="J7" s="43" t="inlineStr"/>
      <c r="K7" s="44" t="n">
        <v>30000</v>
      </c>
      <c r="L7" s="44" t="n">
        <v>34500</v>
      </c>
      <c r="M7" s="43" t="n"/>
      <c r="N7" s="43" t="n"/>
      <c r="O7" s="44" t="n">
        <v>340000</v>
      </c>
      <c r="P7" s="44" t="n">
        <v>355000</v>
      </c>
      <c r="Q7" s="43" t="n"/>
      <c r="R7" s="43" t="n"/>
      <c r="S7" s="43" t="n">
        <v>9</v>
      </c>
      <c r="T7" s="43" t="n">
        <v>11</v>
      </c>
      <c r="U7" s="43" t="inlineStr">
        <is>
          <t>Actual</t>
        </is>
      </c>
      <c r="V7" s="43" t="inlineStr">
        <is>
          <t>Example row</t>
        </is>
      </c>
      <c r="W7" s="23">
        <f>IF(OR(L7="",K7=""),"",(L7+N(N7))/(K7+N(M7))-1)</f>
        <v/>
      </c>
      <c r="X7" s="23">
        <f>IF(OR(P7="",N(O7)=0),"",P7/O7-1)</f>
        <v/>
      </c>
    </row>
    <row r="8">
      <c r="A8" s="43" t="inlineStr">
        <is>
          <t>Ridge Stone Homes</t>
        </is>
      </c>
      <c r="B8" s="43" t="inlineStr">
        <is>
          <t>EX-003</t>
        </is>
      </c>
      <c r="C8" s="43" t="inlineStr">
        <is>
          <t>2026-01-20</t>
        </is>
      </c>
      <c r="D8" s="43" t="inlineStr">
        <is>
          <t>TX|Cooke</t>
        </is>
      </c>
      <c r="E8" s="43" t="inlineStr">
        <is>
          <t>Workforce / extended-stay RV park</t>
        </is>
      </c>
      <c r="F8" s="43" t="n">
        <v>15</v>
      </c>
      <c r="G8" s="43" t="n">
        <v>0</v>
      </c>
      <c r="H8" s="44" t="n">
        <v>450000</v>
      </c>
      <c r="I8" s="43" t="inlineStr">
        <is>
          <t>Passed</t>
        </is>
      </c>
      <c r="J8" s="43" t="inlineStr">
        <is>
          <t>Septic limited sites; no employer within 15 mi</t>
        </is>
      </c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inlineStr">
        <is>
          <t>Estimate</t>
        </is>
      </c>
      <c r="V8" s="43" t="inlineStr">
        <is>
          <t>Passes teach the model too</t>
        </is>
      </c>
      <c r="W8" s="23">
        <f>IF(OR(L8="",K8=""),"",(L8+N(N8))/(K8+N(M8))-1)</f>
        <v/>
      </c>
      <c r="X8" s="23">
        <f>IF(OR(P8="",N(O8)=0),"",P8/O8-1)</f>
        <v/>
      </c>
    </row>
    <row r="9">
      <c r="W9" s="23">
        <f>IF(OR(L9="",K9=""),"",(L9+N(N9))/(K9+N(M9))-1)</f>
        <v/>
      </c>
      <c r="X9" s="23">
        <f>IF(OR(P9="",N(O9)=0),"",P9/O9-1)</f>
        <v/>
      </c>
    </row>
    <row r="10">
      <c r="W10" s="23">
        <f>IF(OR(L10="",K10=""),"",(L10+N(N10))/(K10+N(M10))-1)</f>
        <v/>
      </c>
      <c r="X10" s="23">
        <f>IF(OR(P10="",N(O10)=0),"",P10/O10-1)</f>
        <v/>
      </c>
    </row>
    <row r="11">
      <c r="W11" s="23">
        <f>IF(OR(L11="",K11=""),"",(L11+N(N11))/(K11+N(M11))-1)</f>
        <v/>
      </c>
      <c r="X11" s="23">
        <f>IF(OR(P11="",N(O11)=0),"",P11/O11-1)</f>
        <v/>
      </c>
    </row>
    <row r="12">
      <c r="W12" s="23">
        <f>IF(OR(L12="",K12=""),"",(L12+N(N12))/(K12+N(M12))-1)</f>
        <v/>
      </c>
      <c r="X12" s="23">
        <f>IF(OR(P12="",N(O12)=0),"",P12/O12-1)</f>
        <v/>
      </c>
    </row>
    <row r="13">
      <c r="W13" s="23">
        <f>IF(OR(L13="",K13=""),"",(L13+N(N13))/(K13+N(M13))-1)</f>
        <v/>
      </c>
      <c r="X13" s="23">
        <f>IF(OR(P13="",N(O13)=0),"",P13/O13-1)</f>
        <v/>
      </c>
    </row>
    <row r="14">
      <c r="W14" s="23">
        <f>IF(OR(L14="",K14=""),"",(L14+N(N14))/(K14+N(M14))-1)</f>
        <v/>
      </c>
      <c r="X14" s="23">
        <f>IF(OR(P14="",N(O14)=0),"",P14/O14-1)</f>
        <v/>
      </c>
    </row>
    <row r="15">
      <c r="W15" s="23">
        <f>IF(OR(L15="",K15=""),"",(L15+N(N15))/(K15+N(M15))-1)</f>
        <v/>
      </c>
      <c r="X15" s="23">
        <f>IF(OR(P15="",N(O15)=0),"",P15/O15-1)</f>
        <v/>
      </c>
    </row>
    <row r="16">
      <c r="W16" s="23">
        <f>IF(OR(L16="",K16=""),"",(L16+N(N16))/(K16+N(M16))-1)</f>
        <v/>
      </c>
      <c r="X16" s="23">
        <f>IF(OR(P16="",N(O16)=0),"",P16/O16-1)</f>
        <v/>
      </c>
    </row>
    <row r="17">
      <c r="W17" s="23">
        <f>IF(OR(L17="",K17=""),"",(L17+N(N17))/(K17+N(M17))-1)</f>
        <v/>
      </c>
      <c r="X17" s="23">
        <f>IF(OR(P17="",N(O17)=0),"",P17/O17-1)</f>
        <v/>
      </c>
    </row>
    <row r="18">
      <c r="W18" s="23">
        <f>IF(OR(L18="",K18=""),"",(L18+N(N18))/(K18+N(M18))-1)</f>
        <v/>
      </c>
      <c r="X18" s="23">
        <f>IF(OR(P18="",N(O18)=0),"",P18/O18-1)</f>
        <v/>
      </c>
    </row>
    <row r="19">
      <c r="W19" s="23">
        <f>IF(OR(L19="",K19=""),"",(L19+N(N19))/(K19+N(M19))-1)</f>
        <v/>
      </c>
      <c r="X19" s="23">
        <f>IF(OR(P19="",N(O19)=0),"",P19/O19-1)</f>
        <v/>
      </c>
    </row>
    <row r="20">
      <c r="W20" s="23">
        <f>IF(OR(L20="",K20=""),"",(L20+N(N20))/(K20+N(M20))-1)</f>
        <v/>
      </c>
      <c r="X20" s="23">
        <f>IF(OR(P20="",N(O20)=0),"",P20/O20-1)</f>
        <v/>
      </c>
    </row>
    <row r="21">
      <c r="W21" s="23">
        <f>IF(OR(L21="",K21=""),"",(L21+N(N21))/(K21+N(M21))-1)</f>
        <v/>
      </c>
      <c r="X21" s="23">
        <f>IF(OR(P21="",N(O21)=0),"",P21/O21-1)</f>
        <v/>
      </c>
    </row>
    <row r="22">
      <c r="W22" s="23">
        <f>IF(OR(L22="",K22=""),"",(L22+N(N22))/(K22+N(M22))-1)</f>
        <v/>
      </c>
      <c r="X22" s="23">
        <f>IF(OR(P22="",N(O22)=0),"",P22/O22-1)</f>
        <v/>
      </c>
    </row>
    <row r="23">
      <c r="W23" s="23">
        <f>IF(OR(L23="",K23=""),"",(L23+N(N23))/(K23+N(M23))-1)</f>
        <v/>
      </c>
      <c r="X23" s="23">
        <f>IF(OR(P23="",N(O23)=0),"",P23/O23-1)</f>
        <v/>
      </c>
    </row>
    <row r="24">
      <c r="W24" s="23">
        <f>IF(OR(L24="",K24=""),"",(L24+N(N24))/(K24+N(M24))-1)</f>
        <v/>
      </c>
      <c r="X24" s="23">
        <f>IF(OR(P24="",N(O24)=0),"",P24/O24-1)</f>
        <v/>
      </c>
    </row>
    <row r="25">
      <c r="W25" s="23">
        <f>IF(OR(L25="",K25=""),"",(L25+N(N25))/(K25+N(M25))-1)</f>
        <v/>
      </c>
      <c r="X25" s="23">
        <f>IF(OR(P25="",N(O25)=0),"",P25/O25-1)</f>
        <v/>
      </c>
    </row>
    <row r="26">
      <c r="W26" s="23">
        <f>IF(OR(L26="",K26=""),"",(L26+N(N26))/(K26+N(M26))-1)</f>
        <v/>
      </c>
      <c r="X26" s="23">
        <f>IF(OR(P26="",N(O26)=0),"",P26/O26-1)</f>
        <v/>
      </c>
    </row>
    <row r="27">
      <c r="W27" s="23">
        <f>IF(OR(L27="",K27=""),"",(L27+N(N27))/(K27+N(M27))-1)</f>
        <v/>
      </c>
      <c r="X27" s="23">
        <f>IF(OR(P27="",N(O27)=0),"",P27/O27-1)</f>
        <v/>
      </c>
    </row>
    <row r="28">
      <c r="W28" s="23">
        <f>IF(OR(L28="",K28=""),"",(L28+N(N28))/(K28+N(M28))-1)</f>
        <v/>
      </c>
      <c r="X28" s="23">
        <f>IF(OR(P28="",N(O28)=0),"",P28/O28-1)</f>
        <v/>
      </c>
    </row>
    <row r="29">
      <c r="W29" s="23">
        <f>IF(OR(L29="",K29=""),"",(L29+N(N29))/(K29+N(M29))-1)</f>
        <v/>
      </c>
      <c r="X29" s="23">
        <f>IF(OR(P29="",N(O29)=0),"",P29/O29-1)</f>
        <v/>
      </c>
    </row>
    <row r="30">
      <c r="W30" s="23">
        <f>IF(OR(L30="",K30=""),"",(L30+N(N30))/(K30+N(M30))-1)</f>
        <v/>
      </c>
      <c r="X30" s="23">
        <f>IF(OR(P30="",N(O30)=0),"",P30/O30-1)</f>
        <v/>
      </c>
    </row>
    <row r="31">
      <c r="W31" s="23">
        <f>IF(OR(L31="",K31=""),"",(L31+N(N31))/(K31+N(M31))-1)</f>
        <v/>
      </c>
      <c r="X31" s="23">
        <f>IF(OR(P31="",N(O31)=0),"",P31/O31-1)</f>
        <v/>
      </c>
    </row>
    <row r="32">
      <c r="W32" s="23">
        <f>IF(OR(L32="",K32=""),"",(L32+N(N32))/(K32+N(M32))-1)</f>
        <v/>
      </c>
      <c r="X32" s="23">
        <f>IF(OR(P32="",N(O32)=0),"",P32/O32-1)</f>
        <v/>
      </c>
    </row>
    <row r="33">
      <c r="W33" s="23">
        <f>IF(OR(L33="",K33=""),"",(L33+N(N33))/(K33+N(M33))-1)</f>
        <v/>
      </c>
      <c r="X33" s="23">
        <f>IF(OR(P33="",N(O33)=0),"",P33/O33-1)</f>
        <v/>
      </c>
    </row>
    <row r="34">
      <c r="W34" s="23">
        <f>IF(OR(L34="",K34=""),"",(L34+N(N34))/(K34+N(M34))-1)</f>
        <v/>
      </c>
      <c r="X34" s="23">
        <f>IF(OR(P34="",N(O34)=0),"",P34/O34-1)</f>
        <v/>
      </c>
    </row>
    <row r="35">
      <c r="W35" s="23">
        <f>IF(OR(L35="",K35=""),"",(L35+N(N35))/(K35+N(M35))-1)</f>
        <v/>
      </c>
      <c r="X35" s="23">
        <f>IF(OR(P35="",N(O35)=0),"",P35/O35-1)</f>
        <v/>
      </c>
    </row>
    <row r="36">
      <c r="W36" s="23">
        <f>IF(OR(L36="",K36=""),"",(L36+N(N36))/(K36+N(M36))-1)</f>
        <v/>
      </c>
      <c r="X36" s="23">
        <f>IF(OR(P36="",N(O36)=0),"",P36/O36-1)</f>
        <v/>
      </c>
    </row>
    <row r="37">
      <c r="W37" s="23">
        <f>IF(OR(L37="",K37=""),"",(L37+N(N37))/(K37+N(M37))-1)</f>
        <v/>
      </c>
      <c r="X37" s="23">
        <f>IF(OR(P37="",N(O37)=0),"",P37/O37-1)</f>
        <v/>
      </c>
    </row>
    <row r="38">
      <c r="W38" s="23">
        <f>IF(OR(L38="",K38=""),"",(L38+N(N38))/(K38+N(M38))-1)</f>
        <v/>
      </c>
      <c r="X38" s="23">
        <f>IF(OR(P38="",N(O38)=0),"",P38/O38-1)</f>
        <v/>
      </c>
    </row>
    <row r="39">
      <c r="W39" s="23">
        <f>IF(OR(L39="",K39=""),"",(L39+N(N39))/(K39+N(M39))-1)</f>
        <v/>
      </c>
      <c r="X39" s="23">
        <f>IF(OR(P39="",N(O39)=0),"",P39/O39-1)</f>
        <v/>
      </c>
    </row>
    <row r="40">
      <c r="W40" s="23">
        <f>IF(OR(L40="",K40=""),"",(L40+N(N40))/(K40+N(M40))-1)</f>
        <v/>
      </c>
      <c r="X40" s="23">
        <f>IF(OR(P40="",N(O40)=0),"",P40/O40-1)</f>
        <v/>
      </c>
    </row>
    <row r="41">
      <c r="W41" s="23">
        <f>IF(OR(L41="",K41=""),"",(L41+N(N41))/(K41+N(M41))-1)</f>
        <v/>
      </c>
      <c r="X41" s="23">
        <f>IF(OR(P41="",N(O41)=0),"",P41/O41-1)</f>
        <v/>
      </c>
    </row>
    <row r="42">
      <c r="W42" s="23">
        <f>IF(OR(L42="",K42=""),"",(L42+N(N42))/(K42+N(M42))-1)</f>
        <v/>
      </c>
      <c r="X42" s="23">
        <f>IF(OR(P42="",N(O42)=0),"",P42/O42-1)</f>
        <v/>
      </c>
    </row>
    <row r="43">
      <c r="W43" s="23">
        <f>IF(OR(L43="",K43=""),"",(L43+N(N43))/(K43+N(M43))-1)</f>
        <v/>
      </c>
      <c r="X43" s="23">
        <f>IF(OR(P43="",N(O43)=0),"",P43/O43-1)</f>
        <v/>
      </c>
    </row>
    <row r="44">
      <c r="W44" s="23">
        <f>IF(OR(L44="",K44=""),"",(L44+N(N44))/(K44+N(M44))-1)</f>
        <v/>
      </c>
      <c r="X44" s="23">
        <f>IF(OR(P44="",N(O44)=0),"",P44/O44-1)</f>
        <v/>
      </c>
    </row>
    <row r="45">
      <c r="W45" s="23">
        <f>IF(OR(L45="",K45=""),"",(L45+N(N45))/(K45+N(M45))-1)</f>
        <v/>
      </c>
      <c r="X45" s="23">
        <f>IF(OR(P45="",N(O45)=0),"",P45/O45-1)</f>
        <v/>
      </c>
    </row>
    <row r="46">
      <c r="W46" s="23">
        <f>IF(OR(L46="",K46=""),"",(L46+N(N46))/(K46+N(M46))-1)</f>
        <v/>
      </c>
      <c r="X46" s="23">
        <f>IF(OR(P46="",N(O46)=0),"",P46/O46-1)</f>
        <v/>
      </c>
    </row>
    <row r="47">
      <c r="W47" s="23">
        <f>IF(OR(L47="",K47=""),"",(L47+N(N47))/(K47+N(M47))-1)</f>
        <v/>
      </c>
      <c r="X47" s="23">
        <f>IF(OR(P47="",N(O47)=0),"",P47/O47-1)</f>
        <v/>
      </c>
    </row>
    <row r="48">
      <c r="W48" s="23">
        <f>IF(OR(L48="",K48=""),"",(L48+N(N48))/(K48+N(M48))-1)</f>
        <v/>
      </c>
      <c r="X48" s="23">
        <f>IF(OR(P48="",N(O48)=0),"",P48/O48-1)</f>
        <v/>
      </c>
    </row>
    <row r="49">
      <c r="W49" s="23">
        <f>IF(OR(L49="",K49=""),"",(L49+N(N49))/(K49+N(M49))-1)</f>
        <v/>
      </c>
      <c r="X49" s="23">
        <f>IF(OR(P49="",N(O49)=0),"",P49/O49-1)</f>
        <v/>
      </c>
    </row>
    <row r="50">
      <c r="W50" s="23">
        <f>IF(OR(L50="",K50=""),"",(L50+N(N50))/(K50+N(M50))-1)</f>
        <v/>
      </c>
      <c r="X50" s="23">
        <f>IF(OR(P50="",N(O50)=0),"",P50/O50-1)</f>
        <v/>
      </c>
    </row>
    <row r="51">
      <c r="W51" s="23">
        <f>IF(OR(L51="",K51=""),"",(L51+N(N51))/(K51+N(M51))-1)</f>
        <v/>
      </c>
      <c r="X51" s="23">
        <f>IF(OR(P51="",N(O51)=0),"",P51/O51-1)</f>
        <v/>
      </c>
    </row>
    <row r="52">
      <c r="W52" s="23">
        <f>IF(OR(L52="",K52=""),"",(L52+N(N52))/(K52+N(M52))-1)</f>
        <v/>
      </c>
      <c r="X52" s="23">
        <f>IF(OR(P52="",N(O52)=0),"",P52/O52-1)</f>
        <v/>
      </c>
    </row>
    <row r="53">
      <c r="W53" s="23">
        <f>IF(OR(L53="",K53=""),"",(L53+N(N53))/(K53+N(M53))-1)</f>
        <v/>
      </c>
      <c r="X53" s="23">
        <f>IF(OR(P53="",N(O53)=0),"",P53/O53-1)</f>
        <v/>
      </c>
    </row>
    <row r="54">
      <c r="W54" s="23">
        <f>IF(OR(L54="",K54=""),"",(L54+N(N54))/(K54+N(M54))-1)</f>
        <v/>
      </c>
      <c r="X54" s="23">
        <f>IF(OR(P54="",N(O54)=0),"",P54/O54-1)</f>
        <v/>
      </c>
    </row>
    <row r="55">
      <c r="W55" s="23">
        <f>IF(OR(L55="",K55=""),"",(L55+N(N55))/(K55+N(M55))-1)</f>
        <v/>
      </c>
      <c r="X55" s="23">
        <f>IF(OR(P55="",N(O55)=0),"",P55/O55-1)</f>
        <v/>
      </c>
    </row>
    <row r="56">
      <c r="W56" s="23">
        <f>IF(OR(L56="",K56=""),"",(L56+N(N56))/(K56+N(M56))-1)</f>
        <v/>
      </c>
      <c r="X56" s="23">
        <f>IF(OR(P56="",N(O56)=0),"",P56/O56-1)</f>
        <v/>
      </c>
    </row>
    <row r="57">
      <c r="W57" s="23">
        <f>IF(OR(L57="",K57=""),"",(L57+N(N57))/(K57+N(M57))-1)</f>
        <v/>
      </c>
      <c r="X57" s="23">
        <f>IF(OR(P57="",N(O57)=0),"",P57/O57-1)</f>
        <v/>
      </c>
    </row>
    <row r="58">
      <c r="W58" s="23">
        <f>IF(OR(L58="",K58=""),"",(L58+N(N58))/(K58+N(M58))-1)</f>
        <v/>
      </c>
      <c r="X58" s="23">
        <f>IF(OR(P58="",N(O58)=0),"",P58/O58-1)</f>
        <v/>
      </c>
    </row>
    <row r="59">
      <c r="W59" s="23">
        <f>IF(OR(L59="",K59=""),"",(L59+N(N59))/(K59+N(M59))-1)</f>
        <v/>
      </c>
      <c r="X59" s="23">
        <f>IF(OR(P59="",N(O59)=0),"",P59/O59-1)</f>
        <v/>
      </c>
    </row>
    <row r="60">
      <c r="W60" s="23">
        <f>IF(OR(L60="",K60=""),"",(L60+N(N60))/(K60+N(M60))-1)</f>
        <v/>
      </c>
      <c r="X60" s="23">
        <f>IF(OR(P60="",N(O60)=0),"",P60/O60-1)</f>
        <v/>
      </c>
    </row>
    <row r="61">
      <c r="W61" s="23">
        <f>IF(OR(L61="",K61=""),"",(L61+N(N61))/(K61+N(M61))-1)</f>
        <v/>
      </c>
      <c r="X61" s="23">
        <f>IF(OR(P61="",N(O61)=0),"",P61/O61-1)</f>
        <v/>
      </c>
    </row>
    <row r="62">
      <c r="W62" s="23">
        <f>IF(OR(L62="",K62=""),"",(L62+N(N62))/(K62+N(M62))-1)</f>
        <v/>
      </c>
      <c r="X62" s="23">
        <f>IF(OR(P62="",N(O62)=0),"",P62/O62-1)</f>
        <v/>
      </c>
    </row>
    <row r="63">
      <c r="W63" s="23">
        <f>IF(OR(L63="",K63=""),"",(L63+N(N63))/(K63+N(M63))-1)</f>
        <v/>
      </c>
      <c r="X63" s="23">
        <f>IF(OR(P63="",N(O63)=0),"",P63/O63-1)</f>
        <v/>
      </c>
    </row>
    <row r="64">
      <c r="W64" s="23">
        <f>IF(OR(L64="",K64=""),"",(L64+N(N64))/(K64+N(M64))-1)</f>
        <v/>
      </c>
      <c r="X64" s="23">
        <f>IF(OR(P64="",N(O64)=0),"",P64/O64-1)</f>
        <v/>
      </c>
    </row>
    <row r="65">
      <c r="W65" s="23">
        <f>IF(OR(L65="",K65=""),"",(L65+N(N65))/(K65+N(M65))-1)</f>
        <v/>
      </c>
      <c r="X65" s="23">
        <f>IF(OR(P65="",N(O65)=0),"",P65/O65-1)</f>
        <v/>
      </c>
    </row>
    <row r="66">
      <c r="W66" s="23">
        <f>IF(OR(L66="",K66=""),"",(L66+N(N66))/(K66+N(M66))-1)</f>
        <v/>
      </c>
      <c r="X66" s="23">
        <f>IF(OR(P66="",N(O66)=0),"",P66/O66-1)</f>
        <v/>
      </c>
    </row>
    <row r="67">
      <c r="W67" s="23">
        <f>IF(OR(L67="",K67=""),"",(L67+N(N67))/(K67+N(M67))-1)</f>
        <v/>
      </c>
      <c r="X67" s="23">
        <f>IF(OR(P67="",N(O67)=0),"",P67/O67-1)</f>
        <v/>
      </c>
    </row>
    <row r="68">
      <c r="W68" s="23">
        <f>IF(OR(L68="",K68=""),"",(L68+N(N68))/(K68+N(M68))-1)</f>
        <v/>
      </c>
      <c r="X68" s="23">
        <f>IF(OR(P68="",N(O68)=0),"",P68/O68-1)</f>
        <v/>
      </c>
    </row>
    <row r="69">
      <c r="W69" s="23">
        <f>IF(OR(L69="",K69=""),"",(L69+N(N69))/(K69+N(M69))-1)</f>
        <v/>
      </c>
      <c r="X69" s="23">
        <f>IF(OR(P69="",N(O69)=0),"",P69/O69-1)</f>
        <v/>
      </c>
    </row>
    <row r="70">
      <c r="W70" s="23">
        <f>IF(OR(L70="",K70=""),"",(L70+N(N70))/(K70+N(M70))-1)</f>
        <v/>
      </c>
      <c r="X70" s="23">
        <f>IF(OR(P70="",N(O70)=0),"",P70/O70-1)</f>
        <v/>
      </c>
    </row>
    <row r="71">
      <c r="W71" s="23">
        <f>IF(OR(L71="",K71=""),"",(L71+N(N71))/(K71+N(M71))-1)</f>
        <v/>
      </c>
      <c r="X71" s="23">
        <f>IF(OR(P71="",N(O71)=0),"",P71/O71-1)</f>
        <v/>
      </c>
    </row>
    <row r="72">
      <c r="W72" s="23">
        <f>IF(OR(L72="",K72=""),"",(L72+N(N72))/(K72+N(M72))-1)</f>
        <v/>
      </c>
      <c r="X72" s="23">
        <f>IF(OR(P72="",N(O72)=0),"",P72/O72-1)</f>
        <v/>
      </c>
    </row>
    <row r="73">
      <c r="W73" s="23">
        <f>IF(OR(L73="",K73=""),"",(L73+N(N73))/(K73+N(M73))-1)</f>
        <v/>
      </c>
      <c r="X73" s="23">
        <f>IF(OR(P73="",N(O73)=0),"",P73/O73-1)</f>
        <v/>
      </c>
    </row>
    <row r="74">
      <c r="W74" s="23">
        <f>IF(OR(L74="",K74=""),"",(L74+N(N74))/(K74+N(M74))-1)</f>
        <v/>
      </c>
      <c r="X74" s="23">
        <f>IF(OR(P74="",N(O74)=0),"",P74/O74-1)</f>
        <v/>
      </c>
    </row>
    <row r="75">
      <c r="W75" s="23">
        <f>IF(OR(L75="",K75=""),"",(L75+N(N75))/(K75+N(M75))-1)</f>
        <v/>
      </c>
      <c r="X75" s="23">
        <f>IF(OR(P75="",N(O75)=0),"",P75/O75-1)</f>
        <v/>
      </c>
    </row>
    <row r="76">
      <c r="W76" s="23">
        <f>IF(OR(L76="",K76=""),"",(L76+N(N76))/(K76+N(M76))-1)</f>
        <v/>
      </c>
      <c r="X76" s="23">
        <f>IF(OR(P76="",N(O76)=0),"",P76/O76-1)</f>
        <v/>
      </c>
    </row>
    <row r="77">
      <c r="W77" s="23">
        <f>IF(OR(L77="",K77=""),"",(L77+N(N77))/(K77+N(M77))-1)</f>
        <v/>
      </c>
      <c r="X77" s="23">
        <f>IF(OR(P77="",N(O77)=0),"",P77/O77-1)</f>
        <v/>
      </c>
    </row>
    <row r="78">
      <c r="W78" s="23">
        <f>IF(OR(L78="",K78=""),"",(L78+N(N78))/(K78+N(M78))-1)</f>
        <v/>
      </c>
      <c r="X78" s="23">
        <f>IF(OR(P78="",N(O78)=0),"",P78/O78-1)</f>
        <v/>
      </c>
    </row>
    <row r="79">
      <c r="W79" s="23">
        <f>IF(OR(L79="",K79=""),"",(L79+N(N79))/(K79+N(M79))-1)</f>
        <v/>
      </c>
      <c r="X79" s="23">
        <f>IF(OR(P79="",N(O79)=0),"",P79/O79-1)</f>
        <v/>
      </c>
    </row>
    <row r="80">
      <c r="W80" s="23">
        <f>IF(OR(L80="",K80=""),"",(L80+N(N80))/(K80+N(M80))-1)</f>
        <v/>
      </c>
      <c r="X80" s="23">
        <f>IF(OR(P80="",N(O80)=0),"",P80/O80-1)</f>
        <v/>
      </c>
    </row>
    <row r="81">
      <c r="W81" s="23">
        <f>IF(OR(L81="",K81=""),"",(L81+N(N81))/(K81+N(M81))-1)</f>
        <v/>
      </c>
      <c r="X81" s="23">
        <f>IF(OR(P81="",N(O81)=0),"",P81/O81-1)</f>
        <v/>
      </c>
    </row>
    <row r="82">
      <c r="W82" s="23">
        <f>IF(OR(L82="",K82=""),"",(L82+N(N82))/(K82+N(M82))-1)</f>
        <v/>
      </c>
      <c r="X82" s="23">
        <f>IF(OR(P82="",N(O82)=0),"",P82/O82-1)</f>
        <v/>
      </c>
    </row>
    <row r="83">
      <c r="W83" s="23">
        <f>IF(OR(L83="",K83=""),"",(L83+N(N83))/(K83+N(M83))-1)</f>
        <v/>
      </c>
      <c r="X83" s="23">
        <f>IF(OR(P83="",N(O83)=0),"",P83/O83-1)</f>
        <v/>
      </c>
    </row>
    <row r="84">
      <c r="W84" s="23">
        <f>IF(OR(L84="",K84=""),"",(L84+N(N84))/(K84+N(M84))-1)</f>
        <v/>
      </c>
      <c r="X84" s="23">
        <f>IF(OR(P84="",N(O84)=0),"",P84/O84-1)</f>
        <v/>
      </c>
    </row>
    <row r="85">
      <c r="W85" s="23">
        <f>IF(OR(L85="",K85=""),"",(L85+N(N85))/(K85+N(M85))-1)</f>
        <v/>
      </c>
      <c r="X85" s="23">
        <f>IF(OR(P85="",N(O85)=0),"",P85/O85-1)</f>
        <v/>
      </c>
    </row>
    <row r="86">
      <c r="W86" s="23">
        <f>IF(OR(L86="",K86=""),"",(L86+N(N86))/(K86+N(M86))-1)</f>
        <v/>
      </c>
      <c r="X86" s="23">
        <f>IF(OR(P86="",N(O86)=0),"",P86/O86-1)</f>
        <v/>
      </c>
    </row>
    <row r="87">
      <c r="W87" s="23">
        <f>IF(OR(L87="",K87=""),"",(L87+N(N87))/(K87+N(M87))-1)</f>
        <v/>
      </c>
      <c r="X87" s="23">
        <f>IF(OR(P87="",N(O87)=0),"",P87/O87-1)</f>
        <v/>
      </c>
    </row>
    <row r="88">
      <c r="W88" s="23">
        <f>IF(OR(L88="",K88=""),"",(L88+N(N88))/(K88+N(M88))-1)</f>
        <v/>
      </c>
      <c r="X88" s="23">
        <f>IF(OR(P88="",N(O88)=0),"",P88/O88-1)</f>
        <v/>
      </c>
    </row>
    <row r="89">
      <c r="W89" s="23">
        <f>IF(OR(L89="",K89=""),"",(L89+N(N89))/(K89+N(M89))-1)</f>
        <v/>
      </c>
      <c r="X89" s="23">
        <f>IF(OR(P89="",N(O89)=0),"",P89/O89-1)</f>
        <v/>
      </c>
    </row>
    <row r="90">
      <c r="W90" s="23">
        <f>IF(OR(L90="",K90=""),"",(L90+N(N90))/(K90+N(M90))-1)</f>
        <v/>
      </c>
      <c r="X90" s="23">
        <f>IF(OR(P90="",N(O90)=0),"",P90/O90-1)</f>
        <v/>
      </c>
    </row>
    <row r="91">
      <c r="W91" s="23">
        <f>IF(OR(L91="",K91=""),"",(L91+N(N91))/(K91+N(M91))-1)</f>
        <v/>
      </c>
      <c r="X91" s="23">
        <f>IF(OR(P91="",N(O91)=0),"",P91/O91-1)</f>
        <v/>
      </c>
    </row>
    <row r="92">
      <c r="W92" s="23">
        <f>IF(OR(L92="",K92=""),"",(L92+N(N92))/(K92+N(M92))-1)</f>
        <v/>
      </c>
      <c r="X92" s="23">
        <f>IF(OR(P92="",N(O92)=0),"",P92/O92-1)</f>
        <v/>
      </c>
    </row>
    <row r="93">
      <c r="W93" s="23">
        <f>IF(OR(L93="",K93=""),"",(L93+N(N93))/(K93+N(M93))-1)</f>
        <v/>
      </c>
      <c r="X93" s="23">
        <f>IF(OR(P93="",N(O93)=0),"",P93/O93-1)</f>
        <v/>
      </c>
    </row>
    <row r="94">
      <c r="W94" s="23">
        <f>IF(OR(L94="",K94=""),"",(L94+N(N94))/(K94+N(M94))-1)</f>
        <v/>
      </c>
      <c r="X94" s="23">
        <f>IF(OR(P94="",N(O94)=0),"",P94/O94-1)</f>
        <v/>
      </c>
    </row>
    <row r="95">
      <c r="W95" s="23">
        <f>IF(OR(L95="",K95=""),"",(L95+N(N95))/(K95+N(M95))-1)</f>
        <v/>
      </c>
      <c r="X95" s="23">
        <f>IF(OR(P95="",N(O95)=0),"",P95/O95-1)</f>
        <v/>
      </c>
    </row>
    <row r="96">
      <c r="W96" s="23">
        <f>IF(OR(L96="",K96=""),"",(L96+N(N96))/(K96+N(M96))-1)</f>
        <v/>
      </c>
      <c r="X96" s="23">
        <f>IF(OR(P96="",N(O96)=0),"",P96/O96-1)</f>
        <v/>
      </c>
    </row>
    <row r="97">
      <c r="W97" s="23">
        <f>IF(OR(L97="",K97=""),"",(L97+N(N97))/(K97+N(M97))-1)</f>
        <v/>
      </c>
      <c r="X97" s="23">
        <f>IF(OR(P97="",N(O97)=0),"",P97/O97-1)</f>
        <v/>
      </c>
    </row>
    <row r="98">
      <c r="W98" s="23">
        <f>IF(OR(L98="",K98=""),"",(L98+N(N98))/(K98+N(M98))-1)</f>
        <v/>
      </c>
      <c r="X98" s="23">
        <f>IF(OR(P98="",N(O98)=0),"",P98/O98-1)</f>
        <v/>
      </c>
    </row>
    <row r="99">
      <c r="W99" s="23">
        <f>IF(OR(L99="",K99=""),"",(L99+N(N99))/(K99+N(M99))-1)</f>
        <v/>
      </c>
      <c r="X99" s="23">
        <f>IF(OR(P99="",N(O99)=0),"",P99/O99-1)</f>
        <v/>
      </c>
    </row>
    <row r="100">
      <c r="W100" s="23">
        <f>IF(OR(L100="",K100=""),"",(L100+N(N100))/(K100+N(M100))-1)</f>
        <v/>
      </c>
      <c r="X100" s="23">
        <f>IF(OR(P100="",N(O100)=0),"",P100/O100-1)</f>
        <v/>
      </c>
    </row>
    <row r="101">
      <c r="W101" s="23">
        <f>IF(OR(L101="",K101=""),"",(L101+N(N101))/(K101+N(M101))-1)</f>
        <v/>
      </c>
      <c r="X101" s="23">
        <f>IF(OR(P101="",N(O101)=0),"",P101/O101-1)</f>
        <v/>
      </c>
    </row>
    <row r="102">
      <c r="W102" s="23">
        <f>IF(OR(L102="",K102=""),"",(L102+N(N102))/(K102+N(M102))-1)</f>
        <v/>
      </c>
      <c r="X102" s="23">
        <f>IF(OR(P102="",N(O102)=0),"",P102/O102-1)</f>
        <v/>
      </c>
    </row>
    <row r="103">
      <c r="W103" s="23">
        <f>IF(OR(L103="",K103=""),"",(L103+N(N103))/(K103+N(M103))-1)</f>
        <v/>
      </c>
      <c r="X103" s="23">
        <f>IF(OR(P103="",N(O103)=0),"",P103/O103-1)</f>
        <v/>
      </c>
    </row>
    <row r="104">
      <c r="W104" s="23">
        <f>IF(OR(L104="",K104=""),"",(L104+N(N104))/(K104+N(M104))-1)</f>
        <v/>
      </c>
      <c r="X104" s="23">
        <f>IF(OR(P104="",N(O104)=0),"",P104/O104-1)</f>
        <v/>
      </c>
    </row>
    <row r="105">
      <c r="W105" s="23">
        <f>IF(OR(L105="",K105=""),"",(L105+N(N105))/(K105+N(M105))-1)</f>
        <v/>
      </c>
      <c r="X105" s="23">
        <f>IF(OR(P105="",N(O105)=0),"",P105/O105-1)</f>
        <v/>
      </c>
    </row>
    <row r="106">
      <c r="W106" s="23">
        <f>IF(OR(L106="",K106=""),"",(L106+N(N106))/(K106+N(M106))-1)</f>
        <v/>
      </c>
      <c r="X106" s="23">
        <f>IF(OR(P106="",N(O106)=0),"",P106/O106-1)</f>
        <v/>
      </c>
    </row>
    <row r="107">
      <c r="W107" s="23">
        <f>IF(OR(L107="",K107=""),"",(L107+N(N107))/(K107+N(M107))-1)</f>
        <v/>
      </c>
      <c r="X107" s="23">
        <f>IF(OR(P107="",N(O107)=0),"",P107/O107-1)</f>
        <v/>
      </c>
    </row>
    <row r="108">
      <c r="W108" s="23">
        <f>IF(OR(L108="",K108=""),"",(L108+N(N108))/(K108+N(M108))-1)</f>
        <v/>
      </c>
      <c r="X108" s="23">
        <f>IF(OR(P108="",N(O108)=0),"",P108/O108-1)</f>
        <v/>
      </c>
    </row>
    <row r="109">
      <c r="W109" s="23">
        <f>IF(OR(L109="",K109=""),"",(L109+N(N109))/(K109+N(M109))-1)</f>
        <v/>
      </c>
      <c r="X109" s="23">
        <f>IF(OR(P109="",N(O109)=0),"",P109/O109-1)</f>
        <v/>
      </c>
    </row>
    <row r="110">
      <c r="W110" s="23">
        <f>IF(OR(L110="",K110=""),"",(L110+N(N110))/(K110+N(M110))-1)</f>
        <v/>
      </c>
      <c r="X110" s="23">
        <f>IF(OR(P110="",N(O110)=0),"",P110/O110-1)</f>
        <v/>
      </c>
    </row>
    <row r="111">
      <c r="W111" s="23">
        <f>IF(OR(L111="",K111=""),"",(L111+N(N111))/(K111+N(M111))-1)</f>
        <v/>
      </c>
      <c r="X111" s="23">
        <f>IF(OR(P111="",N(O111)=0),"",P111/O111-1)</f>
        <v/>
      </c>
    </row>
    <row r="112">
      <c r="W112" s="23">
        <f>IF(OR(L112="",K112=""),"",(L112+N(N112))/(K112+N(M112))-1)</f>
        <v/>
      </c>
      <c r="X112" s="23">
        <f>IF(OR(P112="",N(O112)=0),"",P112/O112-1)</f>
        <v/>
      </c>
    </row>
    <row r="113">
      <c r="W113" s="23">
        <f>IF(OR(L113="",K113=""),"",(L113+N(N113))/(K113+N(M113))-1)</f>
        <v/>
      </c>
      <c r="X113" s="23">
        <f>IF(OR(P113="",N(O113)=0),"",P113/O113-1)</f>
        <v/>
      </c>
    </row>
    <row r="114">
      <c r="W114" s="23">
        <f>IF(OR(L114="",K114=""),"",(L114+N(N114))/(K114+N(M114))-1)</f>
        <v/>
      </c>
      <c r="X114" s="23">
        <f>IF(OR(P114="",N(O114)=0),"",P114/O114-1)</f>
        <v/>
      </c>
    </row>
    <row r="115">
      <c r="W115" s="23">
        <f>IF(OR(L115="",K115=""),"",(L115+N(N115))/(K115+N(M115))-1)</f>
        <v/>
      </c>
      <c r="X115" s="23">
        <f>IF(OR(P115="",N(O115)=0),"",P115/O115-1)</f>
        <v/>
      </c>
    </row>
    <row r="116">
      <c r="W116" s="23">
        <f>IF(OR(L116="",K116=""),"",(L116+N(N116))/(K116+N(M116))-1)</f>
        <v/>
      </c>
      <c r="X116" s="23">
        <f>IF(OR(P116="",N(O116)=0),"",P116/O116-1)</f>
        <v/>
      </c>
    </row>
    <row r="117">
      <c r="W117" s="23">
        <f>IF(OR(L117="",K117=""),"",(L117+N(N117))/(K117+N(M117))-1)</f>
        <v/>
      </c>
      <c r="X117" s="23">
        <f>IF(OR(P117="",N(O117)=0),"",P117/O117-1)</f>
        <v/>
      </c>
    </row>
    <row r="118">
      <c r="W118" s="23">
        <f>IF(OR(L118="",K118=""),"",(L118+N(N118))/(K118+N(M118))-1)</f>
        <v/>
      </c>
      <c r="X118" s="23">
        <f>IF(OR(P118="",N(O118)=0),"",P118/O118-1)</f>
        <v/>
      </c>
    </row>
    <row r="119">
      <c r="W119" s="23">
        <f>IF(OR(L119="",K119=""),"",(L119+N(N119))/(K119+N(M119))-1)</f>
        <v/>
      </c>
      <c r="X119" s="23">
        <f>IF(OR(P119="",N(O119)=0),"",P119/O119-1)</f>
        <v/>
      </c>
    </row>
    <row r="120">
      <c r="W120" s="23">
        <f>IF(OR(L120="",K120=""),"",(L120+N(N120))/(K120+N(M120))-1)</f>
        <v/>
      </c>
      <c r="X120" s="23">
        <f>IF(OR(P120="",N(O120)=0),"",P120/O120-1)</f>
        <v/>
      </c>
    </row>
    <row r="121">
      <c r="W121" s="23">
        <f>IF(OR(L121="",K121=""),"",(L121+N(N121))/(K121+N(M121))-1)</f>
        <v/>
      </c>
      <c r="X121" s="23">
        <f>IF(OR(P121="",N(O121)=0),"",P121/O121-1)</f>
        <v/>
      </c>
    </row>
    <row r="122">
      <c r="W122" s="23">
        <f>IF(OR(L122="",K122=""),"",(L122+N(N122))/(K122+N(M122))-1)</f>
        <v/>
      </c>
      <c r="X122" s="23">
        <f>IF(OR(P122="",N(O122)=0),"",P122/O122-1)</f>
        <v/>
      </c>
    </row>
    <row r="123">
      <c r="W123" s="23">
        <f>IF(OR(L123="",K123=""),"",(L123+N(N123))/(K123+N(M123))-1)</f>
        <v/>
      </c>
      <c r="X123" s="23">
        <f>IF(OR(P123="",N(O123)=0),"",P123/O123-1)</f>
        <v/>
      </c>
    </row>
    <row r="124">
      <c r="W124" s="23">
        <f>IF(OR(L124="",K124=""),"",(L124+N(N124))/(K124+N(M124))-1)</f>
        <v/>
      </c>
      <c r="X124" s="23">
        <f>IF(OR(P124="",N(O124)=0),"",P124/O124-1)</f>
        <v/>
      </c>
    </row>
    <row r="125">
      <c r="W125" s="23">
        <f>IF(OR(L125="",K125=""),"",(L125+N(N125))/(K125+N(M125))-1)</f>
        <v/>
      </c>
      <c r="X125" s="23">
        <f>IF(OR(P125="",N(O125)=0),"",P125/O125-1)</f>
        <v/>
      </c>
    </row>
    <row r="126">
      <c r="W126" s="23">
        <f>IF(OR(L126="",K126=""),"",(L126+N(N126))/(K126+N(M126))-1)</f>
        <v/>
      </c>
      <c r="X126" s="23">
        <f>IF(OR(P126="",N(O126)=0),"",P126/O126-1)</f>
        <v/>
      </c>
    </row>
    <row r="127">
      <c r="W127" s="23">
        <f>IF(OR(L127="",K127=""),"",(L127+N(N127))/(K127+N(M127))-1)</f>
        <v/>
      </c>
      <c r="X127" s="23">
        <f>IF(OR(P127="",N(O127)=0),"",P127/O127-1)</f>
        <v/>
      </c>
    </row>
    <row r="128">
      <c r="W128" s="23">
        <f>IF(OR(L128="",K128=""),"",(L128+N(N128))/(K128+N(M128))-1)</f>
        <v/>
      </c>
      <c r="X128" s="23">
        <f>IF(OR(P128="",N(O128)=0),"",P128/O128-1)</f>
        <v/>
      </c>
    </row>
    <row r="129">
      <c r="W129" s="23">
        <f>IF(OR(L129="",K129=""),"",(L129+N(N129))/(K129+N(M129))-1)</f>
        <v/>
      </c>
      <c r="X129" s="23">
        <f>IF(OR(P129="",N(O129)=0),"",P129/O129-1)</f>
        <v/>
      </c>
    </row>
    <row r="130">
      <c r="W130" s="23">
        <f>IF(OR(L130="",K130=""),"",(L130+N(N130))/(K130+N(M130))-1)</f>
        <v/>
      </c>
      <c r="X130" s="23">
        <f>IF(OR(P130="",N(O130)=0),"",P130/O130-1)</f>
        <v/>
      </c>
    </row>
    <row r="131">
      <c r="W131" s="23">
        <f>IF(OR(L131="",K131=""),"",(L131+N(N131))/(K131+N(M131))-1)</f>
        <v/>
      </c>
      <c r="X131" s="23">
        <f>IF(OR(P131="",N(O131)=0),"",P131/O131-1)</f>
        <v/>
      </c>
    </row>
    <row r="132">
      <c r="W132" s="23">
        <f>IF(OR(L132="",K132=""),"",(L132+N(N132))/(K132+N(M132))-1)</f>
        <v/>
      </c>
      <c r="X132" s="23">
        <f>IF(OR(P132="",N(O132)=0),"",P132/O132-1)</f>
        <v/>
      </c>
    </row>
    <row r="133">
      <c r="W133" s="23">
        <f>IF(OR(L133="",K133=""),"",(L133+N(N133))/(K133+N(M133))-1)</f>
        <v/>
      </c>
      <c r="X133" s="23">
        <f>IF(OR(P133="",N(O133)=0),"",P133/O133-1)</f>
        <v/>
      </c>
    </row>
    <row r="134">
      <c r="W134" s="23">
        <f>IF(OR(L134="",K134=""),"",(L134+N(N134))/(K134+N(M134))-1)</f>
        <v/>
      </c>
      <c r="X134" s="23">
        <f>IF(OR(P134="",N(O134)=0),"",P134/O134-1)</f>
        <v/>
      </c>
    </row>
    <row r="135">
      <c r="W135" s="23">
        <f>IF(OR(L135="",K135=""),"",(L135+N(N135))/(K135+N(M135))-1)</f>
        <v/>
      </c>
      <c r="X135" s="23">
        <f>IF(OR(P135="",N(O135)=0),"",P135/O135-1)</f>
        <v/>
      </c>
    </row>
    <row r="136">
      <c r="W136" s="23">
        <f>IF(OR(L136="",K136=""),"",(L136+N(N136))/(K136+N(M136))-1)</f>
        <v/>
      </c>
      <c r="X136" s="23">
        <f>IF(OR(P136="",N(O136)=0),"",P136/O136-1)</f>
        <v/>
      </c>
    </row>
    <row r="137">
      <c r="W137" s="23">
        <f>IF(OR(L137="",K137=""),"",(L137+N(N137))/(K137+N(M137))-1)</f>
        <v/>
      </c>
      <c r="X137" s="23">
        <f>IF(OR(P137="",N(O137)=0),"",P137/O137-1)</f>
        <v/>
      </c>
    </row>
    <row r="138">
      <c r="W138" s="23">
        <f>IF(OR(L138="",K138=""),"",(L138+N(N138))/(K138+N(M138))-1)</f>
        <v/>
      </c>
      <c r="X138" s="23">
        <f>IF(OR(P138="",N(O138)=0),"",P138/O138-1)</f>
        <v/>
      </c>
    </row>
    <row r="139">
      <c r="W139" s="23">
        <f>IF(OR(L139="",K139=""),"",(L139+N(N139))/(K139+N(M139))-1)</f>
        <v/>
      </c>
      <c r="X139" s="23">
        <f>IF(OR(P139="",N(O139)=0),"",P139/O139-1)</f>
        <v/>
      </c>
    </row>
    <row r="140">
      <c r="W140" s="23">
        <f>IF(OR(L140="",K140=""),"",(L140+N(N140))/(K140+N(M140))-1)</f>
        <v/>
      </c>
      <c r="X140" s="23">
        <f>IF(OR(P140="",N(O140)=0),"",P140/O140-1)</f>
        <v/>
      </c>
    </row>
    <row r="141">
      <c r="W141" s="23">
        <f>IF(OR(L141="",K141=""),"",(L141+N(N141))/(K141+N(M141))-1)</f>
        <v/>
      </c>
      <c r="X141" s="23">
        <f>IF(OR(P141="",N(O141)=0),"",P141/O141-1)</f>
        <v/>
      </c>
    </row>
    <row r="142">
      <c r="W142" s="23">
        <f>IF(OR(L142="",K142=""),"",(L142+N(N142))/(K142+N(M142))-1)</f>
        <v/>
      </c>
      <c r="X142" s="23">
        <f>IF(OR(P142="",N(O142)=0),"",P142/O142-1)</f>
        <v/>
      </c>
    </row>
    <row r="143">
      <c r="W143" s="23">
        <f>IF(OR(L143="",K143=""),"",(L143+N(N143))/(K143+N(M143))-1)</f>
        <v/>
      </c>
      <c r="X143" s="23">
        <f>IF(OR(P143="",N(O143)=0),"",P143/O143-1)</f>
        <v/>
      </c>
    </row>
    <row r="144">
      <c r="W144" s="23">
        <f>IF(OR(L144="",K144=""),"",(L144+N(N144))/(K144+N(M144))-1)</f>
        <v/>
      </c>
      <c r="X144" s="23">
        <f>IF(OR(P144="",N(O144)=0),"",P144/O144-1)</f>
        <v/>
      </c>
    </row>
    <row r="145">
      <c r="W145" s="23">
        <f>IF(OR(L145="",K145=""),"",(L145+N(N145))/(K145+N(M145))-1)</f>
        <v/>
      </c>
      <c r="X145" s="23">
        <f>IF(OR(P145="",N(O145)=0),"",P145/O145-1)</f>
        <v/>
      </c>
    </row>
    <row r="146">
      <c r="W146" s="23">
        <f>IF(OR(L146="",K146=""),"",(L146+N(N146))/(K146+N(M146))-1)</f>
        <v/>
      </c>
      <c r="X146" s="23">
        <f>IF(OR(P146="",N(O146)=0),"",P146/O146-1)</f>
        <v/>
      </c>
    </row>
    <row r="147">
      <c r="W147" s="23">
        <f>IF(OR(L147="",K147=""),"",(L147+N(N147))/(K147+N(M147))-1)</f>
        <v/>
      </c>
      <c r="X147" s="23">
        <f>IF(OR(P147="",N(O147)=0),"",P147/O147-1)</f>
        <v/>
      </c>
    </row>
    <row r="148">
      <c r="W148" s="23">
        <f>IF(OR(L148="",K148=""),"",(L148+N(N148))/(K148+N(M148))-1)</f>
        <v/>
      </c>
      <c r="X148" s="23">
        <f>IF(OR(P148="",N(O148)=0),"",P148/O148-1)</f>
        <v/>
      </c>
    </row>
    <row r="149">
      <c r="W149" s="23">
        <f>IF(OR(L149="",K149=""),"",(L149+N(N149))/(K149+N(M149))-1)</f>
        <v/>
      </c>
      <c r="X149" s="23">
        <f>IF(OR(P149="",N(O149)=0),"",P149/O149-1)</f>
        <v/>
      </c>
    </row>
    <row r="150">
      <c r="W150" s="23">
        <f>IF(OR(L150="",K150=""),"",(L150+N(N150))/(K150+N(M150))-1)</f>
        <v/>
      </c>
      <c r="X150" s="23">
        <f>IF(OR(P150="",N(O150)=0),"",P150/O150-1)</f>
        <v/>
      </c>
    </row>
    <row r="151">
      <c r="W151" s="23">
        <f>IF(OR(L151="",K151=""),"",(L151+N(N151))/(K151+N(M151))-1)</f>
        <v/>
      </c>
      <c r="X151" s="23">
        <f>IF(OR(P151="",N(O151)=0),"",P151/O151-1)</f>
        <v/>
      </c>
    </row>
    <row r="152">
      <c r="W152" s="23">
        <f>IF(OR(L152="",K152=""),"",(L152+N(N152))/(K152+N(M152))-1)</f>
        <v/>
      </c>
      <c r="X152" s="23">
        <f>IF(OR(P152="",N(O152)=0),"",P152/O152-1)</f>
        <v/>
      </c>
    </row>
    <row r="153">
      <c r="W153" s="23">
        <f>IF(OR(L153="",K153=""),"",(L153+N(N153))/(K153+N(M153))-1)</f>
        <v/>
      </c>
      <c r="X153" s="23">
        <f>IF(OR(P153="",N(O153)=0),"",P153/O153-1)</f>
        <v/>
      </c>
    </row>
    <row r="154">
      <c r="W154" s="23">
        <f>IF(OR(L154="",K154=""),"",(L154+N(N154))/(K154+N(M154))-1)</f>
        <v/>
      </c>
      <c r="X154" s="23">
        <f>IF(OR(P154="",N(O154)=0),"",P154/O154-1)</f>
        <v/>
      </c>
    </row>
    <row r="155">
      <c r="W155" s="23">
        <f>IF(OR(L155="",K155=""),"",(L155+N(N155))/(K155+N(M155))-1)</f>
        <v/>
      </c>
      <c r="X155" s="23">
        <f>IF(OR(P155="",N(O155)=0),"",P155/O155-1)</f>
        <v/>
      </c>
    </row>
    <row r="156">
      <c r="W156" s="23">
        <f>IF(OR(L156="",K156=""),"",(L156+N(N156))/(K156+N(M156))-1)</f>
        <v/>
      </c>
      <c r="X156" s="23">
        <f>IF(OR(P156="",N(O156)=0),"",P156/O156-1)</f>
        <v/>
      </c>
    </row>
    <row r="157">
      <c r="W157" s="23">
        <f>IF(OR(L157="",K157=""),"",(L157+N(N157))/(K157+N(M157))-1)</f>
        <v/>
      </c>
      <c r="X157" s="23">
        <f>IF(OR(P157="",N(O157)=0),"",P157/O157-1)</f>
        <v/>
      </c>
    </row>
    <row r="158">
      <c r="W158" s="23">
        <f>IF(OR(L158="",K158=""),"",(L158+N(N158))/(K158+N(M158))-1)</f>
        <v/>
      </c>
      <c r="X158" s="23">
        <f>IF(OR(P158="",N(O158)=0),"",P158/O158-1)</f>
        <v/>
      </c>
    </row>
    <row r="159">
      <c r="W159" s="23">
        <f>IF(OR(L159="",K159=""),"",(L159+N(N159))/(K159+N(M159))-1)</f>
        <v/>
      </c>
      <c r="X159" s="23">
        <f>IF(OR(P159="",N(O159)=0),"",P159/O159-1)</f>
        <v/>
      </c>
    </row>
    <row r="160">
      <c r="W160" s="23">
        <f>IF(OR(L160="",K160=""),"",(L160+N(N160))/(K160+N(M160))-1)</f>
        <v/>
      </c>
      <c r="X160" s="23">
        <f>IF(OR(P160="",N(O160)=0),"",P160/O160-1)</f>
        <v/>
      </c>
    </row>
    <row r="161">
      <c r="W161" s="23">
        <f>IF(OR(L161="",K161=""),"",(L161+N(N161))/(K161+N(M161))-1)</f>
        <v/>
      </c>
      <c r="X161" s="23">
        <f>IF(OR(P161="",N(O161)=0),"",P161/O161-1)</f>
        <v/>
      </c>
    </row>
    <row r="162">
      <c r="W162" s="23">
        <f>IF(OR(L162="",K162=""),"",(L162+N(N162))/(K162+N(M162))-1)</f>
        <v/>
      </c>
      <c r="X162" s="23">
        <f>IF(OR(P162="",N(O162)=0),"",P162/O162-1)</f>
        <v/>
      </c>
    </row>
    <row r="163">
      <c r="W163" s="23">
        <f>IF(OR(L163="",K163=""),"",(L163+N(N163))/(K163+N(M163))-1)</f>
        <v/>
      </c>
      <c r="X163" s="23">
        <f>IF(OR(P163="",N(O163)=0),"",P163/O163-1)</f>
        <v/>
      </c>
    </row>
    <row r="164">
      <c r="W164" s="23">
        <f>IF(OR(L164="",K164=""),"",(L164+N(N164))/(K164+N(M164))-1)</f>
        <v/>
      </c>
      <c r="X164" s="23">
        <f>IF(OR(P164="",N(O164)=0),"",P164/O164-1)</f>
        <v/>
      </c>
    </row>
    <row r="165">
      <c r="W165" s="23">
        <f>IF(OR(L165="",K165=""),"",(L165+N(N165))/(K165+N(M165))-1)</f>
        <v/>
      </c>
      <c r="X165" s="23">
        <f>IF(OR(P165="",N(O165)=0),"",P165/O165-1)</f>
        <v/>
      </c>
    </row>
    <row r="166">
      <c r="W166" s="23">
        <f>IF(OR(L166="",K166=""),"",(L166+N(N166))/(K166+N(M166))-1)</f>
        <v/>
      </c>
      <c r="X166" s="23">
        <f>IF(OR(P166="",N(O166)=0),"",P166/O166-1)</f>
        <v/>
      </c>
    </row>
    <row r="167">
      <c r="W167" s="23">
        <f>IF(OR(L167="",K167=""),"",(L167+N(N167))/(K167+N(M167))-1)</f>
        <v/>
      </c>
      <c r="X167" s="23">
        <f>IF(OR(P167="",N(O167)=0),"",P167/O167-1)</f>
        <v/>
      </c>
    </row>
    <row r="168">
      <c r="W168" s="23">
        <f>IF(OR(L168="",K168=""),"",(L168+N(N168))/(K168+N(M168))-1)</f>
        <v/>
      </c>
      <c r="X168" s="23">
        <f>IF(OR(P168="",N(O168)=0),"",P168/O168-1)</f>
        <v/>
      </c>
    </row>
    <row r="169">
      <c r="W169" s="23">
        <f>IF(OR(L169="",K169=""),"",(L169+N(N169))/(K169+N(M169))-1)</f>
        <v/>
      </c>
      <c r="X169" s="23">
        <f>IF(OR(P169="",N(O169)=0),"",P169/O169-1)</f>
        <v/>
      </c>
    </row>
    <row r="170">
      <c r="W170" s="23">
        <f>IF(OR(L170="",K170=""),"",(L170+N(N170))/(K170+N(M170))-1)</f>
        <v/>
      </c>
      <c r="X170" s="23">
        <f>IF(OR(P170="",N(O170)=0),"",P170/O170-1)</f>
        <v/>
      </c>
    </row>
    <row r="171">
      <c r="W171" s="23">
        <f>IF(OR(L171="",K171=""),"",(L171+N(N171))/(K171+N(M171))-1)</f>
        <v/>
      </c>
      <c r="X171" s="23">
        <f>IF(OR(P171="",N(O171)=0),"",P171/O171-1)</f>
        <v/>
      </c>
    </row>
    <row r="172">
      <c r="W172" s="23">
        <f>IF(OR(L172="",K172=""),"",(L172+N(N172))/(K172+N(M172))-1)</f>
        <v/>
      </c>
      <c r="X172" s="23">
        <f>IF(OR(P172="",N(O172)=0),"",P172/O172-1)</f>
        <v/>
      </c>
    </row>
    <row r="173">
      <c r="W173" s="23">
        <f>IF(OR(L173="",K173=""),"",(L173+N(N173))/(K173+N(M173))-1)</f>
        <v/>
      </c>
      <c r="X173" s="23">
        <f>IF(OR(P173="",N(O173)=0),"",P173/O173-1)</f>
        <v/>
      </c>
    </row>
    <row r="174">
      <c r="W174" s="23">
        <f>IF(OR(L174="",K174=""),"",(L174+N(N174))/(K174+N(M174))-1)</f>
        <v/>
      </c>
      <c r="X174" s="23">
        <f>IF(OR(P174="",N(O174)=0),"",P174/O174-1)</f>
        <v/>
      </c>
    </row>
    <row r="175">
      <c r="W175" s="23">
        <f>IF(OR(L175="",K175=""),"",(L175+N(N175))/(K175+N(M175))-1)</f>
        <v/>
      </c>
      <c r="X175" s="23">
        <f>IF(OR(P175="",N(O175)=0),"",P175/O175-1)</f>
        <v/>
      </c>
    </row>
    <row r="176">
      <c r="W176" s="23">
        <f>IF(OR(L176="",K176=""),"",(L176+N(N176))/(K176+N(M176))-1)</f>
        <v/>
      </c>
      <c r="X176" s="23">
        <f>IF(OR(P176="",N(O176)=0),"",P176/O176-1)</f>
        <v/>
      </c>
    </row>
    <row r="177">
      <c r="W177" s="23">
        <f>IF(OR(L177="",K177=""),"",(L177+N(N177))/(K177+N(M177))-1)</f>
        <v/>
      </c>
      <c r="X177" s="23">
        <f>IF(OR(P177="",N(O177)=0),"",P177/O177-1)</f>
        <v/>
      </c>
    </row>
    <row r="178">
      <c r="W178" s="23">
        <f>IF(OR(L178="",K178=""),"",(L178+N(N178))/(K178+N(M178))-1)</f>
        <v/>
      </c>
      <c r="X178" s="23">
        <f>IF(OR(P178="",N(O178)=0),"",P178/O178-1)</f>
        <v/>
      </c>
    </row>
    <row r="179">
      <c r="W179" s="23">
        <f>IF(OR(L179="",K179=""),"",(L179+N(N179))/(K179+N(M179))-1)</f>
        <v/>
      </c>
      <c r="X179" s="23">
        <f>IF(OR(P179="",N(O179)=0),"",P179/O179-1)</f>
        <v/>
      </c>
    </row>
    <row r="180">
      <c r="W180" s="23">
        <f>IF(OR(L180="",K180=""),"",(L180+N(N180))/(K180+N(M180))-1)</f>
        <v/>
      </c>
      <c r="X180" s="23">
        <f>IF(OR(P180="",N(O180)=0),"",P180/O180-1)</f>
        <v/>
      </c>
    </row>
    <row r="181">
      <c r="W181" s="23">
        <f>IF(OR(L181="",K181=""),"",(L181+N(N181))/(K181+N(M181))-1)</f>
        <v/>
      </c>
      <c r="X181" s="23">
        <f>IF(OR(P181="",N(O181)=0),"",P181/O181-1)</f>
        <v/>
      </c>
    </row>
    <row r="182">
      <c r="W182" s="23">
        <f>IF(OR(L182="",K182=""),"",(L182+N(N182))/(K182+N(M182))-1)</f>
        <v/>
      </c>
      <c r="X182" s="23">
        <f>IF(OR(P182="",N(O182)=0),"",P182/O182-1)</f>
        <v/>
      </c>
    </row>
    <row r="183">
      <c r="W183" s="23">
        <f>IF(OR(L183="",K183=""),"",(L183+N(N183))/(K183+N(M183))-1)</f>
        <v/>
      </c>
      <c r="X183" s="23">
        <f>IF(OR(P183="",N(O183)=0),"",P183/O183-1)</f>
        <v/>
      </c>
    </row>
    <row r="184">
      <c r="W184" s="23">
        <f>IF(OR(L184="",K184=""),"",(L184+N(N184))/(K184+N(M184))-1)</f>
        <v/>
      </c>
      <c r="X184" s="23">
        <f>IF(OR(P184="",N(O184)=0),"",P184/O184-1)</f>
        <v/>
      </c>
    </row>
    <row r="185">
      <c r="W185" s="23">
        <f>IF(OR(L185="",K185=""),"",(L185+N(N185))/(K185+N(M185))-1)</f>
        <v/>
      </c>
      <c r="X185" s="23">
        <f>IF(OR(P185="",N(O185)=0),"",P185/O185-1)</f>
        <v/>
      </c>
    </row>
    <row r="186">
      <c r="W186" s="23">
        <f>IF(OR(L186="",K186=""),"",(L186+N(N186))/(K186+N(M186))-1)</f>
        <v/>
      </c>
      <c r="X186" s="23">
        <f>IF(OR(P186="",N(O186)=0),"",P186/O186-1)</f>
        <v/>
      </c>
    </row>
    <row r="187">
      <c r="W187" s="23">
        <f>IF(OR(L187="",K187=""),"",(L187+N(N187))/(K187+N(M187))-1)</f>
        <v/>
      </c>
      <c r="X187" s="23">
        <f>IF(OR(P187="",N(O187)=0),"",P187/O187-1)</f>
        <v/>
      </c>
    </row>
    <row r="188">
      <c r="W188" s="23">
        <f>IF(OR(L188="",K188=""),"",(L188+N(N188))/(K188+N(M188))-1)</f>
        <v/>
      </c>
      <c r="X188" s="23">
        <f>IF(OR(P188="",N(O188)=0),"",P188/O188-1)</f>
        <v/>
      </c>
    </row>
    <row r="189">
      <c r="W189" s="23">
        <f>IF(OR(L189="",K189=""),"",(L189+N(N189))/(K189+N(M189))-1)</f>
        <v/>
      </c>
      <c r="X189" s="23">
        <f>IF(OR(P189="",N(O189)=0),"",P189/O189-1)</f>
        <v/>
      </c>
    </row>
    <row r="190">
      <c r="W190" s="23">
        <f>IF(OR(L190="",K190=""),"",(L190+N(N190))/(K190+N(M190))-1)</f>
        <v/>
      </c>
      <c r="X190" s="23">
        <f>IF(OR(P190="",N(O190)=0),"",P190/O190-1)</f>
        <v/>
      </c>
    </row>
    <row r="191">
      <c r="W191" s="23">
        <f>IF(OR(L191="",K191=""),"",(L191+N(N191))/(K191+N(M191))-1)</f>
        <v/>
      </c>
      <c r="X191" s="23">
        <f>IF(OR(P191="",N(O191)=0),"",P191/O191-1)</f>
        <v/>
      </c>
    </row>
    <row r="192">
      <c r="W192" s="23">
        <f>IF(OR(L192="",K192=""),"",(L192+N(N192))/(K192+N(M192))-1)</f>
        <v/>
      </c>
      <c r="X192" s="23">
        <f>IF(OR(P192="",N(O192)=0),"",P192/O192-1)</f>
        <v/>
      </c>
    </row>
    <row r="193">
      <c r="W193" s="23">
        <f>IF(OR(L193="",K193=""),"",(L193+N(N193))/(K193+N(M193))-1)</f>
        <v/>
      </c>
      <c r="X193" s="23">
        <f>IF(OR(P193="",N(O193)=0),"",P193/O193-1)</f>
        <v/>
      </c>
    </row>
    <row r="194">
      <c r="W194" s="23">
        <f>IF(OR(L194="",K194=""),"",(L194+N(N194))/(K194+N(M194))-1)</f>
        <v/>
      </c>
      <c r="X194" s="23">
        <f>IF(OR(P194="",N(O194)=0),"",P194/O194-1)</f>
        <v/>
      </c>
    </row>
    <row r="195">
      <c r="W195" s="23">
        <f>IF(OR(L195="",K195=""),"",(L195+N(N195))/(K195+N(M195))-1)</f>
        <v/>
      </c>
      <c r="X195" s="23">
        <f>IF(OR(P195="",N(O195)=0),"",P195/O195-1)</f>
        <v/>
      </c>
    </row>
    <row r="196">
      <c r="W196" s="23">
        <f>IF(OR(L196="",K196=""),"",(L196+N(N196))/(K196+N(M196))-1)</f>
        <v/>
      </c>
      <c r="X196" s="23">
        <f>IF(OR(P196="",N(O196)=0),"",P196/O196-1)</f>
        <v/>
      </c>
    </row>
    <row r="197">
      <c r="W197" s="23">
        <f>IF(OR(L197="",K197=""),"",(L197+N(N197))/(K197+N(M197))-1)</f>
        <v/>
      </c>
      <c r="X197" s="23">
        <f>IF(OR(P197="",N(O197)=0),"",P197/O197-1)</f>
        <v/>
      </c>
    </row>
    <row r="198">
      <c r="W198" s="23">
        <f>IF(OR(L198="",K198=""),"",(L198+N(N198))/(K198+N(M198))-1)</f>
        <v/>
      </c>
      <c r="X198" s="23">
        <f>IF(OR(P198="",N(O198)=0),"",P198/O198-1)</f>
        <v/>
      </c>
    </row>
    <row r="199">
      <c r="W199" s="23">
        <f>IF(OR(L199="",K199=""),"",(L199+N(N199))/(K199+N(M199))-1)</f>
        <v/>
      </c>
      <c r="X199" s="23">
        <f>IF(OR(P199="",N(O199)=0),"",P199/O199-1)</f>
        <v/>
      </c>
    </row>
    <row r="200">
      <c r="W200" s="23">
        <f>IF(OR(L200="",K200=""),"",(L200+N(N200))/(K200+N(M200))-1)</f>
        <v/>
      </c>
      <c r="X200" s="23">
        <f>IF(OR(P200="",N(O200)=0),"",P200/O200-1)</f>
        <v/>
      </c>
    </row>
    <row r="201">
      <c r="W201" s="23">
        <f>IF(OR(L201="",K201=""),"",(L201+N(N201))/(K201+N(M201))-1)</f>
        <v/>
      </c>
      <c r="X201" s="23">
        <f>IF(OR(P201="",N(O201)=0),"",P201/O201-1)</f>
        <v/>
      </c>
    </row>
    <row r="202">
      <c r="W202" s="23">
        <f>IF(OR(L202="",K202=""),"",(L202+N(N202))/(K202+N(M202))-1)</f>
        <v/>
      </c>
      <c r="X202" s="23">
        <f>IF(OR(P202="",N(O202)=0),"",P202/O202-1)</f>
        <v/>
      </c>
    </row>
    <row r="203">
      <c r="W203" s="23">
        <f>IF(OR(L203="",K203=""),"",(L203+N(N203))/(K203+N(M203))-1)</f>
        <v/>
      </c>
      <c r="X203" s="23">
        <f>IF(OR(P203="",N(O203)=0),"",P203/O203-1)</f>
        <v/>
      </c>
    </row>
    <row r="204">
      <c r="W204" s="23">
        <f>IF(OR(L204="",K204=""),"",(L204+N(N204))/(K204+N(M204))-1)</f>
        <v/>
      </c>
      <c r="X204" s="23">
        <f>IF(OR(P204="",N(O204)=0),"",P204/O204-1)</f>
        <v/>
      </c>
    </row>
    <row r="205">
      <c r="W205" s="23">
        <f>IF(OR(L205="",K205=""),"",(L205+N(N205))/(K205+N(M205))-1)</f>
        <v/>
      </c>
      <c r="X205" s="23">
        <f>IF(OR(P205="",N(O205)=0),"",P205/O205-1)</f>
        <v/>
      </c>
    </row>
    <row r="206">
      <c r="W206" s="23">
        <f>IF(OR(L206="",K206=""),"",(L206+N(N206))/(K206+N(M206))-1)</f>
        <v/>
      </c>
      <c r="X206" s="23">
        <f>IF(OR(P206="",N(O206)=0),"",P206/O206-1)</f>
        <v/>
      </c>
    </row>
    <row r="207">
      <c r="W207" s="23">
        <f>IF(OR(L207="",K207=""),"",(L207+N(N207))/(K207+N(M207))-1)</f>
        <v/>
      </c>
      <c r="X207" s="23">
        <f>IF(OR(P207="",N(O207)=0),"",P207/O207-1)</f>
        <v/>
      </c>
    </row>
    <row r="208">
      <c r="W208" s="23">
        <f>IF(OR(L208="",K208=""),"",(L208+N(N208))/(K208+N(M208))-1)</f>
        <v/>
      </c>
      <c r="X208" s="23">
        <f>IF(OR(P208="",N(O208)=0),"",P208/O208-1)</f>
        <v/>
      </c>
    </row>
    <row r="209">
      <c r="W209" s="23">
        <f>IF(OR(L209="",K209=""),"",(L209+N(N209))/(K209+N(M209))-1)</f>
        <v/>
      </c>
      <c r="X209" s="23">
        <f>IF(OR(P209="",N(O209)=0),"",P209/O209-1)</f>
        <v/>
      </c>
    </row>
    <row r="210">
      <c r="W210" s="23">
        <f>IF(OR(L210="",K210=""),"",(L210+N(N210))/(K210+N(M210))-1)</f>
        <v/>
      </c>
      <c r="X210" s="23">
        <f>IF(OR(P210="",N(O210)=0),"",P210/O210-1)</f>
        <v/>
      </c>
    </row>
    <row r="211">
      <c r="W211" s="23">
        <f>IF(OR(L211="",K211=""),"",(L211+N(N211))/(K211+N(M211))-1)</f>
        <v/>
      </c>
      <c r="X211" s="23">
        <f>IF(OR(P211="",N(O211)=0),"",P211/O211-1)</f>
        <v/>
      </c>
    </row>
    <row r="212">
      <c r="W212" s="23">
        <f>IF(OR(L212="",K212=""),"",(L212+N(N212))/(K212+N(M212))-1)</f>
        <v/>
      </c>
      <c r="X212" s="23">
        <f>IF(OR(P212="",N(O212)=0),"",P212/O212-1)</f>
        <v/>
      </c>
    </row>
    <row r="213">
      <c r="W213" s="23">
        <f>IF(OR(L213="",K213=""),"",(L213+N(N213))/(K213+N(M213))-1)</f>
        <v/>
      </c>
      <c r="X213" s="23">
        <f>IF(OR(P213="",N(O213)=0),"",P213/O213-1)</f>
        <v/>
      </c>
    </row>
    <row r="214">
      <c r="W214" s="23">
        <f>IF(OR(L214="",K214=""),"",(L214+N(N214))/(K214+N(M214))-1)</f>
        <v/>
      </c>
      <c r="X214" s="23">
        <f>IF(OR(P214="",N(O214)=0),"",P214/O214-1)</f>
        <v/>
      </c>
    </row>
    <row r="215">
      <c r="W215" s="23">
        <f>IF(OR(L215="",K215=""),"",(L215+N(N215))/(K215+N(M215))-1)</f>
        <v/>
      </c>
      <c r="X215" s="23">
        <f>IF(OR(P215="",N(O215)=0),"",P215/O215-1)</f>
        <v/>
      </c>
    </row>
    <row r="216">
      <c r="W216" s="23">
        <f>IF(OR(L216="",K216=""),"",(L216+N(N216))/(K216+N(M216))-1)</f>
        <v/>
      </c>
      <c r="X216" s="23">
        <f>IF(OR(P216="",N(O216)=0),"",P216/O216-1)</f>
        <v/>
      </c>
    </row>
    <row r="217">
      <c r="W217" s="23">
        <f>IF(OR(L217="",K217=""),"",(L217+N(N217))/(K217+N(M217))-1)</f>
        <v/>
      </c>
      <c r="X217" s="23">
        <f>IF(OR(P217="",N(O217)=0),"",P217/O217-1)</f>
        <v/>
      </c>
    </row>
    <row r="218">
      <c r="W218" s="23">
        <f>IF(OR(L218="",K218=""),"",(L218+N(N218))/(K218+N(M218))-1)</f>
        <v/>
      </c>
      <c r="X218" s="23">
        <f>IF(OR(P218="",N(O218)=0),"",P218/O218-1)</f>
        <v/>
      </c>
    </row>
    <row r="219">
      <c r="W219" s="23">
        <f>IF(OR(L219="",K219=""),"",(L219+N(N219))/(K219+N(M219))-1)</f>
        <v/>
      </c>
      <c r="X219" s="23">
        <f>IF(OR(P219="",N(O219)=0),"",P219/O219-1)</f>
        <v/>
      </c>
    </row>
    <row r="220">
      <c r="W220" s="23">
        <f>IF(OR(L220="",K220=""),"",(L220+N(N220))/(K220+N(M220))-1)</f>
        <v/>
      </c>
      <c r="X220" s="23">
        <f>IF(OR(P220="",N(O220)=0),"",P220/O220-1)</f>
        <v/>
      </c>
    </row>
    <row r="221">
      <c r="W221" s="23">
        <f>IF(OR(L221="",K221=""),"",(L221+N(N221))/(K221+N(M221))-1)</f>
        <v/>
      </c>
      <c r="X221" s="23">
        <f>IF(OR(P221="",N(O221)=0),"",P221/O221-1)</f>
        <v/>
      </c>
    </row>
    <row r="222">
      <c r="W222" s="23">
        <f>IF(OR(L222="",K222=""),"",(L222+N(N222))/(K222+N(M222))-1)</f>
        <v/>
      </c>
      <c r="X222" s="23">
        <f>IF(OR(P222="",N(O222)=0),"",P222/O222-1)</f>
        <v/>
      </c>
    </row>
    <row r="223">
      <c r="W223" s="23">
        <f>IF(OR(L223="",K223=""),"",(L223+N(N223))/(K223+N(M223))-1)</f>
        <v/>
      </c>
      <c r="X223" s="23">
        <f>IF(OR(P223="",N(O223)=0),"",P223/O223-1)</f>
        <v/>
      </c>
    </row>
    <row r="224">
      <c r="W224" s="23">
        <f>IF(OR(L224="",K224=""),"",(L224+N(N224))/(K224+N(M224))-1)</f>
        <v/>
      </c>
      <c r="X224" s="23">
        <f>IF(OR(P224="",N(O224)=0),"",P224/O224-1)</f>
        <v/>
      </c>
    </row>
    <row r="225">
      <c r="W225" s="23">
        <f>IF(OR(L225="",K225=""),"",(L225+N(N225))/(K225+N(M225))-1)</f>
        <v/>
      </c>
      <c r="X225" s="23">
        <f>IF(OR(P225="",N(O225)=0),"",P225/O225-1)</f>
        <v/>
      </c>
    </row>
    <row r="226">
      <c r="W226" s="23">
        <f>IF(OR(L226="",K226=""),"",(L226+N(N226))/(K226+N(M226))-1)</f>
        <v/>
      </c>
      <c r="X226" s="23">
        <f>IF(OR(P226="",N(O226)=0),"",P226/O226-1)</f>
        <v/>
      </c>
    </row>
    <row r="227">
      <c r="W227" s="23">
        <f>IF(OR(L227="",K227=""),"",(L227+N(N227))/(K227+N(M227))-1)</f>
        <v/>
      </c>
      <c r="X227" s="23">
        <f>IF(OR(P227="",N(O227)=0),"",P227/O227-1)</f>
        <v/>
      </c>
    </row>
    <row r="228">
      <c r="W228" s="23">
        <f>IF(OR(L228="",K228=""),"",(L228+N(N228))/(K228+N(M228))-1)</f>
        <v/>
      </c>
      <c r="X228" s="23">
        <f>IF(OR(P228="",N(O228)=0),"",P228/O228-1)</f>
        <v/>
      </c>
    </row>
    <row r="229">
      <c r="W229" s="23">
        <f>IF(OR(L229="",K229=""),"",(L229+N(N229))/(K229+N(M229))-1)</f>
        <v/>
      </c>
      <c r="X229" s="23">
        <f>IF(OR(P229="",N(O229)=0),"",P229/O229-1)</f>
        <v/>
      </c>
    </row>
    <row r="230">
      <c r="W230" s="23">
        <f>IF(OR(L230="",K230=""),"",(L230+N(N230))/(K230+N(M230))-1)</f>
        <v/>
      </c>
      <c r="X230" s="23">
        <f>IF(OR(P230="",N(O230)=0),"",P230/O230-1)</f>
        <v/>
      </c>
    </row>
    <row r="231">
      <c r="W231" s="23">
        <f>IF(OR(L231="",K231=""),"",(L231+N(N231))/(K231+N(M231))-1)</f>
        <v/>
      </c>
      <c r="X231" s="23">
        <f>IF(OR(P231="",N(O231)=0),"",P231/O231-1)</f>
        <v/>
      </c>
    </row>
    <row r="232">
      <c r="W232" s="23">
        <f>IF(OR(L232="",K232=""),"",(L232+N(N232))/(K232+N(M232))-1)</f>
        <v/>
      </c>
      <c r="X232" s="23">
        <f>IF(OR(P232="",N(O232)=0),"",P232/O232-1)</f>
        <v/>
      </c>
    </row>
    <row r="233">
      <c r="W233" s="23">
        <f>IF(OR(L233="",K233=""),"",(L233+N(N233))/(K233+N(M233))-1)</f>
        <v/>
      </c>
      <c r="X233" s="23">
        <f>IF(OR(P233="",N(O233)=0),"",P233/O233-1)</f>
        <v/>
      </c>
    </row>
    <row r="234">
      <c r="W234" s="23">
        <f>IF(OR(L234="",K234=""),"",(L234+N(N234))/(K234+N(M234))-1)</f>
        <v/>
      </c>
      <c r="X234" s="23">
        <f>IF(OR(P234="",N(O234)=0),"",P234/O234-1)</f>
        <v/>
      </c>
    </row>
    <row r="235">
      <c r="W235" s="23">
        <f>IF(OR(L235="",K235=""),"",(L235+N(N235))/(K235+N(M235))-1)</f>
        <v/>
      </c>
      <c r="X235" s="23">
        <f>IF(OR(P235="",N(O235)=0),"",P235/O235-1)</f>
        <v/>
      </c>
    </row>
    <row r="236">
      <c r="W236" s="23">
        <f>IF(OR(L236="",K236=""),"",(L236+N(N236))/(K236+N(M236))-1)</f>
        <v/>
      </c>
      <c r="X236" s="23">
        <f>IF(OR(P236="",N(O236)=0),"",P236/O236-1)</f>
        <v/>
      </c>
    </row>
    <row r="237">
      <c r="W237" s="23">
        <f>IF(OR(L237="",K237=""),"",(L237+N(N237))/(K237+N(M237))-1)</f>
        <v/>
      </c>
      <c r="X237" s="23">
        <f>IF(OR(P237="",N(O237)=0),"",P237/O237-1)</f>
        <v/>
      </c>
    </row>
    <row r="238">
      <c r="W238" s="23">
        <f>IF(OR(L238="",K238=""),"",(L238+N(N238))/(K238+N(M238))-1)</f>
        <v/>
      </c>
      <c r="X238" s="23">
        <f>IF(OR(P238="",N(O238)=0),"",P238/O238-1)</f>
        <v/>
      </c>
    </row>
    <row r="239">
      <c r="W239" s="23">
        <f>IF(OR(L239="",K239=""),"",(L239+N(N239))/(K239+N(M239))-1)</f>
        <v/>
      </c>
      <c r="X239" s="23">
        <f>IF(OR(P239="",N(O239)=0),"",P239/O239-1)</f>
        <v/>
      </c>
    </row>
    <row r="240">
      <c r="W240" s="23">
        <f>IF(OR(L240="",K240=""),"",(L240+N(N240))/(K240+N(M240))-1)</f>
        <v/>
      </c>
      <c r="X240" s="23">
        <f>IF(OR(P240="",N(O240)=0),"",P240/O240-1)</f>
        <v/>
      </c>
    </row>
    <row r="241">
      <c r="W241" s="23">
        <f>IF(OR(L241="",K241=""),"",(L241+N(N241))/(K241+N(M241))-1)</f>
        <v/>
      </c>
      <c r="X241" s="23">
        <f>IF(OR(P241="",N(O241)=0),"",P241/O241-1)</f>
        <v/>
      </c>
    </row>
    <row r="242">
      <c r="W242" s="23">
        <f>IF(OR(L242="",K242=""),"",(L242+N(N242))/(K242+N(M242))-1)</f>
        <v/>
      </c>
      <c r="X242" s="23">
        <f>IF(OR(P242="",N(O242)=0),"",P242/O242-1)</f>
        <v/>
      </c>
    </row>
    <row r="243">
      <c r="W243" s="23">
        <f>IF(OR(L243="",K243=""),"",(L243+N(N243))/(K243+N(M243))-1)</f>
        <v/>
      </c>
      <c r="X243" s="23">
        <f>IF(OR(P243="",N(O243)=0),"",P243/O243-1)</f>
        <v/>
      </c>
    </row>
    <row r="244">
      <c r="W244" s="23">
        <f>IF(OR(L244="",K244=""),"",(L244+N(N244))/(K244+N(M244))-1)</f>
        <v/>
      </c>
      <c r="X244" s="23">
        <f>IF(OR(P244="",N(O244)=0),"",P244/O244-1)</f>
        <v/>
      </c>
    </row>
    <row r="245">
      <c r="W245" s="23">
        <f>IF(OR(L245="",K245=""),"",(L245+N(N245))/(K245+N(M245))-1)</f>
        <v/>
      </c>
      <c r="X245" s="23">
        <f>IF(OR(P245="",N(O245)=0),"",P245/O245-1)</f>
        <v/>
      </c>
    </row>
    <row r="246">
      <c r="W246" s="23">
        <f>IF(OR(L246="",K246=""),"",(L246+N(N246))/(K246+N(M246))-1)</f>
        <v/>
      </c>
      <c r="X246" s="23">
        <f>IF(OR(P246="",N(O246)=0),"",P246/O246-1)</f>
        <v/>
      </c>
    </row>
    <row r="247">
      <c r="W247" s="23">
        <f>IF(OR(L247="",K247=""),"",(L247+N(N247))/(K247+N(M247))-1)</f>
        <v/>
      </c>
      <c r="X247" s="23">
        <f>IF(OR(P247="",N(O247)=0),"",P247/O247-1)</f>
        <v/>
      </c>
    </row>
    <row r="248">
      <c r="W248" s="23">
        <f>IF(OR(L248="",K248=""),"",(L248+N(N248))/(K248+N(M248))-1)</f>
        <v/>
      </c>
      <c r="X248" s="23">
        <f>IF(OR(P248="",N(O248)=0),"",P248/O248-1)</f>
        <v/>
      </c>
    </row>
    <row r="249">
      <c r="W249" s="23">
        <f>IF(OR(L249="",K249=""),"",(L249+N(N249))/(K249+N(M249))-1)</f>
        <v/>
      </c>
      <c r="X249" s="23">
        <f>IF(OR(P249="",N(O249)=0),"",P249/O249-1)</f>
        <v/>
      </c>
    </row>
    <row r="250">
      <c r="W250" s="23">
        <f>IF(OR(L250="",K250=""),"",(L250+N(N250))/(K250+N(M250))-1)</f>
        <v/>
      </c>
      <c r="X250" s="23">
        <f>IF(OR(P250="",N(O250)=0),"",P250/O250-1)</f>
        <v/>
      </c>
    </row>
    <row r="251">
      <c r="W251" s="23">
        <f>IF(OR(L251="",K251=""),"",(L251+N(N251))/(K251+N(M251))-1)</f>
        <v/>
      </c>
      <c r="X251" s="23">
        <f>IF(OR(P251="",N(O251)=0),"",P251/O251-1)</f>
        <v/>
      </c>
    </row>
    <row r="252">
      <c r="W252" s="23">
        <f>IF(OR(L252="",K252=""),"",(L252+N(N252))/(K252+N(M252))-1)</f>
        <v/>
      </c>
      <c r="X252" s="23">
        <f>IF(OR(P252="",N(O252)=0),"",P252/O252-1)</f>
        <v/>
      </c>
    </row>
    <row r="253">
      <c r="W253" s="23">
        <f>IF(OR(L253="",K253=""),"",(L253+N(N253))/(K253+N(M253))-1)</f>
        <v/>
      </c>
      <c r="X253" s="23">
        <f>IF(OR(P253="",N(O253)=0),"",P253/O253-1)</f>
        <v/>
      </c>
    </row>
    <row r="254">
      <c r="W254" s="23">
        <f>IF(OR(L254="",K254=""),"",(L254+N(N254))/(K254+N(M254))-1)</f>
        <v/>
      </c>
      <c r="X254" s="23">
        <f>IF(OR(P254="",N(O254)=0),"",P254/O254-1)</f>
        <v/>
      </c>
    </row>
    <row r="255">
      <c r="W255" s="23">
        <f>IF(OR(L255="",K255=""),"",(L255+N(N255))/(K255+N(M255))-1)</f>
        <v/>
      </c>
      <c r="X255" s="23">
        <f>IF(OR(P255="",N(O255)=0),"",P255/O255-1)</f>
        <v/>
      </c>
    </row>
    <row r="256">
      <c r="W256" s="23">
        <f>IF(OR(L256="",K256=""),"",(L256+N(N256))/(K256+N(M256))-1)</f>
        <v/>
      </c>
      <c r="X256" s="23">
        <f>IF(OR(P256="",N(O256)=0),"",P256/O256-1)</f>
        <v/>
      </c>
    </row>
    <row r="257">
      <c r="W257" s="23">
        <f>IF(OR(L257="",K257=""),"",(L257+N(N257))/(K257+N(M257))-1)</f>
        <v/>
      </c>
      <c r="X257" s="23">
        <f>IF(OR(P257="",N(O257)=0),"",P257/O257-1)</f>
        <v/>
      </c>
    </row>
    <row r="258">
      <c r="W258" s="23">
        <f>IF(OR(L258="",K258=""),"",(L258+N(N258))/(K258+N(M258))-1)</f>
        <v/>
      </c>
      <c r="X258" s="23">
        <f>IF(OR(P258="",N(O258)=0),"",P258/O258-1)</f>
        <v/>
      </c>
    </row>
    <row r="259">
      <c r="W259" s="23">
        <f>IF(OR(L259="",K259=""),"",(L259+N(N259))/(K259+N(M259))-1)</f>
        <v/>
      </c>
      <c r="X259" s="23">
        <f>IF(OR(P259="",N(O259)=0),"",P259/O259-1)</f>
        <v/>
      </c>
    </row>
    <row r="260">
      <c r="W260" s="23">
        <f>IF(OR(L260="",K260=""),"",(L260+N(N260))/(K260+N(M260))-1)</f>
        <v/>
      </c>
      <c r="X260" s="23">
        <f>IF(OR(P260="",N(O260)=0),"",P260/O260-1)</f>
        <v/>
      </c>
    </row>
    <row r="261">
      <c r="W261" s="23">
        <f>IF(OR(L261="",K261=""),"",(L261+N(N261))/(K261+N(M261))-1)</f>
        <v/>
      </c>
      <c r="X261" s="23">
        <f>IF(OR(P261="",N(O261)=0),"",P261/O261-1)</f>
        <v/>
      </c>
    </row>
    <row r="262">
      <c r="W262" s="23">
        <f>IF(OR(L262="",K262=""),"",(L262+N(N262))/(K262+N(M262))-1)</f>
        <v/>
      </c>
      <c r="X262" s="23">
        <f>IF(OR(P262="",N(O262)=0),"",P262/O262-1)</f>
        <v/>
      </c>
    </row>
    <row r="263">
      <c r="W263" s="23">
        <f>IF(OR(L263="",K263=""),"",(L263+N(N263))/(K263+N(M263))-1)</f>
        <v/>
      </c>
      <c r="X263" s="23">
        <f>IF(OR(P263="",N(O263)=0),"",P263/O263-1)</f>
        <v/>
      </c>
    </row>
    <row r="264">
      <c r="W264" s="23">
        <f>IF(OR(L264="",K264=""),"",(L264+N(N264))/(K264+N(M264))-1)</f>
        <v/>
      </c>
      <c r="X264" s="23">
        <f>IF(OR(P264="",N(O264)=0),"",P264/O264-1)</f>
        <v/>
      </c>
    </row>
    <row r="265">
      <c r="W265" s="23">
        <f>IF(OR(L265="",K265=""),"",(L265+N(N265))/(K265+N(M265))-1)</f>
        <v/>
      </c>
      <c r="X265" s="23">
        <f>IF(OR(P265="",N(O265)=0),"",P265/O265-1)</f>
        <v/>
      </c>
    </row>
    <row r="266">
      <c r="W266" s="23">
        <f>IF(OR(L266="",K266=""),"",(L266+N(N266))/(K266+N(M266))-1)</f>
        <v/>
      </c>
      <c r="X266" s="23">
        <f>IF(OR(P266="",N(O266)=0),"",P266/O266-1)</f>
        <v/>
      </c>
    </row>
    <row r="267">
      <c r="W267" s="23">
        <f>IF(OR(L267="",K267=""),"",(L267+N(N267))/(K267+N(M267))-1)</f>
        <v/>
      </c>
      <c r="X267" s="23">
        <f>IF(OR(P267="",N(O267)=0),"",P267/O267-1)</f>
        <v/>
      </c>
    </row>
    <row r="268">
      <c r="W268" s="23">
        <f>IF(OR(L268="",K268=""),"",(L268+N(N268))/(K268+N(M268))-1)</f>
        <v/>
      </c>
      <c r="X268" s="23">
        <f>IF(OR(P268="",N(O268)=0),"",P268/O268-1)</f>
        <v/>
      </c>
    </row>
    <row r="269">
      <c r="W269" s="23">
        <f>IF(OR(L269="",K269=""),"",(L269+N(N269))/(K269+N(M269))-1)</f>
        <v/>
      </c>
      <c r="X269" s="23">
        <f>IF(OR(P269="",N(O269)=0),"",P269/O269-1)</f>
        <v/>
      </c>
    </row>
    <row r="270">
      <c r="W270" s="23">
        <f>IF(OR(L270="",K270=""),"",(L270+N(N270))/(K270+N(M270))-1)</f>
        <v/>
      </c>
      <c r="X270" s="23">
        <f>IF(OR(P270="",N(O270)=0),"",P270/O270-1)</f>
        <v/>
      </c>
    </row>
    <row r="271">
      <c r="W271" s="23">
        <f>IF(OR(L271="",K271=""),"",(L271+N(N271))/(K271+N(M271))-1)</f>
        <v/>
      </c>
      <c r="X271" s="23">
        <f>IF(OR(P271="",N(O271)=0),"",P271/O271-1)</f>
        <v/>
      </c>
    </row>
    <row r="272">
      <c r="W272" s="23">
        <f>IF(OR(L272="",K272=""),"",(L272+N(N272))/(K272+N(M272))-1)</f>
        <v/>
      </c>
      <c r="X272" s="23">
        <f>IF(OR(P272="",N(O272)=0),"",P272/O272-1)</f>
        <v/>
      </c>
    </row>
    <row r="273">
      <c r="W273" s="23">
        <f>IF(OR(L273="",K273=""),"",(L273+N(N273))/(K273+N(M273))-1)</f>
        <v/>
      </c>
      <c r="X273" s="23">
        <f>IF(OR(P273="",N(O273)=0),"",P273/O273-1)</f>
        <v/>
      </c>
    </row>
    <row r="274">
      <c r="W274" s="23">
        <f>IF(OR(L274="",K274=""),"",(L274+N(N274))/(K274+N(M274))-1)</f>
        <v/>
      </c>
      <c r="X274" s="23">
        <f>IF(OR(P274="",N(O274)=0),"",P274/O274-1)</f>
        <v/>
      </c>
    </row>
    <row r="275">
      <c r="W275" s="23">
        <f>IF(OR(L275="",K275=""),"",(L275+N(N275))/(K275+N(M275))-1)</f>
        <v/>
      </c>
      <c r="X275" s="23">
        <f>IF(OR(P275="",N(O275)=0),"",P275/O275-1)</f>
        <v/>
      </c>
    </row>
    <row r="276">
      <c r="W276" s="23">
        <f>IF(OR(L276="",K276=""),"",(L276+N(N276))/(K276+N(M276))-1)</f>
        <v/>
      </c>
      <c r="X276" s="23">
        <f>IF(OR(P276="",N(O276)=0),"",P276/O276-1)</f>
        <v/>
      </c>
    </row>
    <row r="277">
      <c r="W277" s="23">
        <f>IF(OR(L277="",K277=""),"",(L277+N(N277))/(K277+N(M277))-1)</f>
        <v/>
      </c>
      <c r="X277" s="23">
        <f>IF(OR(P277="",N(O277)=0),"",P277/O277-1)</f>
        <v/>
      </c>
    </row>
    <row r="278">
      <c r="W278" s="23">
        <f>IF(OR(L278="",K278=""),"",(L278+N(N278))/(K278+N(M278))-1)</f>
        <v/>
      </c>
      <c r="X278" s="23">
        <f>IF(OR(P278="",N(O278)=0),"",P278/O278-1)</f>
        <v/>
      </c>
    </row>
    <row r="279">
      <c r="W279" s="23">
        <f>IF(OR(L279="",K279=""),"",(L279+N(N279))/(K279+N(M279))-1)</f>
        <v/>
      </c>
      <c r="X279" s="23">
        <f>IF(OR(P279="",N(O279)=0),"",P279/O279-1)</f>
        <v/>
      </c>
    </row>
    <row r="280">
      <c r="W280" s="23">
        <f>IF(OR(L280="",K280=""),"",(L280+N(N280))/(K280+N(M280))-1)</f>
        <v/>
      </c>
      <c r="X280" s="23">
        <f>IF(OR(P280="",N(O280)=0),"",P280/O280-1)</f>
        <v/>
      </c>
    </row>
    <row r="281">
      <c r="W281" s="23">
        <f>IF(OR(L281="",K281=""),"",(L281+N(N281))/(K281+N(M281))-1)</f>
        <v/>
      </c>
      <c r="X281" s="23">
        <f>IF(OR(P281="",N(O281)=0),"",P281/O281-1)</f>
        <v/>
      </c>
    </row>
    <row r="282">
      <c r="W282" s="23">
        <f>IF(OR(L282="",K282=""),"",(L282+N(N282))/(K282+N(M282))-1)</f>
        <v/>
      </c>
      <c r="X282" s="23">
        <f>IF(OR(P282="",N(O282)=0),"",P282/O282-1)</f>
        <v/>
      </c>
    </row>
    <row r="283">
      <c r="W283" s="23">
        <f>IF(OR(L283="",K283=""),"",(L283+N(N283))/(K283+N(M283))-1)</f>
        <v/>
      </c>
      <c r="X283" s="23">
        <f>IF(OR(P283="",N(O283)=0),"",P283/O283-1)</f>
        <v/>
      </c>
    </row>
    <row r="284">
      <c r="W284" s="23">
        <f>IF(OR(L284="",K284=""),"",(L284+N(N284))/(K284+N(M284))-1)</f>
        <v/>
      </c>
      <c r="X284" s="23">
        <f>IF(OR(P284="",N(O284)=0),"",P284/O284-1)</f>
        <v/>
      </c>
    </row>
    <row r="285">
      <c r="W285" s="23">
        <f>IF(OR(L285="",K285=""),"",(L285+N(N285))/(K285+N(M285))-1)</f>
        <v/>
      </c>
      <c r="X285" s="23">
        <f>IF(OR(P285="",N(O285)=0),"",P285/O285-1)</f>
        <v/>
      </c>
    </row>
    <row r="286">
      <c r="W286" s="23">
        <f>IF(OR(L286="",K286=""),"",(L286+N(N286))/(K286+N(M286))-1)</f>
        <v/>
      </c>
      <c r="X286" s="23">
        <f>IF(OR(P286="",N(O286)=0),"",P286/O286-1)</f>
        <v/>
      </c>
    </row>
    <row r="287">
      <c r="W287" s="23">
        <f>IF(OR(L287="",K287=""),"",(L287+N(N287))/(K287+N(M287))-1)</f>
        <v/>
      </c>
      <c r="X287" s="23">
        <f>IF(OR(P287="",N(O287)=0),"",P287/O287-1)</f>
        <v/>
      </c>
    </row>
    <row r="288">
      <c r="W288" s="23">
        <f>IF(OR(L288="",K288=""),"",(L288+N(N288))/(K288+N(M288))-1)</f>
        <v/>
      </c>
      <c r="X288" s="23">
        <f>IF(OR(P288="",N(O288)=0),"",P288/O288-1)</f>
        <v/>
      </c>
    </row>
    <row r="289">
      <c r="W289" s="23">
        <f>IF(OR(L289="",K289=""),"",(L289+N(N289))/(K289+N(M289))-1)</f>
        <v/>
      </c>
      <c r="X289" s="23">
        <f>IF(OR(P289="",N(O289)=0),"",P289/O289-1)</f>
        <v/>
      </c>
    </row>
    <row r="290">
      <c r="W290" s="23">
        <f>IF(OR(L290="",K290=""),"",(L290+N(N290))/(K290+N(M290))-1)</f>
        <v/>
      </c>
      <c r="X290" s="23">
        <f>IF(OR(P290="",N(O290)=0),"",P290/O290-1)</f>
        <v/>
      </c>
    </row>
    <row r="291">
      <c r="W291" s="23">
        <f>IF(OR(L291="",K291=""),"",(L291+N(N291))/(K291+N(M291))-1)</f>
        <v/>
      </c>
      <c r="X291" s="23">
        <f>IF(OR(P291="",N(O291)=0),"",P291/O291-1)</f>
        <v/>
      </c>
    </row>
    <row r="292">
      <c r="W292" s="23">
        <f>IF(OR(L292="",K292=""),"",(L292+N(N292))/(K292+N(M292))-1)</f>
        <v/>
      </c>
      <c r="X292" s="23">
        <f>IF(OR(P292="",N(O292)=0),"",P292/O292-1)</f>
        <v/>
      </c>
    </row>
    <row r="293">
      <c r="W293" s="23">
        <f>IF(OR(L293="",K293=""),"",(L293+N(N293))/(K293+N(M293))-1)</f>
        <v/>
      </c>
      <c r="X293" s="23">
        <f>IF(OR(P293="",N(O293)=0),"",P293/O293-1)</f>
        <v/>
      </c>
    </row>
    <row r="294">
      <c r="W294" s="23">
        <f>IF(OR(L294="",K294=""),"",(L294+N(N294))/(K294+N(M294))-1)</f>
        <v/>
      </c>
      <c r="X294" s="23">
        <f>IF(OR(P294="",N(O294)=0),"",P294/O294-1)</f>
        <v/>
      </c>
    </row>
    <row r="295">
      <c r="W295" s="23">
        <f>IF(OR(L295="",K295=""),"",(L295+N(N295))/(K295+N(M295))-1)</f>
        <v/>
      </c>
      <c r="X295" s="23">
        <f>IF(OR(P295="",N(O295)=0),"",P295/O295-1)</f>
        <v/>
      </c>
    </row>
    <row r="296">
      <c r="W296" s="23">
        <f>IF(OR(L296="",K296=""),"",(L296+N(N296))/(K296+N(M296))-1)</f>
        <v/>
      </c>
      <c r="X296" s="23">
        <f>IF(OR(P296="",N(O296)=0),"",P296/O296-1)</f>
        <v/>
      </c>
    </row>
    <row r="297">
      <c r="W297" s="23">
        <f>IF(OR(L297="",K297=""),"",(L297+N(N297))/(K297+N(M297))-1)</f>
        <v/>
      </c>
      <c r="X297" s="23">
        <f>IF(OR(P297="",N(O297)=0),"",P297/O297-1)</f>
        <v/>
      </c>
    </row>
    <row r="298">
      <c r="W298" s="23">
        <f>IF(OR(L298="",K298=""),"",(L298+N(N298))/(K298+N(M298))-1)</f>
        <v/>
      </c>
      <c r="X298" s="23">
        <f>IF(OR(P298="",N(O298)=0),"",P298/O298-1)</f>
        <v/>
      </c>
    </row>
    <row r="299">
      <c r="W299" s="23">
        <f>IF(OR(L299="",K299=""),"",(L299+N(N299))/(K299+N(M299))-1)</f>
        <v/>
      </c>
      <c r="X299" s="23">
        <f>IF(OR(P299="",N(O299)=0),"",P299/O299-1)</f>
        <v/>
      </c>
    </row>
    <row r="300">
      <c r="W300" s="23">
        <f>IF(OR(L300="",K300=""),"",(L300+N(N300))/(K300+N(M300))-1)</f>
        <v/>
      </c>
      <c r="X300" s="23">
        <f>IF(OR(P300="",N(O300)=0),"",P300/O300-1)</f>
        <v/>
      </c>
    </row>
    <row r="301">
      <c r="W301" s="23">
        <f>IF(OR(L301="",K301=""),"",(L301+N(N301))/(K301+N(M301))-1)</f>
        <v/>
      </c>
      <c r="X301" s="23">
        <f>IF(OR(P301="",N(O301)=0),"",P301/O301-1)</f>
        <v/>
      </c>
    </row>
    <row r="302">
      <c r="W302" s="23">
        <f>IF(OR(L302="",K302=""),"",(L302+N(N302))/(K302+N(M302))-1)</f>
        <v/>
      </c>
      <c r="X302" s="23">
        <f>IF(OR(P302="",N(O302)=0),"",P302/O302-1)</f>
        <v/>
      </c>
    </row>
    <row r="303">
      <c r="W303" s="23">
        <f>IF(OR(L303="",K303=""),"",(L303+N(N303))/(K303+N(M303))-1)</f>
        <v/>
      </c>
      <c r="X303" s="23">
        <f>IF(OR(P303="",N(O303)=0),"",P303/O303-1)</f>
        <v/>
      </c>
    </row>
    <row r="304">
      <c r="W304" s="23">
        <f>IF(OR(L304="",K304=""),"",(L304+N(N304))/(K304+N(M304))-1)</f>
        <v/>
      </c>
      <c r="X304" s="23">
        <f>IF(OR(P304="",N(O304)=0),"",P304/O304-1)</f>
        <v/>
      </c>
    </row>
    <row r="305">
      <c r="W305" s="23">
        <f>IF(OR(L305="",K305=""),"",(L305+N(N305))/(K305+N(M305))-1)</f>
        <v/>
      </c>
      <c r="X305" s="23">
        <f>IF(OR(P305="",N(O305)=0),"",P305/O305-1)</f>
        <v/>
      </c>
    </row>
  </sheetData>
  <dataValidations count="3">
    <dataValidation sqref="E6:E305" showDropDown="0" showInputMessage="0" showErrorMessage="0" allowBlank="1" type="list">
      <formula1>=Use_Library!$A$5:$A$66</formula1>
    </dataValidation>
    <dataValidation sqref="I6:I305" showDropDown="0" showInputMessage="0" showErrorMessage="0" allowBlank="1" type="list">
      <formula1>=Lookups!$AD$5:$AD$7</formula1>
    </dataValidation>
    <dataValidation sqref="U6:U305" showDropDown="0" showInputMessage="0" showErrorMessage="0" allowBlank="1" type="list">
      <formula1>=Lookups!$Y$5:$Y$8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  <col width="18" customWidth="1" min="4" max="4"/>
    <col width="18" customWidth="1" min="5" max="5"/>
    <col width="80" customWidth="1" min="6" max="6"/>
  </cols>
  <sheetData>
    <row r="1">
      <c r="A1" s="1" t="inlineStr">
        <is>
          <t>Canonical Proforma Schema</t>
        </is>
      </c>
    </row>
    <row r="2">
      <c r="A2" s="2" t="inlineStr">
        <is>
          <t>Every upload maps INTO these fields; every prefilled proforma is emitted in them. Synonyms seed the AI mapper.</t>
        </is>
      </c>
    </row>
    <row r="4">
      <c r="A4" s="8" t="inlineStr">
        <is>
          <t>Field ID</t>
        </is>
      </c>
      <c r="B4" s="8" t="inlineStr">
        <is>
          <t>Group</t>
        </is>
      </c>
      <c r="C4" s="8" t="inlineStr">
        <is>
          <t>Label</t>
        </is>
      </c>
      <c r="D4" s="8" t="inlineStr">
        <is>
          <t>Unit</t>
        </is>
      </c>
      <c r="E4" s="8" t="inlineStr">
        <is>
          <t>Lands in</t>
        </is>
      </c>
      <c r="F4" s="8" t="inlineStr">
        <is>
          <t>Seed synonyms</t>
        </is>
      </c>
    </row>
    <row r="5">
      <c r="A5" s="4" t="inlineStr">
        <is>
          <t>deal_id</t>
        </is>
      </c>
      <c r="B5" s="9" t="inlineStr">
        <is>
          <t>Deal</t>
        </is>
      </c>
      <c r="C5" s="9" t="inlineStr">
        <is>
          <t>Deal ID</t>
        </is>
      </c>
      <c r="D5" s="9" t="inlineStr">
        <is>
          <t>text</t>
        </is>
      </c>
      <c r="E5" s="9" t="inlineStr">
        <is>
          <t>deal:deal_id</t>
        </is>
      </c>
      <c r="F5" s="2" t="inlineStr"/>
    </row>
    <row r="6">
      <c r="A6" s="4" t="inlineStr">
        <is>
          <t>org</t>
        </is>
      </c>
      <c r="B6" s="9" t="inlineStr">
        <is>
          <t>Deal</t>
        </is>
      </c>
      <c r="C6" s="9" t="inlineStr">
        <is>
          <t>Organization</t>
        </is>
      </c>
      <c r="D6" s="9" t="inlineStr">
        <is>
          <t>text</t>
        </is>
      </c>
      <c r="E6" s="9" t="inlineStr">
        <is>
          <t>deal:org</t>
        </is>
      </c>
      <c r="F6" s="2" t="inlineStr">
        <is>
          <t>company, developer</t>
        </is>
      </c>
    </row>
    <row r="7">
      <c r="A7" s="4" t="inlineStr">
        <is>
          <t>state</t>
        </is>
      </c>
      <c r="B7" s="9" t="inlineStr">
        <is>
          <t>Deal</t>
        </is>
      </c>
      <c r="C7" s="9" t="inlineStr">
        <is>
          <t>State</t>
        </is>
      </c>
      <c r="D7" s="9" t="inlineStr">
        <is>
          <t>ST</t>
        </is>
      </c>
      <c r="E7" s="9" t="inlineStr">
        <is>
          <t>deal:state</t>
        </is>
      </c>
      <c r="F7" s="2" t="inlineStr"/>
    </row>
    <row r="8">
      <c r="A8" s="4" t="inlineStr">
        <is>
          <t>county</t>
        </is>
      </c>
      <c r="B8" s="9" t="inlineStr">
        <is>
          <t>Deal</t>
        </is>
      </c>
      <c r="C8" s="9" t="inlineStr">
        <is>
          <t>County</t>
        </is>
      </c>
      <c r="D8" s="9" t="inlineStr">
        <is>
          <t>text</t>
        </is>
      </c>
      <c r="E8" s="9" t="inlineStr">
        <is>
          <t>deal:county</t>
        </is>
      </c>
      <c r="F8" s="2" t="inlineStr"/>
    </row>
    <row r="9">
      <c r="A9" s="4" t="inlineStr">
        <is>
          <t>city</t>
        </is>
      </c>
      <c r="B9" s="9" t="inlineStr">
        <is>
          <t>Deal</t>
        </is>
      </c>
      <c r="C9" s="9" t="inlineStr">
        <is>
          <t>City</t>
        </is>
      </c>
      <c r="D9" s="9" t="inlineStr">
        <is>
          <t>text</t>
        </is>
      </c>
      <c r="E9" s="9" t="inlineStr">
        <is>
          <t>deal:city</t>
        </is>
      </c>
      <c r="F9" s="2" t="inlineStr">
        <is>
          <t>municipality</t>
        </is>
      </c>
    </row>
    <row r="10">
      <c r="A10" s="4" t="inlineStr">
        <is>
          <t>use</t>
        </is>
      </c>
      <c r="B10" s="9" t="inlineStr">
        <is>
          <t>Deal</t>
        </is>
      </c>
      <c r="C10" s="9" t="inlineStr">
        <is>
          <t>Use (from use library)</t>
        </is>
      </c>
      <c r="D10" s="9" t="inlineStr">
        <is>
          <t>text</t>
        </is>
      </c>
      <c r="E10" s="9" t="inlineStr">
        <is>
          <t>deal:use</t>
        </is>
      </c>
      <c r="F10" s="2" t="inlineStr">
        <is>
          <t>product, product type, asset type, project type</t>
        </is>
      </c>
    </row>
    <row r="11">
      <c r="A11" s="4" t="inlineStr">
        <is>
          <t>gross_acres</t>
        </is>
      </c>
      <c r="B11" s="9" t="inlineStr">
        <is>
          <t>Deal</t>
        </is>
      </c>
      <c r="C11" s="9" t="inlineStr">
        <is>
          <t>Gross acres</t>
        </is>
      </c>
      <c r="D11" s="9" t="inlineStr">
        <is>
          <t>ac</t>
        </is>
      </c>
      <c r="E11" s="9" t="inlineStr">
        <is>
          <t>deal:gross_acres</t>
        </is>
      </c>
      <c r="F11" s="2" t="inlineStr">
        <is>
          <t>acres, acreage, site size, total acres</t>
        </is>
      </c>
    </row>
    <row r="12">
      <c r="A12" s="4" t="inlineStr">
        <is>
          <t>net_acres</t>
        </is>
      </c>
      <c r="B12" s="9" t="inlineStr">
        <is>
          <t>Deal</t>
        </is>
      </c>
      <c r="C12" s="9" t="inlineStr">
        <is>
          <t>Net buildable acres</t>
        </is>
      </c>
      <c r="D12" s="9" t="inlineStr">
        <is>
          <t>ac</t>
        </is>
      </c>
      <c r="E12" s="9" t="inlineStr">
        <is>
          <t>deal:net_acres</t>
        </is>
      </c>
      <c r="F12" s="2" t="inlineStr">
        <is>
          <t>net acres, developable acres, usable acres</t>
        </is>
      </c>
    </row>
    <row r="13">
      <c r="A13" s="4" t="inlineStr">
        <is>
          <t>capacity</t>
        </is>
      </c>
      <c r="B13" s="9" t="inlineStr">
        <is>
          <t>Deal</t>
        </is>
      </c>
      <c r="C13" s="9" t="inlineStr">
        <is>
          <t>Capacity (units / SF / acres)</t>
        </is>
      </c>
      <c r="D13" s="9" t="inlineStr">
        <is>
          <t>#</t>
        </is>
      </c>
      <c r="E13" s="9" t="inlineStr">
        <is>
          <t>deal:capacity</t>
        </is>
      </c>
      <c r="F13" s="2" t="inlineStr">
        <is>
          <t>units, lots, pads, sites, doors, stalls, building sf, gross sf, rentable sf, nrsf</t>
        </is>
      </c>
    </row>
    <row r="14">
      <c r="A14" s="4" t="inlineStr">
        <is>
          <t>land_price</t>
        </is>
      </c>
      <c r="B14" s="9" t="inlineStr">
        <is>
          <t>Deal</t>
        </is>
      </c>
      <c r="C14" s="9" t="inlineStr">
        <is>
          <t>Land price</t>
        </is>
      </c>
      <c r="D14" s="9" t="inlineStr">
        <is>
          <t>$</t>
        </is>
      </c>
      <c r="E14" s="9" t="inlineStr">
        <is>
          <t>deal:land_price</t>
        </is>
      </c>
      <c r="F14" s="2" t="inlineStr">
        <is>
          <t>land, land cost, purchase price, acquisition, land acquisition</t>
        </is>
      </c>
    </row>
    <row r="15">
      <c r="A15" s="4" t="inlineStr">
        <is>
          <t>date</t>
        </is>
      </c>
      <c r="B15" s="9" t="inlineStr">
        <is>
          <t>Deal</t>
        </is>
      </c>
      <c r="C15" s="9" t="inlineStr">
        <is>
          <t>Date underwritten / as-of</t>
        </is>
      </c>
      <c r="D15" s="9" t="inlineStr">
        <is>
          <t>date</t>
        </is>
      </c>
      <c r="E15" s="9" t="inlineStr">
        <is>
          <t>deal:date</t>
        </is>
      </c>
      <c r="F15" s="2" t="inlineStr">
        <is>
          <t>date, as of</t>
        </is>
      </c>
    </row>
    <row r="16">
      <c r="A16" s="4" t="inlineStr">
        <is>
          <t>decision</t>
        </is>
      </c>
      <c r="B16" s="9" t="inlineStr">
        <is>
          <t>Deal</t>
        </is>
      </c>
      <c r="C16" s="9" t="inlineStr">
        <is>
          <t>Decision</t>
        </is>
      </c>
      <c r="D16" s="9" t="inlineStr">
        <is>
          <t>Bought/Passed/Lost</t>
        </is>
      </c>
      <c r="E16" s="9" t="inlineStr">
        <is>
          <t>deal:decision</t>
        </is>
      </c>
      <c r="F16" s="2" t="inlineStr"/>
    </row>
    <row r="17">
      <c r="A17" s="4" t="inlineStr">
        <is>
          <t>reason_passed</t>
        </is>
      </c>
      <c r="B17" s="9" t="inlineStr">
        <is>
          <t>Deal</t>
        </is>
      </c>
      <c r="C17" s="9" t="inlineStr">
        <is>
          <t>Reason if passed</t>
        </is>
      </c>
      <c r="D17" s="9" t="inlineStr">
        <is>
          <t>text</t>
        </is>
      </c>
      <c r="E17" s="9" t="inlineStr">
        <is>
          <t>deal:reason_passed</t>
        </is>
      </c>
      <c r="F17" s="2" t="inlineStr"/>
    </row>
    <row r="18">
      <c r="A18" s="4" t="inlineStr">
        <is>
          <t>data_quality</t>
        </is>
      </c>
      <c r="B18" s="9" t="inlineStr">
        <is>
          <t>Deal</t>
        </is>
      </c>
      <c r="C18" s="9" t="inlineStr">
        <is>
          <t>Data quality</t>
        </is>
      </c>
      <c r="D18" s="9" t="inlineStr">
        <is>
          <t>Actual/Bid/Estimate/Projection</t>
        </is>
      </c>
      <c r="E18" s="9" t="inlineStr">
        <is>
          <t>deal:data_quality</t>
        </is>
      </c>
      <c r="F18" s="2" t="inlineStr"/>
    </row>
    <row r="19">
      <c r="A19" s="4" t="inlineStr">
        <is>
          <t>devmo</t>
        </is>
      </c>
      <c r="B19" s="9" t="inlineStr">
        <is>
          <t>Timeline</t>
        </is>
      </c>
      <c r="C19" s="9" t="inlineStr">
        <is>
          <t>Development months</t>
        </is>
      </c>
      <c r="D19" s="9" t="inlineStr">
        <is>
          <t>months</t>
        </is>
      </c>
      <c r="E19" s="9" t="inlineStr">
        <is>
          <t>use:devmo</t>
        </is>
      </c>
      <c r="F19" s="2" t="inlineStr">
        <is>
          <t>construction period, build time, development period</t>
        </is>
      </c>
    </row>
    <row r="20">
      <c r="A20" s="4" t="inlineStr">
        <is>
          <t>absorb</t>
        </is>
      </c>
      <c r="B20" s="9" t="inlineStr">
        <is>
          <t>Timeline</t>
        </is>
      </c>
      <c r="C20" s="9" t="inlineStr">
        <is>
          <t>Absorption per month</t>
        </is>
      </c>
      <c r="D20" s="9" t="inlineStr">
        <is>
          <t>units/mo</t>
        </is>
      </c>
      <c r="E20" s="9" t="inlineStr">
        <is>
          <t>use:absorb</t>
        </is>
      </c>
      <c r="F20" s="2" t="inlineStr">
        <is>
          <t>absorption, sales pace, lease-up pace, units per month</t>
        </is>
      </c>
    </row>
    <row r="21">
      <c r="A21" s="4" t="inlineStr">
        <is>
          <t>leaseup</t>
        </is>
      </c>
      <c r="B21" s="9" t="inlineStr">
        <is>
          <t>Timeline</t>
        </is>
      </c>
      <c r="C21" s="9" t="inlineStr">
        <is>
          <t>Lease-up months</t>
        </is>
      </c>
      <c r="D21" s="9" t="inlineStr">
        <is>
          <t>months</t>
        </is>
      </c>
      <c r="E21" s="9" t="inlineStr">
        <is>
          <t>use:leaseup</t>
        </is>
      </c>
      <c r="F21" s="2" t="inlineStr">
        <is>
          <t>lease up, stabilization period</t>
        </is>
      </c>
    </row>
    <row r="22">
      <c r="A22" s="4" t="inlineStr">
        <is>
          <t>vert</t>
        </is>
      </c>
      <c r="B22" s="9" t="inlineStr">
        <is>
          <t>Build</t>
        </is>
      </c>
      <c r="C22" s="9" t="inlineStr">
        <is>
          <t>Vertical cost per unit</t>
        </is>
      </c>
      <c r="D22" s="9" t="inlineStr">
        <is>
          <t>$/unit</t>
        </is>
      </c>
      <c r="E22" s="9" t="inlineStr">
        <is>
          <t>use:vert</t>
        </is>
      </c>
      <c r="F22" s="2" t="inlineStr">
        <is>
          <t>hard cost, building cost, construction cost, home cost, house cost, vertical, cost per sf, cost per unit</t>
        </is>
      </c>
    </row>
    <row r="23">
      <c r="A23" s="4" t="inlineStr">
        <is>
          <t>tilc</t>
        </is>
      </c>
      <c r="B23" s="9" t="inlineStr">
        <is>
          <t>Build</t>
        </is>
      </c>
      <c r="C23" s="9" t="inlineStr">
        <is>
          <t>TI + leasing commissions per unit</t>
        </is>
      </c>
      <c r="D23" s="9" t="inlineStr">
        <is>
          <t>$/unit</t>
        </is>
      </c>
      <c r="E23" s="9" t="inlineStr">
        <is>
          <t>use:tilc</t>
        </is>
      </c>
      <c r="F23" s="2" t="inlineStr">
        <is>
          <t>ti, tenant improvements, leasing commissions, lc</t>
        </is>
      </c>
    </row>
    <row r="24">
      <c r="A24" s="4" t="inlineStr">
        <is>
          <t>entitle</t>
        </is>
      </c>
      <c r="B24" s="9" t="inlineStr">
        <is>
          <t>Build</t>
        </is>
      </c>
      <c r="C24" s="9" t="inlineStr">
        <is>
          <t>Entitlement &amp; zoning</t>
        </is>
      </c>
      <c r="D24" s="9" t="inlineStr">
        <is>
          <t>$</t>
        </is>
      </c>
      <c r="E24" s="9" t="inlineStr">
        <is>
          <t>use:entitle</t>
        </is>
      </c>
      <c r="F24" s="2" t="inlineStr">
        <is>
          <t>zoning, entitlements, rezoning, permits, permit fees</t>
        </is>
      </c>
    </row>
    <row r="25">
      <c r="A25" s="4" t="inlineStr">
        <is>
          <t>vsoft</t>
        </is>
      </c>
      <c r="B25" s="9" t="inlineStr">
        <is>
          <t>Build</t>
        </is>
      </c>
      <c r="C25" s="9" t="inlineStr">
        <is>
          <t>Vertical soft costs %</t>
        </is>
      </c>
      <c r="D25" s="9" t="inlineStr">
        <is>
          <t>%</t>
        </is>
      </c>
      <c r="E25" s="9" t="inlineStr">
        <is>
          <t>assume:vsoft</t>
        </is>
      </c>
      <c r="F25" s="2" t="inlineStr">
        <is>
          <t>soft costs, a&amp;e, architecture, developer fee</t>
        </is>
      </c>
    </row>
    <row r="26">
      <c r="A26" s="4" t="inlineStr">
        <is>
          <t>hcont</t>
        </is>
      </c>
      <c r="B26" s="9" t="inlineStr">
        <is>
          <t>Build</t>
        </is>
      </c>
      <c r="C26" s="9" t="inlineStr">
        <is>
          <t>Horizontal contingency %</t>
        </is>
      </c>
      <c r="D26" s="9" t="inlineStr">
        <is>
          <t>%</t>
        </is>
      </c>
      <c r="E26" s="9" t="inlineStr">
        <is>
          <t>assume:hcont</t>
        </is>
      </c>
      <c r="F26" s="2" t="inlineStr">
        <is>
          <t>contingency</t>
        </is>
      </c>
    </row>
    <row r="27">
      <c r="A27" s="4" t="inlineStr">
        <is>
          <t>lotprice</t>
        </is>
      </c>
      <c r="B27" s="9" t="inlineStr">
        <is>
          <t>Revenue - For-Sale</t>
        </is>
      </c>
      <c r="C27" s="9" t="inlineStr">
        <is>
          <t>Lot sale price per lot</t>
        </is>
      </c>
      <c r="D27" s="9" t="inlineStr">
        <is>
          <t>$/lot</t>
        </is>
      </c>
      <c r="E27" s="9" t="inlineStr">
        <is>
          <t>use:lotprice</t>
        </is>
      </c>
      <c r="F27" s="2" t="inlineStr">
        <is>
          <t>lot price, finished lot price, lot sales</t>
        </is>
      </c>
    </row>
    <row r="28">
      <c r="A28" s="4" t="inlineStr">
        <is>
          <t>saleprice</t>
        </is>
      </c>
      <c r="B28" s="9" t="inlineStr">
        <is>
          <t>Revenue - For-Sale</t>
        </is>
      </c>
      <c r="C28" s="9" t="inlineStr">
        <is>
          <t>Home / unit sale price</t>
        </is>
      </c>
      <c r="D28" s="9" t="inlineStr">
        <is>
          <t>$/unit</t>
        </is>
      </c>
      <c r="E28" s="9" t="inlineStr">
        <is>
          <t>use:saleprice</t>
        </is>
      </c>
      <c r="F28" s="2" t="inlineStr">
        <is>
          <t>sale price, sales price, home price, avg sale price, asp, condo price</t>
        </is>
      </c>
    </row>
    <row r="29">
      <c r="A29" s="4" t="inlineStr">
        <is>
          <t>landac</t>
        </is>
      </c>
      <c r="B29" s="9" t="inlineStr">
        <is>
          <t>Revenue - Land</t>
        </is>
      </c>
      <c r="C29" s="9" t="inlineStr">
        <is>
          <t>Land / pad sale price per acre</t>
        </is>
      </c>
      <c r="D29" s="9" t="inlineStr">
        <is>
          <t>$/ac</t>
        </is>
      </c>
      <c r="E29" s="9" t="inlineStr">
        <is>
          <t>use:landac</t>
        </is>
      </c>
      <c r="F29" s="2" t="inlineStr">
        <is>
          <t>pad price, price per acre, land sale</t>
        </is>
      </c>
    </row>
    <row r="30">
      <c r="A30" s="4" t="inlineStr">
        <is>
          <t>rent</t>
        </is>
      </c>
      <c r="B30" s="9" t="inlineStr">
        <is>
          <t>Revenue - Income</t>
        </is>
      </c>
      <c r="C30" s="9" t="inlineStr">
        <is>
          <t>Rent per unit per year</t>
        </is>
      </c>
      <c r="D30" s="9" t="inlineStr">
        <is>
          <t>$/unit/yr</t>
        </is>
      </c>
      <c r="E30" s="9" t="inlineStr">
        <is>
          <t>use:rent</t>
        </is>
      </c>
      <c r="F30" s="2" t="inlineStr">
        <is>
          <t>rent, lot rent, pad rent, site rent, base rent, rent psf, market rent, gpr, adr</t>
        </is>
      </c>
    </row>
    <row r="31">
      <c r="A31" s="4" t="inlineStr">
        <is>
          <t>othinc</t>
        </is>
      </c>
      <c r="B31" s="9" t="inlineStr">
        <is>
          <t>Revenue - Income</t>
        </is>
      </c>
      <c r="C31" s="9" t="inlineStr">
        <is>
          <t>Other income % of rent</t>
        </is>
      </c>
      <c r="D31" s="9" t="inlineStr">
        <is>
          <t>%</t>
        </is>
      </c>
      <c r="E31" s="9" t="inlineStr">
        <is>
          <t>use:othinc</t>
        </is>
      </c>
      <c r="F31" s="2" t="inlineStr">
        <is>
          <t>other income, utility reimbursement, fees, rubs</t>
        </is>
      </c>
    </row>
    <row r="32">
      <c r="A32" s="4" t="inlineStr">
        <is>
          <t>vac</t>
        </is>
      </c>
      <c r="B32" s="9" t="inlineStr">
        <is>
          <t>Revenue - Income</t>
        </is>
      </c>
      <c r="C32" s="9" t="inlineStr">
        <is>
          <t>Stabilized vacancy</t>
        </is>
      </c>
      <c r="D32" s="9" t="inlineStr">
        <is>
          <t>%</t>
        </is>
      </c>
      <c r="E32" s="9" t="inlineStr">
        <is>
          <t>use:vac</t>
        </is>
      </c>
      <c r="F32" s="2" t="inlineStr">
        <is>
          <t>vacancy, economic vacancy, credit loss, 1 - occupancy</t>
        </is>
      </c>
    </row>
    <row r="33">
      <c r="A33" s="4" t="inlineStr">
        <is>
          <t>opex</t>
        </is>
      </c>
      <c r="B33" s="9" t="inlineStr">
        <is>
          <t>Revenue - Income</t>
        </is>
      </c>
      <c r="C33" s="9" t="inlineStr">
        <is>
          <t>Opex per unit per year (excl. tax)</t>
        </is>
      </c>
      <c r="D33" s="9" t="inlineStr">
        <is>
          <t>$/unit/yr</t>
        </is>
      </c>
      <c r="E33" s="9" t="inlineStr">
        <is>
          <t>use:opex</t>
        </is>
      </c>
      <c r="F33" s="2" t="inlineStr">
        <is>
          <t>operating expenses, opex, expenses, r&amp;m, repairs, insurance, utilities, payroll</t>
        </is>
      </c>
    </row>
    <row r="34">
      <c r="A34" s="4" t="inlineStr">
        <is>
          <t>mgmt</t>
        </is>
      </c>
      <c r="B34" s="9" t="inlineStr">
        <is>
          <t>Revenue - Income</t>
        </is>
      </c>
      <c r="C34" s="9" t="inlineStr">
        <is>
          <t>Management % of EGI</t>
        </is>
      </c>
      <c r="D34" s="9" t="inlineStr">
        <is>
          <t>%</t>
        </is>
      </c>
      <c r="E34" s="9" t="inlineStr">
        <is>
          <t>use:mgmt</t>
        </is>
      </c>
      <c r="F34" s="2" t="inlineStr">
        <is>
          <t>management fee, property management</t>
        </is>
      </c>
    </row>
    <row r="35">
      <c r="A35" s="4" t="inlineStr">
        <is>
          <t>recov</t>
        </is>
      </c>
      <c r="B35" s="9" t="inlineStr">
        <is>
          <t>Revenue - Income</t>
        </is>
      </c>
      <c r="C35" s="9" t="inlineStr">
        <is>
          <t>Expense recovery %</t>
        </is>
      </c>
      <c r="D35" s="9" t="inlineStr">
        <is>
          <t>%</t>
        </is>
      </c>
      <c r="E35" s="9" t="inlineStr">
        <is>
          <t>use:recov</t>
        </is>
      </c>
      <c r="F35" s="2" t="inlineStr">
        <is>
          <t>cam, cam reimbursements, nnn, recoveries</t>
        </is>
      </c>
    </row>
    <row r="36">
      <c r="A36" s="4" t="inlineStr">
        <is>
          <t>cap</t>
        </is>
      </c>
      <c r="B36" s="9" t="inlineStr">
        <is>
          <t>Revenue - Income</t>
        </is>
      </c>
      <c r="C36" s="9" t="inlineStr">
        <is>
          <t>Exit cap rate</t>
        </is>
      </c>
      <c r="D36" s="9" t="inlineStr">
        <is>
          <t>%</t>
        </is>
      </c>
      <c r="E36" s="9" t="inlineStr">
        <is>
          <t>use:cap</t>
        </is>
      </c>
      <c r="F36" s="2" t="inlineStr">
        <is>
          <t>cap rate, exit cap, terminal cap, going-in cap</t>
        </is>
      </c>
    </row>
    <row r="37">
      <c r="A37" s="4" t="inlineStr">
        <is>
          <t>groundrent</t>
        </is>
      </c>
      <c r="B37" s="9" t="inlineStr">
        <is>
          <t>Revenue - Land</t>
        </is>
      </c>
      <c r="C37" s="9" t="inlineStr">
        <is>
          <t>Ground lease rent per acre per year</t>
        </is>
      </c>
      <c r="D37" s="9" t="inlineStr">
        <is>
          <t>$/ac/yr</t>
        </is>
      </c>
      <c r="E37" s="9" t="inlineStr">
        <is>
          <t>use:groundrent</t>
        </is>
      </c>
      <c r="F37" s="2" t="inlineStr">
        <is>
          <t>ground lease, land lease, lease rate per acre</t>
        </is>
      </c>
    </row>
    <row r="38">
      <c r="A38" s="4" t="inlineStr">
        <is>
          <t>ltc</t>
        </is>
      </c>
      <c r="B38" s="9" t="inlineStr">
        <is>
          <t>Financing</t>
        </is>
      </c>
      <c r="C38" s="9" t="inlineStr">
        <is>
          <t>Loan-to-cost</t>
        </is>
      </c>
      <c r="D38" s="9" t="inlineStr">
        <is>
          <t>%</t>
        </is>
      </c>
      <c r="E38" s="9" t="inlineStr">
        <is>
          <t>assume:ltc</t>
        </is>
      </c>
      <c r="F38" s="2" t="inlineStr">
        <is>
          <t>ltc, loan to cost, leverage</t>
        </is>
      </c>
    </row>
    <row r="39">
      <c r="A39" s="4" t="inlineStr">
        <is>
          <t>rate</t>
        </is>
      </c>
      <c r="B39" s="9" t="inlineStr">
        <is>
          <t>Financing</t>
        </is>
      </c>
      <c r="C39" s="9" t="inlineStr">
        <is>
          <t>Construction loan rate</t>
        </is>
      </c>
      <c r="D39" s="9" t="inlineStr">
        <is>
          <t>%</t>
        </is>
      </c>
      <c r="E39" s="9" t="inlineStr">
        <is>
          <t>assume:rate</t>
        </is>
      </c>
      <c r="F39" s="2" t="inlineStr">
        <is>
          <t>interest rate, construction rate, loan rate</t>
        </is>
      </c>
    </row>
    <row r="40">
      <c r="A40" s="4" t="inlineStr">
        <is>
          <t>pts</t>
        </is>
      </c>
      <c r="B40" s="9" t="inlineStr">
        <is>
          <t>Financing</t>
        </is>
      </c>
      <c r="C40" s="9" t="inlineStr">
        <is>
          <t>Loan points</t>
        </is>
      </c>
      <c r="D40" s="9" t="inlineStr">
        <is>
          <t>%</t>
        </is>
      </c>
      <c r="E40" s="9" t="inlineStr">
        <is>
          <t>assume:pts</t>
        </is>
      </c>
      <c r="F40" s="2" t="inlineStr">
        <is>
          <t>points, origination fee</t>
        </is>
      </c>
    </row>
    <row r="41">
      <c r="A41" s="4" t="inlineStr">
        <is>
          <t>h_total</t>
        </is>
      </c>
      <c r="B41" s="9" t="inlineStr">
        <is>
          <t>Results</t>
        </is>
      </c>
      <c r="C41" s="9" t="inlineStr">
        <is>
          <t>Horizontal total</t>
        </is>
      </c>
      <c r="D41" s="9" t="inlineStr">
        <is>
          <t>$</t>
        </is>
      </c>
      <c r="E41" s="9" t="inlineStr">
        <is>
          <t>result:h_total</t>
        </is>
      </c>
      <c r="F41" s="2" t="inlineStr">
        <is>
          <t>site work total, horizontal, land development cost, infrastructure</t>
        </is>
      </c>
    </row>
    <row r="42">
      <c r="A42" s="4" t="inlineStr">
        <is>
          <t>v_total</t>
        </is>
      </c>
      <c r="B42" s="9" t="inlineStr">
        <is>
          <t>Results</t>
        </is>
      </c>
      <c r="C42" s="9" t="inlineStr">
        <is>
          <t>Vertical total</t>
        </is>
      </c>
      <c r="D42" s="9" t="inlineStr">
        <is>
          <t>$</t>
        </is>
      </c>
      <c r="E42" s="9" t="inlineStr">
        <is>
          <t>result:v_total</t>
        </is>
      </c>
      <c r="F42" s="2" t="inlineStr">
        <is>
          <t>vertical total, building total, hard cost total</t>
        </is>
      </c>
    </row>
    <row r="43">
      <c r="A43" s="4" t="inlineStr">
        <is>
          <t>revenue</t>
        </is>
      </c>
      <c r="B43" s="9" t="inlineStr">
        <is>
          <t>Results</t>
        </is>
      </c>
      <c r="C43" s="9" t="inlineStr">
        <is>
          <t>Revenue / value</t>
        </is>
      </c>
      <c r="D43" s="9" t="inlineStr">
        <is>
          <t>$</t>
        </is>
      </c>
      <c r="E43" s="9" t="inlineStr">
        <is>
          <t>result:revenue</t>
        </is>
      </c>
      <c r="F43" s="2" t="inlineStr">
        <is>
          <t>total revenue, gross sales, stabilized value, exit value</t>
        </is>
      </c>
    </row>
    <row r="44">
      <c r="A44" s="4" t="inlineStr">
        <is>
          <t>noi</t>
        </is>
      </c>
      <c r="B44" s="9" t="inlineStr">
        <is>
          <t>Results</t>
        </is>
      </c>
      <c r="C44" s="9" t="inlineStr">
        <is>
          <t>NOI</t>
        </is>
      </c>
      <c r="D44" s="9" t="inlineStr">
        <is>
          <t>$/yr</t>
        </is>
      </c>
      <c r="E44" s="9" t="inlineStr">
        <is>
          <t>result:noi</t>
        </is>
      </c>
      <c r="F44" s="2" t="inlineStr">
        <is>
          <t>net operating income, noi</t>
        </is>
      </c>
    </row>
    <row r="45">
      <c r="A45" s="4" t="inlineStr">
        <is>
          <t>months_actual</t>
        </is>
      </c>
      <c r="B45" s="9" t="inlineStr">
        <is>
          <t>Results</t>
        </is>
      </c>
      <c r="C45" s="9" t="inlineStr">
        <is>
          <t>Months to complete</t>
        </is>
      </c>
      <c r="D45" s="9" t="inlineStr">
        <is>
          <t>months</t>
        </is>
      </c>
      <c r="E45" s="9" t="inlineStr">
        <is>
          <t>result:months</t>
        </is>
      </c>
      <c r="F45" s="2" t="inlineStr">
        <is>
          <t>duration</t>
        </is>
      </c>
    </row>
    <row r="46">
      <c r="A46" s="4" t="inlineStr">
        <is>
          <t>cost_02-100</t>
        </is>
      </c>
      <c r="B46" s="9" t="inlineStr">
        <is>
          <t>Horizontal budget</t>
        </is>
      </c>
      <c r="C46" s="9" t="inlineStr">
        <is>
          <t>02-100 Boundary &amp; topo survey</t>
        </is>
      </c>
      <c r="D46" s="9" t="inlineStr">
        <is>
          <t>LS</t>
        </is>
      </c>
      <c r="E46" s="9" t="inlineStr">
        <is>
          <t>cost:02-100</t>
        </is>
      </c>
      <c r="F46" s="2" t="inlineStr">
        <is>
          <t>survey, boundary survey, topo, topographic survey, alta</t>
        </is>
      </c>
    </row>
    <row r="47">
      <c r="A47" s="4" t="inlineStr">
        <is>
          <t>cost_02-110</t>
        </is>
      </c>
      <c r="B47" s="9" t="inlineStr">
        <is>
          <t>Horizontal budget</t>
        </is>
      </c>
      <c r="C47" s="9" t="inlineStr">
        <is>
          <t>02-110 Platting / lot surveys</t>
        </is>
      </c>
      <c r="D47" s="9" t="inlineStr">
        <is>
          <t>per lot</t>
        </is>
      </c>
      <c r="E47" s="9" t="inlineStr">
        <is>
          <t>cost:02-110</t>
        </is>
      </c>
      <c r="F47" s="2" t="inlineStr">
        <is>
          <t>plat, platting, lot survey, pins, staking</t>
        </is>
      </c>
    </row>
    <row r="48">
      <c r="A48" s="4" t="inlineStr">
        <is>
          <t>cost_02-200</t>
        </is>
      </c>
      <c r="B48" s="9" t="inlineStr">
        <is>
          <t>Horizontal budget</t>
        </is>
      </c>
      <c r="C48" s="9" t="inlineStr">
        <is>
          <t>02-200 Civil engineering</t>
        </is>
      </c>
      <c r="D48" s="9" t="inlineStr">
        <is>
          <t>per disturbed ac</t>
        </is>
      </c>
      <c r="E48" s="9" t="inlineStr">
        <is>
          <t>cost:02-200</t>
        </is>
      </c>
      <c r="F48" s="2" t="inlineStr">
        <is>
          <t>engineering, civil, site engineering, design fees, civil plans</t>
        </is>
      </c>
    </row>
    <row r="49">
      <c r="A49" s="4" t="inlineStr">
        <is>
          <t>cost_02-300</t>
        </is>
      </c>
      <c r="B49" s="9" t="inlineStr">
        <is>
          <t>Horizontal budget</t>
        </is>
      </c>
      <c r="C49" s="9" t="inlineStr">
        <is>
          <t>02-300 Geotechnical report</t>
        </is>
      </c>
      <c r="D49" s="9" t="inlineStr">
        <is>
          <t>LS</t>
        </is>
      </c>
      <c r="E49" s="9" t="inlineStr">
        <is>
          <t>cost:02-300</t>
        </is>
      </c>
      <c r="F49" s="2" t="inlineStr">
        <is>
          <t>geotech, soils report, soil borings</t>
        </is>
      </c>
    </row>
    <row r="50">
      <c r="A50" s="4" t="inlineStr">
        <is>
          <t>cost_02-310</t>
        </is>
      </c>
      <c r="B50" s="9" t="inlineStr">
        <is>
          <t>Horizontal budget</t>
        </is>
      </c>
      <c r="C50" s="9" t="inlineStr">
        <is>
          <t>02-310 Septic site evaluations</t>
        </is>
      </c>
      <c r="D50" s="9" t="inlineStr">
        <is>
          <t>per system</t>
        </is>
      </c>
      <c r="E50" s="9" t="inlineStr">
        <is>
          <t>cost:02-310</t>
        </is>
      </c>
      <c r="F50" s="2" t="inlineStr">
        <is>
          <t>perc test, site evaluation, soil evaluation, septic design</t>
        </is>
      </c>
    </row>
    <row r="51">
      <c r="A51" s="4" t="inlineStr">
        <is>
          <t>cost_02-320</t>
        </is>
      </c>
      <c r="B51" s="9" t="inlineStr">
        <is>
          <t>Horizontal budget</t>
        </is>
      </c>
      <c r="C51" s="9" t="inlineStr">
        <is>
          <t>02-320 Large wastewater permit (state)</t>
        </is>
      </c>
      <c r="D51" s="9" t="inlineStr">
        <is>
          <t>LS</t>
        </is>
      </c>
      <c r="E51" s="9" t="inlineStr">
        <is>
          <t>cost:02-320</t>
        </is>
      </c>
      <c r="F51" s="2" t="inlineStr">
        <is>
          <t>tceq permit, tlap, discharge permit, wastewater permit, npdes</t>
        </is>
      </c>
    </row>
    <row r="52">
      <c r="A52" s="4" t="inlineStr">
        <is>
          <t>cost_02-400</t>
        </is>
      </c>
      <c r="B52" s="9" t="inlineStr">
        <is>
          <t>Horizontal budget</t>
        </is>
      </c>
      <c r="C52" s="9" t="inlineStr">
        <is>
          <t>02-400 Phase I environmental</t>
        </is>
      </c>
      <c r="D52" s="9" t="inlineStr">
        <is>
          <t>LS</t>
        </is>
      </c>
      <c r="E52" s="9" t="inlineStr">
        <is>
          <t>cost:02-400</t>
        </is>
      </c>
      <c r="F52" s="2" t="inlineStr">
        <is>
          <t>phase 1, phase i, esa, environmental</t>
        </is>
      </c>
    </row>
    <row r="53">
      <c r="A53" s="4" t="inlineStr">
        <is>
          <t>cost_02-500</t>
        </is>
      </c>
      <c r="B53" s="9" t="inlineStr">
        <is>
          <t>Horizontal budget</t>
        </is>
      </c>
      <c r="C53" s="9" t="inlineStr">
        <is>
          <t>02-500 Drainage study</t>
        </is>
      </c>
      <c r="D53" s="9" t="inlineStr">
        <is>
          <t>LS</t>
        </is>
      </c>
      <c r="E53" s="9" t="inlineStr">
        <is>
          <t>cost:02-500</t>
        </is>
      </c>
      <c r="F53" s="2" t="inlineStr">
        <is>
          <t>drainage, hydrology, flood study, drainage report</t>
        </is>
      </c>
    </row>
    <row r="54">
      <c r="A54" s="4" t="inlineStr">
        <is>
          <t>cost_02-700</t>
        </is>
      </c>
      <c r="B54" s="9" t="inlineStr">
        <is>
          <t>Horizontal budget</t>
        </is>
      </c>
      <c r="C54" s="9" t="inlineStr">
        <is>
          <t>02-700 Legal, title &amp; entity</t>
        </is>
      </c>
      <c r="D54" s="9" t="inlineStr">
        <is>
          <t>LS</t>
        </is>
      </c>
      <c r="E54" s="9" t="inlineStr">
        <is>
          <t>cost:02-700</t>
        </is>
      </c>
      <c r="F54" s="2" t="inlineStr">
        <is>
          <t>legal, title, attorney, closing attorney, entity</t>
        </is>
      </c>
    </row>
    <row r="55">
      <c r="A55" s="4" t="inlineStr">
        <is>
          <t>cost_03-100</t>
        </is>
      </c>
      <c r="B55" s="9" t="inlineStr">
        <is>
          <t>Horizontal budget</t>
        </is>
      </c>
      <c r="C55" s="9" t="inlineStr">
        <is>
          <t>03-100 Clearing &amp; grubbing</t>
        </is>
      </c>
      <c r="D55" s="9" t="inlineStr">
        <is>
          <t>per ac</t>
        </is>
      </c>
      <c r="E55" s="9" t="inlineStr">
        <is>
          <t>cost:03-100</t>
        </is>
      </c>
      <c r="F55" s="2" t="inlineStr">
        <is>
          <t>clearing, tree removal, grubbing, brush clearing, mulching</t>
        </is>
      </c>
    </row>
    <row r="56">
      <c r="A56" s="4" t="inlineStr">
        <is>
          <t>cost_03-200</t>
        </is>
      </c>
      <c r="B56" s="9" t="inlineStr">
        <is>
          <t>Horizontal budget</t>
        </is>
      </c>
      <c r="C56" s="9" t="inlineStr">
        <is>
          <t>03-200 Mass grading</t>
        </is>
      </c>
      <c r="D56" s="9" t="inlineStr">
        <is>
          <t>per ac</t>
        </is>
      </c>
      <c r="E56" s="9" t="inlineStr">
        <is>
          <t>cost:03-200</t>
        </is>
      </c>
      <c r="F56" s="2" t="inlineStr">
        <is>
          <t>dirt work, earthwork, grading, site grading, excavation, cut and fill, pad prep</t>
        </is>
      </c>
    </row>
    <row r="57">
      <c r="A57" s="4" t="inlineStr">
        <is>
          <t>cost_03-300</t>
        </is>
      </c>
      <c r="B57" s="9" t="inlineStr">
        <is>
          <t>Horizontal budget</t>
        </is>
      </c>
      <c r="C57" s="9" t="inlineStr">
        <is>
          <t>03-300 Internal roads / drives</t>
        </is>
      </c>
      <c r="D57" s="9" t="inlineStr">
        <is>
          <t>per LF</t>
        </is>
      </c>
      <c r="E57" s="9" t="inlineStr">
        <is>
          <t>cost:03-300</t>
        </is>
      </c>
      <c r="F57" s="2" t="inlineStr">
        <is>
          <t>roads, road construction, streets, drives, asphalt road, chip seal, gravel road</t>
        </is>
      </c>
    </row>
    <row r="58">
      <c r="A58" s="4" t="inlineStr">
        <is>
          <t>cost_03-350</t>
        </is>
      </c>
      <c r="B58" s="9" t="inlineStr">
        <is>
          <t>Horizontal budget</t>
        </is>
      </c>
      <c r="C58" s="9" t="inlineStr">
        <is>
          <t>03-350 Parking / paving / hardscape</t>
        </is>
      </c>
      <c r="D58" s="9" t="inlineStr">
        <is>
          <t>per SF</t>
        </is>
      </c>
      <c r="E58" s="9" t="inlineStr">
        <is>
          <t>cost:03-350</t>
        </is>
      </c>
      <c r="F58" s="2" t="inlineStr">
        <is>
          <t>paving, parking lot, concrete paving, flatwork, hardscape, asphalt parking</t>
        </is>
      </c>
    </row>
    <row r="59">
      <c r="A59" s="4" t="inlineStr">
        <is>
          <t>cost_03-400</t>
        </is>
      </c>
      <c r="B59" s="9" t="inlineStr">
        <is>
          <t>Horizontal budget</t>
        </is>
      </c>
      <c r="C59" s="9" t="inlineStr">
        <is>
          <t>03-400 Detention pond</t>
        </is>
      </c>
      <c r="D59" s="9" t="inlineStr">
        <is>
          <t>per ac</t>
        </is>
      </c>
      <c r="E59" s="9" t="inlineStr">
        <is>
          <t>cost:03-400</t>
        </is>
      </c>
      <c r="F59" s="2" t="inlineStr">
        <is>
          <t>detention, retention pond, pond, stormwater pond</t>
        </is>
      </c>
    </row>
    <row r="60">
      <c r="A60" s="4" t="inlineStr">
        <is>
          <t>cost_03-500</t>
        </is>
      </c>
      <c r="B60" s="9" t="inlineStr">
        <is>
          <t>Horizontal budget</t>
        </is>
      </c>
      <c r="C60" s="9" t="inlineStr">
        <is>
          <t>03-500 Erosion control / SWPPP</t>
        </is>
      </c>
      <c r="D60" s="9" t="inlineStr">
        <is>
          <t>per disturbed ac</t>
        </is>
      </c>
      <c r="E60" s="9" t="inlineStr">
        <is>
          <t>cost:03-500</t>
        </is>
      </c>
      <c r="F60" s="2" t="inlineStr">
        <is>
          <t>swppp, erosion control, silt fence, stormwater permit</t>
        </is>
      </c>
    </row>
    <row r="61">
      <c r="A61" s="4" t="inlineStr">
        <is>
          <t>cost_03-600</t>
        </is>
      </c>
      <c r="B61" s="9" t="inlineStr">
        <is>
          <t>Horizontal budget</t>
        </is>
      </c>
      <c r="C61" s="9" t="inlineStr">
        <is>
          <t>03-600 Driveway permit / turn lane</t>
        </is>
      </c>
      <c r="D61" s="9" t="inlineStr">
        <is>
          <t>LS</t>
        </is>
      </c>
      <c r="E61" s="9" t="inlineStr">
        <is>
          <t>cost:03-600</t>
        </is>
      </c>
      <c r="F61" s="2" t="inlineStr">
        <is>
          <t>turn lane, decel lane, txdot, driveway permit, curb cut</t>
        </is>
      </c>
    </row>
    <row r="62">
      <c r="A62" s="4" t="inlineStr">
        <is>
          <t>cost_04-100</t>
        </is>
      </c>
      <c r="B62" s="9" t="inlineStr">
        <is>
          <t>Horizontal budget</t>
        </is>
      </c>
      <c r="C62" s="9" t="inlineStr">
        <is>
          <t>04-100 Water line</t>
        </is>
      </c>
      <c r="D62" s="9" t="inlineStr">
        <is>
          <t>per LF</t>
        </is>
      </c>
      <c r="E62" s="9" t="inlineStr">
        <is>
          <t>cost:04-100</t>
        </is>
      </c>
      <c r="F62" s="2" t="inlineStr">
        <is>
          <t>water line, water main, waterline, water extension</t>
        </is>
      </c>
    </row>
    <row r="63">
      <c r="A63" s="4" t="inlineStr">
        <is>
          <t>cost_04-110</t>
        </is>
      </c>
      <c r="B63" s="9" t="inlineStr">
        <is>
          <t>Horizontal budget</t>
        </is>
      </c>
      <c r="C63" s="9" t="inlineStr">
        <is>
          <t>04-110 Water taps &amp; meters</t>
        </is>
      </c>
      <c r="D63" s="9" t="inlineStr">
        <is>
          <t>per tap</t>
        </is>
      </c>
      <c r="E63" s="9" t="inlineStr">
        <is>
          <t>cost:04-110</t>
        </is>
      </c>
      <c r="F63" s="2" t="inlineStr">
        <is>
          <t>water tap, meter, water meter, tap fee</t>
        </is>
      </c>
    </row>
    <row r="64">
      <c r="A64" s="4" t="inlineStr">
        <is>
          <t>cost_04-200</t>
        </is>
      </c>
      <c r="B64" s="9" t="inlineStr">
        <is>
          <t>Horizontal budget</t>
        </is>
      </c>
      <c r="C64" s="9" t="inlineStr">
        <is>
          <t>04-200 Sewer line</t>
        </is>
      </c>
      <c r="D64" s="9" t="inlineStr">
        <is>
          <t>per LF</t>
        </is>
      </c>
      <c r="E64" s="9" t="inlineStr">
        <is>
          <t>cost:04-200</t>
        </is>
      </c>
      <c r="F64" s="2" t="inlineStr">
        <is>
          <t>sewer line, sewer main, sanitary sewer, force main, lift station</t>
        </is>
      </c>
    </row>
    <row r="65">
      <c r="A65" s="4" t="inlineStr">
        <is>
          <t>cost_04-210</t>
        </is>
      </c>
      <c r="B65" s="9" t="inlineStr">
        <is>
          <t>Horizontal budget</t>
        </is>
      </c>
      <c r="C65" s="9" t="inlineStr">
        <is>
          <t>04-210 Sewer taps / impact fees</t>
        </is>
      </c>
      <c r="D65" s="9" t="inlineStr">
        <is>
          <t>per tap</t>
        </is>
      </c>
      <c r="E65" s="9" t="inlineStr">
        <is>
          <t>cost:04-210</t>
        </is>
      </c>
      <c r="F65" s="2" t="inlineStr">
        <is>
          <t>sewer tap, impact fee, capital recovery, connection fee</t>
        </is>
      </c>
    </row>
    <row r="66">
      <c r="A66" s="4" t="inlineStr">
        <is>
          <t>cost_04-300</t>
        </is>
      </c>
      <c r="B66" s="9" t="inlineStr">
        <is>
          <t>Horizontal budget</t>
        </is>
      </c>
      <c r="C66" s="9" t="inlineStr">
        <is>
          <t>04-300 On-site septic systems</t>
        </is>
      </c>
      <c r="D66" s="9" t="inlineStr">
        <is>
          <t>per system</t>
        </is>
      </c>
      <c r="E66" s="9" t="inlineStr">
        <is>
          <t>cost:04-300</t>
        </is>
      </c>
      <c r="F66" s="2" t="inlineStr">
        <is>
          <t>septic, septics, ossf, aerobic system, septic system</t>
        </is>
      </c>
    </row>
    <row r="67">
      <c r="A67" s="4" t="inlineStr">
        <is>
          <t>cost_04-310</t>
        </is>
      </c>
      <c r="B67" s="9" t="inlineStr">
        <is>
          <t>Horizontal budget</t>
        </is>
      </c>
      <c r="C67" s="9" t="inlineStr">
        <is>
          <t>04-310 Private water wells</t>
        </is>
      </c>
      <c r="D67" s="9" t="inlineStr">
        <is>
          <t>per well</t>
        </is>
      </c>
      <c r="E67" s="9" t="inlineStr">
        <is>
          <t>cost:04-310</t>
        </is>
      </c>
      <c r="F67" s="2" t="inlineStr">
        <is>
          <t>well, water well, drilling</t>
        </is>
      </c>
    </row>
    <row r="68">
      <c r="A68" s="4" t="inlineStr">
        <is>
          <t>cost_04-320</t>
        </is>
      </c>
      <c r="B68" s="9" t="inlineStr">
        <is>
          <t>Horizontal budget</t>
        </is>
      </c>
      <c r="C68" s="9" t="inlineStr">
        <is>
          <t>04-320 Public water system (well, storage, treatment)</t>
        </is>
      </c>
      <c r="D68" s="9" t="inlineStr">
        <is>
          <t>LS</t>
        </is>
      </c>
      <c r="E68" s="9" t="inlineStr">
        <is>
          <t>cost:04-320</t>
        </is>
      </c>
      <c r="F68" s="2" t="inlineStr">
        <is>
          <t>water system, public water system, storage tank, pressure tank, water plant</t>
        </is>
      </c>
    </row>
    <row r="69">
      <c r="A69" s="4" t="inlineStr">
        <is>
          <t>cost_04-330</t>
        </is>
      </c>
      <c r="B69" s="9" t="inlineStr">
        <is>
          <t>Horizontal budget</t>
        </is>
      </c>
      <c r="C69" s="9" t="inlineStr">
        <is>
          <t>04-330 Public water system distribution</t>
        </is>
      </c>
      <c r="D69" s="9" t="inlineStr">
        <is>
          <t>per connection</t>
        </is>
      </c>
      <c r="E69" s="9" t="inlineStr">
        <is>
          <t>cost:04-330</t>
        </is>
      </c>
      <c r="F69" s="2" t="inlineStr">
        <is>
          <t>water distribution, service lines, water lines internal</t>
        </is>
      </c>
    </row>
    <row r="70">
      <c r="A70" s="4" t="inlineStr">
        <is>
          <t>cost_04-400</t>
        </is>
      </c>
      <c r="B70" s="9" t="inlineStr">
        <is>
          <t>Horizontal budget</t>
        </is>
      </c>
      <c r="C70" s="9" t="inlineStr">
        <is>
          <t>04-400 Electric extension</t>
        </is>
      </c>
      <c r="D70" s="9" t="inlineStr">
        <is>
          <t>per LF</t>
        </is>
      </c>
      <c r="E70" s="9" t="inlineStr">
        <is>
          <t>cost:04-400</t>
        </is>
      </c>
      <c r="F70" s="2" t="inlineStr">
        <is>
          <t>electric, power, electrical, three phase, transformer, utility extension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20" customWidth="1" min="4" max="4"/>
    <col width="50" customWidth="1" min="5" max="5"/>
    <col width="14" customWidth="1" min="6" max="6"/>
    <col width="11" customWidth="1" min="7" max="7"/>
    <col width="15" customWidth="1" min="8" max="8"/>
    <col width="20" customWidth="1" min="9" max="9"/>
  </cols>
  <sheetData>
    <row r="1">
      <c r="A1" s="1" t="inlineStr">
        <is>
          <t>Import Mapping - how an uploaded spreadsheet lands in the schema</t>
        </is>
      </c>
    </row>
    <row r="2">
      <c r="A2" s="2" t="inlineStr">
        <is>
          <t>Illustrative. The AI proposes each mapping with a confidence score; &gt;= 0.90 auto-accepts, 0.50-0.90 asks the user, &lt; 0.50 the user maps it. Confirmed mappings are remembered per org.</t>
        </is>
      </c>
    </row>
    <row r="4">
      <c r="A4" s="8" t="inlineStr">
        <is>
          <t>Uploaded file / tab</t>
        </is>
      </c>
      <c r="B4" s="8" t="inlineStr">
        <is>
          <t>Raw label</t>
        </is>
      </c>
      <c r="C4" s="8" t="inlineStr">
        <is>
          <t>Raw value</t>
        </is>
      </c>
      <c r="D4" s="8" t="inlineStr">
        <is>
          <t>Maps to (canonical)</t>
        </is>
      </c>
      <c r="E4" s="8" t="inlineStr">
        <is>
          <t>Normalization</t>
        </is>
      </c>
      <c r="F4" s="8" t="inlineStr">
        <is>
          <t>Normalized value</t>
        </is>
      </c>
      <c r="G4" s="8" t="inlineStr">
        <is>
          <t>Confidence</t>
        </is>
      </c>
      <c r="H4" s="8" t="inlineStr">
        <is>
          <t>Status</t>
        </is>
      </c>
      <c r="I4" s="8" t="inlineStr">
        <is>
          <t>Reason</t>
        </is>
      </c>
    </row>
    <row r="5">
      <c r="A5" s="9" t="inlineStr">
        <is>
          <t>Sadler.xlsx / Budget</t>
        </is>
      </c>
      <c r="B5" s="9" t="inlineStr">
        <is>
          <t>Dirt work</t>
        </is>
      </c>
      <c r="C5" s="9" t="n">
        <v>62000</v>
      </c>
      <c r="D5" s="9" t="inlineStr">
        <is>
          <t>cost_03-200</t>
        </is>
      </c>
      <c r="E5" s="9" t="inlineStr">
        <is>
          <t>Lump sum / 12.4 disturbed ac; / Grayson index 1.00</t>
        </is>
      </c>
      <c r="F5" s="9" t="n">
        <v>5000</v>
      </c>
      <c r="G5" s="23" t="n">
        <v>0.86</v>
      </c>
      <c r="H5" s="9" t="inlineStr">
        <is>
          <t>Confirmed</t>
        </is>
      </c>
      <c r="I5" s="9" t="inlineStr">
        <is>
          <t>Common synonym</t>
        </is>
      </c>
    </row>
    <row r="6">
      <c r="A6" s="9" t="inlineStr">
        <is>
          <t>Sadler.xlsx / Budget</t>
        </is>
      </c>
      <c r="B6" s="9" t="inlineStr">
        <is>
          <t>Septics x7</t>
        </is>
      </c>
      <c r="C6" s="9" t="n">
        <v>77000</v>
      </c>
      <c r="D6" s="9" t="inlineStr">
        <is>
          <t>cost_04-300</t>
        </is>
      </c>
      <c r="E6" s="9" t="inlineStr">
        <is>
          <t>/ 7 systems</t>
        </is>
      </c>
      <c r="F6" s="9" t="n">
        <v>11000</v>
      </c>
      <c r="G6" s="23" t="n">
        <v>0.95</v>
      </c>
      <c r="H6" s="9" t="inlineStr">
        <is>
          <t>Auto-accepted</t>
        </is>
      </c>
      <c r="I6" s="9" t="inlineStr">
        <is>
          <t>Quantity in label</t>
        </is>
      </c>
    </row>
    <row r="7">
      <c r="A7" s="9" t="inlineStr">
        <is>
          <t>Sadler.xlsx / Budget</t>
        </is>
      </c>
      <c r="B7" s="9" t="inlineStr">
        <is>
          <t>Misc / other</t>
        </is>
      </c>
      <c r="C7" s="9" t="n">
        <v>15000</v>
      </c>
      <c r="D7" s="9" t="inlineStr">
        <is>
          <t>(unmapped)</t>
        </is>
      </c>
      <c r="E7" s="9" t="inlineStr"/>
      <c r="F7" s="9" t="n"/>
      <c r="G7" s="23" t="n">
        <v>0.22</v>
      </c>
      <c r="H7" s="9" t="inlineStr">
        <is>
          <t>Needs review</t>
        </is>
      </c>
      <c r="I7" s="9" t="inlineStr">
        <is>
          <t>Too vague</t>
        </is>
      </c>
    </row>
    <row r="8">
      <c r="A8" s="9" t="inlineStr">
        <is>
          <t>Flex_deal.xlsx / Proforma</t>
        </is>
      </c>
      <c r="B8" s="9" t="inlineStr">
        <is>
          <t>Base rent PSF</t>
        </is>
      </c>
      <c r="C8" s="9" t="n">
        <v>14.5</v>
      </c>
      <c r="D8" s="9" t="inlineStr">
        <is>
          <t>rent</t>
        </is>
      </c>
      <c r="E8" s="9" t="inlineStr">
        <is>
          <t>Already per SF per year; / rent index 1.00</t>
        </is>
      </c>
      <c r="F8" s="9" t="n">
        <v>14.5</v>
      </c>
      <c r="G8" s="23" t="n">
        <v>0.93</v>
      </c>
      <c r="H8" s="9" t="inlineStr">
        <is>
          <t>Auto-accepted</t>
        </is>
      </c>
      <c r="I8" s="9" t="inlineStr">
        <is>
          <t>Unit matches</t>
        </is>
      </c>
    </row>
    <row r="9">
      <c r="A9" s="9" t="inlineStr">
        <is>
          <t>Flex_deal.xlsx / Proforma</t>
        </is>
      </c>
      <c r="B9" s="9" t="inlineStr">
        <is>
          <t>CAM reimbursements</t>
        </is>
      </c>
      <c r="C9" s="9" t="n">
        <v>98000</v>
      </c>
      <c r="D9" s="9" t="inlineStr">
        <is>
          <t>recov</t>
        </is>
      </c>
      <c r="E9" s="9" t="inlineStr">
        <is>
          <t>/ (opex + tax)</t>
        </is>
      </c>
      <c r="F9" s="9" t="n">
        <v>0.95</v>
      </c>
      <c r="G9" s="23" t="n">
        <v>0.71</v>
      </c>
      <c r="H9" s="9" t="inlineStr">
        <is>
          <t>Needs review</t>
        </is>
      </c>
      <c r="I9" s="9" t="inlineStr">
        <is>
          <t>Derived ratio</t>
        </is>
      </c>
    </row>
    <row r="10">
      <c r="A10" s="9" t="inlineStr">
        <is>
          <t>MHC_buy.xlsx / Rent roll</t>
        </is>
      </c>
      <c r="B10" s="9" t="inlineStr">
        <is>
          <t>Lot rent</t>
        </is>
      </c>
      <c r="C10" s="9" t="n">
        <v>525</v>
      </c>
      <c r="D10" s="9" t="inlineStr">
        <is>
          <t>rent</t>
        </is>
      </c>
      <c r="E10" s="9" t="inlineStr">
        <is>
          <t>x 12 (monthly -&gt; annual)</t>
        </is>
      </c>
      <c r="F10" s="9" t="n">
        <v>6300</v>
      </c>
      <c r="G10" s="23" t="n">
        <v>0.9</v>
      </c>
      <c r="H10" s="9" t="inlineStr">
        <is>
          <t>Auto-accepted</t>
        </is>
      </c>
      <c r="I10" s="9" t="inlineStr">
        <is>
          <t>Monthly -&gt; annual</t>
        </is>
      </c>
    </row>
    <row r="11">
      <c r="A11" s="9" t="inlineStr">
        <is>
          <t>Collin_lots.xlsx / Sales</t>
        </is>
      </c>
      <c r="B11" s="9" t="inlineStr">
        <is>
          <t>Avg closed price</t>
        </is>
      </c>
      <c r="C11" s="9" t="n">
        <v>515000</v>
      </c>
      <c r="D11" s="9" t="inlineStr">
        <is>
          <t>saleprice</t>
        </is>
      </c>
      <c r="E11" s="9" t="inlineStr">
        <is>
          <t>Collin is LOCAL market data -&gt; Market_Data, not indexed</t>
        </is>
      </c>
      <c r="F11" s="9" t="n">
        <v>515000</v>
      </c>
      <c r="G11" s="23" t="n">
        <v>0.92</v>
      </c>
      <c r="H11" s="9" t="inlineStr">
        <is>
          <t>Auto-accepted</t>
        </is>
      </c>
      <c r="I11" s="9" t="inlineStr">
        <is>
          <t>Sales comp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3" max="3"/>
    <col width="14" customWidth="1" min="5" max="5"/>
    <col width="12" customWidth="1" min="7" max="7"/>
    <col width="14" customWidth="1" min="8" max="8"/>
    <col width="14" customWidth="1" min="9" max="9"/>
    <col width="10" customWidth="1" min="11" max="11"/>
    <col width="14" customWidth="1" min="12" max="12"/>
    <col width="12" customWidth="1" min="14" max="14"/>
    <col width="16" customWidth="1" min="16" max="16"/>
    <col width="12" customWidth="1" min="18" max="18"/>
    <col width="34" customWidth="1" min="19" max="19"/>
    <col width="20" customWidth="1" min="21" max="21"/>
    <col width="12" customWidth="1" min="23" max="23"/>
    <col width="13" customWidth="1" min="25" max="25"/>
    <col width="10" customWidth="1" min="26" max="26"/>
    <col width="16" customWidth="1" min="28" max="28"/>
    <col width="20" customWidth="1" min="30" max="30"/>
  </cols>
  <sheetData>
    <row r="1">
      <c r="A1" s="1" t="inlineStr">
        <is>
          <t>Lookups</t>
        </is>
      </c>
    </row>
    <row r="2">
      <c r="A2" s="2" t="inlineStr">
        <is>
          <t>Dropdown lists and adjustment factors. Factors are placeholders - calibrate from the cost library.</t>
        </is>
      </c>
    </row>
    <row r="4">
      <c r="A4" s="8" t="inlineStr">
        <is>
          <t>Scenario</t>
        </is>
      </c>
      <c r="C4" s="8" t="inlineStr">
        <is>
          <t>Y/N</t>
        </is>
      </c>
      <c r="E4" s="8" t="inlineStr">
        <is>
          <t>Engine</t>
        </is>
      </c>
      <c r="G4" s="8" t="inlineStr">
        <is>
          <t>Septic soil</t>
        </is>
      </c>
      <c r="H4" s="8" t="inlineStr">
        <is>
          <t>Septic cost multiplier</t>
        </is>
      </c>
      <c r="I4" s="8" t="inlineStr">
        <is>
          <t>Septic capacity factor</t>
        </is>
      </c>
      <c r="K4" s="8" t="inlineStr">
        <is>
          <t>Max slope</t>
        </is>
      </c>
      <c r="L4" s="8" t="inlineStr">
        <is>
          <t>Grading multiplier</t>
        </is>
      </c>
      <c r="N4" s="8" t="inlineStr">
        <is>
          <t>Jurisdiction</t>
        </is>
      </c>
      <c r="P4" s="8" t="inlineStr">
        <is>
          <t>Access</t>
        </is>
      </c>
      <c r="R4" s="8" t="inlineStr">
        <is>
          <t>Zoning class</t>
        </is>
      </c>
      <c r="S4" s="8" t="inlineStr">
        <is>
          <t>Meaning</t>
        </is>
      </c>
      <c r="U4" s="8" t="inlineStr">
        <is>
          <t>Exit</t>
        </is>
      </c>
      <c r="W4" s="8" t="inlineStr">
        <is>
          <t>Ranking</t>
        </is>
      </c>
      <c r="Y4" s="8" t="inlineStr">
        <is>
          <t>Data quality</t>
        </is>
      </c>
      <c r="Z4" s="8" t="inlineStr">
        <is>
          <t>Learning weight</t>
        </is>
      </c>
      <c r="AB4" s="8" t="inlineStr">
        <is>
          <t>Market layer</t>
        </is>
      </c>
      <c r="AD4" s="8" t="inlineStr">
        <is>
          <t>Decision</t>
        </is>
      </c>
    </row>
    <row r="5">
      <c r="A5" s="9" t="inlineStr">
        <is>
          <t>Low</t>
        </is>
      </c>
      <c r="C5" s="9" t="inlineStr">
        <is>
          <t>Y</t>
        </is>
      </c>
      <c r="E5" s="9" t="inlineStr">
        <is>
          <t>For-Sale</t>
        </is>
      </c>
      <c r="G5" s="9" t="inlineStr">
        <is>
          <t>Good</t>
        </is>
      </c>
      <c r="H5" s="50" t="n">
        <v>1</v>
      </c>
      <c r="I5" s="50" t="n">
        <v>1</v>
      </c>
      <c r="K5" s="23" t="n">
        <v>0.05</v>
      </c>
      <c r="L5" s="50" t="n">
        <v>1</v>
      </c>
      <c r="N5" s="9" t="inlineStr">
        <is>
          <t>City</t>
        </is>
      </c>
      <c r="P5" s="9" t="inlineStr">
        <is>
          <t>Paved public</t>
        </is>
      </c>
      <c r="R5" s="9" t="inlineStr">
        <is>
          <t>AG</t>
        </is>
      </c>
      <c r="S5" s="43" t="inlineStr">
        <is>
          <t>Agricultural / open</t>
        </is>
      </c>
      <c r="U5" s="9" t="inlineStr">
        <is>
          <t>Best</t>
        </is>
      </c>
      <c r="W5" s="9" t="inlineStr">
        <is>
          <t>All uses</t>
        </is>
      </c>
      <c r="Y5" s="9" t="inlineStr">
        <is>
          <t>Actual</t>
        </is>
      </c>
      <c r="Z5" s="50" t="n">
        <v>1</v>
      </c>
      <c r="AB5" s="9" t="inlineStr">
        <is>
          <t>Landova comps</t>
        </is>
      </c>
      <c r="AD5" s="9" t="inlineStr">
        <is>
          <t>Bought</t>
        </is>
      </c>
    </row>
    <row r="6">
      <c r="A6" s="9" t="inlineStr">
        <is>
          <t>Base</t>
        </is>
      </c>
      <c r="C6" s="9" t="inlineStr">
        <is>
          <t>N</t>
        </is>
      </c>
      <c r="E6" s="9" t="inlineStr">
        <is>
          <t>Income</t>
        </is>
      </c>
      <c r="G6" s="9" t="inlineStr">
        <is>
          <t>Fair</t>
        </is>
      </c>
      <c r="H6" s="50" t="n">
        <v>1.2</v>
      </c>
      <c r="I6" s="50" t="n">
        <v>0.75</v>
      </c>
      <c r="K6" s="23" t="n">
        <v>0.1</v>
      </c>
      <c r="L6" s="50" t="n">
        <v>1.25</v>
      </c>
      <c r="N6" s="9" t="inlineStr">
        <is>
          <t>ETJ</t>
        </is>
      </c>
      <c r="P6" s="9" t="inlineStr">
        <is>
          <t>Unpaved public</t>
        </is>
      </c>
      <c r="R6" s="9" t="inlineStr">
        <is>
          <t>RES-SF</t>
        </is>
      </c>
      <c r="S6" s="43" t="inlineStr">
        <is>
          <t>Single-family detached</t>
        </is>
      </c>
      <c r="U6" s="9" t="inlineStr">
        <is>
          <t>Land / pad sale</t>
        </is>
      </c>
      <c r="W6" s="9" t="inlineStr">
        <is>
          <t>My uses</t>
        </is>
      </c>
      <c r="Y6" s="9" t="inlineStr">
        <is>
          <t>Bid</t>
        </is>
      </c>
      <c r="Z6" s="50" t="n">
        <v>0.8</v>
      </c>
      <c r="AB6" s="9" t="inlineStr">
        <is>
          <t>Pooled</t>
        </is>
      </c>
      <c r="AD6" s="9" t="inlineStr">
        <is>
          <t>Passed</t>
        </is>
      </c>
    </row>
    <row r="7">
      <c r="A7" s="9" t="inlineStr">
        <is>
          <t>High</t>
        </is>
      </c>
      <c r="E7" s="9" t="inlineStr">
        <is>
          <t>Operator Pad</t>
        </is>
      </c>
      <c r="G7" s="9" t="inlineStr">
        <is>
          <t>Poor</t>
        </is>
      </c>
      <c r="H7" s="50" t="n">
        <v>1.5</v>
      </c>
      <c r="I7" s="50" t="n">
        <v>0.5</v>
      </c>
      <c r="K7" s="23" t="n">
        <v>1</v>
      </c>
      <c r="L7" s="50" t="n">
        <v>1.6</v>
      </c>
      <c r="N7" s="9" t="inlineStr">
        <is>
          <t>County</t>
        </is>
      </c>
      <c r="P7" s="9" t="inlineStr">
        <is>
          <t>Private easement</t>
        </is>
      </c>
      <c r="R7" s="9" t="inlineStr">
        <is>
          <t>RES-ATT</t>
        </is>
      </c>
      <c r="S7" s="43" t="inlineStr">
        <is>
          <t>Attached / 2-4 units</t>
        </is>
      </c>
      <c r="U7" s="9" t="inlineStr">
        <is>
          <t>Build &amp; sell</t>
        </is>
      </c>
      <c r="Y7" s="9" t="inlineStr">
        <is>
          <t>Estimate</t>
        </is>
      </c>
      <c r="Z7" s="50" t="n">
        <v>0.5</v>
      </c>
      <c r="AD7" s="9" t="inlineStr">
        <is>
          <t>Lost to other buyer</t>
        </is>
      </c>
    </row>
    <row r="8">
      <c r="E8" s="9" t="inlineStr">
        <is>
          <t>Land Play</t>
        </is>
      </c>
      <c r="P8" s="9" t="inlineStr">
        <is>
          <t>None</t>
        </is>
      </c>
      <c r="R8" s="9" t="inlineStr">
        <is>
          <t>RES-MF</t>
        </is>
      </c>
      <c r="S8" s="43" t="inlineStr">
        <is>
          <t>Multifamily</t>
        </is>
      </c>
      <c r="U8" s="9" t="inlineStr">
        <is>
          <t>Build &amp; hold / lease</t>
        </is>
      </c>
      <c r="Y8" s="9" t="inlineStr">
        <is>
          <t>Projection</t>
        </is>
      </c>
      <c r="Z8" s="50" t="n">
        <v>0.3</v>
      </c>
    </row>
    <row r="9">
      <c r="R9" s="9" t="inlineStr">
        <is>
          <t>MH</t>
        </is>
      </c>
      <c r="S9" s="43" t="inlineStr">
        <is>
          <t>Manufactured / tiny homes</t>
        </is>
      </c>
    </row>
    <row r="10">
      <c r="R10" s="9" t="inlineStr">
        <is>
          <t>RV</t>
        </is>
      </c>
      <c r="S10" s="43" t="inlineStr">
        <is>
          <t>RV park / campground</t>
        </is>
      </c>
    </row>
    <row r="11">
      <c r="R11" s="9" t="inlineStr">
        <is>
          <t>LODG</t>
        </is>
      </c>
      <c r="S11" s="43" t="inlineStr">
        <is>
          <t>Lodging / short-term rental</t>
        </is>
      </c>
    </row>
    <row r="12">
      <c r="R12" s="9" t="inlineStr">
        <is>
          <t>COM</t>
        </is>
      </c>
      <c r="S12" s="43" t="inlineStr">
        <is>
          <t>Commercial / retail</t>
        </is>
      </c>
    </row>
    <row r="13">
      <c r="R13" s="9" t="inlineStr">
        <is>
          <t>OFF</t>
        </is>
      </c>
      <c r="S13" s="43" t="inlineStr">
        <is>
          <t>Office / medical</t>
        </is>
      </c>
    </row>
    <row r="14">
      <c r="R14" s="9" t="inlineStr">
        <is>
          <t>IND</t>
        </is>
      </c>
      <c r="S14" s="43" t="inlineStr">
        <is>
          <t>Industrial / outdoor storage</t>
        </is>
      </c>
    </row>
    <row r="15">
      <c r="R15" s="9" t="inlineStr">
        <is>
          <t>INST</t>
        </is>
      </c>
      <c r="S15" s="43" t="inlineStr">
        <is>
          <t>Institutional / care / school / church</t>
        </is>
      </c>
    </row>
    <row r="16">
      <c r="R16" s="9" t="inlineStr">
        <is>
          <t>UTIL</t>
        </is>
      </c>
      <c r="S16" s="43" t="inlineStr">
        <is>
          <t>Utility / energy / telecom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2026-10-29T14:48:21Z</dcterms:created>
  <dcterms:modified xmlns:dcterms="http://purl.org/dc/terms/" xmlns:xsi="http://www.w3.org/2001/XMLSchema-instance" xsi:type="dcterms:W3CDTF">2026-10-29T14:48:21Z</dcterms:modified>
</cp:coreProperties>
</file>